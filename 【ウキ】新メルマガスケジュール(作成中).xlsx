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26414_編集版" sheetId="1" r:id="rId4"/>
    <sheet state="visible" name="ルール" sheetId="2" r:id="rId5"/>
    <sheet state="visible" name="リスト" sheetId="3" r:id="rId6"/>
    <sheet state="visible" name="特殊配信マスタ" sheetId="4" r:id="rId7"/>
    <sheet state="visible" name="新規" sheetId="5" r:id="rId8"/>
    <sheet state="visible" name="MAｓ" sheetId="6" r:id="rId9"/>
    <sheet state="visible" name="MA" sheetId="7" r:id="rId10"/>
    <sheet state="visible" name="PR管理" sheetId="8" r:id="rId11"/>
    <sheet state="visible" name="月末増発" sheetId="9" r:id="rId12"/>
    <sheet state="visible" name="長期休暇対応" sheetId="10" r:id="rId13"/>
    <sheet state="visible" name="配信停止メルマガ一覧" sheetId="11" r:id="rId14"/>
    <sheet state="visible" name="商品系管理" sheetId="12" r:id="rId15"/>
  </sheets>
  <definedNames>
    <definedName hidden="1" localSheetId="2" name="_xlnm._FilterDatabase">'リスト'!$A$1:$O$348</definedName>
    <definedName hidden="1" localSheetId="3" name="_xlnm._FilterDatabase">'特殊配信マスタ'!$A$2:$O$8</definedName>
    <definedName hidden="1" localSheetId="4" name="_xlnm._FilterDatabase">'新規'!$A$1:$O$39</definedName>
    <definedName hidden="1" localSheetId="5" name="_xlnm._FilterDatabase">'MAｓ'!$A$1:$L$1</definedName>
    <definedName hidden="1" localSheetId="6" name="_xlnm._FilterDatabase">MA!$A$1:$S$9</definedName>
    <definedName hidden="1" localSheetId="7" name="_xlnm._FilterDatabase">'PR管理'!$A$7:$H$1055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N2">
      <text>
        <t xml:space="preserve">設定内容：
https://docs.google.com/spreadsheets/d/16wJJDyYTGHtmNDudewhn5FOOD7L6IpyHWdsxQD3dmfM/edit?gid=970900620#gid=970900620&amp;range=224:224</t>
      </text>
    </comment>
    <comment authorId="0" ref="M8">
      <text>
        <t xml:space="preserve">横浜線は求人があるか要確認</t>
      </text>
    </comment>
    <comment authorId="0" ref="B12">
      <text>
        <t xml:space="preserve">おまとめ便配信時間につきメルマガ配信不可です。(当日新規会員除く)
</t>
      </text>
    </comment>
    <comment authorId="0" ref="M13">
      <text>
        <t xml:space="preserve">掲出企業が10社以下になってないか必ず確認</t>
      </text>
    </comment>
    <comment authorId="0" ref="N14">
      <text>
        <t xml:space="preserve">条件はこちらです！
https://docs.google.com/spreadsheets/d/16afl0qEXXMcJ6lgej9zZy5hwf6XmDA4PIc5EnOslMPU/edit?gid=249368657#gid=249368657&amp;range=A30:G31
件名のみ毎週手動で変更しているので、こちらと一致しているかご確認お願いいたします！
https://docs.google.com/spreadsheets/d/16afl0qEXXMcJ6lgej9zZy5hwf6XmDA4PIc5EnOslMPU/edit?gid=1784109536#gid=1784109536</t>
      </text>
    </comment>
    <comment authorId="0" ref="N19">
      <text>
        <t xml:space="preserve">indexごとにちゃんと求人抽出があるか確認</t>
      </text>
    </comment>
    <comment authorId="0" ref="M20">
      <text>
        <t xml:space="preserve">2025/10/18配信より、3つ目の条件が抽出されていないので、毎度確認する。
抽出されていたら
「★梅田阪急ビル・新大阪阪急ビルでのお仕事」
を本文に追加</t>
      </text>
    </comment>
    <comment authorId="0" ref="N20">
      <text>
        <t xml:space="preserve">indexごとにちゃんと求人抽出があるか確認</t>
      </text>
    </comment>
    <comment authorId="0" ref="M23">
      <text>
        <t xml:space="preserve">金曜以降、求人そろってるか確認後配信予約
※この自動求人特集は、フリーテキストでURLひっぱっているだけなので、特集の求人件数が上限を超えていても問題ないです！</t>
      </text>
    </comment>
    <comment authorId="0" ref="C26">
      <text>
        <t xml:space="preserve">必掲出求人
?utm_source=adm&amp;utm_medium=email&amp;utm_campaign=uki_adm_126&amp;waad=yu8vcy23&amp;routeway=85</t>
      </text>
    </comment>
    <comment authorId="0" ref="C27">
      <text>
        <t xml:space="preserve">必掲出求人
?utm_source=adm&amp;utm_medium=email&amp;utm_campaign=uki_adm_128&amp;waad=RFj1M18B&amp;routeway=85</t>
      </text>
    </comment>
    <comment authorId="0" ref="C29">
      <text>
        <t xml:space="preserve">必掲出求人
?utm_source=adm&amp;utm_medium=email&amp;utm_campaign=uki_adm_173&amp;routeway=85</t>
      </text>
    </comment>
    <comment authorId="0" ref="C30">
      <text>
        <t xml:space="preserve">必掲出求人
?utm_source=adm&amp;utm_medium=email&amp;utm_campaign=uki_adm_175&amp;routeway=85</t>
      </text>
    </comment>
    <comment authorId="0" ref="B33">
      <text>
        <t xml:space="preserve">おまとめ便配信時間につきメルマガ配信不可です。(当日新規会員除く)
</t>
      </text>
    </comment>
    <comment authorId="0" ref="M33">
      <text>
        <t xml:space="preserve">設定スプシはこちら
https://docs.google.com/spreadsheets/d/1SPBhgiqNyK02NU3wZ12Qb53RyyvCjT4wqohplc_jGYo/edit?gid=0#gid=0</t>
      </text>
    </comment>
    <comment authorId="0" ref="N33">
      <text>
        <t xml:space="preserve">シートに記載の必携出求人が出ているか・件名になっているかご確認お願いいたします！
https://docs.google.com/spreadsheets/d/1SPBhgiqNyK02NU3wZ12Qb53RyyvCjT4wqohplc_jGYo/edit?gid=0#gid=0</t>
      </text>
    </comment>
    <comment authorId="0" ref="M40">
      <text>
        <t xml:space="preserve">掲出企業が10社以下になってないか必ず確認</t>
      </text>
    </comment>
    <comment authorId="0" ref="B43">
      <text>
        <t xml:space="preserve">おまとめ便配信時間につきメルマガ配信不可です。(当日新規会員除く)
</t>
      </text>
    </comment>
    <comment authorId="0" ref="N46">
      <text>
        <t xml:space="preserve">文面こちらです
先週コピーです。
https://docs.google.com/spreadsheets/d/17AK9knGldR84IrFgGP0Q4LdxWGkXdyrGS3YtzPF_yuY/edit?gid=1441980861#gid=1441980861&amp;range=43:43</t>
      </text>
    </comment>
    <comment authorId="0" ref="M50">
      <text>
        <t xml:space="preserve">求人が問題ないか確認（タイトルとあっているか）
</t>
      </text>
    </comment>
    <comment authorId="0" ref="M55">
      <text>
        <t xml:space="preserve">求人特集が700件以下か確認
https://woman-type.jp/job-area/osaka/23261/f/</t>
      </text>
    </comment>
    <comment authorId="0" ref="N55">
      <text>
        <t xml:space="preserve">求人特集が700件以下か確認
https://woman-type.jp/job-area/osaka/23261/f/</t>
      </text>
    </comment>
    <comment authorId="0" ref="M61">
      <text>
        <t xml:space="preserve">文面はこちらです
https://docs.google.com/spreadsheets/d/1LvmaJz-o8SmQ4kDOmimmE8XAFa_h17tWFmTWskaxN8Q/edit?gid=0#gid=0&amp;range=155:155</t>
      </text>
    </comment>
    <comment authorId="0" ref="M64">
      <text>
        <t xml:space="preserve">文面はこちらです
https://docs.google.com/spreadsheets/d/1LvmaJz-o8SmQ4kDOmimmE8XAFa_h17tWFmTWskaxN8Q/edit?gid=0#gid=0&amp;range=156:156</t>
      </text>
    </comment>
    <comment authorId="0" ref="C65">
      <text>
        <t xml:space="preserve">必掲出求人
?utm_source=adm&amp;utm_medium=email&amp;utm_campaign=uki_adm_127&amp;waad=XDUF0n9q&amp;routeway=85</t>
      </text>
    </comment>
    <comment authorId="0" ref="C66">
      <text>
        <t xml:space="preserve">必掲出求人
?utm_source=adm&amp;utm_medium=email&amp;utm_campaign=uki_adm_129&amp;waad=N9lGq1HB&amp;routeway=85</t>
      </text>
    </comment>
    <comment authorId="0" ref="C70">
      <text>
        <t xml:space="preserve">特集ID　18564</t>
      </text>
    </comment>
    <comment authorId="0" ref="M83">
      <text>
        <t xml:space="preserve">季節ごとに件名と文面を変更
https://docs.google.com/spreadsheets/d/1_zL1zhn7dgc0QlwI1zlrpAAt-u0fs_2-NiCBqstvYak/edit?gid=599876261#gid=599876261&amp;range=B6:L45
春：3月～6月2週目
夏：6月3週目～9月
秋：10月～11月	
冬：12月～2月	</t>
      </text>
    </comment>
    <comment authorId="0" ref="N84">
      <text>
        <t xml:space="preserve">★自動求人特集メルマガ★
前日に自動求人特集の求人数を確認して700件以下であれば配信設定する
24376 【関西版】自己PR不要！リモート×未経験OKの事務職求人</t>
      </text>
    </comment>
    <comment authorId="0" ref="M85">
      <text>
        <t xml:space="preserve">求人が5件以下であれば配信停止</t>
      </text>
    </comment>
    <comment authorId="0" ref="N92">
      <text>
        <t xml:space="preserve">文面条件こちら
https://docs.google.com/spreadsheets/d/1SLvT5o94TrYKBw2wowGDPfEI1QXg3aRM50QUtQkeAmE/edit?gid=1137747840#gid=1137747840</t>
      </text>
    </comment>
    <comment authorId="0" ref="B93">
      <text>
        <t xml:space="preserve">おまとめ便配信時間につきメルマガ配信不可です。(当日新規会員除く)
</t>
      </text>
    </comment>
    <comment authorId="0" ref="C109">
      <text>
        <t xml:space="preserve">必掲出求人
?utm_source=adm&amp;utm_medium=email&amp;utm_campaign=uki_adm_174&amp;routeway=85</t>
      </text>
    </comment>
    <comment authorId="0" ref="C110">
      <text>
        <t xml:space="preserve">必掲出求人
?utm_source=adm&amp;utm_medium=email&amp;utm_campaign=uki_adm_176&amp;routeway=85</t>
      </text>
    </comment>
    <comment authorId="0" ref="M111">
      <text>
        <t xml:space="preserve">予約まで</t>
      </text>
    </comment>
    <comment authorId="0" ref="N111">
      <text>
        <t xml:space="preserve">配信日時の確認のみ</t>
      </text>
    </comment>
    <comment authorId="0" ref="M112">
      <text>
        <t xml:space="preserve">予約まで</t>
      </text>
    </comment>
    <comment authorId="0" ref="N112">
      <text>
        <t xml:space="preserve">配信日時の確認のみ</t>
      </text>
    </comment>
    <comment authorId="0" ref="M113">
      <text>
        <t xml:space="preserve">予約まで</t>
      </text>
    </comment>
    <comment authorId="0" ref="N113">
      <text>
        <t xml:space="preserve">配信日時の確認のみ</t>
      </text>
    </comment>
    <comment authorId="0" ref="M115">
      <text>
        <t xml:space="preserve">経験者は求人があるか確認</t>
      </text>
    </comment>
    <comment authorId="0" ref="B116">
      <text>
        <t xml:space="preserve">おまとめ便配信時間につきメルマガ配信不可です。(当日新規会員除く)
</t>
      </text>
    </comment>
    <comment authorId="0" ref="B118">
      <text>
        <t xml:space="preserve">おまとめ便配信時間につきメルマガ配信不可です。(当日新規会員除く)
</t>
      </text>
    </comment>
    <comment authorId="0" ref="N128">
      <text>
        <t xml:space="preserve">文面こちらになります。
https://docs.google.com/spreadsheets/d/17AK9knGldR84IrFgGP0Q4LdxWGkXdyrGS3YtzPF_yuY/edit?gid=431776649#gid=431776649&amp;range=1:1</t>
      </text>
    </comment>
    <comment authorId="0" ref="N131">
      <text>
        <t xml:space="preserve">文面こちらです。
https://docs.google.com/spreadsheets/d/17AK9knGldR84IrFgGP0Q4LdxWGkXdyrGS3YtzPF_yuY/edit?gid=1325706824#gid=1325706824</t>
      </text>
    </comment>
    <comment authorId="0" ref="M137">
      <text>
        <t xml:space="preserve">★自動求人特集メルマガ★
ID：24876 の求人数が700超えてないか、火曜以降に毎週チェックしてから配信設定</t>
      </text>
    </comment>
    <comment authorId="0" ref="M138">
      <text>
        <t xml:space="preserve">★自動求人特集メルマガ★
ID：24356 の求人数が700超えてないか、火曜以降に毎週チェックしてから配信設定</t>
      </text>
    </comment>
    <comment authorId="0" ref="M140">
      <text>
        <t xml:space="preserve">★自動求人特集メルマガ★
ID：24358 の求人数が700超えてないか、火曜以降に毎週チェックしてから配信設定</t>
      </text>
    </comment>
    <comment authorId="0" ref="B143">
      <text>
        <t xml:space="preserve">おまとめ便配信時間につきメルマガ配信不可です。(当日新規会員除く)
</t>
      </text>
    </comment>
    <comment authorId="0" ref="B144">
      <text>
        <t xml:space="preserve">おまとめ便配信時間につきメルマガ配信不可です。(当日新規会員除く)
</t>
      </text>
    </comment>
    <comment authorId="0" ref="B145">
      <text>
        <t xml:space="preserve">おまとめ便配信時間につきメルマガ配信不可です。(当日新規会員除く)
</t>
      </text>
    </comment>
    <comment authorId="0" ref="B147">
      <text>
        <t xml:space="preserve">おまとめ便配信時間につきメルマガ配信不可です。(当日新規会員除く)
</t>
      </text>
    </comment>
    <comment authorId="0" ref="N147">
      <text>
        <t xml:space="preserve">配信日時の確認のみ</t>
      </text>
    </comment>
    <comment authorId="0" ref="M155">
      <text>
        <t xml:space="preserve">必携出求人に求人IDを設定</t>
      </text>
    </comment>
    <comment authorId="0" ref="C156">
      <text>
        <t xml:space="preserve">必掲出求人
?utm_source=adm&amp;utm_medium=email&amp;utm_campaign=uki_adm_224&amp;routeway=85</t>
      </text>
    </comment>
    <comment authorId="0" ref="C157">
      <text>
        <t xml:space="preserve">必掲出求人
?utm_source=adm&amp;utm_medium=email&amp;utm_campaign=uki_adm_225&amp;routeway=85</t>
      </text>
    </comment>
    <comment authorId="0" ref="C158">
      <text>
        <t xml:space="preserve">必掲出求人
?utm_source=adm&amp;utm_medium=email&amp;utm_campaign=uki_adm_226&amp;routeway=85</t>
      </text>
    </comment>
    <comment authorId="0" ref="C159">
      <text>
        <t xml:space="preserve">必掲出求人
?utm_source=adm&amp;utm_medium=email&amp;utm_campaign=uki_adm_227&amp;routeway=85</t>
      </text>
    </comment>
    <comment authorId="0" ref="C160">
      <text>
        <t xml:space="preserve">必掲出求人
?utm_source=adm&amp;utm_medium=email&amp;utm_campaign=uki_adm_228&amp;routeway=85</t>
      </text>
    </comment>
    <comment authorId="0" ref="C161">
      <text>
        <t xml:space="preserve">必掲出求人
?utm_source=adm&amp;utm_medium=email&amp;utm_campaign=uki_adm_229&amp;routeway=85</t>
      </text>
    </comment>
    <comment authorId="0" ref="N162">
      <text>
        <t xml:space="preserve">文面はこちらです
https://docs.google.com/document/d/15LrPWRNSqeZcGVnrja0vIQUy65qnCnci8nhu2xwaB2A/edit?tab=t.0</t>
      </text>
    </comment>
    <comment authorId="0" ref="N163">
      <text>
        <t xml:space="preserve">文面こちらです。
https://docs.google.com/spreadsheets/d/17AK9knGldR84IrFgGP0Q4LdxWGkXdyrGS3YtzPF_yuY/edit?gid=1921654921#gid=1921654921</t>
      </text>
    </comment>
    <comment authorId="0" ref="M177">
      <text>
        <t xml:space="preserve">火曜以降に求人が充分にあるか確認しながら配信</t>
      </text>
    </comment>
    <comment authorId="0" ref="B184">
      <text>
        <t xml:space="preserve">おまとめ便配信時間につきメルマガ配信不可です。(当日新規会員除く)
</t>
      </text>
    </comment>
    <comment authorId="0" ref="B185">
      <text>
        <t xml:space="preserve">おまとめ便配信時間につきメルマガ配信不可です。(当日新規会員除く)
</t>
      </text>
    </comment>
    <comment authorId="0" ref="B186">
      <text>
        <t xml:space="preserve">おまとめ便配信時間につきメルマガ配信不可です。(当日新規会員除く)
</t>
      </text>
    </comment>
    <comment authorId="0" ref="B187">
      <text>
        <t xml:space="preserve">おまとめ便配信時間につきメルマガ配信不可です。(当日新規会員除く)
</t>
      </text>
    </comment>
    <comment authorId="0" ref="N196">
      <text>
        <t xml:space="preserve">文面はこちら
https://docs.google.com/spreadsheets/d/1SLvT5o94TrYKBw2wowGDPfEI1QXg3aRM50QUtQkeAmE/edit?gid=1137747840#gid=1137747840</t>
      </text>
    </comment>
    <comment authorId="0" ref="B198">
      <text>
        <t xml:space="preserve">おまとめ便配信時間につきメルマガ配信不可です。(当日新規会員除く)
</t>
      </text>
    </comment>
    <comment authorId="0" ref="N198">
      <text>
        <t xml:space="preserve">配信日時の確認のみ</t>
      </text>
    </comment>
    <comment authorId="0" ref="M200">
      <text>
        <t xml:space="preserve">★自動求人特集メルマガ★
前日に自動求人特集の求人数を確認して700件以下であれば配信設定する</t>
      </text>
    </comment>
    <comment authorId="0" ref="B203">
      <text>
        <t xml:space="preserve">おまとめ便配信時間につきメルマガ配信不可です。(当日新規会員除く)
</t>
      </text>
    </comment>
    <comment authorId="0" ref="B204">
      <text>
        <t xml:space="preserve">おまとめ便配信時間につきメルマガ配信不可です。(当日新規会員除く)
</t>
      </text>
    </comment>
    <comment authorId="0" ref="M207">
      <text>
        <t xml:space="preserve">文面はこちらです
https://docs.google.com/spreadsheets/d/1LvmaJz-o8SmQ4kDOmimmE8XAFa_h17tWFmTWskaxN8Q/edit?gid=0#gid=0&amp;range=157:157</t>
      </text>
    </comment>
    <comment authorId="0" ref="M210">
      <text>
        <t xml:space="preserve">文面はこちらです
https://docs.google.com/spreadsheets/d/1LvmaJz-o8SmQ4kDOmimmE8XAFa_h17tWFmTWskaxN8Q/edit?gid=0#gid=0&amp;range=158:158</t>
      </text>
    </comment>
    <comment authorId="0" ref="M212">
      <text>
        <t xml:space="preserve">60代は求人を確認し「60代活躍中」であることを確認</t>
      </text>
    </comment>
    <comment authorId="0" ref="M217">
      <text>
        <t xml:space="preserve">※3週目のみ配信でそれ以外の週はグレーにしておく</t>
      </text>
    </comment>
    <comment authorId="0" ref="B230">
      <text>
        <t xml:space="preserve">おまとめ便配信時間につきメルマガ配信不可です。(当日新規会員除く)
</t>
      </text>
    </comment>
    <comment authorId="0" ref="B231">
      <text>
        <t xml:space="preserve">おまとめ便配信時間につきメルマガ配信不可です。(当日新規会員除く)
</t>
      </text>
    </comment>
    <comment authorId="0" ref="B235">
      <text>
        <t xml:space="preserve">おまとめ便配信時間につきメルマガ配信不可です。(当日新規会員除く)
</t>
      </text>
    </comment>
    <comment authorId="0" ref="B236">
      <text>
        <t xml:space="preserve">おまとめ便配信時間につきメルマガ配信不可です。(当日新規会員除く)
</t>
      </text>
    </comment>
    <comment authorId="0" ref="B237">
      <text>
        <t xml:space="preserve">おまとめ便配信時間につきメルマガ配信不可です。(当日新規会員除く)
</t>
      </text>
    </comment>
    <comment authorId="0" ref="N237">
      <text>
        <t xml:space="preserve">配信日時の確認のみ</t>
      </text>
    </comment>
    <comment authorId="0" ref="B243">
      <text>
        <t xml:space="preserve">おまとめ便配信時間につきメルマガ配信不可です。(当日新規会員除く)
</t>
      </text>
    </comment>
    <comment authorId="0" ref="B244">
      <text>
        <t xml:space="preserve">おまとめ便配信時間につきメルマガ配信不可です。(当日新規会員除く)
</t>
      </text>
    </comment>
    <comment authorId="0" ref="B245">
      <text>
        <t xml:space="preserve">おまとめ便配信時間につきメルマガ配信不可です。(当日新規会員除く)
</t>
      </text>
    </comment>
    <comment authorId="0" ref="N267">
      <text>
        <t xml:space="preserve">文面
https://docs.google.com/spreadsheets/d/1SLvT5o94TrYKBw2wowGDPfEI1QXg3aRM50QUtQkeAmE/edit?gid=1137747840#gid=1137747840</t>
      </text>
    </comment>
    <comment authorId="0" ref="B268">
      <text>
        <t xml:space="preserve">おまとめ便配信時間につきメルマガ配信不可です。(当日新規会員除く)
</t>
      </text>
    </comment>
    <comment authorId="0" ref="N268">
      <text>
        <t xml:space="preserve">配信日時の確認のみ</t>
      </text>
    </comment>
    <comment authorId="0" ref="B285">
      <text>
        <t xml:space="preserve">おまとめ便配信時間につきメルマガ配信不可です。(当日新規会員除く)
</t>
      </text>
    </comment>
    <comment authorId="0" ref="N290">
      <text>
        <t xml:space="preserve">文面こちらになります。
https://docs.google.com/spreadsheets/d/17AK9knGldR84IrFgGP0Q4LdxWGkXdyrGS3YtzPF_yuY/edit?gid=431776649#gid=431776649</t>
      </text>
    </comment>
    <comment authorId="0" ref="B299">
      <text>
        <t xml:space="preserve">おまとめ便配信時間につきメルマガ配信不可です。(当日新規会員除く)
</t>
      </text>
    </comment>
    <comment authorId="0" ref="B300">
      <text>
        <t xml:space="preserve">おまとめ便配信時間につきメルマガ配信不可です。(当日新規会員除く)
</t>
      </text>
    </comment>
    <comment authorId="0" ref="N300">
      <text>
        <t xml:space="preserve">配信日時の確認のみ</t>
      </text>
    </comment>
    <comment authorId="0" ref="M304">
      <text>
        <t xml:space="preserve">予約まで</t>
      </text>
    </comment>
    <comment authorId="0" ref="N304">
      <text>
        <t xml:space="preserve">配信日時の確認のみ</t>
      </text>
    </comment>
    <comment authorId="0" ref="M305">
      <text>
        <t xml:space="preserve">必携出求人に求人IDを設定
最終ログイン1600日で設定</t>
      </text>
    </comment>
    <comment authorId="0" ref="N305">
      <text>
        <t xml:space="preserve">引き続きエラーにより配信条件変更しております。
ログイン360日
→3.6万通</t>
      </text>
    </comment>
    <comment authorId="0" ref="M306">
      <text>
        <t xml:space="preserve">予約まで</t>
      </text>
    </comment>
    <comment authorId="0" ref="N306">
      <text>
        <t xml:space="preserve">配信日時の確認のみ</t>
      </text>
    </comment>
    <comment authorId="0" ref="M307">
      <text>
        <t xml:space="preserve">予約まで
</t>
      </text>
    </comment>
    <comment authorId="0" ref="N307">
      <text>
        <t xml:space="preserve">配信日時の確認のみ</t>
      </text>
    </comment>
    <comment authorId="0" ref="B308">
      <text>
        <t xml:space="preserve">おまとめ便配信時間につきメルマガ配信不可です。(当日新規会員除く)
</t>
      </text>
    </comment>
    <comment authorId="0" ref="M321">
      <text>
        <t xml:space="preserve">金曜以降、求人が十分にあるか確認してから予約
</t>
      </text>
    </comment>
    <comment authorId="0" ref="B325">
      <text>
        <t xml:space="preserve">おまとめ便配信時間につきメルマガ配信不可です。(当日新規会員除く)
</t>
      </text>
    </comment>
    <comment authorId="0" ref="B328">
      <text>
        <t xml:space="preserve">おまとめ便配信時間につきメルマガ配信不可です。(当日新規会員除く)
</t>
      </text>
    </comment>
    <comment authorId="0" ref="B337">
      <text>
        <t xml:space="preserve">おまとめ便配信時間につきメルマガ配信不可です。(当日新規会員除く)
</t>
      </text>
    </comment>
    <comment authorId="0" ref="M338">
      <text>
        <t xml:space="preserve">金曜以降、求人が十分にあるか確認してから予約
</t>
      </text>
    </comment>
    <comment authorId="0" ref="N340">
      <text>
        <t xml:space="preserve">文面はこちら
https://docs.google.com/spreadsheets/d/1SLvT5o94TrYKBw2wowGDPfEI1QXg3aRM50QUtQkeAmE/edit?gid=1137747840#gid=1137747840</t>
      </text>
    </comment>
    <comment authorId="0" ref="C342">
      <text>
        <t xml:space="preserve">※事象解消次第、最終レジュメ更新日30日以内(配信数0.5)→最終ログイン日90日以内(配信数2.5)に変更予定</t>
      </text>
    </comment>
    <comment authorId="0" ref="M342">
      <text>
        <t xml:space="preserve">金曜以降、求人が十分にあるか確認してから予約</t>
      </text>
    </comment>
    <comment authorId="0" ref="B344">
      <text>
        <t xml:space="preserve">おまとめ便配信時間につきメルマガ配信不可です。(当日新規会員除く)
</t>
      </text>
    </comment>
    <comment authorId="0" ref="N344">
      <text>
        <t xml:space="preserve">配信日時の確認のみ</t>
      </text>
    </comment>
    <comment authorId="0" ref="M345">
      <text>
        <t xml:space="preserve">求人特集が700件以下か確認
https://woman-type.jp/job-condition/46/3317/f/</t>
      </text>
    </comment>
    <comment authorId="0" ref="B347">
      <text>
        <t xml:space="preserve">おまとめ便配信時間につきメルマガ配信不可です。(当日新規会員除く)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B1セルに基準日（A1/B1を開始した週の月曜）を入力</t>
      </text>
    </comment>
    <comment authorId="0" ref="C1">
      <text>
        <t xml:space="preserve">B1セルに基準日（A1/B1を開始した週の月曜）を入力</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5">
      <text>
        <t xml:space="preserve">おまとめ便配信時間につきメルマガ配信不可です。(当日新規会員除く)
</t>
      </text>
    </comment>
    <comment authorId="0" ref="B6">
      <text>
        <t xml:space="preserve">おまとめ便配信時間につきメルマガ配信不可です。(当日新規会員除く)
</t>
      </text>
    </comment>
    <comment authorId="0" ref="N9">
      <text>
        <t xml:space="preserve">抽出求人以下より上位15求人になります。
https://lookerstudio.google.com/u/0/reporting/276b1a3a-b079-480a-bdb4-9d3d71a49d6e/page/xklOC</t>
      </text>
    </comment>
    <comment authorId="0" ref="N13">
      <text>
        <t xml:space="preserve">新規会員登録日の日付範囲を指定
過去過去　180　日　～　30　日以内
必携出はこちら
https://docs.google.com/spreadsheets/d/16afl0qEXXMcJ6lgej9zZy5hwf6XmDA4PIc5EnOslMPU/edit?gid=92905626#gid=92905626</t>
      </text>
    </comment>
    <comment authorId="0" ref="C15">
      <text>
        <t xml:space="preserve">15時　6.5万通　ID140 z_新規フリー634
https://docs.google.com/spreadsheets/d/1MVNy4hhQlho4Wwg0oiWEVZnaM3mS9LfmJg68ZbNvsKQ/edit#gid=92555075</t>
      </text>
    </comment>
    <comment authorId="0" ref="N17">
      <text>
        <t xml:space="preserve">文面こちらになります
https://docs.google.com/spreadsheets/d/17AK9knGldR84IrFgGP0Q4LdxWGkXdyrGS3YtzPF_yuY/edit?gid=603206883#gid=603206883</t>
      </text>
    </comment>
    <comment authorId="0" ref="M18">
      <text>
        <t xml:space="preserve">時期により文面/条件変更検討</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おまとめ便配信時間につきメルマガ配信不可です。(当日新規会員除く)
</t>
      </text>
    </comment>
    <comment authorId="0" ref="B5">
      <text>
        <t xml:space="preserve">おまとめ便配信時間につきメルマガ配信不可です。(当日新規会員除く)
</t>
      </text>
    </comment>
    <comment authorId="0" ref="B6">
      <text>
        <t xml:space="preserve">おまとめ便配信時間につきメルマガ配信不可です。(当日新規会員除く)
</t>
      </text>
    </comment>
    <comment authorId="0" ref="B7">
      <text>
        <t xml:space="preserve">おまとめ便配信時間につきメルマガ配信不可です。(当日新規会員除く)
</t>
      </text>
    </comment>
    <comment authorId="0" ref="B8">
      <text>
        <t xml:space="preserve">おまとめ便配信時間につきメルマガ配信不可です。(当日新規会員除く)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背景黄色は、8月特別増発分</t>
      </text>
    </comment>
    <comment authorId="0" ref="P9">
      <text>
        <t xml:space="preserve">z_新規フリー828</t>
      </text>
    </comment>
    <comment authorId="0" ref="X19">
      <text>
        <t xml:space="preserve">★自動求人特集メルマガ★
ID：24357 の求人数が700超えてないか、チェックしてから配信設定</t>
      </text>
    </comment>
    <comment authorId="0" ref="X20">
      <text>
        <t xml:space="preserve">★自動求人特集メルマガ★
ID：24358 の求人数が700超えてないか、チェックしてから配信設定</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66">
      <text>
        <t xml:space="preserve">タスク
スケジュールにコメント入れる</t>
      </text>
    </comment>
    <comment authorId="0" ref="C369">
      <text>
        <t xml:space="preserve">2023.10月～担当者変更
原田さん→松浦悠真さん</t>
      </text>
    </comment>
    <comment authorId="0" ref="C395">
      <text>
        <t xml:space="preserve">2023.10月～担当者変更
原田さん→松浦悠真さん</t>
      </text>
    </comment>
    <comment authorId="0" ref="C433">
      <text>
        <t xml:space="preserve">2023.10月～担当者変更
原田さん→松浦悠真さん</t>
      </text>
    </comment>
    <comment authorId="0" ref="C461">
      <text>
        <t xml:space="preserve">2023.10月～担当者変更
原田さん→松浦悠真さん</t>
      </text>
    </comment>
    <comment authorId="0" ref="C462">
      <text>
        <t xml:space="preserve">2023.1月以降
作業担当者が本多さん→小櫻めぐみさんへ変更</t>
      </text>
    </comment>
    <comment authorId="0" ref="C467">
      <text>
        <t xml:space="preserve">2023.1月以降
作業担当者が本多さん→小櫻めぐみさんへ変更</t>
      </text>
    </comment>
    <comment authorId="0" ref="C477">
      <text>
        <t xml:space="preserve">2023.1月以降
作業担当者が本多さん→小櫻めぐみさんへ変更</t>
      </text>
    </comment>
    <comment authorId="0" ref="C486">
      <text>
        <t xml:space="preserve">2023.10月～担当者変更
原田さん→松浦悠真さん</t>
      </text>
    </comment>
    <comment authorId="0" ref="C487">
      <text>
        <t xml:space="preserve">2023.1月以降
作業担当者が本多さん→小櫻めぐみさんへ変更</t>
      </text>
    </comment>
    <comment authorId="0" ref="C490">
      <text>
        <t xml:space="preserve">2023.1月以降
作業担当者が本多さん→小櫻めぐみさんへ変更</t>
      </text>
    </comment>
    <comment authorId="0" ref="C514">
      <text>
        <t xml:space="preserve">2023.10月～担当者変更
原田さん→松浦悠真さん</t>
      </text>
    </comment>
    <comment authorId="0" ref="C529">
      <text>
        <t xml:space="preserve">2023.1月以降
作業担当者が本多さん→小櫻めぐみさんへ変更</t>
      </text>
    </comment>
    <comment authorId="0" ref="C550">
      <text>
        <t xml:space="preserve">2023.10月～担当者変更
原田さん→松浦悠真さん</t>
      </text>
    </comment>
    <comment authorId="0" ref="C586">
      <text>
        <t xml:space="preserve">2023.10月～担当者変更
原田さん→松浦悠真さん
2024.4月～
CC：山田達郎さん→中村真太郎さん</t>
      </text>
    </comment>
    <comment authorId="0" ref="D592">
      <text>
        <t xml:space="preserve">【ウキメルマガ】お盆連休期間中の配信について／掲載終了前+UP・救済メルマガ（UP10）</t>
      </text>
    </comment>
    <comment authorId="0" ref="D593">
      <text>
        <t xml:space="preserve">【ウキメルマガ】お盆連休期間中の配信について／編集部オススメ・TP部メルマガ</t>
      </text>
    </comment>
    <comment authorId="0" ref="D594">
      <text>
        <t xml:space="preserve">【type・ウキメルマガ】お盆連休期間中の配信について／関西・東海</t>
      </text>
    </comment>
    <comment authorId="0" ref="D604">
      <text>
        <t xml:space="preserve">【type・ウキメルマガ】お盆連休期間中の配信について／推進部
</t>
      </text>
    </comment>
    <comment authorId="0" ref="D608">
      <text>
        <t xml:space="preserve">【ウキメルマガ】お盆連休期間中の配信について／Womantype</t>
      </text>
    </comment>
    <comment authorId="0" ref="C611">
      <text>
        <t xml:space="preserve">2023.10月～担当者変更
原田さん→松浦悠真さん
2024.4月～
CC：山田達郎さん→中村真太郎さん</t>
      </text>
    </comment>
    <comment authorId="0" ref="C680">
      <text>
        <t xml:space="preserve">2023.10月～担当者変更
原田さん→松浦悠真さん</t>
      </text>
    </comment>
    <comment authorId="0" ref="D680">
      <text>
        <t xml:space="preserve">お盆期間中の神奈川メルマガについて</t>
      </text>
    </comment>
    <comment authorId="0" ref="D685">
      <text>
        <t xml:space="preserve">【ウキメルマガ】お盆連休期間中の配信について／掲載終了前+UP・救済メルマガ（UP10）</t>
      </text>
    </comment>
    <comment authorId="0" ref="D686">
      <text>
        <t xml:space="preserve">【ウキメルマガ】お盆連休期間中の配信について／編集部オススメ・TP部メルマガ</t>
      </text>
    </comment>
    <comment authorId="0" ref="D688">
      <text>
        <t xml:space="preserve">【type・ウキメルマガ】お盆連休期間中の配信について／関西・東海</t>
      </text>
    </comment>
    <comment authorId="0" ref="D702">
      <text>
        <t xml:space="preserve">【ウキメルマガ】お盆連休期間中の配信について／Womantype</t>
      </text>
    </comment>
    <comment authorId="0" ref="C706">
      <text>
        <t xml:space="preserve">2023.10月～担当者変更
原田さん→松浦悠真さん</t>
      </text>
    </comment>
    <comment authorId="0" ref="D708">
      <text>
        <t xml:space="preserve">【ウキメルマガ】お盆連休期間中の対応について／SP版ウキポリ・SWAT版ウキポリ</t>
      </text>
    </comment>
    <comment authorId="0" ref="C763">
      <text>
        <t xml:space="preserve">2023.10月～担当者変更
原田さん→松浦悠真さん</t>
      </text>
    </comment>
    <comment authorId="0" ref="D763">
      <text>
        <t xml:space="preserve">お盆期間中の神奈川メルマガについて</t>
      </text>
    </comment>
    <comment authorId="0" ref="D768">
      <text>
        <t xml:space="preserve">【ウキメルマガ】お盆連休期間中の配信について／掲載終了前+UP・救済メルマガ（UP10）</t>
      </text>
    </comment>
    <comment authorId="0" ref="D769">
      <text>
        <t xml:space="preserve">【ウキメルマガ】お盆連休期間中の配信について／編集部オススメ・TP部メルマガ</t>
      </text>
    </comment>
    <comment authorId="0" ref="C771">
      <text>
        <t xml:space="preserve">メルマガ業務●type・ウキ／関西・東海メルマガ</t>
      </text>
    </comment>
    <comment authorId="0" ref="D771">
      <text>
        <t xml:space="preserve">【type・ウキメルマガ】お盆連休期間中の配信について／関西・東海</t>
      </text>
    </comment>
    <comment authorId="0" ref="D772">
      <text>
        <t xml:space="preserve">【type・ウキメルマガ】お盆連休期間中の配信について／関西・東海</t>
      </text>
    </comment>
    <comment authorId="0" ref="C782">
      <text>
        <t xml:space="preserve">参考メール
メルマガ入稿●type・ウキ／推進部メルマガ</t>
      </text>
    </comment>
    <comment authorId="0" ref="C796">
      <text>
        <t xml:space="preserve">参考メール
メルマガ業務●type・ウキ／関西・東海メルマガ</t>
      </text>
    </comment>
    <comment authorId="0" ref="C797">
      <text>
        <t xml:space="preserve">参考メール
メルマガ業務●type・ウキ／関西・東海メルマガ</t>
      </text>
    </comment>
    <comment authorId="0" ref="C804">
      <text>
        <t xml:space="preserve">参考メール
メルマガ入稿●type・ウキ／推進部メルマガ</t>
      </text>
    </comment>
    <comment authorId="0" ref="C815">
      <text>
        <t xml:space="preserve">参考メール
メルマガ業務●type・ウキ／関西・東海メルマガ</t>
      </text>
    </comment>
    <comment authorId="0" ref="C816">
      <text>
        <t xml:space="preserve">参考メール
メルマガ業務●type・ウキ／関西・東海メルマガ</t>
      </text>
    </comment>
    <comment authorId="0" ref="D829">
      <text>
        <t xml:space="preserve">【ウキメルマガ】お盆連休期間中の配信について／掲載終了前+UP・救済メルマガ（UP10）</t>
      </text>
    </comment>
    <comment authorId="0" ref="B831">
      <text>
        <t xml:space="preserve">メルマガ入稿●ウキ／IT派遣
配信直前の金曜午前中にメールで入稿される</t>
      </text>
    </comment>
    <comment authorId="0" ref="D832">
      <text>
        <t xml:space="preserve">【ウキメルマガ】お盆連休期間中の配信について／編集部オススメ・TP部メルマガ</t>
      </text>
    </comment>
    <comment authorId="0" ref="D833">
      <text>
        <t xml:space="preserve">【ウキメルマガ】お盆連休期間中の配信について／掲載終了前+UP・救済メルマガ（UP10）</t>
      </text>
    </comment>
    <comment authorId="0" ref="D834">
      <text>
        <t xml:space="preserve">【ウキメルマガ】お盆連休期間中の配信について／編集部オススメ・TP部メルマガ</t>
      </text>
    </comment>
    <comment authorId="0" ref="C835">
      <text>
        <t xml:space="preserve">参考メール
メルマガ業務●type・ウキ／関西・東海メルマガ</t>
      </text>
    </comment>
    <comment authorId="0" ref="C836">
      <text>
        <t xml:space="preserve">参考メール
メルマガ業務●type・ウキ／関西・東海メルマガ</t>
      </text>
    </comment>
    <comment authorId="0" ref="C845">
      <text>
        <t xml:space="preserve">参考メール
メルマガ入稿●type・ウキ／推進部メルマガ</t>
      </text>
    </comment>
    <comment authorId="0" ref="B856">
      <text>
        <t xml:space="preserve">メルマガ入稿●ウキ／IT派遣
配信直前の金曜午前中にメールで入稿される</t>
      </text>
    </comment>
    <comment authorId="0" ref="C860">
      <text>
        <t xml:space="preserve">参考メール
メルマガ業務●type・ウキ／関西・東海メルマガ</t>
      </text>
    </comment>
    <comment authorId="0" ref="C861">
      <text>
        <t xml:space="preserve">参考メール
メルマガ業務●type・ウキ／関西・東海メルマガ</t>
      </text>
    </comment>
    <comment authorId="0" ref="C890">
      <text>
        <t xml:space="preserve">参考メール
メルマガ入稿●type・ウキ／推進部メルマガ</t>
      </text>
    </comment>
    <comment authorId="0" ref="C938">
      <text>
        <t xml:space="preserve">【ウキメルマガ】お盆休業期間中の配信について／掲載終了前+UP・救済メルマガ（UP10）</t>
      </text>
    </comment>
    <comment authorId="0" ref="D938">
      <text>
        <t xml:space="preserve">【ウキメルマガ】お盆連休期間中の配信について／掲載終了前+UP・救済メルマガ（UP10）</t>
      </text>
    </comment>
    <comment authorId="0" ref="B940">
      <text>
        <t xml:space="preserve">メルマガ入稿●ウキ／IT派遣
配信直前の金曜午前中にメールで入稿される</t>
      </text>
    </comment>
    <comment authorId="0" ref="D941">
      <text>
        <t xml:space="preserve">【ウキメルマガ】お盆連休期間中の配信について／編集部オススメ・TP部メルマガ</t>
      </text>
    </comment>
    <comment authorId="0" ref="D942">
      <text>
        <t xml:space="preserve">【ウキメルマガ】お盆連休期間中の配信について／掲載終了前+UP・救済メルマガ（UP10）</t>
      </text>
    </comment>
    <comment authorId="0" ref="D943">
      <text>
        <t xml:space="preserve">【ウキメルマガ】お盆連休期間中の配信について／編集部オススメ・TP部メルマガ</t>
      </text>
    </comment>
    <comment authorId="0" ref="C944">
      <text>
        <t xml:space="preserve">参考メール
メルマガ業務●type・ウキ／関西・東海メルマガ</t>
      </text>
    </comment>
    <comment authorId="0" ref="C945">
      <text>
        <t xml:space="preserve">参考メール
メルマガ業務●type・ウキ／関西・東海メルマガ</t>
      </text>
    </comment>
    <comment authorId="0" ref="C954">
      <text>
        <t xml:space="preserve">参考メール
メルマガ入稿●type・ウキ／推進部メルマガ</t>
      </text>
    </comment>
    <comment authorId="0" ref="B966">
      <text>
        <t xml:space="preserve">メルマガ入稿●ウキ／IT派遣
配信直前の金曜午前中にメールで入稿される</t>
      </text>
    </comment>
    <comment authorId="0" ref="C970">
      <text>
        <t xml:space="preserve">参考メール
メルマガ業務●type・ウキ／関西・東海メルマガ</t>
      </text>
    </comment>
    <comment authorId="0" ref="C971">
      <text>
        <t xml:space="preserve">参考メール
メルマガ業務●type・ウキ／関西・東海メルマガ</t>
      </text>
    </comment>
    <comment authorId="0" ref="C996">
      <text>
        <t xml:space="preserve">参考メール
メルマガ入稿●type・ウキ／推進部メルマガ</t>
      </text>
    </comment>
    <comment authorId="0" ref="C1025">
      <text>
        <t xml:space="preserve">2023.10月～担当者変更
原田さん→松浦悠真さん</t>
      </text>
    </comment>
    <comment authorId="0" ref="D1031">
      <text>
        <t xml:space="preserve">【ウキメルマガ】お盆連休期間中の配信について／編集部オススメ・TP部メルマガ</t>
      </text>
    </comment>
    <comment authorId="0" ref="C1032">
      <text>
        <t xml:space="preserve">参考メール
メルマガ業務●type・ウキ／関西・東海メルマガ</t>
      </text>
    </comment>
    <comment authorId="0" ref="C1033">
      <text>
        <t xml:space="preserve">参考メール
メルマガ業務●type・ウキ／関西・東海メルマガ</t>
      </text>
    </comment>
    <comment authorId="0" ref="C1040">
      <text>
        <t xml:space="preserve">参考メール
メルマガ入稿●type・ウキ／推進部メルマガ</t>
      </text>
    </comment>
    <comment authorId="0" ref="C1050">
      <text>
        <t xml:space="preserve">【ウキメルマガ】お盆休業期間中の配信について／掲載終了前+UP・救済メルマガ（UP10）</t>
      </text>
    </comment>
    <comment authorId="0" ref="D1050">
      <text>
        <t xml:space="preserve">【ウキメルマガ】お盆連休期間中の配信について／掲載終了前+UP・救済メルマガ（UP10）</t>
      </text>
    </comment>
    <comment authorId="0" ref="B1052">
      <text>
        <t xml:space="preserve">メルマガ入稿●ウキ／IT派遣
配信直前の金曜午前中にメールで入稿される</t>
      </text>
    </comment>
    <comment authorId="0" ref="D1053">
      <text>
        <t xml:space="preserve">【ウキメルマガ】お盆連休期間中の配信について／編集部オススメ・TP部メルマガ</t>
      </text>
    </comment>
    <comment authorId="0" ref="D1054">
      <text>
        <t xml:space="preserve">【ウキメルマガ】お盆連休期間中の配信について／掲載終了前+UP・救済メルマガ（UP10）</t>
      </text>
    </comment>
    <comment authorId="0" ref="C1056">
      <text>
        <t xml:space="preserve">参考メール
メルマガ業務●type・ウキ／関西・東海メルマガ</t>
      </text>
    </comment>
    <comment authorId="0" ref="C1057">
      <text>
        <t xml:space="preserve">参考メール
メルマガ業務●type・ウキ／関西・東海メルマガ</t>
      </text>
    </comment>
    <comment authorId="0" ref="C1066">
      <text>
        <t xml:space="preserve">参考メール
メルマガ入稿●type・ウキ／推進部メルマガ</t>
      </text>
    </comment>
    <comment authorId="0" ref="B1078">
      <text>
        <t xml:space="preserve">メルマガ入稿●ウキ／IT派遣
配信直前の金曜午前中にメールで入稿される</t>
      </text>
    </comment>
    <comment authorId="0" ref="C1082">
      <text>
        <t xml:space="preserve">参考メール
メルマガ業務●type・ウキ／関西・東海メルマガ</t>
      </text>
    </comment>
    <comment authorId="0" ref="C1083">
      <text>
        <t xml:space="preserve">参考メール
メルマガ業務●type・ウキ／関西・東海メルマガ</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3">
      <text>
        <t xml:space="preserve">3回配信合計</t>
      </text>
    </comment>
  </commentList>
</comments>
</file>

<file path=xl/sharedStrings.xml><?xml version="1.0" encoding="utf-8"?>
<sst xmlns="http://schemas.openxmlformats.org/spreadsheetml/2006/main" count="8470" uniqueCount="1964">
  <si>
    <t>メルマガ内容</t>
  </si>
  <si>
    <t>通数</t>
  </si>
  <si>
    <t>計</t>
  </si>
  <si>
    <t>設定者</t>
  </si>
  <si>
    <t>確認者</t>
  </si>
  <si>
    <t>毎週</t>
  </si>
  <si>
    <t>新規</t>
  </si>
  <si>
    <t>特殊</t>
  </si>
  <si>
    <t>26/4/14_編集版のルール</t>
  </si>
  <si>
    <t>ルール内容</t>
  </si>
  <si>
    <t>書式（色）</t>
  </si>
  <si>
    <t>人間</t>
  </si>
  <si>
    <t>Gemini</t>
  </si>
  <si>
    <t>**設定・確認完了**</t>
  </si>
  <si>
    <t>赤</t>
  </si>
  <si>
    <t>確定版の設定・確認ごと手動で各自塗りつぶす</t>
  </si>
  <si>
    <t>**設定中（未確認）**</t>
  </si>
  <si>
    <t>なし</t>
  </si>
  <si>
    <t>**配信停止・未着手**</t>
  </si>
  <si>
    <t>グレー</t>
  </si>
  <si>
    <t>設定者RPAのR</t>
  </si>
  <si>
    <t>水色</t>
  </si>
  <si>
    <t>確定後</t>
  </si>
  <si>
    <t>26/4/14(日付)_編集版を操作し、確定後は_確定版を新規作成する</t>
  </si>
  <si>
    <t>編集版</t>
  </si>
  <si>
    <t>リストとかマスタの条件書式を、編集版に相続したい。たとえば、C17が隔週Aなので緑に塗りつぶされてるのでそれを反映。そして配信停止の時はグレーになる</t>
  </si>
  <si>
    <t>リストシートの種別</t>
  </si>
  <si>
    <t>緑</t>
  </si>
  <si>
    <t>ピンクと週替わりに配信</t>
  </si>
  <si>
    <t>ピンク</t>
  </si>
  <si>
    <t>緑と週替わりに配信</t>
  </si>
  <si>
    <t>特殊配信マスタのぴじしょん</t>
  </si>
  <si>
    <t>チェック観点</t>
  </si>
  <si>
    <t>１</t>
  </si>
  <si>
    <t>日付と色のチェック</t>
  </si>
  <si>
    <t>火曜日からスタートしているか</t>
  </si>
  <si>
    <t>隔週が緑⇒桃⇒緑⇒と毎週変わっているか</t>
  </si>
  <si>
    <t>２</t>
  </si>
  <si>
    <t>ポジションマッチ</t>
  </si>
  <si>
    <t>A3・B3の時「◇ポジションマッチ 関西」がオープンする</t>
  </si>
  <si>
    <t>A1⇒A2⇒A3→A1→A2・・と毎週回る。Bも同様。どちらも3の時関西も配信する週になる</t>
  </si>
  <si>
    <t>３</t>
  </si>
  <si>
    <t>☆IT派遣［全］</t>
  </si>
  <si>
    <t>└(第2・第4日曜)x月はx日・x日</t>
  </si>
  <si>
    <t>月初作成時に記載しておく</t>
  </si>
  <si>
    <t>４</t>
  </si>
  <si>
    <t>毎月は配信</t>
  </si>
  <si>
    <t>月末1週間前は普段は閉じているグループをオープン</t>
  </si>
  <si>
    <t>配信しない曜日はグレーアウトしておく</t>
  </si>
  <si>
    <t>月末増発シートと内容があっているか確認</t>
  </si>
  <si>
    <t>５</t>
  </si>
  <si>
    <t>検</t>
  </si>
  <si>
    <t>イレギュラー</t>
  </si>
  <si>
    <t>水色に塗る</t>
  </si>
  <si>
    <t>６</t>
  </si>
  <si>
    <t>PR挿入</t>
  </si>
  <si>
    <t>└PR128掲載中(5/8迄)</t>
  </si>
  <si>
    <t>└PR128削除(5/8迄)</t>
  </si>
  <si>
    <t>└PR128削除(5/8迄)、PR129追加(6/5迄)</t>
  </si>
  <si>
    <t>起票・終了したらレ点忘れず</t>
  </si>
  <si>
    <t>７</t>
  </si>
  <si>
    <t>月初1日に要対応　20時の「当日新規会員」の荒木さんの名前の部分に以下コメント追加</t>
  </si>
  <si>
    <t>「月初のため文面変更をお願い致します！」</t>
  </si>
  <si>
    <t>→このメルマガは毎月リード文を変更しております。そのため毎月1日に文面変更の依頼を荒木さんにコメントでしております。</t>
  </si>
  <si>
    <t>参考：11/30のシートの12/1の該当箇所のコメントをご確認ください。</t>
  </si>
  <si>
    <t>当日新規会員</t>
  </si>
  <si>
    <t>８</t>
  </si>
  <si>
    <t>前週のRPA化コメントの確認</t>
  </si>
  <si>
    <t>９</t>
  </si>
  <si>
    <t>求人特集（35歳以上）</t>
  </si>
  <si>
    <t>└求人特集配信日のみオープン</t>
  </si>
  <si>
    <t>\\cdc-fs00.cdc.local\career\00_全社共有\01_企画課\求人特集一覧</t>
  </si>
  <si>
    <t>求人特集の「30代・40代歓迎!ベテラン歓迎の求人特集」がある場合は、掲載される次の日（水か土）に16万通配信</t>
  </si>
  <si>
    <t>増枠シート・スプレッドシートに「求人特集（35歳以上）」と記載　※この特集のみ特別対応</t>
  </si>
  <si>
    <t>※参考例：4/19週の4/23(土)18時　求人特集（35歳以上） 16万通</t>
  </si>
  <si>
    <t>https://drive.google.com/drive/folders/1Ibi9NN07LPd4LIesF0xdlLIGX-yX8lRB</t>
  </si>
  <si>
    <t>５．</t>
  </si>
  <si>
    <t>長期休暇・・・休暇前後も含め休日の対応をチェック</t>
  </si>
  <si>
    <t>マスタ</t>
  </si>
  <si>
    <t>リスト</t>
  </si>
  <si>
    <t>毎週固定配信</t>
  </si>
  <si>
    <t>特殊配信マスタ</t>
  </si>
  <si>
    <t>ポジションマッチなどのサイクル配信</t>
  </si>
  <si>
    <t>検証中やイレギュラー配信</t>
  </si>
  <si>
    <t>メルマガスケジュール作成メーカー：仕様書 (Rule.md)</t>
  </si>
  <si>
    <t>1. 全体コンセプト</t>
  </si>
  <si>
    <t>スプレッドシート上の「マスタ（リスト・特殊配信）」に基づき、指定された期間（通常1週間：火〜月）の配信スケジュールを自動生成する。</t>
  </si>
  <si>
    <t>BOSS-Sへの入稿作業および、チーム内での進捗管理（色塗り）を効率化することを目的とする。</t>
  </si>
  <si>
    <t>2. スケジュール生成ロジック</t>
  </si>
  <si>
    <t>2.1 基本配信（「リスト」シート参照）</t>
  </si>
  <si>
    <t>毎週配信: 指定した曜日に該当するものをすべて抽出。</t>
  </si>
  <si>
    <t>隔週配信（A/B）: * 実行時に「今週がA週かB週か」を判定（またはユーザーが指定）。</t>
  </si>
  <si>
    <t>隔週Aの週は「隔週A」のみ、Bの週は「隔週B」のみを抽出。</t>
  </si>
  <si>
    <t>セル色：マスタに基づき「緑」または「ピンク」を適用。</t>
  </si>
  <si>
    <t>2.2 特殊配信（「特殊配信マスタ」シート参照）</t>
  </si>
  <si>
    <t>ポジションマッチ (A1〜A3 / B1〜B3):</t>
  </si>
  <si>
    <t>3週間で1サイクル（1→2→3）のローテーション。</t>
  </si>
  <si>
    <t>先週の値を参照し、次回の番号を自動セット。</t>
  </si>
  <si>
    <t>関西枠の開放: サイクルが「3」の時のみ、関西用の配信枠を追加する。</t>
  </si>
  <si>
    <t>第X日曜限定配信:</t>
  </si>
  <si>
    <t>例：第2・第4日曜のみ配信される「IT派遣」など、日付から自動判定して挿入。</t>
  </si>
  <si>
    <t>2.3 特殊ルール（「PR管理」「長期休暇」参照）</t>
  </si>
  <si>
    <t>PR差込: PR管理シートで「終了」になっていないIDを、指定されたメルマガ枠に自動結合。</t>
  </si>
  <si>
    <t>長期休暇モード: * 休暇用フラグがONの場合、「長期休暇対応」シートの配信有無・連絡事項を優先。</t>
  </si>
  <si>
    <t>通常の生成ロジックをスキップ、または配信停止（グレーアウト）処理を行う。</t>
  </si>
  <si>
    <t>3. シート構成・UI仕様</t>
  </si>
  <si>
    <t>3.1 生成されるシート（編集版）</t>
  </si>
  <si>
    <t>シート名: yy/m/d_編集版（例：26/4/21_編集版）</t>
  </si>
  <si>
    <t>レイアウト: カレンダー形式。1日を1ブロックとし、横に「火・水・木...」と並べる。</t>
  </si>
  <si>
    <t>項目: メルマガ内容、通数、計、設定者、確認者。</t>
  </si>
  <si>
    <t>3.2 ステータス管理（色塗りルール）</t>
  </si>
  <si>
    <t>自動着色（生成時）:</t>
  </si>
  <si>
    <t>設定者が「R」の場合：セルを 水色（RPA枠）にする。</t>
  </si>
  <si>
    <t>配信停止フラグがTRUEの場合：セルを グレー にする。</t>
  </si>
  <si>
    <t>手動更新トリガー（条件付き書式）:</t>
  </si>
  <si>
    <t>「設定者」と「確認者」の両方のセルに名前が入力された場合：該当行または名前セルを 赤色 に変更する。</t>
  </si>
  <si>
    <t>4. GAS実装機能（メソッド定義案）</t>
  </si>
  <si>
    <t>関数名</t>
  </si>
  <si>
    <t>役割</t>
  </si>
  <si>
    <t>onOpen()</t>
  </si>
  <si>
    <t>スプシ上部に「スケジュール作成メニュー」を表示。</t>
  </si>
  <si>
    <t>getCurrentCycle()</t>
  </si>
  <si>
    <t>前回のシート名から、現在の隔週(A/B)とポジションマッチ(1-3)を特定。</t>
  </si>
  <si>
    <t>generateSheet()</t>
  </si>
  <si>
    <t>メインロジック。日付計算、マスタ抽出、セル結合、書式設定を実行。</t>
  </si>
  <si>
    <t>applyPR()</t>
  </si>
  <si>
    <t>PR管理シートと照合し、文言やIDを自動挿入。</t>
  </si>
  <si>
    <t>createFinalVersion()</t>
  </si>
  <si>
    <t>編集版から「確定版」を別シートとして書き出し。</t>
  </si>
  <si>
    <t>5. 運用フロー（イメージ）</t>
  </si>
  <si>
    <t>操作パネル で「次週の開始日（火）」を入力。</t>
  </si>
  <si>
    <t>作成ボタン を押すと、GASがマスタを走査。</t>
  </si>
  <si>
    <t>自動生成 された新しいシートに、今週必要な枠がすべて並ぶ。</t>
  </si>
  <si>
    <t>担当者 が作業完了後、名前を入力 → 自動で赤色に！</t>
  </si>
  <si>
    <t>広報 閲覧専用の「カレンダー」シートへ自動同期。</t>
  </si>
  <si>
    <t>曜日</t>
  </si>
  <si>
    <t>時間</t>
  </si>
  <si>
    <t>種別</t>
  </si>
  <si>
    <t>PR</t>
  </si>
  <si>
    <t>形式</t>
  </si>
  <si>
    <t>対象年齢</t>
  </si>
  <si>
    <t>対象現住所</t>
  </si>
  <si>
    <t>求人の職種</t>
  </si>
  <si>
    <t>備考</t>
  </si>
  <si>
    <t>配信停止</t>
  </si>
  <si>
    <t>火</t>
  </si>
  <si>
    <t>ECサイト運用_未経験</t>
  </si>
  <si>
    <t>隔週A</t>
  </si>
  <si>
    <t>抽出</t>
  </si>
  <si>
    <t>福</t>
  </si>
  <si>
    <t>部</t>
  </si>
  <si>
    <t>ランキング×WEBマーケティング</t>
  </si>
  <si>
    <t>石</t>
  </si>
  <si>
    <t>引っ越し特典</t>
  </si>
  <si>
    <t>水</t>
  </si>
  <si>
    <t>過去会員×フルリモート×未経験歓迎</t>
  </si>
  <si>
    <t>木</t>
  </si>
  <si>
    <t>TP部_働きやすい企業特集</t>
  </si>
  <si>
    <t>武</t>
  </si>
  <si>
    <t>埼玉_路線</t>
  </si>
  <si>
    <t>内</t>
  </si>
  <si>
    <t>神奈川_路線</t>
  </si>
  <si>
    <t>千葉_路線</t>
  </si>
  <si>
    <t>大阪_路線</t>
  </si>
  <si>
    <t>東京_路線_事務</t>
  </si>
  <si>
    <t>金</t>
  </si>
  <si>
    <t>２回目転職×称号</t>
  </si>
  <si>
    <t>TP部_リモート×未経験OKの求人特集</t>
  </si>
  <si>
    <t>外部人気求人ランキング</t>
  </si>
  <si>
    <t>土</t>
  </si>
  <si>
    <t>フレックス_ランキング</t>
  </si>
  <si>
    <t>京都市で働く</t>
  </si>
  <si>
    <t>熊本市で働く</t>
  </si>
  <si>
    <t>広島市で働く</t>
  </si>
  <si>
    <t>高層ビルで働く_首都圏</t>
  </si>
  <si>
    <t>高層ビルで働く_大阪</t>
  </si>
  <si>
    <t>美容業界×未経験歓迎</t>
  </si>
  <si>
    <t>日</t>
  </si>
  <si>
    <t>コスメ業界_希望</t>
  </si>
  <si>
    <t>関西_フルリモート_求人特集</t>
  </si>
  <si>
    <t>フリー</t>
  </si>
  <si>
    <t>月</t>
  </si>
  <si>
    <t>超好条件_営業</t>
  </si>
  <si>
    <t>未経験OK_専門性の高い事務</t>
  </si>
  <si>
    <t>☆エンジニア_経験_35歳以上_首都圏版</t>
  </si>
  <si>
    <t>隔週B</t>
  </si>
  <si>
    <t>PR166掲出中(終了日未定)</t>
  </si>
  <si>
    <t>☆エンジニア_未経験_35歳以上_首都圏版</t>
  </si>
  <si>
    <t>PR165掲出中(終了日未定)</t>
  </si>
  <si>
    <t>相模原市で働く</t>
  </si>
  <si>
    <t>☆営業_経験_35歳以上_首都圏版</t>
  </si>
  <si>
    <t>荒</t>
  </si>
  <si>
    <t>☆営業_未経験_35歳以上_首都圏版</t>
  </si>
  <si>
    <t>駅直結_営業販サコンサル</t>
  </si>
  <si>
    <t>外資系企業</t>
  </si>
  <si>
    <t>再募集メルマガ</t>
  </si>
  <si>
    <t>事務‗新宿駅×駅チカ</t>
  </si>
  <si>
    <t>人気検索KW_営業系希望</t>
  </si>
  <si>
    <t>英語_リモートOK_月25万以上_未経験OK</t>
  </si>
  <si>
    <t>首都圏‗営業×リモート×フレックス</t>
  </si>
  <si>
    <t>首都圏‗事務×リモート×フレックス</t>
  </si>
  <si>
    <t>人気検索KW_クリエイティブ系希望</t>
  </si>
  <si>
    <t>TP部_リモートOK×女性管理職在籍の求人特集</t>
  </si>
  <si>
    <t>高収入_未経験OK</t>
  </si>
  <si>
    <t>全員面接</t>
  </si>
  <si>
    <t>海外旅行し放題メルマガ</t>
  </si>
  <si>
    <t>関西_アドバイザー・カウンセラー_未経験</t>
  </si>
  <si>
    <t>宅地建物取引士資格あり</t>
  </si>
  <si>
    <t>40代正社員×新着求人特集</t>
  </si>
  <si>
    <t>時短×月給30万円以上_関西</t>
  </si>
  <si>
    <t>上場_エンジニア経験</t>
  </si>
  <si>
    <t>人気検索KW_事務系希望_関西</t>
  </si>
  <si>
    <t>販サ経験者_ハイブランド</t>
  </si>
  <si>
    <t>埼玉_路線_B</t>
  </si>
  <si>
    <t>四国で働く</t>
  </si>
  <si>
    <t>神奈川_路線_B</t>
  </si>
  <si>
    <t>千葉_路線_B</t>
  </si>
  <si>
    <t>大阪で働く</t>
  </si>
  <si>
    <t>東京_路線_事務_B</t>
  </si>
  <si>
    <t>東北で働く</t>
  </si>
  <si>
    <t>北陸で働く</t>
  </si>
  <si>
    <t>◇応募ランキング A</t>
  </si>
  <si>
    <t>毎週配信</t>
  </si>
  <si>
    <t>平</t>
  </si>
  <si>
    <t>★新着総合_首都圏 A</t>
  </si>
  <si>
    <t>PR202掲出中(4/27迄)</t>
  </si>
  <si>
    <t>★新着総合_西日本 A</t>
  </si>
  <si>
    <t>★新着総合_東海 A</t>
  </si>
  <si>
    <t>★新着総合_北海道・東北 A</t>
  </si>
  <si>
    <t>★新着総合_北関東・甲信越・北陸 A</t>
  </si>
  <si>
    <t>☆エンジニア_経験_首都圏版</t>
  </si>
  <si>
    <t>☆エンジニア_未経験_首都圏版</t>
  </si>
  <si>
    <t>35歳以上向け A</t>
  </si>
  <si>
    <t>R</t>
  </si>
  <si>
    <t>35歳以上向け_関西 A</t>
  </si>
  <si>
    <t>40代ラスト転職</t>
  </si>
  <si>
    <t>TP部_営業_現住所</t>
  </si>
  <si>
    <t>WEB面接・コロナ対策</t>
  </si>
  <si>
    <t>フルリモート_全国_エンジニア</t>
  </si>
  <si>
    <t>PR167掲出中(終了日未定)</t>
  </si>
  <si>
    <t>フルリモート_全国_営業</t>
  </si>
  <si>
    <t>フルリモート_全国_事務</t>
  </si>
  <si>
    <t>ランキング_クリエイティブ（Web）_希望</t>
  </si>
  <si>
    <t>ランキング_営業（マーケ）_希望</t>
  </si>
  <si>
    <t>ランキング_事務（一般事務）_希望</t>
  </si>
  <si>
    <t>ランキング_事務（貿易事務）_希望</t>
  </si>
  <si>
    <t>育児両立_フレックス</t>
  </si>
  <si>
    <t>応募から1日_好条件営業ランキング</t>
  </si>
  <si>
    <t>応募から1日_好条件事務ランキング</t>
  </si>
  <si>
    <t>応募から3日会員</t>
  </si>
  <si>
    <t>快適な在宅ワーク</t>
  </si>
  <si>
    <t>関西_自己PR不要_リモート未経験_事務</t>
  </si>
  <si>
    <t>好条件×業務委託</t>
  </si>
  <si>
    <t>好条件×契約社員</t>
  </si>
  <si>
    <t>事務_販サ経験者向け_東京</t>
  </si>
  <si>
    <t>事務（経理）_希望</t>
  </si>
  <si>
    <t>推し活_残業なし_休日120日以上_月給30万以上</t>
  </si>
  <si>
    <t>仙台_リモートOK_未経験</t>
  </si>
  <si>
    <t>大阪_リモートOK_未経験</t>
  </si>
  <si>
    <t>単独求人訴求メルマガ_B</t>
  </si>
  <si>
    <t>福岡_リモートOK_未経験</t>
  </si>
  <si>
    <t>福祉事務</t>
  </si>
  <si>
    <t>福祉事務_35歳以上</t>
  </si>
  <si>
    <t>未経験_研修・資格_事務系_関西</t>
  </si>
  <si>
    <t>未経験_研修・資格_事務系_首都圏</t>
  </si>
  <si>
    <t>未経験向け急募求人_クリエイティブ</t>
  </si>
  <si>
    <t>未経験向け急募求人_営業</t>
  </si>
  <si>
    <t>未経験向け急募求人_事務</t>
  </si>
  <si>
    <t>面接1回</t>
  </si>
  <si>
    <t>面接1回_35歳以上</t>
  </si>
  <si>
    <t>◇ウキにしか掲載していない求人</t>
  </si>
  <si>
    <t>◇掲載終了前+UP A</t>
  </si>
  <si>
    <t>◇掲載終了前+UP_35歳以上 A</t>
  </si>
  <si>
    <t>◇掲載終了前+UP_関西 A</t>
  </si>
  <si>
    <t>★求人特集(35歳未満) A</t>
  </si>
  <si>
    <t>☆営業_経験_首都圏版</t>
  </si>
  <si>
    <t>☆営業_未経験_首都圏版</t>
  </si>
  <si>
    <t>☆推進課</t>
  </si>
  <si>
    <t>☆推進課_35歳以上</t>
  </si>
  <si>
    <t>☆推進課_関西</t>
  </si>
  <si>
    <t>40代未経験_正社員</t>
  </si>
  <si>
    <t>50代事務</t>
  </si>
  <si>
    <t>これから人気</t>
  </si>
  <si>
    <t>フルリモート×正社員</t>
  </si>
  <si>
    <t>ユニークな福利厚生制度_B</t>
  </si>
  <si>
    <t>ランキング_エンジニア（IT系）_希望</t>
  </si>
  <si>
    <t>ランキング_クリエイティブ（その他）_希望</t>
  </si>
  <si>
    <t>ランキング_営業（その他）_希望</t>
  </si>
  <si>
    <t>ランキング_事務（営業事務）_希望</t>
  </si>
  <si>
    <t>営業（コールセンター）_希望</t>
  </si>
  <si>
    <t>駅直結_事務</t>
  </si>
  <si>
    <t>関西単独求人メルマガ_A</t>
  </si>
  <si>
    <t>休日120日_就業中_関西</t>
  </si>
  <si>
    <t>休日120日_未就業</t>
  </si>
  <si>
    <t>掲載終了間近_人気求人ランキング</t>
  </si>
  <si>
    <t>裁量労働制</t>
  </si>
  <si>
    <t>子育て支援</t>
  </si>
  <si>
    <t>事務（金融関連）_希望</t>
  </si>
  <si>
    <t>事務（総務・人事）_希望</t>
  </si>
  <si>
    <t>時短×リモート</t>
  </si>
  <si>
    <t>自己PR不要_リモート未経験_エンジニア</t>
  </si>
  <si>
    <t>自己PR不要_リモート未経験_営業</t>
  </si>
  <si>
    <t>自己PR不要_リモート未経験_事務</t>
  </si>
  <si>
    <t>自己PR不要_残業無_未経験_販サ</t>
  </si>
  <si>
    <t>趣味・興味メルマガ_A</t>
  </si>
  <si>
    <t>渋谷・恵比寿勤務_事務</t>
  </si>
  <si>
    <t>大手上場_35歳以上 A</t>
  </si>
  <si>
    <t>大手上場_関西 A</t>
  </si>
  <si>
    <t>大手上場_第二新卒 A</t>
  </si>
  <si>
    <t>転職回数不問</t>
  </si>
  <si>
    <t>年収UP_営業</t>
  </si>
  <si>
    <t>年収UP_関西</t>
  </si>
  <si>
    <t>年収UP_事務</t>
  </si>
  <si>
    <t>年収UP_販サ</t>
  </si>
  <si>
    <t>副業OK×リモート_ランキング</t>
  </si>
  <si>
    <t>未経験_研修・資格_エンジニア系_首都圏</t>
  </si>
  <si>
    <t>六本木勤務</t>
  </si>
  <si>
    <t>☆TP部_事務_現住所</t>
  </si>
  <si>
    <t>☆販サ_経験_35歳以上_首都圏版</t>
  </si>
  <si>
    <t>☆販サ_経験_35歳以上_全国版</t>
  </si>
  <si>
    <t>☆販サ_経験_首都圏版</t>
  </si>
  <si>
    <t>☆販サ_経験_全国版</t>
  </si>
  <si>
    <t>☆販サ_未経験_35歳以上_首都圏版</t>
  </si>
  <si>
    <t>☆販サ_未経験_首都圏版</t>
  </si>
  <si>
    <t>40代事務ランキング</t>
  </si>
  <si>
    <t>エンジニア限定_単独求人メルマガ</t>
  </si>
  <si>
    <t>クリエイティブ（Web）_希望</t>
  </si>
  <si>
    <t>コロナ禍_事務_首都圏</t>
  </si>
  <si>
    <t>フルリモートランキング</t>
  </si>
  <si>
    <t>ランキング_営業（BtoB）_希望</t>
  </si>
  <si>
    <t>ランキング_事務（秘書）_希望</t>
  </si>
  <si>
    <t>リモートワーク A_35歳以上</t>
  </si>
  <si>
    <t>営業（マーケ）_希望</t>
  </si>
  <si>
    <t>応募ランキング B</t>
  </si>
  <si>
    <t>応募ランキングB_全国</t>
  </si>
  <si>
    <t>学歴不問×大手上場企業</t>
  </si>
  <si>
    <t>関西‗リモート×フレックス</t>
  </si>
  <si>
    <t>関西限定求人特集</t>
  </si>
  <si>
    <t xml:space="preserve">丸の内・大手町・有楽町_残業少_事務 </t>
  </si>
  <si>
    <t>経験活かせる_営業</t>
  </si>
  <si>
    <t>経験活かせる_事務</t>
  </si>
  <si>
    <t>資格活かせる_簿記</t>
  </si>
  <si>
    <t>事務（その他）_希望</t>
  </si>
  <si>
    <t>事務職 A</t>
  </si>
  <si>
    <t>事務職_35歳以上 A_ランキング</t>
  </si>
  <si>
    <t>事務職_関西 A</t>
  </si>
  <si>
    <t>首都圏_フルリモート_求人特集</t>
  </si>
  <si>
    <t>新規会員向け_自己PR不要_求人特集</t>
  </si>
  <si>
    <t>新着_クリエイティブ</t>
  </si>
  <si>
    <t>新着_企画営業</t>
  </si>
  <si>
    <t>新着_経理</t>
  </si>
  <si>
    <t>新着_事務</t>
  </si>
  <si>
    <t>新着_人事</t>
  </si>
  <si>
    <t>新働きやすさ_A</t>
  </si>
  <si>
    <t>新働きやすさ_A_関西</t>
  </si>
  <si>
    <t>単独求人訴求メルマガ_C</t>
  </si>
  <si>
    <t>東海_リモート</t>
  </si>
  <si>
    <t>年休130日以上_残業10時間以下</t>
  </si>
  <si>
    <t>年収500万以上_未経験歓迎</t>
  </si>
  <si>
    <t>髪色・服装自由_事務</t>
  </si>
  <si>
    <t>副業OK</t>
  </si>
  <si>
    <t>未経験_研修・資格_クリエイティブ系_埼玉神奈川千葉</t>
  </si>
  <si>
    <t>未経験_研修・資格_クリエイティブ系_東京</t>
  </si>
  <si>
    <t>未経験エンジニア希望向け_首都圏</t>
  </si>
  <si>
    <t>★新着総合_首都圏 B</t>
  </si>
  <si>
    <t>★新着総合_西日本 B</t>
  </si>
  <si>
    <t>★新着総合_東海 B</t>
  </si>
  <si>
    <t>★新着総合_北海道・東北 B</t>
  </si>
  <si>
    <t>★新着総合_北関東・甲信越・北陸 B</t>
  </si>
  <si>
    <t>☆Womantype[全]</t>
  </si>
  <si>
    <t>40~60代活躍中</t>
  </si>
  <si>
    <t>ウルトラ好条件</t>
  </si>
  <si>
    <t>クリエイティブ（その他）_希望</t>
  </si>
  <si>
    <t>データ入力×リモートOK</t>
  </si>
  <si>
    <t>フルリモート_全国</t>
  </si>
  <si>
    <t>フルリモート×好条件</t>
  </si>
  <si>
    <t>ランキング_事務（経理）_希望</t>
  </si>
  <si>
    <t>リモート手当あり</t>
  </si>
  <si>
    <t>営業（その他）_希望</t>
  </si>
  <si>
    <t>希望業種_人材サービス</t>
  </si>
  <si>
    <t>既婚者</t>
  </si>
  <si>
    <t>経験_アパレル・コスメ</t>
  </si>
  <si>
    <t>経験_一般事務</t>
  </si>
  <si>
    <t>経験_営業</t>
  </si>
  <si>
    <t>今週の人気求人ランキング</t>
  </si>
  <si>
    <t>残業したくない</t>
  </si>
  <si>
    <t>残業したくない_関西</t>
  </si>
  <si>
    <t>子育手当</t>
  </si>
  <si>
    <t>事務（医療事務）_希望</t>
  </si>
  <si>
    <t>事務（広報）_希望</t>
  </si>
  <si>
    <t>住宅手当あり_首都圏</t>
  </si>
  <si>
    <t>住宅手当あり_首都圏_35歳以上</t>
  </si>
  <si>
    <t>梅田で働く</t>
  </si>
  <si>
    <t>未婚者</t>
  </si>
  <si>
    <t>★求人特集(35歳未満） B</t>
  </si>
  <si>
    <t>☆横浜</t>
  </si>
  <si>
    <t>☆救済メルマガ(UP10)</t>
  </si>
  <si>
    <t>35歳以上向け B</t>
  </si>
  <si>
    <t>35歳以上向け_関西 B</t>
  </si>
  <si>
    <t>35歳未満_PV多い求人</t>
  </si>
  <si>
    <t>NPS取得アンケート</t>
  </si>
  <si>
    <t>フルリモート×未経験歓迎</t>
  </si>
  <si>
    <t>ランキング_営業（キャリアカウンセラー）_希望</t>
  </si>
  <si>
    <t>ランキング_事務（総務・人事）_希望</t>
  </si>
  <si>
    <t>横浜駅で働く</t>
  </si>
  <si>
    <t>関西限定事務求人特集</t>
  </si>
  <si>
    <t>月給30万以上_ランキング</t>
  </si>
  <si>
    <t>検討中ランキング_クリエイティブ</t>
  </si>
  <si>
    <t>検討中ランキング_事務</t>
  </si>
  <si>
    <t>検討中ランキング_販サ</t>
  </si>
  <si>
    <t>札幌駅で働く</t>
  </si>
  <si>
    <t>事務（一般事務）_希望</t>
  </si>
  <si>
    <t>事務（貿易事務）_希望</t>
  </si>
  <si>
    <t>趣味・興味メルマガ_B</t>
  </si>
  <si>
    <t>賞与3ヶ月以上×リモート_ランキング</t>
  </si>
  <si>
    <t>新大阪駅・本町駅で働く</t>
  </si>
  <si>
    <t>仙台駅で働く</t>
  </si>
  <si>
    <t>大宮浦和で働く</t>
  </si>
  <si>
    <t>単独求人訴求メルマガ_A</t>
  </si>
  <si>
    <t>博多区で働く</t>
  </si>
  <si>
    <t>販サ（フロント）_希望</t>
  </si>
  <si>
    <t>★ウキポリ[全]</t>
  </si>
  <si>
    <t>☆TP部メルマガ</t>
  </si>
  <si>
    <t>☆TP部メルマガ_未就業</t>
  </si>
  <si>
    <t>40代再就職</t>
  </si>
  <si>
    <t>40代再就職_関西</t>
  </si>
  <si>
    <t>これから人気×エンジニア</t>
  </si>
  <si>
    <t>これから人気×リモート</t>
  </si>
  <si>
    <t>これから人気×リモート×営業</t>
  </si>
  <si>
    <t>これから人気×販サ</t>
  </si>
  <si>
    <t>プライベート重視_35歳以上</t>
  </si>
  <si>
    <t>フルリモート_35歳以上</t>
  </si>
  <si>
    <t>ランキング_販サ（フロント）_希望</t>
  </si>
  <si>
    <t>リモート_ランキング</t>
  </si>
  <si>
    <t>異業種提案_事務</t>
  </si>
  <si>
    <t>応募ランキング C</t>
  </si>
  <si>
    <t>関西単独求人メルマガ_B</t>
  </si>
  <si>
    <t>月曜日はリモート×フレックスで働く</t>
  </si>
  <si>
    <t>語学を活かせる</t>
  </si>
  <si>
    <t>事務・営業職経験者向け</t>
  </si>
  <si>
    <t>事務（営業事務）_希望</t>
  </si>
  <si>
    <t>上場_営業経験</t>
  </si>
  <si>
    <t>上場_事務経験</t>
  </si>
  <si>
    <t>上場_販サ経験</t>
  </si>
  <si>
    <t>人気検索KW_事務系希望</t>
  </si>
  <si>
    <t>正社員_関西</t>
  </si>
  <si>
    <t>名駅・栄駅で働く</t>
  </si>
  <si>
    <t>◇掲載終了前+UP_35歳以上 B</t>
  </si>
  <si>
    <t>◇掲載終了前+UP_関西 B</t>
  </si>
  <si>
    <t>★納品対策</t>
  </si>
  <si>
    <t>☆TP部_事務_希望地</t>
  </si>
  <si>
    <t>☆関西</t>
  </si>
  <si>
    <t>☆東海</t>
  </si>
  <si>
    <t>36歳以上正社員求人</t>
  </si>
  <si>
    <t>webデザイナー×未経験歓迎_希望</t>
  </si>
  <si>
    <t>クリエイティブ総合ランキング</t>
  </si>
  <si>
    <t>フルフレックス</t>
  </si>
  <si>
    <t>ランキング_事務（医療事務）_希望</t>
  </si>
  <si>
    <t>ランキング_事務（広報）_希望</t>
  </si>
  <si>
    <t>リモートワーク B</t>
  </si>
  <si>
    <t>営業_カタカナ職業</t>
  </si>
  <si>
    <t>営業（キャリアカウンセラー）_希望</t>
  </si>
  <si>
    <t>関西_未経験リモート_事務</t>
  </si>
  <si>
    <t>関西‗超好条件_事務</t>
  </si>
  <si>
    <t>希望勤務地_埼玉</t>
  </si>
  <si>
    <t>希望勤務地_千葉</t>
  </si>
  <si>
    <t>希望勤務地_東京</t>
  </si>
  <si>
    <t>広報・マーケティング_リモート_未経験</t>
  </si>
  <si>
    <t>高収入_リモート_営業</t>
  </si>
  <si>
    <t>高収入_リモート_事務</t>
  </si>
  <si>
    <t>国認定企業</t>
  </si>
  <si>
    <t>事務_経験_35歳以上_首都圏版</t>
  </si>
  <si>
    <t>事務_未経験_35歳以上_首都圏版</t>
  </si>
  <si>
    <t>事務_未経験_休眠会員_首都圏版</t>
  </si>
  <si>
    <t>事務職 B</t>
  </si>
  <si>
    <t>事務職_35歳以上 B</t>
  </si>
  <si>
    <t>事務職_関西 B</t>
  </si>
  <si>
    <t>自己PR不要_35歳以上</t>
  </si>
  <si>
    <t>自己PR不要_フルリモート</t>
  </si>
  <si>
    <t>新規会員向け_フルリモート×未経験歓迎</t>
  </si>
  <si>
    <t>全国_超好条件_事務</t>
  </si>
  <si>
    <t>大手・上場企業×事務</t>
  </si>
  <si>
    <t>中国地方で働く</t>
  </si>
  <si>
    <t>超好条件_エンジニア</t>
  </si>
  <si>
    <t>PR167掲載中(終了日未定)</t>
  </si>
  <si>
    <t>直近新規登録会員向け</t>
  </si>
  <si>
    <t>年収600万円以上</t>
  </si>
  <si>
    <t>美容業界×事務_希望</t>
  </si>
  <si>
    <t>不動産×事務</t>
  </si>
  <si>
    <t>◇掲載終了前+UP B</t>
  </si>
  <si>
    <t>メルマガ内容(メイン)</t>
  </si>
  <si>
    <t>メルマガ内容(2)</t>
  </si>
  <si>
    <t xml:space="preserve"> 関西(3のみ),</t>
  </si>
  <si>
    <t>サイクル</t>
  </si>
  <si>
    <t>特殊配信(1)</t>
  </si>
  <si>
    <t>◇ポジションマッチ A1</t>
  </si>
  <si>
    <t>特殊配信(2)</t>
  </si>
  <si>
    <t>◇ポジションマッチ A2</t>
  </si>
  <si>
    <t>特殊配信(3)</t>
  </si>
  <si>
    <r>
      <rPr>
        <rFont val="Arial"/>
        <color rgb="FF1155CC"/>
        <sz val="8.0"/>
        <u/>
      </rPr>
      <t>◇ポジションマッチ A</t>
    </r>
    <r>
      <rPr>
        <rFont val="Arial"/>
        <color rgb="FF1F1F1F"/>
        <sz val="8.0"/>
      </rPr>
      <t>3</t>
    </r>
  </si>
  <si>
    <r>
      <rPr>
        <rFont val="Arial"/>
        <color rgb="FF1155CC"/>
        <sz val="8.0"/>
        <u/>
      </rPr>
      <t>◇ポジションマッチ B</t>
    </r>
    <r>
      <rPr>
        <rFont val="Arial"/>
        <color rgb="FF1F1F1F"/>
        <sz val="8.0"/>
      </rPr>
      <t>1</t>
    </r>
  </si>
  <si>
    <t>◇ポジションマッチ B2</t>
  </si>
  <si>
    <r>
      <rPr>
        <rFont val="Arial"/>
        <color rgb="FF1155CC"/>
        <sz val="8.0"/>
        <u/>
      </rPr>
      <t>◇ポジションマッチ B</t>
    </r>
    <r>
      <rPr>
        <rFont val="Arial"/>
        <color rgb="FF1F1F1F"/>
        <sz val="8.0"/>
      </rPr>
      <t>3</t>
    </r>
  </si>
  <si>
    <t>日付</t>
  </si>
  <si>
    <t>5月入社可能</t>
  </si>
  <si>
    <t>＜配信条件＞※2万通 
年齢：35歳～60歳以上
最終ログイン日：40</t>
  </si>
  <si>
    <t>フルリモート×フレックス_エンジニア</t>
  </si>
  <si>
    <t>有給取得率</t>
  </si>
  <si>
    <t>保育士_幼稚園教諭</t>
  </si>
  <si>
    <t xml:space="preserve">カスタマーサクセス_リモート </t>
  </si>
  <si>
    <t>毎月配信</t>
  </si>
  <si>
    <t>スカウトリマインド</t>
  </si>
  <si>
    <t>アプリ人気</t>
  </si>
  <si>
    <t>時短×リモート_関西</t>
  </si>
  <si>
    <t>週休3日OK_ランキング</t>
  </si>
  <si>
    <t>全国募集</t>
  </si>
  <si>
    <t>フルリモートランキング_新規30日以降</t>
  </si>
  <si>
    <t>フルリモートランキング_新規8日から29日</t>
  </si>
  <si>
    <t>レコメンドリマインド</t>
  </si>
  <si>
    <t>自己PR不要×面接1回</t>
  </si>
  <si>
    <t>人気単独求人_おまとめメルマガ</t>
  </si>
  <si>
    <t>内定まで最短</t>
  </si>
  <si>
    <t>ミライさんリマインド</t>
  </si>
  <si>
    <t>首都圏_アドバイザー・カウンセラー_未経験</t>
  </si>
  <si>
    <t>お祝い金あり</t>
  </si>
  <si>
    <t>増発_フレキシブル事務</t>
  </si>
  <si>
    <t>10時以降出社</t>
  </si>
  <si>
    <t>ふるさと納税メルマガ</t>
  </si>
  <si>
    <t>美容クリニックで働く</t>
  </si>
  <si>
    <t>スプシ</t>
  </si>
  <si>
    <t>●</t>
  </si>
  <si>
    <t>JAD特集</t>
  </si>
  <si>
    <t>4/18(土) ～4/25(土)　4回
期間：4月18日～4月25日
通数：2万通
配信日：
配信対象：最終ログイン日から7日以内（19517人が該当）
抽出ID：20929
1社あたりの上限職種数：全て　
抽出上限社数：150社</t>
  </si>
  <si>
    <t>AP</t>
  </si>
  <si>
    <t>エンジニアフェア</t>
  </si>
  <si>
    <t>3/10(火)～4/7(火)
　現住所：関東  
　新規会員の指定：最新レジュメ更新日からの経過日数を指定
　経過日数を指定：※上限の8.5万通以下になるよう設定お願いいたします。
　※文面にも記載いたします。</t>
  </si>
  <si>
    <t>type課</t>
  </si>
  <si>
    <t>閲覧履歴ペース（BB）　配信</t>
  </si>
  <si>
    <t>応募フォーム離脱直後（C）　配信</t>
  </si>
  <si>
    <t>購入履歴ペース（PO）　配信</t>
  </si>
  <si>
    <t>NO</t>
  </si>
  <si>
    <t>シナリオ名</t>
  </si>
  <si>
    <t>誰に</t>
  </si>
  <si>
    <t>なぜ
（ユーザー心理）</t>
  </si>
  <si>
    <t>何を
（アクション）</t>
  </si>
  <si>
    <t>いつ</t>
  </si>
  <si>
    <t>対象者抽出条件</t>
  </si>
  <si>
    <t>メール内に差し込むデータ</t>
  </si>
  <si>
    <t>連携先</t>
  </si>
  <si>
    <t>希望条件記入促進</t>
  </si>
  <si>
    <r>
      <rPr>
        <rFont val="メイリオ, monospace"/>
        <color rgb="FF000000"/>
        <sz val="9.0"/>
      </rPr>
      <t xml:space="preserve">希望条件(職種・勤務地・業種)が未登録のユーザー
</t>
    </r>
    <r>
      <rPr>
        <rFont val="メイリオ, monospace"/>
        <color rgb="FFFF9900"/>
        <sz val="9.0"/>
      </rPr>
      <t>→何も登録していない値がNULLのユーザー(8/25)</t>
    </r>
  </si>
  <si>
    <t>・希望条件の記入が必要なことに気づいていない
 ・登録時に面倒だったのでまだ記入していない</t>
  </si>
  <si>
    <t>・希望条件を登録すると希望にあった求人が受け取れたり、メリットがあることを訴求
 ・閲覧履歴ベースのレコメンド求人</t>
  </si>
  <si>
    <t>登録後1日経過時点
16時
※10/27スタート</t>
  </si>
  <si>
    <t>・メルマガフラグON
 ・前日に新規登録した
 ・応募実績なし</t>
  </si>
  <si>
    <r>
      <rPr>
        <rFont val="メイリオ, monospace"/>
        <color rgb="FFFF9900"/>
        <sz val="9.0"/>
      </rPr>
      <t>・</t>
    </r>
    <r>
      <rPr>
        <rFont val="メイリオ, monospace"/>
        <color rgb="FFFF9900"/>
        <sz val="9.0"/>
        <u/>
      </rPr>
      <t>希望を登録する</t>
    </r>
    <r>
      <rPr>
        <rFont val="メイリオ, monospace"/>
        <color rgb="FFFF9900"/>
        <sz val="9.0"/>
      </rPr>
      <t>のアクションボタン
(/mypage/suitable/)
・女の転職typeのオススメ機能
スカウト一覧(/scout/)
あなたに関心のある企業一覧(/company-interest/)
条件マッチオファー一覧(/scout/)
検討中フォルダ(/review/)</t>
    </r>
    <r>
      <rPr>
        <rFont val="メイリオ, monospace"/>
        <color rgb="FF000000"/>
        <sz val="9.0"/>
      </rPr>
      <t xml:space="preserve">
 ・閲覧履歴ベースのレコメンド求人10件
</t>
    </r>
    <r>
      <rPr>
        <rFont val="メイリオ, monospace"/>
        <color rgb="FFFF0000"/>
        <sz val="9.0"/>
      </rPr>
      <t>BB相関</t>
    </r>
  </si>
  <si>
    <t>女の転職DB
シルバーエッグ</t>
  </si>
  <si>
    <t>登録後フォロー</t>
  </si>
  <si>
    <r>
      <rPr>
        <rFont val="メイリオ, monospace"/>
        <color rgb="FFFF9900"/>
        <sz val="9.0"/>
      </rPr>
      <t>2日前</t>
    </r>
    <r>
      <rPr>
        <rFont val="メイリオ, monospace"/>
        <color rgb="FF000000"/>
        <sz val="9.0"/>
      </rPr>
      <t>に会員登録したユーザー</t>
    </r>
  </si>
  <si>
    <t>登録したけど、ウキをどうやって使えばいいかわからない</t>
  </si>
  <si>
    <t>ウキの特徴やメリット・ノウハウ記事</t>
  </si>
  <si>
    <r>
      <rPr>
        <rFont val="メイリオ, monospace"/>
        <color rgb="FF000000"/>
        <sz val="9.0"/>
      </rPr>
      <t>登録後</t>
    </r>
    <r>
      <rPr>
        <rFont val="メイリオ, monospace"/>
        <color rgb="FFFF0000"/>
        <sz val="9.0"/>
      </rPr>
      <t>2日</t>
    </r>
    <r>
      <rPr>
        <rFont val="メイリオ, monospace"/>
        <color rgb="FF000000"/>
        <sz val="9.0"/>
      </rPr>
      <t>経過時点
8時
※10/27スタート</t>
    </r>
  </si>
  <si>
    <t>・女の転職typeの3つの特徴
・活用術(KW検索・あなたの希望に合う求人・志向に合う求人ランキング)
・WT記事 失敗しない転職の流れ</t>
  </si>
  <si>
    <t>女の転職DB</t>
  </si>
  <si>
    <t>初応募後フォロー</t>
  </si>
  <si>
    <t>前日に初応募したユーザー</t>
  </si>
  <si>
    <t>・応募したけど応募完了メールしか届いていないし、もっと応募しようと思えない
・応募したけどこの後どうしたらいいかよくわからない</t>
  </si>
  <si>
    <t>応募した求人と、面接対策・今後の選考に関するノウハウ記事</t>
  </si>
  <si>
    <t>初回応募完了した次の日
12時
※10/27スタート</t>
  </si>
  <si>
    <r>
      <rPr>
        <rFont val="メイリオ, monospace"/>
        <color rgb="FF000000"/>
        <sz val="9.0"/>
      </rPr>
      <t>・メルマガフラグON
・前日に初回応募
・登録が直近</t>
    </r>
    <r>
      <rPr>
        <rFont val="メイリオ, monospace"/>
        <color rgb="FFFF9900"/>
        <sz val="9.0"/>
      </rPr>
      <t>150日</t>
    </r>
    <r>
      <rPr>
        <rFont val="メイリオ, monospace"/>
        <color rgb="FF000000"/>
        <sz val="9.0"/>
      </rPr>
      <t>以内</t>
    </r>
  </si>
  <si>
    <r>
      <rPr>
        <rFont val="メイリオ, monospace"/>
        <color rgb="FF000000"/>
        <sz val="9.0"/>
      </rPr>
      <t>・ウキで初回応募した求人情報</t>
    </r>
    <r>
      <rPr>
        <rFont val="メイリオ, monospace"/>
        <color rgb="FFFF9900"/>
        <sz val="9.0"/>
      </rPr>
      <t>1件</t>
    </r>
    <r>
      <rPr>
        <rFont val="メイリオ, monospace"/>
        <color rgb="FF000000"/>
        <sz val="9.0"/>
      </rPr>
      <t>（</t>
    </r>
    <r>
      <rPr>
        <rFont val="メイリオ, monospace"/>
        <strike/>
        <color rgb="FF000000"/>
        <sz val="9.0"/>
      </rPr>
      <t>社名・</t>
    </r>
    <r>
      <rPr>
        <rFont val="メイリオ, monospace"/>
        <color rgb="FF000000"/>
        <sz val="9.0"/>
      </rPr>
      <t>職種・</t>
    </r>
    <r>
      <rPr>
        <rFont val="メイリオ, monospace"/>
        <strike/>
        <color rgb="FF000000"/>
        <sz val="9.0"/>
      </rPr>
      <t>TOP画像・給与・勤務地</t>
    </r>
    <r>
      <rPr>
        <rFont val="メイリオ, monospace"/>
        <color rgb="FF000000"/>
        <sz val="9.0"/>
      </rPr>
      <t>・</t>
    </r>
    <r>
      <rPr>
        <rFont val="メイリオ, monospace"/>
        <color rgb="FFFF9900"/>
        <sz val="9.0"/>
      </rPr>
      <t>面接対策ページへの導線</t>
    </r>
    <r>
      <rPr>
        <rFont val="メイリオ, monospace"/>
        <color rgb="FF000000"/>
        <sz val="9.0"/>
      </rPr>
      <t xml:space="preserve">）
</t>
    </r>
    <r>
      <rPr>
        <rFont val="メイリオ, monospace"/>
        <color rgb="FFFF9900"/>
        <sz val="9.0"/>
      </rPr>
      <t xml:space="preserve">※文字リンクでリード内に掲出
</t>
    </r>
    <r>
      <rPr>
        <rFont val="メイリオ, monospace"/>
        <color rgb="FF000000"/>
        <sz val="9.0"/>
      </rPr>
      <t>・ノウハウ記事
・WT記事</t>
    </r>
  </si>
  <si>
    <t>検討中リマインド</t>
  </si>
  <si>
    <t>検討中に求人を保存したユーザー</t>
  </si>
  <si>
    <t>検討中にとりあえず求人を保存しただけで、検討中に保存したことを忘れて放置している</t>
  </si>
  <si>
    <t>検討中に保存した求人と、保存している求人に相関のある求人特集とノウハウコンテンツ</t>
  </si>
  <si>
    <r>
      <rPr>
        <rFont val="メイリオ, monospace"/>
        <color rgb="FFFF9900"/>
        <sz val="9.0"/>
      </rPr>
      <t xml:space="preserve">3日に1回
</t>
    </r>
    <r>
      <rPr>
        <rFont val="メイリオ, monospace"/>
        <color rgb="FF000000"/>
        <sz val="9.0"/>
      </rPr>
      <t>18時
※10/29スタート</t>
    </r>
  </si>
  <si>
    <r>
      <rPr>
        <rFont val="メイリオ, monospace"/>
        <color rgb="FF000000"/>
        <sz val="9.0"/>
      </rPr>
      <t>・メルマガフラグON
・</t>
    </r>
    <r>
      <rPr>
        <rFont val="メイリオ, monospace"/>
        <color rgb="FFFF9900"/>
        <sz val="9.0"/>
      </rPr>
      <t>3日以内</t>
    </r>
    <r>
      <rPr>
        <rFont val="メイリオ, monospace"/>
        <color rgb="FF000000"/>
        <sz val="9.0"/>
      </rPr>
      <t xml:space="preserve">に新規求人を保存(CR_DT)
</t>
    </r>
    <r>
      <rPr>
        <rFont val="メイリオ, monospace"/>
        <strike/>
        <color rgb="FF000000"/>
        <sz val="9.0"/>
      </rPr>
      <t xml:space="preserve">・保存した求人に未応募
</t>
    </r>
    <r>
      <rPr>
        <rFont val="メイリオ, monospace"/>
        <color rgb="FFFF0000"/>
        <sz val="9.0"/>
      </rPr>
      <t>→スクリプトで制御。未応募の求人が無い場合は何も出さない(0923木村)</t>
    </r>
  </si>
  <si>
    <r>
      <rPr>
        <rFont val="メイリオ, monospace"/>
        <color rgb="FF000000"/>
        <sz val="9.0"/>
      </rPr>
      <t>・</t>
    </r>
    <r>
      <rPr>
        <rFont val="メイリオ, monospace"/>
        <color rgb="FFFF9900"/>
        <sz val="9.0"/>
      </rPr>
      <t>3日以内</t>
    </r>
    <r>
      <rPr>
        <rFont val="メイリオ, monospace"/>
        <color rgb="FF000000"/>
        <sz val="9.0"/>
      </rPr>
      <t>に検討中に保存した新規求人情報(社名・職種・</t>
    </r>
    <r>
      <rPr>
        <rFont val="メイリオ, monospace"/>
        <color rgb="FFFF9900"/>
        <sz val="9.0"/>
      </rPr>
      <t>対象勤務地・</t>
    </r>
    <r>
      <rPr>
        <rFont val="メイリオ, monospace"/>
        <color rgb="FFFF0000"/>
        <sz val="9.0"/>
      </rPr>
      <t>給与</t>
    </r>
    <r>
      <rPr>
        <rFont val="メイリオ, monospace"/>
        <color rgb="FFFF9900"/>
        <sz val="9.0"/>
      </rPr>
      <t>・TOP画像</t>
    </r>
    <r>
      <rPr>
        <rFont val="メイリオ, monospace"/>
        <color rgb="FF000000"/>
        <sz val="9.0"/>
      </rPr>
      <t>)最大</t>
    </r>
    <r>
      <rPr>
        <rFont val="メイリオ, monospace"/>
        <color rgb="FFFF0000"/>
        <sz val="9.0"/>
      </rPr>
      <t xml:space="preserve">7件
</t>
    </r>
    <r>
      <rPr>
        <rFont val="メイリオ, monospace"/>
        <color rgb="FF000000"/>
        <sz val="9.0"/>
      </rPr>
      <t xml:space="preserve">※テキストは最大10件
・検討中リストへの導線
・求人特集ピックアップ
</t>
    </r>
    <r>
      <rPr>
        <rFont val="メイリオ, monospace"/>
        <color rgb="FFFF9900"/>
        <sz val="9.0"/>
      </rPr>
      <t xml:space="preserve">・アカデミア記事
</t>
    </r>
    <r>
      <rPr>
        <rFont val="メイリオ, monospace"/>
        <color rgb="FFFF0000"/>
        <sz val="9.0"/>
      </rPr>
      <t>・SETレコメンド（BB相関）10件
→検討中をキーにしないので、出せる求人数の制限なし（木村10/12）</t>
    </r>
  </si>
  <si>
    <r>
      <rPr>
        <rFont val="メイリオ, monospace"/>
        <color rgb="FF000000"/>
        <sz val="9.0"/>
      </rPr>
      <t>購入履歴ベース</t>
    </r>
    <r>
      <rPr>
        <rFont val="メイリオ, monospace"/>
        <color rgb="FFD5D0D0"/>
        <sz val="9.0"/>
      </rPr>
      <t>_希望勤務地</t>
    </r>
  </si>
  <si>
    <t>求人に応募したユーザー</t>
  </si>
  <si>
    <t>自分が応募した求人と条件が似ている求人をもっと見たい</t>
  </si>
  <si>
    <t>応募した求人と相関のある求人</t>
  </si>
  <si>
    <r>
      <rPr>
        <rFont val="メイリオ, monospace"/>
        <color rgb="FFFF9900"/>
        <sz val="9.0"/>
      </rPr>
      <t xml:space="preserve">毎日
</t>
    </r>
    <r>
      <rPr>
        <rFont val="メイリオ, monospace"/>
        <color rgb="FF000000"/>
        <sz val="9.0"/>
      </rPr>
      <t>20時
※10/26スタート</t>
    </r>
  </si>
  <si>
    <t>・メルマガフラグON
・直近150日以内に応募あり
・直近30日以内にウキへの訪問あり</t>
  </si>
  <si>
    <r>
      <rPr>
        <rFont val="メイリオ, monospace"/>
        <color rgb="FF000000"/>
        <sz val="9.0"/>
      </rPr>
      <t xml:space="preserve">・購入履歴ベースのレコメンド求人
20件
・求人特集ピックアップ3件
※一度応募した求人は除外
</t>
    </r>
    <r>
      <rPr>
        <rFont val="メイリオ, monospace"/>
        <color rgb="FFFF0000"/>
        <sz val="9.0"/>
      </rPr>
      <t>PO相関
→出せる求人数の制限なし（木村10/12）</t>
    </r>
  </si>
  <si>
    <r>
      <rPr>
        <rFont val="メイリオ, monospace"/>
        <color rgb="FF000000"/>
        <sz val="9.0"/>
      </rPr>
      <t>閲覧履歴ベース</t>
    </r>
    <r>
      <rPr>
        <rFont val="メイリオ, monospace"/>
        <color rgb="FFD5D0D0"/>
        <sz val="9.0"/>
      </rPr>
      <t>_希望勤務地</t>
    </r>
  </si>
  <si>
    <t>求人を閲覧したユーザー</t>
  </si>
  <si>
    <t>自分が気になっている求人と似ている求人を見たい</t>
  </si>
  <si>
    <t>閲覧した求人に相関性のある求人</t>
  </si>
  <si>
    <t>毎日
19時
※10/26スタート</t>
  </si>
  <si>
    <t>・メルマガフラグON
・直近30日以内に求人詳細のPV1以上</t>
  </si>
  <si>
    <r>
      <rPr>
        <rFont val="メイリオ, monospace"/>
        <color rgb="FF000000"/>
        <sz val="9.0"/>
      </rPr>
      <t>・</t>
    </r>
    <r>
      <rPr>
        <rFont val="メイリオ, monospace"/>
        <strike/>
        <color rgb="FF000000"/>
        <sz val="9.0"/>
      </rPr>
      <t>希望勤務地に勤務地が合う、</t>
    </r>
    <r>
      <rPr>
        <rFont val="メイリオ, monospace"/>
        <color rgb="FF000000"/>
        <sz val="9.0"/>
      </rPr>
      <t xml:space="preserve">閲覧履歴ベースのレコメンド求人20件
・求人特集ピックアップ3件
※一度応募した求人は除外
</t>
    </r>
    <r>
      <rPr>
        <rFont val="メイリオ, monospace"/>
        <color rgb="FFFF0000"/>
        <sz val="9.0"/>
      </rPr>
      <t>BB相関
→出せる求人数の制限なし（木村10/12）</t>
    </r>
  </si>
  <si>
    <t>応募F離脱直後</t>
  </si>
  <si>
    <t>応募Fを閲覧後、応募せずに離脱したユーザー</t>
  </si>
  <si>
    <t>・記載することが多くて面倒なので後回しにした
・ほかの求人と迷ってるので一旦保留にした
・自分の資格や職務経歴を忘れてしまったので確認してから応募したい</t>
  </si>
  <si>
    <t>応募Fを離脱して応募しなかった求人</t>
  </si>
  <si>
    <r>
      <rPr>
        <rFont val="Arial"/>
        <color rgb="FFFF9900"/>
        <sz val="9.0"/>
      </rPr>
      <t xml:space="preserve">毎日
18時
</t>
    </r>
    <r>
      <rPr>
        <rFont val="Arial"/>
        <color rgb="FF000000"/>
        <sz val="9.0"/>
      </rPr>
      <t>※10/26スタート</t>
    </r>
  </si>
  <si>
    <t>・メルマガフラグON
・応募F離脱後N時間以内
・応募F離脱した求人に応募していない</t>
  </si>
  <si>
    <r>
      <rPr>
        <sz val="9.0"/>
      </rPr>
      <t xml:space="preserve">・応募Fを離脱して、応募もされていない求人上限20件
・閲覧履歴ベースのレコメンド求人20件
</t>
    </r>
    <r>
      <rPr>
        <color rgb="FFFF0000"/>
        <sz val="9.0"/>
      </rPr>
      <t>F離脱した求人をキーにしたBB相関
→出せる求人数の制限なし（木村10/12）</t>
    </r>
  </si>
  <si>
    <t>掲載終了求人リマインド</t>
  </si>
  <si>
    <t>検討中に求人を保存したが、該当求人に応募していないユーザー</t>
  </si>
  <si>
    <t>・その求人に興味を持ったので一旦保存したけど、応募に躊躇している
・比較検討しようと思って保存したけど、保存しただけで満足した
・保存したのを忘れてた</t>
  </si>
  <si>
    <t>検討中に保存したけど応募しておらず、掲載終了間近の求人</t>
  </si>
  <si>
    <t>3日に1回
15時
※10/27スタート</t>
  </si>
  <si>
    <r>
      <rPr>
        <rFont val="メイリオ, monospace"/>
        <color rgb="FF000000"/>
        <sz val="9.0"/>
      </rPr>
      <t xml:space="preserve">・メルマガフラグON
</t>
    </r>
    <r>
      <rPr>
        <rFont val="メイリオ, monospace"/>
        <strike/>
        <color rgb="FF000000"/>
        <sz val="9.0"/>
      </rPr>
      <t xml:space="preserve">・保存した求人に未応募
</t>
    </r>
    <r>
      <rPr>
        <rFont val="メイリオ, monospace"/>
        <color rgb="FF000000"/>
        <sz val="9.0"/>
      </rPr>
      <t>・検討中に保存している求人があと3日で掲載終了するものを持っているユーザ</t>
    </r>
  </si>
  <si>
    <r>
      <rPr>
        <rFont val="メイリオ, monospace"/>
        <color rgb="FF000000"/>
        <sz val="9.0"/>
      </rPr>
      <t>・検討中に保存しており</t>
    </r>
    <r>
      <rPr>
        <rFont val="メイリオ, monospace"/>
        <color rgb="FFFF0000"/>
        <sz val="9.0"/>
      </rPr>
      <t>3日以内</t>
    </r>
    <r>
      <rPr>
        <rFont val="メイリオ, monospace"/>
        <color rgb="FF000000"/>
        <sz val="9.0"/>
      </rPr>
      <t>に掲載終了する求人情報(社名・職種・</t>
    </r>
    <r>
      <rPr>
        <rFont val="メイリオ, monospace"/>
        <color rgb="FFFF9900"/>
        <sz val="9.0"/>
      </rPr>
      <t>掲載終了予定日</t>
    </r>
    <r>
      <rPr>
        <rFont val="メイリオ, monospace"/>
        <color rgb="FF000000"/>
        <sz val="9.0"/>
      </rPr>
      <t>)</t>
    </r>
    <r>
      <rPr>
        <rFont val="メイリオ, monospace"/>
        <color rgb="FFFF0000"/>
        <sz val="9.0"/>
      </rPr>
      <t xml:space="preserve">5件
</t>
    </r>
    <r>
      <rPr>
        <rFont val="メイリオ, monospace"/>
        <color rgb="FF000000"/>
        <sz val="9.0"/>
      </rPr>
      <t xml:space="preserve">※テキストは最大10件
・検討中リストへの導線
</t>
    </r>
    <r>
      <rPr>
        <rFont val="メイリオ, monospace"/>
        <color rgb="FFFF0000"/>
        <sz val="9.0"/>
      </rPr>
      <t>BB相関
→出せる求人数の制限なし（木村10/12）</t>
    </r>
  </si>
  <si>
    <r>
      <rPr>
        <rFont val="メイリオ, monospace"/>
        <color rgb="FF000000"/>
        <sz val="9.0"/>
      </rPr>
      <t xml:space="preserve">女の転職DB
</t>
    </r>
    <r>
      <rPr>
        <rFont val="メイリオ, monospace"/>
        <color rgb="FFFF9900"/>
        <sz val="9.0"/>
      </rPr>
      <t>シルバーエッグ</t>
    </r>
  </si>
  <si>
    <t>【うき】　 メルマガPR 管理表</t>
  </si>
  <si>
    <t>▼ルール▼</t>
  </si>
  <si>
    <t>・PRを挿入するメルマガには、スケジュールの枠に「PR＊（PR IDを入れ下さい）（期限まで/のみ）」を入力する　※PRを削除する週は「PR＊（PR IDを入れ下さい）削除」を入力する</t>
  </si>
  <si>
    <t>・PRが終了したら、グレーにする</t>
  </si>
  <si>
    <t xml:space="preserve">　</t>
  </si>
  <si>
    <t>・新着メルマガPRも管理表に入れる</t>
  </si>
  <si>
    <t>※リストに記載が無い場合、把握漏れの可能性があります。ご連絡下さい。（2018/1/23荒木）</t>
  </si>
  <si>
    <t>PR ID</t>
  </si>
  <si>
    <t>名称</t>
  </si>
  <si>
    <t>PRが入るメルマガ</t>
  </si>
  <si>
    <t>PR文面</t>
  </si>
  <si>
    <t>開始予定日</t>
  </si>
  <si>
    <t>終了予定日</t>
  </si>
  <si>
    <t>終了</t>
  </si>
  <si>
    <t>営業大特集</t>
  </si>
  <si>
    <t>企画営業職新着</t>
  </si>
  <si>
    <t xml:space="preserve">
┏━━━★注目大特集★━━━━━┓
◆営業大特集◆
自分の頑張りが評価・収入につながりやすい営業職の求人情報をお届け！
今後のキャリアの選択肢を拡げてみませんか?
https://woman.type.jp/s/salessp/?waad=waw0yO0y&amp;routeway=85&amp;xmid=&lt;%XMID%&gt;&amp;ac=&lt;%USR_SEQ%&gt;
┗━━━━━━━━━━━━━━━┛</t>
  </si>
  <si>
    <t>2017/03/**</t>
  </si>
  <si>
    <t>営業・医療大特集（２つ合体版）</t>
  </si>
  <si>
    <t>★新着総合[全]</t>
  </si>
  <si>
    <t xml:space="preserve">
┏━━━★注目大特集★━━━━━┓
◆営業大特集◆
自分の頑張りが評価・収入につながりやすい営業職の求人情報をお届け！
今後のキャリアの選択肢を拡げてみませんか?
https://woman.type.jp/s/salessp/?waad=waw0yO0y&amp;routeway=85&amp;xmid=&lt;%XMID%&gt;&amp;ac=&lt;%USR_SEQ%&gt;
◆医療・介護・福祉業界に関わる仕事特集◆
需要が高まっている医療・介護・福祉・保育の求人情報をお届け！
専門スキルを磨いて社会に貢献しながら長く働いてみませんか?
https://woman.type.jp/s/kaigosp/?waad=ZeF7KLdD&amp;routeway=85&amp;xmid=&lt;%XMID%&gt;&amp;ac=&lt;%USR_SEQ%&gt;
┗━━━━━━━━━━━━━━━┛</t>
  </si>
  <si>
    <t>営業・医療大特集＆納品対策キャンペーン（３つ合体版）</t>
  </si>
  <si>
    <t>納品対策</t>
  </si>
  <si>
    <t>┏━━━★注目大特集★━━━━━┓
◆営業大特集◆
自分の頑張りが評価・収入につながりやすい営業職の求人情報をお届け♪
今後のキャリアの選択肢を拡げてみませんか?
https://woman.type.jp/s/salessp/?waad=waw0yO0y&amp;routeway=85&amp;xmid=&lt;%XMID%&gt;&amp;ac=&lt;%USR_SEQ%&gt;
◆医療・介護・福祉業界に関わる仕事特集◆
需要が高まっている医療・介護・福祉・保育の求人情報をお届け♪
専門スキルを磨いて社会に貢献しながら長く働いてみませんか?
https://woman.type.jp/s/kaigosp/?waad=ZeF7KLdD&amp;routeway=85&amp;xmid=&lt;%XMID%&gt;&amp;ac=&lt;%USR_SEQ%&gt;
◆編集部が厳選！この春注目の求人◆
https://woman.type.jp/job-feature/17503/?waad=5dGH3jIe&amp;routeway=85&amp;xmid=&lt;%XMID%&gt;&amp;ac=&lt;%USR_SEQ%&gt;
┗━━━━━━━━━━━━━━━┛</t>
  </si>
  <si>
    <t>納品対策キャンペーン</t>
  </si>
  <si>
    <t>┏━━━★注目求人特集★━━━━━┓
◆編集部が厳選！この春注目の求人◆
https://woman.type.jp/job-feature/17503/?waad=5dGH3jIe&amp;routeway=85&amp;xmid=&lt;%XMID%&gt;&amp;ac=&lt;%USR_SEQ%&gt;
┗━━━━━━━━━━━━━━━┛</t>
  </si>
  <si>
    <t>アパレル大特集</t>
  </si>
  <si>
    <t>サービス・販売職経験者向け</t>
  </si>
  <si>
    <t>┏━━━★期間限定特集★━━━━┓
10年後、20年後も女性として輝き続けたい！
仕事を通して自分もキレイになれる
アパレル・コスメ業界の求人情報をお届け！
◆アパレル・コスメ業界大特集◆
https://woman.type.jp/s/fashion/sp20160927/?waad=Sc9pToTa&amp;routeway=85&amp;xmid=&lt;%XMID%&gt;&amp;ac=&lt;%USR_SEQ%&gt;
┗━━━━━━━━━━━━━━━┛</t>
  </si>
  <si>
    <t>アパレル大特集＆女性活躍推進企業特集（２つ合体版）</t>
  </si>
  <si>
    <t>★新着総合[全]
編集部オススメ
納品対策</t>
  </si>
  <si>
    <t>┏━━━★期間限定特集★━━━━┓
----------注目特集１-------------
10年後、20年後も女性として輝き続けたい！
仕事を通して自分もキレイになれる
アパレル・コスメ業界の求人情報をお届け！
◆アパレル・コスメ業界大特集◆
https://woman.type.jp/s/fashion/sp20160927/?waad=Sc9pToTa&amp;routeway=85&amp;xmid=&lt;%XMID%&gt;&amp;ac=&lt;%USR_SEQ%&gt;
----------注目特集２-------------
女の転職＠typeでは、経済産業省や厚生労働省が認定している企業の
求人情報などお届け！
結婚しても、出産してもキャリアを諦めたくない
そんな女性の「働く」を応援しています。
◆女性の活躍推進企業特集◆
https://woman.type.jp/s/jyosei-katsuyaku/sp20161202/?waad=u9XKkK3g&amp;routeway=85&amp;xmid=&lt;%XMID%&gt;&amp;ac=&lt;%USR_SEQ%&gt;
┗━━━━━━━━━━━━━━━┛</t>
  </si>
  <si>
    <t>女性活躍推進企業特集</t>
  </si>
  <si>
    <t>┏━━━★期間限定特集★━━━━┓
女の転職＠typeでは、経済産業省や厚生労働省が認定している企業の
求人情報などお届け！
結婚しても、出産してもキャリアを諦めたくない
そんな女性の「働く」を応援しています。
◆女性の活躍推進企業特集◆
https://woman.type.jp/s/jyosei-katsuyaku/sp20161202/?waad=u9XKkK3g&amp;routeway=85&amp;xmid=&lt;%XMID%&gt;&amp;ac=&lt;%USR_SEQ%&gt;
┗━━━━━━━━━━━━━━━┛</t>
  </si>
  <si>
    <t>使わない</t>
  </si>
  <si>
    <t>大和ライフネクスト</t>
  </si>
  <si>
    <t>35歳以上向け</t>
  </si>
  <si>
    <t>……………………………………………
　　編集部イチオシ求人 PICK-UP
----------------------------------
★社名：大和ライフネクスト株式会社（大和ハウスグループ）
└職種名：マンション運営コンサルタント【40・50代活躍】未経験★正社員★ブランクOK 
└勤務地：首都圏（新宿/赤坂）奈良・兵庫 宮城・石川・広島 その他
URL：https://woman.type.jp/job-offer/260551/?waad=TKJazfnD&amp;routeway=85&amp;xmid=&lt;%XMID%&gt;&amp;ac=&lt;%USR_SEQ%&gt;
……………………………………………</t>
  </si>
  <si>
    <t>6/10と6/24の２回配信</t>
  </si>
  <si>
    <t>35歳以上向け_関西</t>
  </si>
  <si>
    <t xml:space="preserve">……………………………………………
　　編集部イチオシ求人 PICK-UP
----------------------------------
★社名：大和ライフネクスト株式会社（大和ハウスグループ）
└職種名 ：マンション運営コンサルタント【40・50代活躍】未経験★正社員★ブランクOK 
└勤務地 ：奈良・兵庫 
URL：　https://woman.type.jp/job-offer/260551/?waad=TKJazfnD&amp;routeway=85&amp;xmid=&lt;%XMID%&gt;&amp;ac=&lt;%USR_SEQ%&gt;
……………………………………………
</t>
  </si>
  <si>
    <t xml:space="preserve">女性フェア「営業」特設バナー
</t>
  </si>
  <si>
    <t xml:space="preserve">希望職種_営業
</t>
  </si>
  <si>
    <t xml:space="preserve">━ PR ━━━━━━━━━━━━━━
女性向け転職イベント出展！営業・販売職、人と関わる仕事特集
https://woman.type.jp/job-feature/17383/?waad=kBMpImYJ&amp;routeway=85&amp;xmid=&lt;%XMID%&gt;&amp;ac=&lt;%USR_SEQ%&gt;
━━━━━━━━━━━━━━━━━
</t>
  </si>
  <si>
    <r>
      <rPr>
        <rFont val="arial,sans,sans-serif"/>
      </rPr>
      <t>期間中に</t>
    </r>
    <r>
      <rPr>
        <rFont val="arial,sans,sans-serif"/>
        <b/>
      </rPr>
      <t>１回のみ</t>
    </r>
    <r>
      <rPr>
        <rFont val="arial,sans,sans-serif"/>
      </rPr>
      <t>掲載</t>
    </r>
  </si>
  <si>
    <t>女性フェア「販サ」特設バナー</t>
  </si>
  <si>
    <t>希望職種_販サ</t>
  </si>
  <si>
    <t>━ PR ━━━━━━━━━━━━━━
女性向け転職イベント出展！営業・販売職、人と関わる仕事特集
https://woman.type.jp/job-feature/17383/?waad=bSYoxe9a&amp;routeway=85&amp;xmid=&lt;%XMID%&gt;&amp;ac=&lt;%USR_SEQ%&gt;
━━━━━━━━━━━━━━━━━</t>
  </si>
  <si>
    <r>
      <rPr>
        <rFont val="arial,sans,sans-serif"/>
      </rPr>
      <t>期間中に</t>
    </r>
    <r>
      <rPr>
        <rFont val="arial,sans,sans-serif"/>
        <b/>
      </rPr>
      <t>１回のみ</t>
    </r>
    <r>
      <rPr>
        <rFont val="arial,sans,sans-serif"/>
      </rPr>
      <t>掲載</t>
    </r>
  </si>
  <si>
    <t>介護大特集＆女性活躍推進企業特集（２つ合体版）</t>
  </si>
  <si>
    <t xml:space="preserve">
┏━━━★期間限定特集★━━━━━┓
---------◆注目特集1◆---------------
介護・保育・医療・福祉業界の特集をお届け！
社会の変化に伴い、ニーズが拡大している今がチャンス！
ぜひチェックしてみて下さい。
◆介護・保育・医療・福祉業界に関わる仕事特集◆
https://woman.type.jp/s/kaigosp/?waad=fb5rf2VK&amp;routeway=85&amp;xmid=&lt;%XMID%&gt;&amp;ac=&lt;%USR_SEQ%&gt;
---------◆注目特集2◆---------------
女の転職＠typeでは、経済産業省や厚生労働省が認定している企業の
求人情報などお届け！
結婚しても、出産してもキャリアを諦めたくない
そんな女性の「働く」を応援しています。
◆女性の活躍推進企業特集◆
https://woman.type.jp/s/jyosei-katsuyaku/sp20161202/?waad=u9XKkK3g&amp;routeway=85&amp;xmid=&lt;%XMID%&gt;&amp;ac=&lt;%USR_SEQ%&gt;
┗━━━━━━━━━━━━━━━┛
</t>
  </si>
  <si>
    <t>どちらの特集も7/20終了のため、7/19までは掲載する。</t>
  </si>
  <si>
    <t>Woman type　PR</t>
  </si>
  <si>
    <t>（木14）コンテンツメルマガ</t>
  </si>
  <si>
    <t>┏━★今週の転職お役立ち情報★━┓
復職ママ、転職活動のリアル
「産休・育休明けの転職はナシ！？」「夜の面接どうするの？」
https://woman.type.jp/wt/feature/7560/?waad=QsxFLcNG&amp;routeway=85&amp;xmid=&lt;%XMID%&gt;&amp;ac=&lt;%USR_SEQ%&gt;
「うちが第一希望？」「他にどんな会社受けてる？」
面接で聞かれて困る質問６つに対する模範解答って？
https://woman.type.jp/wt/feature/6456/?waad=QsxFLcNG&amp;routeway=85&amp;xmid=&lt;%XMID%&gt;&amp;ac=&lt;%USR_SEQ%&gt;
┗━━━━━━━━━━━━━━━━┛</t>
  </si>
  <si>
    <t>終了
↓
定期化</t>
  </si>
  <si>
    <t>毎週火曜日に福田さんから入稿される
※8/22更新済</t>
  </si>
  <si>
    <t>IT・Web業界の大特集</t>
  </si>
  <si>
    <t>（火12・金12）新着</t>
  </si>
  <si>
    <t>┏━━━★注目大特集★━━━━━┓
専門スキルを身につけられる！
IT・Web業界の求人情報をお届け♪
この機会に「手に職」を身につけてみませんか？
◆IT・Web業界大特集◆
https://woman.type.jp/s/websp/?waad=I8eaov0q&amp;routeway=85&amp;xmid=&lt;%XMID%&gt;&amp;ac=&lt;%USR_SEQ%&gt;
┗━━━━━━━━━━━━━━━┛</t>
  </si>
  <si>
    <t>「PR企業」の下
「※今週の新着求人～こちら」の上
に入れる。</t>
  </si>
  <si>
    <t>（月13）希望職種_クリエイティブ</t>
  </si>
  <si>
    <t>「必掲求人」の下　に入れる。</t>
  </si>
  <si>
    <t>（日20）正社員</t>
  </si>
  <si>
    <t>「導入文」の下
「INDEX」の上　に入れる。</t>
  </si>
  <si>
    <t>イベント告知</t>
  </si>
  <si>
    <t>8/14（月）15時　事務職</t>
  </si>
  <si>
    <t>★･･･━━━━━━━━━━━━━
M･A･C メイクアップアーティストが教える！
豪華メイクイベントを開催★
デイリーメイクに使える、簡単ポイント。
【お申し込みはこちら】https://goo.gl/Ry5DMQ
━━━━━━━━━━━━━･･･★</t>
  </si>
  <si>
    <t>紹介事業部からの依頼</t>
  </si>
  <si>
    <t>（水12）休日120日_就業中</t>
  </si>
  <si>
    <t>━ PR ━━━━━━━━━━━━━━
【働く女性のためのキャリアセミナー情報】
9月14日（木）『私を変える！ 幸せに生きていくために大切な５つのこと』
https://woman.type.jp/wt/feature/7613/?waad=Jg8YhZV4
━━━━━━━━━━━━━━━━━</t>
  </si>
  <si>
    <t>吉川さんからの依頼
冒頭文の下に入れる。</t>
  </si>
  <si>
    <t>（火金12）新着総合</t>
  </si>
  <si>
    <t>┏━━━★期間限定特集★━━━━━┓
10年後、20年後も女性として輝き続けたい！
仕事を通して自分もキレイになれる
アパレル・コスメ業界の求人情報をお届け！
◆アパレル・コスメ業界大特集◆
https://woman.type.jp/s/fashion/sp20160927/?waad=Sc9pToTa&amp;routeway=85&amp;xmid=&lt;%XMID%&gt;&amp;ac=&lt;%USR_SEQ%&gt;
┗━━━━━━━━━━━━━━━┛</t>
  </si>
  <si>
    <t>（日16）サービス・販売職経験者向け</t>
  </si>
  <si>
    <t>「冒頭文」の下
「INDEX」の上
に入れる。</t>
  </si>
  <si>
    <t xml:space="preserve">（月11）納品対策
</t>
  </si>
  <si>
    <t>（火20）
・20代に人気
・20代に人気_第二新卒</t>
  </si>
  <si>
    <t>★･･･━━━━━━━━━━━━━
9/15(金)開催 【無料イベント】
自身も23kgの減量に成功！元アスリートに学ぶ
女性のためのセルフプロデュース術＆身だしなみ講座
【お申し込みはこちら】https://goo.gl/7SGFkw
━━━━━━━━━━━━━･･･★</t>
  </si>
  <si>
    <t>（火金12）新着総合
（日10）事務・営業職経験者向け
（月11）納品対策</t>
  </si>
  <si>
    <t>┏━━━★期間限定特集★━━━━━┓
◆◆営業大特集◆◆
自分の頑張りが評価・収入につながりやすい営業職の求人情報をお届け！
今後のキャリアの選択肢を拡げてみませんか?
 &gt;&gt;https://woman.type.jp/s/salessp/?waad=waw0yO0y&amp;routeway=85&amp;xmid=&lt;%XMID%&gt;&amp;ac=&lt;%USR_SEQ%&gt;
┗━━━━━━━━━━━━━━━┛</t>
  </si>
  <si>
    <t>（火金12）新着総合→PR19と入替
（日10）事務・営業職経験者向け→「冒頭文」の下・「INDEX」の上に入れる。
（月11）納品対策→PR21と入替</t>
  </si>
  <si>
    <t>女性ITイベント</t>
  </si>
  <si>
    <t>（日16）事務・営業職経験者向け
（日16）サービス・販売職経験者向け</t>
  </si>
  <si>
    <t>━ PR ━━━━━━━━━━━━━━
【ゼロから始めるWebデザイン講座】参加申し込み受付中
━━━━━━━━━━━━━━━━━
2017年11月21日（火）19：00～＠渋谷
★無料＆ケータリング付き
▼詳細はこちらから▼
https://woman.type.jp/wt/feature/8065?waad=lH0U1oar
━━━━━━━━━━━━━━━━━</t>
  </si>
  <si>
    <t>フッター最上部に差し込む</t>
  </si>
  <si>
    <t>（火金12）新着総合
（水14）編集部オススメ
（月11）納品対策</t>
  </si>
  <si>
    <t>┏━━━★期間限定特集★━━━━━┓
女の転職＠typeでは、経済産業省や厚生労働省が認定している企業の
求人情報などお届け！
結婚しても、出産してもキャリアを諦めたくない
そんな女性の「働く」を応援しています。
◆女性の活躍推進企業特集◆
https://woman.type.jp/s/jyosei-katsuyaku/sp20161202/?waad=u9XKkK3g
┗━━━━━━━━━━━━━━━┛</t>
  </si>
  <si>
    <t>（火金12）新着総合→「PR企業」の下、「※今週の新着求人～こちら」の上に入れる。
（水14）編集部オススメ→プログラムの下に入れる。
（月11）納品対策→「冒頭文」の下、「INDEX」の上に入れる。</t>
  </si>
  <si>
    <t>TMPアンケート</t>
  </si>
  <si>
    <t>（土9）求人特集
（月20）20～35歳正社員求人</t>
  </si>
  <si>
    <t>━ PR ━━━━━━━━━━━━━━
★★★女性向けアンケート★★★
「男性の印象がUPするのはどんな時？」
━━━━━━━━━━━━━━━━━
姉妹サイト「typeメンバーズパーク」では、
「職場の男性の印象がUPする時」についてアンケートを実施中！
女性目線のあなたの意見をお聞かせください！
https://s360.jp/form/30489-2497/?waad=lMhk2Uyq
━━━━━━━━━━━━━━━━━</t>
  </si>
  <si>
    <t>IT女子イベント</t>
  </si>
  <si>
    <t>（日16）事務・営業職経験者向け
（日16）サービス・販売職経験者向け
（月20）20～35歳正社員求人</t>
  </si>
  <si>
    <t>━ PR ━━━━━━━━━━━━━━
未経験でもプログラミング体験できる！
【ITスキルで広がる女性の働き方の未来】
━━━━━━━━━━━━━━━━━
2018年03月17日(土)　
一部13：00～／二部16：00～＠渋谷
★無料＆軽食付き
▼エントリーはこちらから▼
https://woman.type.jp/seminar/detail/30951/?waad=lH0U1oar
━━━━━━━━━━━━━━━━━</t>
  </si>
  <si>
    <t>小規模フェア</t>
  </si>
  <si>
    <t>（火20）35歳以上向け A
（土20）35歳以上向け B</t>
  </si>
  <si>
    <t>━ PR ━━━━━━━━━━━━━━
★無料／軽食つき★
【40・50代が主役になれる仕事に出会えるセミナー】
----------------------------------
2018年3月6日（火）13：30～ ＠赤坂
▼エントリーはこちらから▼
https://woman.type.jp/seminar/detail/31017/?waad=9HJAROmM
━━━━━━━━━━━━━━━━━</t>
  </si>
  <si>
    <t>介護大特集</t>
  </si>
  <si>
    <t>（火金12）新着総合
（火14）福祉事務、福祉事務_35歳以上
（月11）納品対策</t>
  </si>
  <si>
    <t>┏━━━★期間限定特集★━━━┓
介護・保育・医療・福祉業界の特集をお届け！
社会の変化に伴い、ニーズが拡大している今がチャンス！
ぜひチェックしてみて下さい。
◆介護・保育・医療・福祉業界に関わる仕事特集◆
https://woman.type.jp/s/kaigosp/?waad=fb5rf2VK&amp;routeway=85&amp;xmid=&lt;%XMID%&gt;&amp;ac=&lt;%USR_SEQ%&gt;
┗━━━━━━━━━━━━━━┛</t>
  </si>
  <si>
    <t>（火金12）新着総合→「PR企業」の下、「※今週の新着求人～こちら」の上に入れる。
（火14）福祉事務、福祉事務_35歳以上→冒頭文の下に入れる。
（月11）納品対策→「冒頭文」の下、「INDEX」の上に入れる。</t>
  </si>
  <si>
    <t>（木12）応募ランキング B
（金12）新着総合
（土12）検討中ランキング
（日09）応募ランキング C
（月11）納品対策</t>
  </si>
  <si>
    <t>（木12）応募ランキング B→冒頭文の下に。
（金12）新着総合→「PR企業」の下、「※今週の新着求人～こちら」の上に。
（土12）検討中ランキング→冒頭文の下に。
（日09）応募ランキング C→冒頭文の下に。
（月11）納品対策→「冒頭文」の下、「INDEX」の上に。</t>
  </si>
  <si>
    <t>（火19）応募ランキング A
（木12）応募ランキング B
（土12）検討中ランキング
（日09）応募ランキング C</t>
  </si>
  <si>
    <t>（火19）応募ランキング A→冒頭文の下に。
（木12）応募ランキング B→冒頭文の下に。
（土12）検討中ランキング→冒頭文の下に。
（日09）応募ランキング C→冒頭文の下に。</t>
  </si>
  <si>
    <t>女性推進／IT・Web大特集</t>
  </si>
  <si>
    <t>（火金12）新着総合
（月11）納品対策</t>
  </si>
  <si>
    <t>┏━━━★期間限定特集★━━━━┓
◆国認定企業もあり！女性の活躍推進企業特集◆
https://woman.type.jp/s/jyosei-katsuyaku/sp20161202/?waad=V7ubckQG&amp;xmid=&lt;%XMID%&gt;&amp;ac=&lt;%USR_SEQ%&gt;
◆専門スキルを身につけられる！IT・Web業界大特集◆
https://woman.type.jp/s/websp/?waad=SUBUNnw7&amp;xmid=&lt;%XMID%&gt;&amp;ac=&lt;%USR_SEQ%&gt;
┗━━━━━━━━━━━━━━━┛</t>
  </si>
  <si>
    <t>（火金12）新着総合→「PR企業」の下、「※今週の新着求人～こちら」の上に入れる。
（月11）納品対策→「冒頭文」の下、「INDEX」の上に入れる。</t>
  </si>
  <si>
    <t>女性推進大特集</t>
  </si>
  <si>
    <t>┏━━━★期間限定特集★━━━━┓
◆国認定企業もあり！女性の活躍推進企業特集◆
https://woman.type.jp/s/jyosei-katsuyaku/sp20161202/?waad=V7ubckQG&amp;xmid=&lt;%XMID%&gt;&amp;ac=&lt;%USR_SEQ%&gt;
┗━━━━━━━━━━━━━━━┛</t>
  </si>
  <si>
    <t>@type機能紹介</t>
  </si>
  <si>
    <t>（木12）応募ランキング B</t>
  </si>
  <si>
    <t>-----------------
★「＠type」から耳より情報★
女の転職＠typeの姉妹サイト『＠type』には
自己PRも職務経歴書も書かずに応募できる企業があるのを知っていますか？？
◎業務経験が無くても大歓迎
◎性格重視の選考を行っている
こんな企業に応募したい方にはピッタリ！！
入力項目が少ない簡単なフォームから応募ができます！
自己PRと職務経歴書ナシでも応募できる企業を確認してみてください♪
⇒ https://type.jp/special/4165/?waad=QbgJwn9O
-----------------</t>
  </si>
  <si>
    <t>冒頭文の下に入れる。</t>
  </si>
  <si>
    <t>女性向けミドルセミナー</t>
  </si>
  <si>
    <t>━ PR ━━━━━━━━━━━━━━
★参加無料★
【 これからが本番！40代～主役になれる仕事に出会えるセミナー！】
---------------------------------- 
2018年6月8日(金)  13：00～ ＠赤坂
▼エントリーはこちらから▼
https://woman-type.jp/seminar/detail/31017/?waad=FcOlE4mL
━━━━━━━━━━━━━━━━━</t>
  </si>
  <si>
    <r>
      <rPr>
        <rFont val="arial,sans,sans-serif"/>
      </rPr>
      <t xml:space="preserve">フッター最上部　⇒　</t>
    </r>
    <r>
      <rPr>
        <rFont val="arial,sans,sans-serif"/>
        <color rgb="FFFF0000"/>
      </rPr>
      <t>冒頭文直下　に変更</t>
    </r>
  </si>
  <si>
    <t>志向別大特集</t>
  </si>
  <si>
    <t>┏━━━★期間限定特集★━━━━┓
◆「“理想の働き方”から長く働ける職場を見つける！」大特集◆
https://woman-type.jp/s/careertype/?waad=Whzxo6Kw
┗━━━━━━━━━━━━━━━┛</t>
  </si>
  <si>
    <t>（火20）20代に人気
（木14）リモートワーク A
（日9）応募ランキング C</t>
  </si>
  <si>
    <t>━ PR ━━━━━━━━━━━━━━
未経験でもプログラミング体験できる！
【ITスキルで広がる女性の働き方の未来】
━━━━━━━━━━━━━━━━━
2018年07月07日(土)
13：00～16：00　＠渋谷
★無料＆軽食付き
▼エントリーはこちらから▼
https://woman-type.jp/seminar/detail/30951/?waad=lH0U1oar
━━━━━━━━━━━━━━━━━</t>
  </si>
  <si>
    <t>「冒頭文」の下に入れる。</t>
  </si>
  <si>
    <t>販サ大特集</t>
  </si>
  <si>
    <t>（月11）納品対策</t>
  </si>
  <si>
    <t>┏━━━★期間限定特集★━━━━┓
◆実は魅力がたくさん！「サービス・販売系職種」大特集◆
https://woman-type.jp/s/service/?waad=fjHIdBUn
◆2018年後半は心機一転！この時期だから出会えるおすすめ求人特集◆
https://woman-type.jp/job-feature/18103?waad=XSM15xGb
┗━━━━━━━━━━━━━━━┛</t>
  </si>
  <si>
    <t>「冒頭文」の下、「INDEX」の上に入れる。</t>
  </si>
  <si>
    <t>（火金12）新着総合
（月11）納品対策</t>
  </si>
  <si>
    <t>┏━━━★期間限定特集★━━━━┓
◆オンもオフも輝ける！営業大特集◆
https://woman-type.jp/s/salessp/?waad=waw0yO0y
┗━━━━━━━━━━━━━━━┛</t>
  </si>
  <si>
    <t>Sansanイベント告知</t>
  </si>
  <si>
    <t>（火20）
20代に人気
20代に人気_第二新卒</t>
  </si>
  <si>
    <t>▼ PR ▼ ━━━━━━━━━━━━━
 【会員限定特別無料イベントのお知らせ｜女の転職×Eight】
 9月19日（水）『働く女性のためのマインドフルネス体験講座
 心のNG習慣を捨ててキャリアの不安を解消しよう！』
※ジャン=ポール・エヴァンのチョコレートつき！
 https://woman-type.jp/seminar/detail/31128/?waad=U3I4lF5G
━━━━━━━━━━━━━━━━━</t>
  </si>
  <si>
    <t>INDEX下、求人の上に入れる。</t>
  </si>
  <si>
    <t>IT・介護大特集</t>
  </si>
  <si>
    <t>（火金12）新着総合
（月12）納品対策</t>
  </si>
  <si>
    <t>┏━━━★期間限定特集★━━━━┓
◆専門スキルを身につけられる！IT・Web業界大特集◆
https://woman-type.jp/s/websp/?waad=SUBUNnw7
◆専門知識を活かして社会に貢献！介護・保育・医療・福祉業界に関わる仕事特集◆
https://woman-type.jp/s/kaigosp/?waad=fb5rf2VK
┗━━━━━━━━━━━━━━━┛</t>
  </si>
  <si>
    <t>アパレル・コスメ業界大特集</t>
  </si>
  <si>
    <t>┏━━━★期間限定特集★━━━━┓
◆キレイもキャリアも手に入れる アパレル・コスメ業界大特集◆
https://woman-type.jp/s/fashion/sp20160927/?waad=Sc9pToTa
┗━━━━━━━━━━━━━━━┛</t>
  </si>
  <si>
    <t>女性の活躍推進企業特集</t>
  </si>
  <si>
    <t>さいたまフェア</t>
  </si>
  <si>
    <t>11/12（月）
希望勤務地_埼玉</t>
  </si>
  <si>
    <t>━ PR ━━━━━━━━━━━━━━
★入場無料・転職相談コーナーあり★
【 女性のための転職イベント～未経験からの転職を応援～ in大宮 】
---------------------------------- 
2018年11月25日(日)  12：00～16：00 ＠大宮ソニックシティ
▼エントリーはこちらから▼
https://woman-type.jp/seminar/detail/31170/?waad=FcOlE4mL
━━━━━━━━━━━━━━━━━</t>
  </si>
  <si>
    <t>冒頭エリアに入れる</t>
  </si>
  <si>
    <t>アパレル･コスメ業界大特集</t>
  </si>
  <si>
    <t>アパレル･コスメ業界大特集
＆
納品対策</t>
  </si>
  <si>
    <t>（月12）納品対策</t>
  </si>
  <si>
    <t>┏━━━★期間限定特集★━━━━┓
◆キレイもキャリアも手に入れる アパレル・コスメ業界大特集◆
https://woman-type.jp/s/fashion/sp20160927/?waad=Sc9pToTa
◆2019年は心機一転！編集部厳選のとっておき求人◆
https://woman-type.jp/job-feature/18243/?waad=XSM15xGb
┗━━━━━━━━━━━━━━━┛</t>
  </si>
  <si>
    <t>サイト名変更のお知らせ</t>
  </si>
  <si>
    <t>※※ サイト名変更のお知らせ ※※
2019年1月8日よりサービス名を『女の転職＠type』から『女の転職type』に変更いたしました。</t>
  </si>
  <si>
    <t>「PR企業」の下、PR45の上に入れる。</t>
  </si>
  <si>
    <t>介護特集</t>
  </si>
  <si>
    <t>（火12）新着総合
（火14）福祉事務
（火14）福祉事務_35歳以上
（金12）新着総合
（月12）納品対策</t>
  </si>
  <si>
    <t>┏━━━★期間限定特集★━━━━┓
◆専門知識を活かして社会に貢献！介護・保育・医療・福祉業界に関わる仕事特集◆
https://woman-type.jp/s/kaigosp/?waad=fb5rf2VK
┗━━━━━━━━━━━━━━━┛</t>
  </si>
  <si>
    <t>IT・Web業界大特集</t>
  </si>
  <si>
    <t>┏━━━★期間限定特集★━━━━┓
◆専門スキルを身につけられる！IT・Web業界大特集◆
https://woman-type.jp/s/websp/?waad=SUBUNnw7
┗━━━━━━━━━━━━━━━┛</t>
  </si>
  <si>
    <t>オフィスワーク大特集</t>
  </si>
  <si>
    <t>┏━━━★期間限定特集★━━━━┓
◆スキルをつけて長く働く！ねらい目のオフィスワーク特集◆
https://woman-type.jp/s/officework/?waad=faB2LNZZ
┗━━━━━━━━━━━━━━━┛</t>
  </si>
  <si>
    <t>sansanイベント告知</t>
  </si>
  <si>
    <t>（水10）掲載終了前+UP A
（金10）学歴不問
（月20）20～35歳正社員求人
（火08）ポジションマッチ</t>
  </si>
  <si>
    <t>━━ ▽ PR ▽ ━━━━━━━━━━
 【会員限定特別無料セミナーのお知らせ｜女の転職×Eight】
　 5月22日（水）19：00～開催　＠表参道
 『仕事をもっと楽しくする、
   働く女性のためのアンガーマネジメント』
 https://woman-type.jp/seminar/detail/31276/?waad=dp7TxFDn
━━━━━━━━━━━━━━━━━</t>
  </si>
  <si>
    <t>配信対象が35歳以下のメルマガ</t>
  </si>
  <si>
    <t>┏━━━★期間限定特集★━━━━┓
◆実は魅力がたくさん！「サービス・販売系職種」大特集◆
https://woman-type.jp/s/service/?waad=fjHIdBUn
┗━━━━━━━━━━━━━━━┛</t>
  </si>
  <si>
    <r>
      <rPr>
        <rFont val="arial,sans,sans-serif"/>
      </rPr>
      <t xml:space="preserve">┏━━━★期間限定特集★━━━━┓
◆オンもオフも輝ける！営業大特集◆
</t>
    </r>
    <r>
      <rPr>
        <rFont val="arial,sans,sans-serif"/>
        <color rgb="FF1155CC"/>
        <u/>
      </rPr>
      <t>https://woman-type.jp/s/salessp/?waad=waw0yO0y</t>
    </r>
    <r>
      <rPr>
        <rFont val="arial,sans,sans-serif"/>
      </rPr>
      <t xml:space="preserve">
┗━━━━━━━━━━━━━━━┛</t>
    </r>
  </si>
  <si>
    <t>IT・Web／介護大特集</t>
  </si>
  <si>
    <t>ミイプレゼントキャンペーン</t>
  </si>
  <si>
    <t>（月20）
20～35歳正社員求人
36歳以上正社員求人</t>
  </si>
  <si>
    <t>━ PR ━━━━━━━━━━━━━━
JTB旅行券5万円分、リトルミイグッズが当たる！
「仕事で叶えたい未来」ツイートキャンペーン実施中
https://woman-type.jp/s/campaign29/
リトルミイの新作CMもぜひ見てね★
━━━━━━━━━━━━━━━━━</t>
  </si>
  <si>
    <t>ユーザーアンケート</t>
  </si>
  <si>
    <t>（水14）編集部オススメ</t>
  </si>
  <si>
    <t>━ PR ━━━━━━━━━━━━━━
抽選でamazonギフト券500円分プレゼント★
【「女性と仕事」に関するアンケート】実施中！
5分ほどで回答できますので、ぜひご協力ください！  
https://epfb.f.msgs.jp/webapp/form/21350_epfb_62/index.do  
回答期限：2019/10/10
━━━━━━━━━━━━━━━━━</t>
  </si>
  <si>
    <t>導入文の下、求人の上に入れる。</t>
  </si>
  <si>
    <t>UIターン大特集</t>
  </si>
  <si>
    <t>┏━━━★期間限定特集★━━━━┓
◆地方で働こう！Uターン、Iターン歓迎企業特集◆
https://woman-type.jp/s/region/?waad=Z7UzWxwU
┗━━━━━━━━━━━━━━━┛</t>
  </si>
  <si>
    <t>┏━━━★期間限定特集★━━━━┓
◆キレイもキャリアも手に入れる アパレル・コスメ・美容業界大特集◆
https://woman-type.jp/s/fashion/sp20160927/?waad=Sc9pToTa
┗━━━━━━━━━━━━━━━┛</t>
  </si>
  <si>
    <t>アカデミア告知</t>
  </si>
  <si>
    <t>━ PR ━━━━━━━━━━━━━━
「転職したいけど、求人を見てもピンと来ない…」
そんなあたなは【女の転職アカデミア】をチェック！
https://woman-type.jp/academia/?waad=mMpoBmU6
━━━━━━━━━━━━━━━━━</t>
  </si>
  <si>
    <t>冒頭文の下に</t>
  </si>
  <si>
    <t>介護・医療業界大特集</t>
  </si>
  <si>
    <t>女性フェア告知</t>
  </si>
  <si>
    <t>（火11）営業（BtoC）_希望
（水11）営業（内勤）_希望
（水15）営業（コールセンター）_希望
（木11）営業（FP）_希望
（金11）営業（MR）_希望
（金15）営業（その他）_希望
（月11）営業（BtoB）_希望
（月15）営業（キャリアカウンセラー）_希望</t>
  </si>
  <si>
    <r>
      <rPr>
        <rFont val="arial,sans,sans-serif"/>
      </rPr>
      <t xml:space="preserve">┏━━.+゜☆+.女の転職type 転職イベント━━━┓
★7/4(土)女性のための転職イベントを開催in渋谷ヒカリエ★
</t>
    </r>
    <r>
      <rPr>
        <rFont val="arial,sans,sans-serif"/>
        <color rgb="FF1155CC"/>
        <u/>
      </rPr>
      <t>https://woman-type.jp/s/event/?waad=lkN7G63y</t>
    </r>
    <r>
      <rPr>
        <rFont val="arial,sans,sans-serif"/>
      </rPr>
      <t xml:space="preserve">
┗━━━━━━━━━━━━━━━ .+゜☆+.━━┛</t>
    </r>
  </si>
  <si>
    <t>7/3(金)
↓
5/28(木)
に前倒し</t>
  </si>
  <si>
    <t>未経験販サ大特集
神奈川大特集</t>
  </si>
  <si>
    <t>（火金12）新着総合
（火金13）新着総合
（月12）納品対策</t>
  </si>
  <si>
    <t>┏━━━★期間限定特集★━━━━┓
◆実は魅力がたくさん！「サービス・販売系職種」大特集◆
https://woman-type.jp/s/service/?waad=fjHIdBUn
★愛される街  神奈川県の仕事特集★
https://woman-type.jp/s/kanagawa/?waad=0wLFOZsX
┗━━━━━━━━━━━━━━━┛</t>
  </si>
  <si>
    <t>介護保育大特集・ITWEB大特集</t>
  </si>
  <si>
    <t>アパレルコスメ大特集</t>
  </si>
  <si>
    <t>女性エンジニア向けオンラインセミナー</t>
  </si>
  <si>
    <t>（水9）ランキング_エンジニア（IT系）_希望
（土12）★求人特集(35歳未満） B</t>
  </si>
  <si>
    <r>
      <rPr>
        <rFont val="arial,sans,sans-serif"/>
      </rPr>
      <t xml:space="preserve">━━━━━━━━━━━━━━━━━
IBM戸倉 彩さん登壇！
【女性エンジニア向けオンラインキャリアセミナー開催】
━━━━━━━━━━━━━ PR ━━
2020年7月29日(水)
19：00～20：30　＠Zoomウェビナー
★参加無料、特別講演あり、匿名で質問や応答可能★
▼エントリーはこちらから▼
</t>
    </r>
    <r>
      <rPr>
        <rFont val="arial,sans,sans-serif"/>
        <color rgb="FF1155CC"/>
        <u/>
      </rPr>
      <t>https://woman-type.jp/seminar/detail/31381/?waad=JINeYWkh</t>
    </r>
    <r>
      <rPr>
        <rFont val="arial,sans,sans-serif"/>
      </rPr>
      <t xml:space="preserve">
━━━━━━━━━━━━━━━━━</t>
    </r>
  </si>
  <si>
    <t>※（水）（土）それぞれ週一回配信
エントリーURLは6/30（火）にページ公開後から閲覧可能となります。</t>
  </si>
  <si>
    <t>（火11）営業（BtoC）_希望
（水11）営業（内勤）_希望
（水15）営業（コールセンター）_希望
（金15）営業（その他）_希望
（月15）営業（キャリアカウンセラー）_希望</t>
  </si>
  <si>
    <r>
      <rPr>
        <rFont val="arial,sans,sans-serif"/>
      </rPr>
      <t xml:space="preserve">┏━━.+゜☆+.女の転職type 転職イベント━━━┓
★10/31(土)女性のための転職イベントを開催予定in渋谷ヒカリエ★
</t>
    </r>
    <r>
      <rPr>
        <rFont val="arial,sans,sans-serif"/>
        <color rgb="FF1155CC"/>
        <u/>
      </rPr>
      <t>https://woman-type.jp/s/event/?waad=lkN7G63y</t>
    </r>
    <r>
      <rPr>
        <rFont val="arial,sans,sans-serif"/>
      </rPr>
      <t xml:space="preserve">
┗━━━━━━━━━━━━━━━ .+゜☆+.━━┛</t>
    </r>
  </si>
  <si>
    <t>冒頭分の下にいれる</t>
  </si>
  <si>
    <t>（火08）ポジションマッチ_36歳以上
（火14）福祉事務_35歳以上
（火16）未経験オフィスワーク_35歳以上
（火18）エンジニア_経験_35歳以上
（火18）エンジニア_未経験_35歳以上
（火20）35歳以上向け A
（火20）35歳以上向け_関西 A
（水18）営業_経験_35歳以上
（水18）営業_未経験_35歳以上
（水20）大手上場_35歳以上 A
（木16）オープニング_35歳以上
（木18）販サ_経験_35歳以上
（木18）販サ_未経験_35歳以上
（木20）事務職_35歳以上 A
（金08）既婚者
（金14）学歴不問_35歳以上
（金14）学歴大卒_35歳以上
（金18）クリエイティブ_経験_35歳以上
（金18）クリエイティブ_未経験_35歳以上
（土20）35歳以上向け B
（土20）35歳以上向け_関西 B
（日14）プライベート重視_35歳以上
（日14）働きやすい_35歳以上
（日18）コンサル専門職_経験_35歳以上
（日18）コンサル専門職_未経験_35歳以上
（日20）正社員_35歳以上
（月16）事務職_35歳以上 B
（月18）事務_経験_35歳以上
（月18）事務_未経験_35歳以上
（月20）36歳以上正社員求人</t>
  </si>
  <si>
    <r>
      <rPr>
        <rFont val="arial,sans,sans-serif"/>
      </rPr>
      <t xml:space="preserve">━━━━━━━━━━━━━━━━━
イラストエッセイスト・犬山紙子さん登壇
≪無料オンラインイベント開催≫
━━━━━━━━━━━━━ PR ━━
2020年11月24日(火) 17：00～18：00　＠Zoomウェビナー
【テーマ】“ちょうどいい”夫婦のカタチを考える
既婚・未婚問わず参加OK！匿名で質問も可能です☆
▼エントリーはこちらから▼
</t>
    </r>
    <r>
      <rPr>
        <rFont val="arial,sans,sans-serif"/>
        <color rgb="FF1155CC"/>
        <u/>
      </rPr>
      <t>https://woman-type.jp/wt/feature/19021/?waad=U9zwwTuu</t>
    </r>
    <r>
      <rPr>
        <rFont val="arial,sans,sans-serif"/>
      </rPr>
      <t xml:space="preserve">
━━━━━━━━━━━━━━━━━</t>
    </r>
  </si>
  <si>
    <t>リード文の下にいれる</t>
  </si>
  <si>
    <t>販サ大特集＆神奈川大特集</t>
  </si>
  <si>
    <t>（火18）エンジニア系メルマガ4本
（水09）ランキング_エンジニア(IT系)_希望
（金11）今週の人気求人ランキング</t>
  </si>
  <si>
    <r>
      <rPr>
        <rFont val="arial,sans,sans-serif"/>
      </rPr>
      <t xml:space="preserve">━━━━━━━━━━━━━ PR ━━
12月7日(月)18:30～＠オンライン
エンジニアのお悩みを、著名人に相談できる人気企画
「エンジニアWebメンタリング」の公開取材！
匿名で質問も可能です☆
▼エントリーはこちらから▼
</t>
    </r>
    <r>
      <rPr>
        <rFont val="arial,sans,sans-serif"/>
        <color rgb="FF1155CC"/>
        <u/>
      </rPr>
      <t>https://type.jp/et/feature/14439/?waad=U9zwwTuu</t>
    </r>
    <r>
      <rPr>
        <rFont val="arial,sans,sans-serif"/>
      </rPr>
      <t xml:space="preserve">
━━━━━━━━━━━━━━━━━</t>
    </r>
  </si>
  <si>
    <t>医療福祉_資格登録促進_メルマガPR</t>
  </si>
  <si>
    <r>
      <rPr>
        <rFont val="arial,sans,sans-serif"/>
        <strike/>
        <sz val="8.0"/>
      </rPr>
      <t>（火11）医療福祉（介護リハビリ）_希望
（水11）医療福祉（保育）_希望</t>
    </r>
    <r>
      <rPr>
        <rFont val="arial,sans,sans-serif"/>
        <sz val="8.0"/>
      </rPr>
      <t xml:space="preserve">
</t>
    </r>
    <r>
      <rPr>
        <rFont val="arial,sans,sans-serif"/>
        <strike/>
        <sz val="8.0"/>
      </rPr>
      <t>（土18）医療福祉_経験</t>
    </r>
    <r>
      <rPr>
        <rFont val="arial,sans,sans-serif"/>
        <sz val="8.0"/>
      </rPr>
      <t xml:space="preserve">
</t>
    </r>
    <r>
      <rPr>
        <rFont val="arial,sans,sans-serif"/>
        <strike/>
        <sz val="8.0"/>
      </rPr>
      <t>（土18）医療福祉_経験_35歳以上</t>
    </r>
    <r>
      <rPr>
        <rFont val="arial,sans,sans-serif"/>
        <sz val="8.0"/>
      </rPr>
      <t xml:space="preserve">
</t>
    </r>
    <r>
      <rPr>
        <rFont val="arial,sans,sans-serif"/>
        <strike/>
        <sz val="8.0"/>
      </rPr>
      <t>（日11）販サ（美容師、エステ）_希望</t>
    </r>
    <r>
      <rPr>
        <rFont val="arial,sans,sans-serif"/>
        <sz val="8.0"/>
      </rPr>
      <t xml:space="preserve">
</t>
    </r>
    <r>
      <rPr>
        <rFont val="arial,sans,sans-serif"/>
        <strike/>
        <sz val="8.0"/>
      </rPr>
      <t>（日13）ランキング_医療福祉（保育）_希望</t>
    </r>
  </si>
  <si>
    <r>
      <rPr>
        <rFont val="arial,sans,sans-serif"/>
      </rPr>
      <t xml:space="preserve">┏━━━★仕事に活かせる資格をお持ちの方へ★━━━━┓
最近は【保育士】【福祉・医療】の資格保有者を対象とした
企業からのスカウトが増えています。
マイページで保有資格のご登録がまだの方はぜひご登録をお願いします。
▼資格登録はこちらから▼
</t>
    </r>
    <r>
      <rPr>
        <rFont val="arial,sans,sans-serif"/>
        <color rgb="FF1155CC"/>
        <u/>
      </rPr>
      <t>https://woman-type.jp/mypage/skill/?waad=DxEnPVRi</t>
    </r>
    <r>
      <rPr>
        <rFont val="arial,sans,sans-serif"/>
      </rPr>
      <t xml:space="preserve">
※保育士資格をお持ちの方は『その他』の欄にご記入ください
┗━━━━━━━━━━━━━━━━━━━━━━━━┛</t>
    </r>
  </si>
  <si>
    <t>21/07/06週より断舎離して、対象メルマガがなくなった</t>
  </si>
  <si>
    <t>リード文の下にいれる
※ユーザーに資格登録を促進することが狙いなので、しばらく掲載し続ける予定。</t>
  </si>
  <si>
    <t>12/22までのWA数値でクリック1...</t>
  </si>
  <si>
    <t>メイクセミナー</t>
  </si>
  <si>
    <t>（水14）編集部オススメ
（火18）エンジニア系✕6本
（水18）営業系✕6本
（木18）販サ系✕6本
（金18）クリエイティブ系✕6本
（土18）医療福祉系✕4本
（日18）コンサル専門職系✕6本
（月18）事務系✕6本</t>
  </si>
  <si>
    <r>
      <rPr>
        <rFont val="arial,sans,sans-serif"/>
      </rPr>
      <t xml:space="preserve">━━━━━━━━━━━━━ PR ━━
1月30日(土)11:00～
【花王×女の転職type 共催セミナー】
オンラインでも映えるメイクレッスン！
プロが教えるWeb面接＆マスクメイク対策
▼エントリーはこちらから▼
</t>
    </r>
    <r>
      <rPr>
        <rFont val="arial,sans,sans-serif"/>
        <color rgb="FF1155CC"/>
        <u/>
      </rPr>
      <t>https://woman-type.jp/academia/newsrelease/2021y/post-20/?waad=Hu9UIZGT</t>
    </r>
    <r>
      <rPr>
        <rFont val="arial,sans,sans-serif"/>
      </rPr>
      <t xml:space="preserve">
━━━━━━━━━━━━━━━━━</t>
    </r>
  </si>
  <si>
    <t>横浜セミナー</t>
  </si>
  <si>
    <t>（火16）未経験オフィスワーク
（火16）未経験オフィスワーク_35歳以上
（火17）応募ランキングA
（火19）TP部_営業_現住所
（木12）応募ランキングB
（木13）TP部_事務_現住所
（木14）リモートワーク A
（金08）既婚者
（金08）未婚者
（土14）横浜
（日20）正社員
（日20）正社員_35歳以上
（月10）TP部_事務_希望地
（月13）リモートワーク B
（月16）事務職 B
（月16）事務職_35歳以上 B
（月20）20～35歳正社員求人
（月20）36歳以上正社員求人</t>
  </si>
  <si>
    <r>
      <rPr>
        <rFont val="arial,sans,sans-serif"/>
      </rPr>
      <t xml:space="preserve">━[PR]━━━━━━━━━━━☆★━
＜横浜市×女の転職type＞
働きやすい環境づくりに注力している「よこはまグッドバランス賞」
認定企業のみを集めた特別webセミナーを開催します！
</t>
    </r>
    <r>
      <rPr>
        <rFont val="arial,sans,sans-serif"/>
        <color rgb="FF1155CC"/>
        <u/>
      </rPr>
      <t>https://woman-type.jp/seminar/detail/31423/?waad=mXrxgtrn</t>
    </r>
    <r>
      <rPr>
        <rFont val="arial,sans,sans-serif"/>
      </rPr>
      <t xml:space="preserve">
＊参加無料＊その場でオンライン面談も＊
━━━━━━━━━━━━━━━━━</t>
    </r>
  </si>
  <si>
    <t>WTオンラインエンジニアセミナー</t>
  </si>
  <si>
    <t>（火11）エンジニア（電機系）_希望
（火18）エンジニア系✕4
（水09）ランキング_エンジニア（IT系）_希望
（月11）エンジニア（IT系）_希望</t>
  </si>
  <si>
    <r>
      <rPr>
        <rFont val="arial,sans,sans-serif"/>
      </rPr>
      <t xml:space="preserve">━━━━━━━━━━━━━━━━━
ちょまど・大平かづみ・松井菜穂子登壇！オンラインイベント開催
≪女性エンジニアのキャリアのお悩み相談室 with『Code Polaris』≫
━━━━━━━━━━━━━ PR ━━
2021年2月15日（月）18：30～20：00　＠Zoomウェビナー
女性エンジニア向けコミュニティ『Code Polaris』とのコラボイベントです！
▼エントリーはこちらから▼
</t>
    </r>
    <r>
      <rPr>
        <rFont val="arial,sans,sans-serif"/>
        <color rgb="FF1155CC"/>
        <u/>
      </rPr>
      <t>https://woman-type.jp/wt/feature/19685/?waad=PTsI4tlR&amp;routeway=85</t>
    </r>
    <r>
      <rPr>
        <rFont val="arial,sans,sans-serif"/>
      </rPr>
      <t xml:space="preserve">
━━━━━━━━━━━━━━━━━</t>
    </r>
  </si>
  <si>
    <t>type横浜フェア</t>
  </si>
  <si>
    <t>（火16）未経験オフィスワーク
（火16）未経験オフィスワーク_35歳以上
（火17）応募ランキングA
（火19）TP部_営業_現住所
（木12）応募ランキングB
（木13）TP部_事務_現住所
（木14）リモートワーク A
（金08）既婚者
（金08）未婚者
（土14）横浜
（日20）正社員
（日20）正社員_35歳以上
（月10）TP部_事務_希望地
（月13）リモートワーク B
（月16）事務職 B
（月16）事務職_35歳以上 B
（月20）20～35歳正社員求人
（月20）36歳以上正社員求人</t>
  </si>
  <si>
    <r>
      <rPr>
        <rFont val="arial,sans,sans-serif"/>
      </rPr>
      <t xml:space="preserve">━[PR]━━━━━━━━━━━☆★━
＜コロナ禍での就職活動を応援！＞
3/13(土)横浜市経済局主催のオンライン就職フェアを開催します。
</t>
    </r>
    <r>
      <rPr>
        <rFont val="arial,sans,sans-serif"/>
        <color rgb="FF1155CC"/>
        <u/>
      </rPr>
      <t>https://type.jp/s/fair/yokohama/index2.html?waad=O1PnwDjr</t>
    </r>
    <r>
      <rPr>
        <rFont val="arial,sans,sans-serif"/>
      </rPr>
      <t xml:space="preserve">
リモートOKや全国に勤務地がある企業も出展しています。
横浜で働きたい方はもちろん、全国から参加をお待ちしています！
━━━━━━━━━━━━━━━━━</t>
    </r>
  </si>
  <si>
    <t>ETカンファレンス</t>
  </si>
  <si>
    <t>（火18）エンジニア系メルマガ4本
（水09）ランキング_エンジニア(IT系)_希望
（金11）今週の人気求人ランキング
（月11）エンジニア（IT系)_希望</t>
  </si>
  <si>
    <r>
      <rPr>
        <rFont val="arial,sans,sans-serif"/>
      </rPr>
      <t xml:space="preserve">━[PR]━━━━━━━━━━━☆★━
 ＼2021/4/14(火)～4/17(土) ／
【無料】オンラインカンファレンス開催！
女性エンジニア向けセッションや
登壇者へのQ&amp;Aコーナーも☆
ENGINEER キャリアデザインウィーク
▼詳細・事前登録はこちらから
</t>
    </r>
    <r>
      <rPr>
        <rFont val="arial,sans,sans-serif"/>
        <color rgb="FF1155CC"/>
        <u/>
      </rPr>
      <t>https://type.jp/et/feature/ecdw2021/?waad=mkQiadNr</t>
    </r>
    <r>
      <rPr>
        <rFont val="arial,sans,sans-serif"/>
      </rPr>
      <t xml:space="preserve">
━━━━━━━━━━━━━━━━━</t>
    </r>
  </si>
  <si>
    <t>キャリアメールアドレス注意</t>
  </si>
  <si>
    <t>（水14）編集部オススメ_事務
（土12）編集部オススメ_営業</t>
  </si>
  <si>
    <t>━━━★メールアドレスご確認のお願い★━━━━
大手3キャリアの新料金プランをご検討中の皆様へ
https://woman-type.jp/s/help/mailadress/
━━━━━━━━━━━━━━━━━━━━━━━</t>
  </si>
  <si>
    <r>
      <rPr>
        <rFont val="arial,sans,sans-serif"/>
      </rPr>
      <t>━━━━━━━━━━━━━ PR ━━
4月24日(土)11:00～
【花王×女の転職type 共催セミナー】
オンラインでも映えるメイクレッスン！
プロが教えるWeb面接＆マスクメイク対策
▼エントリーはこちらから▼</t>
    </r>
    <r>
      <rPr>
        <rFont val="arial,sans,sans-serif"/>
        <color rgb="FF000000"/>
      </rPr>
      <t xml:space="preserve">
</t>
    </r>
    <r>
      <rPr>
        <rFont val="arial,sans,sans-serif"/>
        <color rgb="FF1155CC"/>
        <u/>
      </rPr>
      <t>https://woman-type.jp/academia/newsrelease/2021y/post-35/?waad=sPKb5tTj</t>
    </r>
    <r>
      <rPr>
        <rFont val="arial,sans,sans-serif"/>
      </rPr>
      <t xml:space="preserve">
━━━━━━━━━━━━━━━━━</t>
    </r>
  </si>
  <si>
    <t>━[PR]━━━━━━━━━━━☆★━
＼4/14(火)～4/17(土) 無料ウェビナー ／
女性エンジニアの悩みを語り合おう！
『Code Polaris』座談会
https://ecdw2021.connpass.com/event/205827/
▼『Code Polaris』への相談を募集中！
https://cutt.ly/AcQGrGO
━━━━━━━━━━━━━━━━━</t>
  </si>
  <si>
    <t>女性フェアONLINE</t>
  </si>
  <si>
    <t>（火10）事務_販サ経験者向け_東京
（火18）エンジニア系4本
（水18）営業系6本
（木10）経験活かせる_営業
（木10）経験活かせる_事務
（月18）事務系6本</t>
  </si>
  <si>
    <r>
      <rPr>
        <rFont val="arial,sans,sans-serif"/>
      </rPr>
      <t xml:space="preserve">┏━━.+゜☆+.女の転職type 転職イベント━━━┓
★6/26(土)女性のための転職イベントをオンライン開催予定★
</t>
    </r>
    <r>
      <rPr>
        <rFont val="arial,sans,sans-serif"/>
        <color rgb="FF1155CC"/>
        <u/>
      </rPr>
      <t>https://woman-type.jp/s/event/online/index2.html?waad=Vi8ikdfU</t>
    </r>
    <r>
      <rPr>
        <rFont val="arial,sans,sans-serif"/>
      </rPr>
      <t xml:space="preserve">
┗━━━━━━━━━━━━━━━ .+゜☆+.━━┛</t>
    </r>
  </si>
  <si>
    <t>販サ＆神奈川大特集</t>
  </si>
  <si>
    <t>マイページリリース</t>
  </si>
  <si>
    <t>（水14）編集部オススメ_事務</t>
  </si>
  <si>
    <r>
      <rPr>
        <rFont val="arial,sans,sans-serif"/>
      </rPr>
      <t xml:space="preserve">━━━━★女の転職type リリース広報★━━━━
4月27日(火)に『PC版マイページ』を大幅刷新！
リトルミイがイメージキャラクターとして登場！
レジュメ入力状況がひと目で分かる「入力率」も新設。
ぜひ、PCからログインしてご確認ください。
▼マイページはこちら▼
</t>
    </r>
    <r>
      <rPr>
        <rFont val="arial,sans,sans-serif"/>
        <color rgb="FF1155CC"/>
        <u/>
      </rPr>
      <t>https://woman-type.jp/mypage/?waad=bSztBO5J&amp;routeway=85</t>
    </r>
    <r>
      <rPr>
        <rFont val="arial,sans,sans-serif"/>
      </rPr>
      <t xml:space="preserve">
━━━━━━━━━━━━━━━━━━━━━━━</t>
    </r>
  </si>
  <si>
    <t>PR89の上にいれる</t>
  </si>
  <si>
    <r>
      <rPr>
        <rFont val="arial,sans,sans-serif"/>
      </rPr>
      <t xml:space="preserve">┏━━━★期間限定特集★━━━━┓
◆「“理想の働き方”から長く働ける職場を見つける！」大特集◆
</t>
    </r>
    <r>
      <rPr>
        <rFont val="arial,sans,sans-serif"/>
        <color rgb="FF1155CC"/>
        <u/>
      </rPr>
      <t>https://woman-type.jp/s/careertype/?waad=Whzxo6Kw</t>
    </r>
    <r>
      <rPr>
        <rFont val="arial,sans,sans-serif"/>
      </rPr>
      <t xml:space="preserve">
┗━━━━━━━━━━━━━━━┛</t>
    </r>
  </si>
  <si>
    <t>ベアーズ様家事テクセミナー</t>
  </si>
  <si>
    <t>（火18）エンジニア系✕4本
（水14）編集部オススメ_事務
（水18）営業系✕4本
（木18）販サ系✕6本
（金18）クリエイティブ系✕4本
（土12）編集部オススメ_営業
（日18）コンサル専門職系✕4本
（月18）事務系✕6本</t>
  </si>
  <si>
    <t>━━━━━━━━━━━━━ PR ━━
7月31日(土)11:00～
【ベアーズ×女の転職type共催】
おうち時間をもっと豊かに！働く女性のラク家事セミナー
▼エントリーはこちらから▼
https://woman-type.jp/academia/newsrelease/2021y/post-48/?waad=vpjglkx7&amp;routeway85
━━━━━━━━━━━━━━━━━</t>
  </si>
  <si>
    <t>LINEレコメンド配信スタート</t>
  </si>
  <si>
    <t>━━━━━━━━━━━━━ ★ ━━
【女の転職type LINEでオススメ求人配信を開始♪】
ともだち追加であなたの行動履歴に合う求人がLINEに届く！
▼ともだち追加▼
https://lin.ee/dcpYiiK
▼アカウント連携▼
https://woman-type.jp/mypage/#service
「外部サービスとのアカウント連携」から
「連携する」をON！
━━━━━━━━━━━━━━━━━</t>
  </si>
  <si>
    <t>介護大特集＆IT・Web業界大特集</t>
  </si>
  <si>
    <t>┏━━━★期間限定特集★━━━━┓
◆専門知識を活かして社会に貢献！介護・保育・医療・福祉業界に関わる仕事特集◆
https://woman-type.jp/s/kaigosp/?waad=fb5rf2VK
◆専門スキルを身につけられる！IT・Web業界大特集◆
https://woman-type.jp/s/websp/?waad=SUBUNnw7
┗━━━━━━━━━━━━━━━┛</t>
  </si>
  <si>
    <t>横浜イベント</t>
  </si>
  <si>
    <t xml:space="preserve">（木19）神奈川_路線
（土14）横浜
（月8）始業10時
</t>
  </si>
  <si>
    <t>━[PR]━━━━━━━━━━━☆★━
＜横浜市×女の転職type＞
働きやすい環境づくりに注力している「よこはまグッドバランス賞」
認定企業のみを集めた特別webセミナーを開催します！
https://woman-type.jp/seminar/detail/31465/?waad=ePmIku8r
＊参加無料＊未経験求人多数＊その場でオンライン面談も＊
━━━━━━━━━━━━━━━━━</t>
  </si>
  <si>
    <t>IT・WEB業界大特集（経験者向け※新規）</t>
  </si>
  <si>
    <t>┏━━.+゜☆+.期間限定特集━━━┓
★スキルアップしながら長く働く！エンジニア経験者のためのIT・Web業界大特集★
https://woman-type.jp/s/itweb/?waad=4frWJiXC
┗━━━━━━━━ .+゜☆+. ━━┛</t>
  </si>
  <si>
    <t>働き方・キャリアのタイプ別大特集＆神奈川大特集</t>
  </si>
  <si>
    <t>┏━━.+゜☆+.期間限定特集━━━┓
★愛される街  神奈川県の仕事特集★
https://woman-type.jp/s/kanagawa/?waad=0wLFOZsX
◆「“理想の働き方”から長く働ける職場を見つける！」大特集◆
https://woman-type.jp/s/careertype/?waad=Whzxo6Kw
┗━━━━━━━━ .+゜☆+. ━━┛</t>
  </si>
  <si>
    <t>未経験LP</t>
  </si>
  <si>
    <t>（月18）事務_経験_首都圏版
（火11）事務（経理）_希望
（木18）販サ_経験_首都圏版
（火20）20代に人気
（火20）20代に人気_第二新卒
（火16）未経験オフィスワーク</t>
  </si>
  <si>
    <r>
      <rPr>
        <rFont val="arial,sans,sans-serif"/>
      </rPr>
      <t xml:space="preserve">┏.+゜☆+.━━━━━━━━ ━.+゜☆+. ゜┓
～未経験からでも大丈夫◎　目指せ手に職！ITエンジニア～
</t>
    </r>
    <r>
      <rPr>
        <rFont val="arial,sans,sans-serif"/>
        <color rgb="FF1155CC"/>
        <u/>
      </rPr>
      <t>https://woman-type.jp/s/itengineer/?waad=VVvspZ7A</t>
    </r>
    <r>
      <rPr>
        <rFont val="arial,sans,sans-serif"/>
      </rPr>
      <t xml:space="preserve">
┗.+゜☆+. ゜━ ━━━━━━━━.+゜☆+.┛</t>
    </r>
  </si>
  <si>
    <t>無期限</t>
  </si>
  <si>
    <t>終了↓ 定期化</t>
  </si>
  <si>
    <t>┏━━.+゜☆+.期間限定特集━━━┓
◆手に職つけて社会に貢献！介護・保育・医療・福祉業界に関わる仕事特集◆
https://woman-type.jp/s/kaigosp/?waad=fb5rf2VK
★スキルアップしながら長く働く！エンジニア経験者のためのIT・Web業界大特集★
https://woman-type.jp/s/itweb/?waad=4frWJiXC
┗━━━━━━━━ .+゜☆+. ━━┛</t>
  </si>
  <si>
    <r>
      <rPr>
        <rFont val="arial,sans,sans-serif"/>
        <b/>
        <sz val="8.0"/>
      </rPr>
      <t>▼2/22週　追加済み</t>
    </r>
    <r>
      <rPr>
        <rFont val="arial,sans,sans-serif"/>
        <sz val="8.0"/>
      </rPr>
      <t xml:space="preserve">
（月11）エンジニア（IT系）_希望　</t>
    </r>
    <r>
      <rPr>
        <rFont val="arial,sans,sans-serif"/>
        <color rgb="FFFF0000"/>
        <sz val="8.0"/>
      </rPr>
      <t>★RPA</t>
    </r>
    <r>
      <rPr>
        <rFont val="arial,sans,sans-serif"/>
        <sz val="8.0"/>
      </rPr>
      <t xml:space="preserve">
</t>
    </r>
    <r>
      <rPr>
        <rFont val="arial,sans,sans-serif"/>
        <b/>
        <sz val="8.0"/>
      </rPr>
      <t xml:space="preserve">▼3/1週　追加分
</t>
    </r>
    <r>
      <rPr>
        <rFont val="arial,sans,sans-serif"/>
        <sz val="8.0"/>
      </rPr>
      <t xml:space="preserve">（火18）エンジニア系4本
（水9）ランキング_エンジニア（IT系）_希望　</t>
    </r>
    <r>
      <rPr>
        <rFont val="arial,sans,sans-serif"/>
        <color rgb="FFFF0000"/>
        <sz val="8.0"/>
      </rPr>
      <t>★RPA</t>
    </r>
    <r>
      <rPr>
        <rFont val="arial,sans,sans-serif"/>
        <sz val="8.0"/>
      </rPr>
      <t xml:space="preserve">
（木8）人気検索KW_エンジニア系希望
</t>
    </r>
    <r>
      <rPr>
        <rFont val="arial,sans,sans-serif"/>
        <b/>
        <sz val="8.0"/>
      </rPr>
      <t xml:space="preserve">▼3/8週　急遽追加
</t>
    </r>
    <r>
      <rPr>
        <rFont val="arial,sans,sans-serif"/>
        <sz val="8.0"/>
      </rPr>
      <t xml:space="preserve">（土8）求人特集(35歳未満） B
（月12）納品対策
</t>
    </r>
    <r>
      <rPr>
        <rFont val="arial,sans,sans-serif"/>
        <b/>
        <sz val="8.0"/>
      </rPr>
      <t xml:space="preserve">▼3/22週　追加分
</t>
    </r>
    <r>
      <rPr>
        <rFont val="arial,sans,sans-serif"/>
        <sz val="8.0"/>
      </rPr>
      <t>（水8）求人特集(35歳未満) A
（火金13）新着総合_首都圏</t>
    </r>
  </si>
  <si>
    <t>┏━━.+゜☆+.女の転職type 転職イベント━━━┓
★3/26(土)女性エンジニアのための転職イベントをONLINE開催予定★
Amazonギフト券最大5000円分のプレゼントあり！
https://woman-type.jp/s/event/online-engineer/?waad=Vi8ikdfU
┗━━━━━━━━━━━━━━━ .+゜☆+.━━┛</t>
  </si>
  <si>
    <t>WT差し込み</t>
  </si>
  <si>
    <t>2/22週のみ以下のメルマガに差し込む
（金10）40代向け_ワークライフバランス
（土10）検討中ランキング_営業
（土10）検討中ランキング_コンサル
（土10）検討中ランキング_エンジニア
（土10）検討中ランキング_介護
（日11）年5日の連休取得可能</t>
  </si>
  <si>
    <r>
      <rPr>
        <rFont val="arial,sans,sans-serif"/>
      </rPr>
      <t xml:space="preserve">┏━━━━━━━★Woman typeの注目コンテンツ★━━━━━━━━┓
★【驚愕】オンライン面接で珍事件。転職者が暴露する人事・採用担当のあり得ない行動
</t>
    </r>
    <r>
      <rPr>
        <rFont val="arial,sans,sans-serif"/>
        <color rgb="FF1155CC"/>
        <u/>
      </rPr>
      <t>https://woman-type.jp/wt/feature/24127?waad=x2brFVcz&amp;routeway=91</t>
    </r>
    <r>
      <rPr>
        <rFont val="arial,sans,sans-serif"/>
      </rPr>
      <t xml:space="preserve">
★「専業主婦の妻がいる男性社員に嫉妬」30代女性の悩みを識者3人に相談してみた
https://woman-type.jp/wt/feature/23647?waad=x2brFVcz&amp;routeway=91
★人気クリエイター・もくもくちゃん連載「がんばるきみに、お星さまあげる」
https://woman-type.jp/wt/feature/23894?waad=x2brFVcz&amp;routeway=91
★100万超え高額プログラムに受講希望者殺到のワケ 「自分らしく生きる女性増やしたい」Ms.Engineer代表・やまざきひとみの原動力
https://woman-type.jp/wt/feature/23846?waad=x2brFVcz&amp;routeway=91
┗━━━━━━━━━━━━━━━━━━━━━━━━━━━━━━━┛</t>
    </r>
  </si>
  <si>
    <t>IT・WEB業界大特集</t>
  </si>
  <si>
    <t>マガシーク様
面接ファッションコラボページ</t>
  </si>
  <si>
    <t>（金17）Womantype</t>
  </si>
  <si>
    <r>
      <rPr>
        <rFont val="arial,sans,sans-serif"/>
      </rPr>
      <t xml:space="preserve">┏━━━ マガシーク×女の転職type ━━━┓
プチプラアイテムを活用！好印象を与える面接ファッション
</t>
    </r>
    <r>
      <rPr>
        <rFont val="arial,sans,sans-serif"/>
        <color rgb="FF1155CC"/>
        <u/>
      </rPr>
      <t>https://woman-type.jp/s/campaign36/?waad=7kLaLdLk</t>
    </r>
    <r>
      <rPr>
        <rFont val="arial,sans,sans-serif"/>
      </rPr>
      <t xml:space="preserve">
┗━━━━━━━━━━━━━━━━━━━┛</t>
    </r>
  </si>
  <si>
    <t>フッター文言の前に入れる</t>
  </si>
  <si>
    <t>関西大特集
販売サービス大特集</t>
  </si>
  <si>
    <r>
      <rPr>
        <rFont val="arial,sans,sans-serif"/>
      </rPr>
      <t xml:space="preserve">┏━━━★期間限定特集★━━━━┓
◆実は魅力がたくさん！「サービス・販売系職種」大特集◆
</t>
    </r>
    <r>
      <rPr>
        <rFont val="arial,sans,sans-serif"/>
        <color rgb="FF1155CC"/>
        <u/>
      </rPr>
      <t>https://woman-type.jp/s/service/?waad=fjHIdBUn</t>
    </r>
    <r>
      <rPr>
        <rFont val="arial,sans,sans-serif"/>
      </rPr>
      <t xml:space="preserve">
◆大阪エリアで働きたい人のための関西大特集◆
</t>
    </r>
    <r>
      <rPr>
        <rFont val="arial,sans,sans-serif"/>
        <color rgb="FF1155CC"/>
        <u/>
      </rPr>
      <t>https://woman-type.jp/s/kansai/?waad=PtjnBstP</t>
    </r>
    <r>
      <rPr>
        <rFont val="arial,sans,sans-serif"/>
      </rPr>
      <t xml:space="preserve">
┗━━━━━━━━━━━━━━━┛</t>
    </r>
  </si>
  <si>
    <r>
      <rPr>
        <rFont val="arial,sans,sans-serif"/>
        <sz val="8.0"/>
      </rPr>
      <t>（火18）エンジニア系メルマガ4本
（水09）ランキング_エンジニア(IT系)_希望</t>
    </r>
    <r>
      <rPr>
        <rFont val="arial,sans,sans-serif"/>
        <color rgb="FFFF0000"/>
        <sz val="8.0"/>
      </rPr>
      <t xml:space="preserve">　★RPA</t>
    </r>
    <r>
      <rPr>
        <rFont val="arial,sans,sans-serif"/>
        <sz val="8.0"/>
      </rPr>
      <t xml:space="preserve">
（金11）今週の人気求人ランキング</t>
    </r>
    <r>
      <rPr>
        <rFont val="arial,sans,sans-serif"/>
        <color rgb="FFF4295C"/>
        <sz val="8.0"/>
      </rPr>
      <t xml:space="preserve">　★RPA</t>
    </r>
    <r>
      <rPr>
        <rFont val="arial,sans,sans-serif"/>
        <sz val="8.0"/>
      </rPr>
      <t xml:space="preserve">
（月11）エンジニア（IT系)_希望</t>
    </r>
    <r>
      <rPr>
        <rFont val="arial,sans,sans-serif"/>
        <color rgb="FFFF0000"/>
        <sz val="8.0"/>
      </rPr>
      <t xml:space="preserve">　★RPA</t>
    </r>
  </si>
  <si>
    <r>
      <rPr>
        <rFont val="arial,sans,sans-serif"/>
        <color rgb="FFCCCCCC"/>
        <sz val="8.0"/>
      </rPr>
      <t>▼パターン① 5/24週・5/31週　※赤文字部分コピペ
＝＝＝＝＝＝＝＝＝＝＝＝＝
 ＼2022/6/21(火)～6/25(土) ／
【無料】エンジニア向けオンラインイベント開催！
落合陽一、澤円、せきぐちあいみ、
池澤あやか、玉城絵美、戸倉彩など
著名な技術者たちの登壇が決定！
▼詳細・事前登録はこちらから
http://type.jp/et/feature/lp/ecdw2022/?waad=WJQEgzul
＝＝＝＝＝＝＝＝＝＝＝＝＝
▼パターン② 6/7週　※赤文字部分コピペ
＝＝＝＝＝＝＝＝＝＝＝＝＝
 ＼2022/6/21(火)～6/25(土) ／
【無料】エンジニア向けオンラインイベント開催！
シナモンAI 平野未来×戸倉彩×池澤あやか 
女性エンジニアが熱く・長く働き続けるには？
特別セッションあり！
▼詳細・事前登録はこちらから
http://type.jp/et/feature/lp/ecdw2022/?waad=WJQEgzul
＝＝＝＝＝＝＝＝＝＝＝＝＝</t>
    </r>
    <r>
      <rPr>
        <rFont val="arial,sans,sans-serif"/>
        <color rgb="FF999999"/>
        <sz val="8.0"/>
      </rPr>
      <t xml:space="preserve">
</t>
    </r>
    <r>
      <rPr>
        <rFont val="arial,sans,sans-serif"/>
        <color rgb="FFCCCCCC"/>
        <sz val="8.0"/>
      </rPr>
      <t>▼パターン③ 6/14週　※赤文字部分コピペ
＝＝＝＝＝＝＝＝＝＝＝＝＝
【開催間近！】2022/6/21(火)～6/25(土)
＼無料オンラインカンファレンスのお知らせ／
豪華ゲスト、女性技術者続々登壇！
技術者が学ぶ、つながる５日間
ENGINEER キャリアデザインウィーク
▼詳細・事前登録はこちらから
http://type.jp/et/feature/lp/ecdw2022/?waad=WJQEgzul
＝＝＝＝＝＝＝＝＝＝＝＝＝</t>
    </r>
    <r>
      <rPr>
        <rFont val="arial,sans,sans-serif"/>
        <color rgb="FFCCCCCC"/>
        <sz val="8.0"/>
        <u/>
      </rPr>
      <t xml:space="preserve">
</t>
    </r>
    <r>
      <rPr>
        <rFont val="arial,sans,sans-serif"/>
        <color rgb="FF999999"/>
        <sz val="8.0"/>
        <u/>
      </rPr>
      <t xml:space="preserve">
</t>
    </r>
    <r>
      <rPr>
        <rFont val="arial,sans,sans-serif"/>
        <color rgb="FF999999"/>
        <sz val="8.0"/>
      </rPr>
      <t xml:space="preserve">▼パターン④ 6/21週　※赤文字部分コピペ
</t>
    </r>
    <r>
      <rPr>
        <rFont val="arial,sans,sans-serif"/>
        <color rgb="FFFF0000"/>
        <sz val="8.0"/>
      </rPr>
      <t xml:space="preserve">＝＝＝＝＝＝＝＝＝＝＝＝＝
【開催中！】2022/6/21(火)～6/25(土)
＼無料オンラインカンファレンスのお知らせ／
豪華ゲスト、女性技術者続々登壇！
技術者が学ぶ、つながる５日間
ENGINEER キャリアデザインウィーク
▼詳細・事前登録はこちらから
</t>
    </r>
    <r>
      <rPr>
        <rFont val="arial,sans,sans-serif"/>
        <color rgb="FF1155CC"/>
        <sz val="8.0"/>
        <u/>
      </rPr>
      <t>http://type.jp/et/feature/lp/ecdw2022/?waad=WJQEgzul</t>
    </r>
    <r>
      <rPr>
        <rFont val="arial,sans,sans-serif"/>
        <color rgb="FFFF0000"/>
        <sz val="8.0"/>
      </rPr>
      <t xml:space="preserve">
＝＝＝＝＝＝＝＝＝＝＝＝＝</t>
    </r>
    <r>
      <rPr>
        <rFont val="arial,sans,sans-serif"/>
        <color rgb="FF999999"/>
        <sz val="8.0"/>
      </rPr>
      <t xml:space="preserve">
</t>
    </r>
  </si>
  <si>
    <t>WTオンラインエンジニアイベント</t>
  </si>
  <si>
    <r>
      <rPr>
        <rFont val="arial,sans,sans-serif"/>
        <sz val="8.0"/>
      </rPr>
      <t>（火13）★新着総合_首都圏 A
（水19）未経験_研修・資格_エンジニア系_首都圏</t>
    </r>
    <r>
      <rPr>
        <rFont val="arial,sans,sans-serif"/>
        <color rgb="FFF4295C"/>
        <sz val="8.0"/>
      </rPr>
      <t xml:space="preserve">　★RPA</t>
    </r>
    <r>
      <rPr>
        <rFont val="arial,sans,sans-serif"/>
        <sz val="8.0"/>
      </rPr>
      <t xml:space="preserve">
（木19）未経験エンジニア希望向け_首都圏</t>
    </r>
    <r>
      <rPr>
        <rFont val="arial,sans,sans-serif"/>
        <color rgb="FFF4295C"/>
        <sz val="8.0"/>
      </rPr>
      <t xml:space="preserve">　★RPA</t>
    </r>
    <r>
      <rPr>
        <rFont val="arial,sans,sans-serif"/>
        <sz val="8.0"/>
      </rPr>
      <t xml:space="preserve">
（金13）新着総合_首都圏 B</t>
    </r>
  </si>
  <si>
    <t>┏━━━ PR★参加無料イベント━━━┓
2022年6月8日（水）18：00～19：30
女の転職type編集長＆注目企業の人事が登壇！
「未経験から手に職」を応援するオンラインイベント
▼エントリーこちらから▼
https://woman-type.jp/seminar/detail/31493/?routeway=91
━━━━━━━━━━━━━━━━
平均年収が高く、長く働ける「手に職」として注目度の高まるエンジニア職。
Webマガジン『Woman type』が、
「未経験者のエンジニア転職」をテーマにしたオンラインイベントを開催！
エンジニアという仕事の基本情報や、転職市場における女性ニーズ、
転職活動時に求人を見るコツ、人事が書類選考や面接でチェックしているポイントなど、
「未経験からエンジニアになる」ために役立つ情報をトークセッションします。
■ゲスト
女の転職type　編集長　小林 佳代子
type転職エージェント　キャリアアドバイザー　江口 歌奈子
サイボウズ、GMOあおぞらネット銀行、ワークスアイディの人事・採用担当
┗━━━━━━━━━━━━━━━━━┛</t>
  </si>
  <si>
    <r>
      <rPr>
        <rFont val="arial,sans,sans-serif"/>
        <color rgb="FFFF0000"/>
        <sz val="10.0"/>
      </rPr>
      <t>※メルマガごとに入れる場所を分けて
ご対応お願いします！</t>
    </r>
    <r>
      <rPr>
        <rFont val="arial,sans,sans-serif"/>
        <sz val="10.0"/>
      </rPr>
      <t xml:space="preserve">
</t>
    </r>
    <r>
      <rPr>
        <rFont val="arial,sans,sans-serif"/>
        <sz val="10.0"/>
      </rPr>
      <t xml:space="preserve">①（火13）新着総合_首都圏 A
②（金13）新着総合_首都圏 B
→フッタの前に入れる
③（水19）未経験_研修・資格_エンジニア系_首都圏
④（木19）未経験エンジニア希望向け_首都圏
→リード文の下にいれる
</t>
    </r>
    <r>
      <rPr>
        <rFont val="arial,sans,sans-serif"/>
        <sz val="10.0"/>
      </rPr>
      <t xml:space="preserve">
</t>
    </r>
  </si>
  <si>
    <r>
      <rPr>
        <rFont val="arial,sans,sans-serif"/>
        <sz val="8.0"/>
      </rPr>
      <t xml:space="preserve">（月20）20～35歳正社員求人
（火9）ランキング_クリエイティブ（Web）_希望
（水9）ランキング_クリエイティブ（その他）_希望
</t>
    </r>
    <r>
      <rPr>
        <rFont val="arial,sans,sans-serif"/>
        <color rgb="FFFF0000"/>
        <sz val="8.0"/>
      </rPr>
      <t>LすべてRPAのため、PR削除後は、RPA化に戻す</t>
    </r>
  </si>
  <si>
    <t>【PR：6/22無料イベント】━━━━━━━━━━━
★女の転職type×デジタルハリウッドstudioによる無料イベント★
　～クリエイティブスキルで広がるキャリアとは？～
開催日時：2022年6月22日(水)19時00分～20時30分
配信ツール：Zoomウェビナーまたはデジタルハリウッドstudio新宿
第一部：トークセミナー（19時00分～20時00分）
■30代向けNEWキャリアデザイン
・VUCA時代に抑えておきたい女性のキャリア
・働き方スタイル
・面接のときの注意点　など
■デジタルハリウッド卒業生を交えたトーク会
第二部：交流会（20時00分～20時30分）※オフライン参加者のみ
■登壇者とのコーヒー付き交流会
▼詳細・エントリーはこちら。当日参加も歓迎
https://woman-type.jp/wt/feature/25627/
━━━━━━━━━━━━━━━━━━━━━━━━</t>
  </si>
  <si>
    <t>6/20(月)</t>
  </si>
  <si>
    <t>6/22(水)</t>
  </si>
  <si>
    <t>IT大特集（経験者向け）</t>
  </si>
  <si>
    <t>介護大特集＆神奈川大特集</t>
  </si>
  <si>
    <r>
      <rPr>
        <rFont val="arial,sans,sans-serif"/>
      </rPr>
      <t xml:space="preserve">┏━━━★期間限定特集★━━━━┓
◆手に職つけて社会に貢献！介護・保育・医療・福祉業界に関わる仕事特集◆
https://woman-type.jp/s/kaigosp/?waad=fb5rf2VK
★愛される街  神奈川県の仕事特集★
</t>
    </r>
    <r>
      <rPr>
        <rFont val="arial,sans,sans-serif"/>
        <color rgb="FF1155CC"/>
        <u/>
      </rPr>
      <t>https://woman-type.jp/s/kanagawa/?waad=0wLFOZsX</t>
    </r>
    <r>
      <rPr>
        <rFont val="arial,sans,sans-serif"/>
      </rPr>
      <t xml:space="preserve">
┗━━━━━━━━━━━━━━━┛</t>
    </r>
  </si>
  <si>
    <r>
      <rPr>
        <rFont val="arial,sans,sans-serif"/>
      </rPr>
      <t xml:space="preserve">┏━━━★期間限定特集★━━━━┓
◆「“理想の働き方”から長く働ける職場を見つける！」大特集◆
</t>
    </r>
    <r>
      <rPr>
        <rFont val="arial,sans,sans-serif"/>
        <color rgb="FF1155CC"/>
        <u/>
      </rPr>
      <t>https://woman-type.jp/s/careertype/?waad=Whzxo6Kw</t>
    </r>
    <r>
      <rPr>
        <rFont val="arial,sans,sans-serif"/>
      </rPr>
      <t xml:space="preserve">
┗━━━━━━━━━━━━━━━┛</t>
    </r>
  </si>
  <si>
    <r>
      <rPr>
        <rFont val="arial,sans,sans-serif"/>
        <sz val="8.0"/>
      </rPr>
      <t xml:space="preserve">（月8）高収入_リモート_エンジニアクリエイティブ
（月11）エンジニア（IT系）_希望　</t>
    </r>
    <r>
      <rPr>
        <rFont val="arial,sans,sans-serif"/>
        <color rgb="FFFF0000"/>
        <sz val="8.0"/>
      </rPr>
      <t>★RPA</t>
    </r>
    <r>
      <rPr>
        <rFont val="arial,sans,sans-serif"/>
        <b/>
        <sz val="8.0"/>
      </rPr>
      <t xml:space="preserve">
</t>
    </r>
    <r>
      <rPr>
        <rFont val="arial,sans,sans-serif"/>
        <sz val="8.0"/>
      </rPr>
      <t xml:space="preserve">（火18）エンジニア系4本
（水9）ランキング_エンジニア（IT系）_希望　</t>
    </r>
    <r>
      <rPr>
        <rFont val="arial,sans,sans-serif"/>
        <color rgb="FFFF0000"/>
        <sz val="8.0"/>
      </rPr>
      <t>★RPA</t>
    </r>
    <r>
      <rPr>
        <rFont val="arial,sans,sans-serif"/>
        <sz val="8.0"/>
      </rPr>
      <t xml:space="preserve">
（木8）人気検索KW_エンジニア系希望
</t>
    </r>
    <r>
      <rPr>
        <rFont val="arial,sans,sans-serif"/>
        <b/>
        <color rgb="FFFF0000"/>
        <sz val="9.0"/>
      </rPr>
      <t>▼最終週のみ追加</t>
    </r>
    <r>
      <rPr>
        <rFont val="arial,sans,sans-serif"/>
        <b/>
        <color rgb="FFB7B7B7"/>
        <sz val="9.0"/>
      </rPr>
      <t xml:space="preserve">
</t>
    </r>
    <r>
      <rPr>
        <rFont val="arial,sans,sans-serif"/>
        <color rgb="FFFF0000"/>
        <sz val="8.0"/>
      </rPr>
      <t>（土8）求人特集(35歳未満） B</t>
    </r>
    <r>
      <rPr>
        <rFont val="arial,sans,sans-serif"/>
        <b/>
        <color rgb="FFFF0000"/>
        <sz val="8.0"/>
      </rPr>
      <t xml:space="preserve">
</t>
    </r>
    <r>
      <rPr>
        <rFont val="arial,sans,sans-serif"/>
        <color rgb="FFFF0000"/>
        <sz val="8.0"/>
      </rPr>
      <t>（水8）求人特集(35歳未満) A
（火金13）新着総合_首都圏</t>
    </r>
  </si>
  <si>
    <r>
      <rPr>
        <rFont val="Arial"/>
      </rPr>
      <t xml:space="preserve">┏━━.+゜☆+.女の転職type 転職イベント━━━┓
★10/8(土)女性エンジニアのための転職イベントONLINE開催★
Amazonギフト券最大5000円分のプレゼントあり！
</t>
    </r>
    <r>
      <rPr>
        <rFont val="Arial"/>
        <color rgb="FF1155CC"/>
        <u/>
      </rPr>
      <t>https://woman-type.jp/s/event/online-engineer/?waad=Vi8ikdfU</t>
    </r>
    <r>
      <rPr>
        <rFont val="Arial"/>
      </rPr>
      <t xml:space="preserve">
┗━━━━━━━━━━━━━━━ .+゜☆+.━━┛</t>
    </r>
  </si>
  <si>
    <t>ITWEB大特集</t>
  </si>
  <si>
    <r>
      <rPr>
        <rFont val="arial,sans,sans-serif"/>
      </rPr>
      <t xml:space="preserve">┏━━━★期間限定特集★━━━━┓
◆専門スキルを身につけられる！IT・Web業界大特集◆
</t>
    </r>
    <r>
      <rPr>
        <rFont val="arial,sans,sans-serif"/>
        <color rgb="FF1155CC"/>
        <u/>
      </rPr>
      <t>https://woman-type.jp/s/websp/?waad=SUBUNnw7</t>
    </r>
    <r>
      <rPr>
        <rFont val="arial,sans,sans-serif"/>
      </rPr>
      <t xml:space="preserve">
┗━━━━━━━━━━━━━━━┛</t>
    </r>
  </si>
  <si>
    <r>
      <rPr>
        <rFont val="arial,sans,sans-serif"/>
      </rPr>
      <t xml:space="preserve">┏━━━★期間限定特集★━━━━┓
◆オンもオフも輝ける！営業大特集◆
</t>
    </r>
    <r>
      <rPr>
        <rFont val="arial,sans,sans-serif"/>
        <color rgb="FF1155CC"/>
        <u/>
      </rPr>
      <t>https://woman-type.jp/s/salessp/?waad=waw0yO0y</t>
    </r>
    <r>
      <rPr>
        <rFont val="arial,sans,sans-serif"/>
      </rPr>
      <t xml:space="preserve">
┗━━━━━━━━━━━━━━━┛</t>
    </r>
  </si>
  <si>
    <t>期間中のみ以下のメルマガに差し込む
（金10）40代向け_ワークライフバランス
（土9）未経験OK_受付
（日11）年5日の連休取得可能
（月10）検討中ランキング_営業
（月10）検討中ランキング_コンサル
（月10）検討中ランキング_エンジニア
（月10）検討中ランキング_介護
（火8）休日充実_販サ系
（水10）関西_転勤なし</t>
  </si>
  <si>
    <r>
      <rPr>
        <rFont val="arial,sans,sans-serif"/>
      </rPr>
      <t xml:space="preserve">┏━━━━━━━★Woman typeの注目コンテンツ★━━━━━━━━┓
★【山下良美】Ｗ杯サッカー史上初の女性審判へ。「審判になるなんて考えていなかった」彼女の“まずやってみるマインド
</t>
    </r>
    <r>
      <rPr>
        <rFont val="arial,sans,sans-serif"/>
        <color rgb="FF1155CC"/>
        <u/>
      </rPr>
      <t>https://woman-type.jp/wt/feature/28435/?waad=x2brFVcz&amp;routeway=91</t>
    </r>
    <r>
      <rPr>
        <rFont val="arial,sans,sans-serif"/>
      </rPr>
      <t xml:space="preserve">
★「仕事も恋愛も他人に依存していた」発達障害で悩んだ過去を武器に変えたライター・姫野桂の逆転劇／大木亜希子の詰みバナ！
https://woman-type.jp/wt/feature/28394/?waad=x2brFVcz&amp;routeway=91
★30代・事務職女性が年収アップするには？ キャリアアドバイザーが提案する三種類のアクション【働く女の「はじめての転職」お悩み相談室】
https://woman-type.jp/wt/feature/28692/?waad=x2brFVcz&amp;routeway=91
★ボスからのフィードバックで気付いた「自分の在り方そのもの」の価値／週末北欧部chikaのフィンランドおしごと日記
https://woman-type.jp/wt/feature/28538/?waad=x2brFVcz&amp;routeway=91
┗━━━━━━━━━━━━━━━━━━━━━━━━━━━━━━━┛</t>
    </r>
  </si>
  <si>
    <t>リード文の下にいれる
※次回の月末増発時に外す</t>
  </si>
  <si>
    <r>
      <rPr>
        <rFont val="arial,sans,sans-serif"/>
        <sz val="8.0"/>
      </rPr>
      <t>（水19）未経験_研修・資格_エンジニア系_首都圏</t>
    </r>
    <r>
      <rPr>
        <rFont val="arial,sans,sans-serif"/>
        <color rgb="FFF4295C"/>
        <sz val="8.0"/>
      </rPr>
      <t xml:space="preserve">　★RPA</t>
    </r>
    <r>
      <rPr>
        <rFont val="arial,sans,sans-serif"/>
        <sz val="8.0"/>
      </rPr>
      <t xml:space="preserve">
（水19）フルリモート_全国_エンジニア
（木19）未経験エンジニア希望向け_首都圏</t>
    </r>
    <r>
      <rPr>
        <rFont val="arial,sans,sans-serif"/>
        <color rgb="FFF4295C"/>
        <sz val="8.0"/>
      </rPr>
      <t xml:space="preserve">　★RPA</t>
    </r>
    <r>
      <rPr>
        <rFont val="arial,sans,sans-serif"/>
        <sz val="8.0"/>
      </rPr>
      <t xml:space="preserve">
</t>
    </r>
    <r>
      <rPr>
        <rFont val="arial,sans,sans-serif"/>
        <color rgb="FFFF0000"/>
        <sz val="8.0"/>
      </rPr>
      <t>→PR差し込み期間終了後、RPA運営に戻す</t>
    </r>
  </si>
  <si>
    <t>┏━ PR★Woman type主催の無料イベント━┓
2022年12月20日（火）18：00～19：30
～エンジニアになりたい女性向け～
「未経験から手に職」を応援するオンラインイベント開催！
女の転職type編集長 × Ms.Engineer代表 × Waffle代表が登壇！
▼エントリーはこちらから▼
https://woman-type.jp/wt/feature/28810/
┗━━━━━━━━━━━━━━━━━━━┛</t>
  </si>
  <si>
    <t>志向別大特集
神奈川大特集</t>
  </si>
  <si>
    <r>
      <rPr>
        <rFont val="arial,sans,sans-serif"/>
      </rPr>
      <t xml:space="preserve">┏━━.+゜☆+.期間限定特集━━━┓
◆「“理想の働き方”から長く働ける職場を見つける！」大特集◆
https://woman-type.jp/s/careertype/?waad=Whzxo6Kw
★愛される街  神奈川県の仕事特集★
</t>
    </r>
    <r>
      <rPr>
        <rFont val="arial,sans,sans-serif"/>
        <color rgb="FF1155CC"/>
        <u/>
      </rPr>
      <t>https://woman-type.jp/s/kanagawa/?waad=0wLFOZsX</t>
    </r>
    <r>
      <rPr>
        <rFont val="arial,sans,sans-serif"/>
      </rPr>
      <t xml:space="preserve">
┗━━━━━━━━ .+゜☆+. ━━┛</t>
    </r>
  </si>
  <si>
    <t>ウキフェア</t>
  </si>
  <si>
    <r>
      <rPr>
        <rFont val="arial,sans,sans-serif"/>
        <sz val="8.0"/>
      </rPr>
      <t xml:space="preserve">（火金12）新着総合
（火金13）新着総合
（水14）編集部オススメ‗事務
（木20）事務職 A
（土12）編集部オススメ‗営業
（日9）応募ランキング C
（月12）納品対策
</t>
    </r>
    <r>
      <rPr>
        <rFont val="arial,sans,sans-serif"/>
        <color rgb="FFFF0000"/>
        <sz val="8.0"/>
      </rPr>
      <t xml:space="preserve">▼1/24週より追加
</t>
    </r>
    <r>
      <rPr>
        <rFont val="arial,sans,sans-serif"/>
        <sz val="8.0"/>
      </rPr>
      <t>（火9）ランキング_事務（一般事務）_希望
（水9）ランキング_事務（営業事務）_希望
（木10）経験活かせる_事務
（土10）検討中ランキング_事務</t>
    </r>
  </si>
  <si>
    <r>
      <rPr>
        <rFont val="arial,sans,sans-serif"/>
      </rPr>
      <t>┏━━.+゜☆+.女の転職type 転職イベント━━━┓
2023/2/4(土)12:00～18:00
渋谷ヒカリエにて女性のための転職イベント開催！
ご来場者全員にQUOカード500円分プレゼント！</t>
    </r>
    <r>
      <rPr>
        <rFont val="arial,sans,sans-serif"/>
        <color rgb="FF000000"/>
      </rPr>
      <t xml:space="preserve">
</t>
    </r>
    <r>
      <rPr>
        <rFont val="arial,sans,sans-serif"/>
        <color rgb="FF1155CC"/>
        <u/>
      </rPr>
      <t>https://woman-type.jp/s/event/?waad=lkN7G63y</t>
    </r>
    <r>
      <rPr>
        <rFont val="arial,sans,sans-serif"/>
      </rPr>
      <t xml:space="preserve">
┗━━━━━━━━━━━━━━━ .+゜☆+.━━┛</t>
    </r>
  </si>
  <si>
    <r>
      <rPr>
        <rFont val="arial,sans,sans-serif"/>
      </rPr>
      <t xml:space="preserve">リード文の下にいれる
</t>
    </r>
    <r>
      <rPr>
        <rFont val="arial,sans,sans-serif"/>
        <color rgb="FFFF0000"/>
      </rPr>
      <t>※他のPRも差し込んでいる場合は
こちらのPRを最上部にする</t>
    </r>
  </si>
  <si>
    <t>┏━━.+゜☆+.期間限定特集━━━┓
スキルアップしながら長く働く！
エンジニア経験者のためのIT・Web業界大特集
https://woman-type.jp/s/itweb/?waad=4frWJiXC
┗━━━━━━━━ .+゜☆+. ━━┛</t>
  </si>
  <si>
    <r>
      <rPr>
        <rFont val="arial,sans,sans-serif"/>
      </rPr>
      <t xml:space="preserve">┏━━.+゜☆+.期間限定特集━━━┓
◆キレイもキャリアも手に入れる アパレル・コスメ・美容業界大特集◆
https://woman-type.jp/s/fashion/sp20160927/?waad=Sc9pToTa
◆大阪エリアで働きたい人のための関西大特集◆
</t>
    </r>
    <r>
      <rPr>
        <rFont val="arial,sans,sans-serif"/>
        <color rgb="FF1155CC"/>
        <u/>
      </rPr>
      <t>https://woman-type.jp/s/kansai/?waad=PtjnBstP</t>
    </r>
    <r>
      <rPr>
        <rFont val="arial,sans,sans-serif"/>
      </rPr>
      <t xml:space="preserve">
┗━━━━━━━━ .+゜☆+. ━━┛</t>
    </r>
  </si>
  <si>
    <t>IT・Web大特集</t>
  </si>
  <si>
    <t>販売サービス大特集
関西大特集</t>
  </si>
  <si>
    <r>
      <rPr>
        <rFont val="arial,sans,sans-serif"/>
      </rPr>
      <t>┏━━━★期間限定特集★━━━━┓
◆実は魅力がたくさん！「サービス・販売系職種」大特集◆
https://woman-type.jp/s/service/?waad=fjHIdBUn
◆大阪エリアで働きたい人のための関西大特集◆</t>
    </r>
    <r>
      <rPr>
        <rFont val="arial,sans,sans-serif"/>
        <color rgb="FF000000"/>
      </rPr>
      <t xml:space="preserve">
</t>
    </r>
    <r>
      <rPr>
        <rFont val="arial,sans,sans-serif"/>
        <color rgb="FF1155CC"/>
        <u/>
      </rPr>
      <t>https://woman-type.jp/s/kansai/?waad=PtjnBstP</t>
    </r>
    <r>
      <rPr>
        <rFont val="arial,sans,sans-serif"/>
      </rPr>
      <t xml:space="preserve">
┗━━━━━━━━━━━━━━━┛</t>
    </r>
  </si>
  <si>
    <t>ITキャリアラボ</t>
  </si>
  <si>
    <r>
      <rPr>
        <rFont val="arial,sans,sans-serif"/>
        <sz val="8.0"/>
      </rPr>
      <t xml:space="preserve">(火20)20代に人気
　20代に人気_第二新卒
　20代に人気_関西
(水11)20代_服装自由_首都圏
(木17)20代に人気_事務
</t>
    </r>
    <r>
      <rPr>
        <rFont val="arial,sans,sans-serif"/>
        <color rgb="FFFF0000"/>
        <sz val="8.0"/>
      </rPr>
      <t>ＬPR差し込み終了後、RPA運営に戻す</t>
    </r>
  </si>
  <si>
    <r>
      <rPr>
        <rFont val="arial,sans,sans-serif"/>
      </rPr>
      <t xml:space="preserve">┏━ PR★女の転職type主催の無料企画━┓
～ITエンジニアになりたい女性向け～
「未経験から手に職」を応援するプログラミング講座開催！
受講＆テスト完了で必ず企業の面接が受けられる！
▼詳細・エントリーはこちらから▼
</t>
    </r>
    <r>
      <rPr>
        <rFont val="arial,sans,sans-serif"/>
        <color rgb="FF1155CC"/>
        <u/>
      </rPr>
      <t xml:space="preserve">http://woman.type.jp/s/itc-labo?waad=cAs8N8ig
</t>
    </r>
    <r>
      <rPr>
        <rFont val="arial,sans,sans-serif"/>
      </rPr>
      <t xml:space="preserve">
┗━━━━━━━━━━━━━━━━━━━┛</t>
    </r>
  </si>
  <si>
    <t>（木14）関西‗リモート×フレックス
（木15）レコメンドリマインド
（金18）高収入_未経験OK
（日9）応募ランキング C</t>
  </si>
  <si>
    <r>
      <rPr>
        <rFont val="arial,sans,sans-serif"/>
      </rPr>
      <t xml:space="preserve">┏━ PR★Woman type主催の無料イベント━┓
未経験からのエンジニアデビュー応援イベント開催★
2023年4月13日（木）18～20時　
#参加無料　#プログラミング体験付　#オンライン
━━━━━━━━━━━━━━━━━━━━
「未経験からエンジニアになりたい！」
「エンジニアの仕事を体験してみたい！」
そんな方にピッタリのオンラインイベントです！
▼エントリーはこちらから▼
</t>
    </r>
    <r>
      <rPr>
        <rFont val="arial,sans,sans-serif"/>
        <color rgb="FF1155CC"/>
        <u/>
      </rPr>
      <t>https://woman-type.jp/wt/feature/30346/</t>
    </r>
    <r>
      <rPr>
        <rFont val="arial,sans,sans-serif"/>
      </rPr>
      <t xml:space="preserve">
┗━━━━━━━━━━━━━━━━━━━┛
</t>
    </r>
  </si>
  <si>
    <t>リード文の下にいれる
※次回の配信時に外す</t>
  </si>
  <si>
    <t>ECDW</t>
  </si>
  <si>
    <r>
      <rPr>
        <rFont val="arial,sans,sans-serif"/>
        <sz val="8.0"/>
      </rPr>
      <t xml:space="preserve">（水9）ランキング_エンジニア（IT系）_希望　</t>
    </r>
    <r>
      <rPr>
        <rFont val="arial,sans,sans-serif"/>
        <color rgb="FFFF0000"/>
        <sz val="8.0"/>
      </rPr>
      <t>★RPA</t>
    </r>
    <r>
      <rPr>
        <rFont val="arial,sans,sans-serif"/>
        <sz val="8.0"/>
      </rPr>
      <t xml:space="preserve">
（水19）フルリモート_全国_エンジニア
（木19）首都圏‗エンジニア×リモート×フレックス
（月8）高収入_リモート_エンジニアクリエイティブ</t>
    </r>
  </si>
  <si>
    <r>
      <rPr>
        <rFont val="arial,sans,sans-serif"/>
      </rPr>
      <t xml:space="preserve">┏【ECDW2023】6/21-25開催！豪華登壇者ずらり ┓
★落合陽一、澤 円、池澤あやか、村上 臣 ほか多数
★参加無料！オンライン開催（一部除く）
</t>
    </r>
    <r>
      <rPr>
        <rFont val="arial,sans,sans-serif"/>
        <color rgb="FF1155CC"/>
        <u/>
      </rPr>
      <t>https://type.jp/et/feature/ecdw/?waad=WJQEgzul</t>
    </r>
    <r>
      <rPr>
        <rFont val="arial,sans,sans-serif"/>
      </rPr>
      <t xml:space="preserve">
┗━━━━━━━━━━━━━━━ .+゜☆+.━━┛</t>
    </r>
  </si>
  <si>
    <t>介護大特集
神奈川大特集</t>
  </si>
  <si>
    <t xml:space="preserve">
┏━━━★期間限定特集★━━━━┓
◆手に職つけて社会に貢献！介護・保育・医療・福祉業界に関わる仕事特集◆
https://woman-type.jp/s/kaigosp/?waad=fb5rf2VK
★愛される街  神奈川県の仕事特集★
https://woman-type.jp/s/kanagawa/?waad=0wLFOZsX
┗━━━━━━━━━━━━━━━┛</t>
  </si>
  <si>
    <r>
      <rPr>
        <rFont val="arial,sans,sans-serif"/>
        <sz val="8.0"/>
      </rPr>
      <t xml:space="preserve">（火金12）新着総合
（火金13）新着総合
（水14）編集部オススメ‗事務
（木20）事務職 A
（土12）編集部オススメ‗営業
（日9）応募ランキング C
（月12）納品対策
</t>
    </r>
    <r>
      <rPr>
        <rFont val="arial,sans,sans-serif"/>
        <color rgb="FFFF0000"/>
        <sz val="8.0"/>
      </rPr>
      <t xml:space="preserve">▼9/5週より追加
</t>
    </r>
    <r>
      <rPr>
        <rFont val="arial,sans,sans-serif"/>
        <sz val="8.0"/>
      </rPr>
      <t>（火8）推し活_残業なし_休日120日以上_月給25万以上
（火10）カスタマーサクセス_リモート 
（木12）新規会員向け_自己PR不要_求人特集
（木20）首都圏_フルリモート_求人特集</t>
    </r>
  </si>
  <si>
    <r>
      <rPr>
        <rFont val="arial,sans,sans-serif"/>
      </rPr>
      <t xml:space="preserve">┏━━.+゜☆+.女の転職type 転職イベント━━━┓
2023/9/9(土)12:00～18:00
渋谷ヒカリエにて女性のための転職イベント開催！
最大2,000円分のQUOカード他をプレゼント！
https://woman-type.jp/s/event/?waad=lkN7G63y
┗━━━━━━━━━━━━━━━ .+゜☆+.━━┛
</t>
    </r>
    <r>
      <rPr>
        <rFont val="arial,sans,sans-serif"/>
        <color rgb="FFFF0000"/>
      </rPr>
      <t xml:space="preserve">▼9/5週より追加分だけこの文章にて対応
</t>
    </r>
    <r>
      <rPr>
        <rFont val="arial,sans,sans-serif"/>
      </rPr>
      <t>┏━━━【PR】女の転職type 転職イベント━━━┓
いよいよ今週末！《2023/9/9(土)12:00～18:00》
渋谷ヒカリエにて女性のための転職イベント開催！
最大2,000円分のQUOカード他をプレゼント！
出展企業例：コーセー化粧品販売 / ANAテレマート / キヤノン 
日本ヒューレット・パッカード合同会社 / 公益財団法人東京都公園協会
住友不動産建物サービス / コクヨアンドパートナーズ ほか
https://woman-type.jp/s/event/?waad=lkN7G63y
┗━━━━━━━━━━━━━━━ .+゜☆+.━━┛</t>
    </r>
  </si>
  <si>
    <r>
      <rPr>
        <rFont val="arial,sans,sans-serif"/>
      </rPr>
      <t xml:space="preserve">リード文の下にいれる
</t>
    </r>
    <r>
      <rPr>
        <rFont val="arial,sans,sans-serif"/>
        <color rgb="FFFF0000"/>
      </rPr>
      <t>※他のPRも差し込んでいる場合は
こちらのPRを最上部にする</t>
    </r>
  </si>
  <si>
    <t>IT・Web大特集（未経験）
販売サービス大特集</t>
  </si>
  <si>
    <t>┏━━━★期間限定特集★━━━━┓
◆専門スキルを身につけられる！IT・Web業界大特集◆
https://woman-type.jp/s/websp/?waad=SUBUNnw7
◆実は魅力がたくさん！「サービス・販売系職種」大特集◆
https://woman-type.jp/s/service/?waad=fjHIdBUn
┗━━━━━━━━━━━━━━━┛</t>
  </si>
  <si>
    <t>┏━━━★期間限定特集★━━━━┓
◆「“理想の働き方”から長く働ける職場を見つける！」大特集◆
https://woman-type.jp/s/careertype/?waad=Whzxo6Kw
★愛される街  神奈川県の仕事特集★
https://woman-type.jp/s/kanagawa/?waad=0wLFOZsX
┗━━━━━━━━━━━━━━━┛</t>
  </si>
  <si>
    <t>（火金12）新着総合
（火金13）新着総合
（水14）編集部オススメ‗事務
（木20）事務職 A
（土12）編集部オススメ‗営業
（日9）応募ランキング C
（月12）納品対策</t>
  </si>
  <si>
    <t>┏━━.+゜☆+.女の転職type 転職イベント━━━┓
2024/2/3(土)12:00～18:00
渋谷ヒカリエにて女性のための転職イベント開催！
最大2,000円分のQUOカード他をプレゼント！
https://woman-type.jp/s/event/?waad=lkN7G63y
┗━━━━━━━━━━━━━━━ .+゜☆+.━━┛</t>
  </si>
  <si>
    <r>
      <rPr>
        <rFont val="arial,sans,sans-serif"/>
      </rPr>
      <t xml:space="preserve">リード文の下にいれる
</t>
    </r>
    <r>
      <rPr>
        <rFont val="arial,sans,sans-serif"/>
        <color rgb="FFFF0000"/>
      </rPr>
      <t>※他のPRも差し込んでいる場合は
こちらのPRを最上部にする</t>
    </r>
  </si>
  <si>
    <t>IT・Web大特集（経験）</t>
  </si>
  <si>
    <t>アパレル・コスメ大特集
関西大特集</t>
  </si>
  <si>
    <r>
      <rPr>
        <rFont val="arial,sans,sans-serif"/>
      </rPr>
      <t xml:space="preserve">┏━━.+゜☆+.期間限定特集━━━┓
◆キレイもキャリアも手に入れる アパレル・コスメ・美容業界大特集◆
https://woman-type.jp/s/fashion/sp20160927/?waad=Sc9pToTa
◆大阪エリアで働きたい人のための関西大特集◆
</t>
    </r>
    <r>
      <rPr>
        <rFont val="arial,sans,sans-serif"/>
        <color rgb="FF1155CC"/>
        <u/>
      </rPr>
      <t xml:space="preserve">https://woman-type.jp/s/kansai/?waad=PtjnBstP
</t>
    </r>
    <r>
      <rPr>
        <rFont val="arial,sans,sans-serif"/>
      </rPr>
      <t xml:space="preserve">
┗━━━━━━━━ .+゜☆+. ━━┛</t>
    </r>
  </si>
  <si>
    <r>
      <rPr>
        <rFont val="arial,sans,sans-serif"/>
        <sz val="8.0"/>
      </rPr>
      <t xml:space="preserve">（火金12）新着総合
（火金13）新着総合
削除：（土20）35歳未満_PV多い求人
（木8）年収500万以上_未経験歓迎
（水8）★求人特集(35歳未満) A
（水19）未経験_研修・資格_エンジニア系_首都圏
</t>
    </r>
    <r>
      <rPr>
        <rFont val="arial,sans,sans-serif"/>
        <color rgb="FFFF0000"/>
        <sz val="8.0"/>
      </rPr>
      <t>開始・終了時の手動設定⇔RPAに注意</t>
    </r>
  </si>
  <si>
    <t>┏━━.+゜☆+.女の転職type 転職イベント━━━┓
4/20(土)12:00～18:00
渋谷ヒカリエにて女性のための転職イベント開催！
最大2,000円分のQUOカード他をプレゼント！
https://woman-type.jp/s/event/?waad=TRR2CPXt
┗━━━━━━━━━━━━━━━ .+゜☆+.━━┛</t>
  </si>
  <si>
    <t>24/3/12(火)</t>
  </si>
  <si>
    <t>24/4/19(金)</t>
  </si>
  <si>
    <r>
      <rPr>
        <rFont val="arial,sans,sans-serif"/>
      </rPr>
      <t xml:space="preserve">リード文の下に入れる
</t>
    </r>
    <r>
      <rPr>
        <rFont val="arial,sans,sans-serif"/>
        <color rgb="FFFF0000"/>
      </rPr>
      <t>※他のPRも差し込んでいる場合は
こちらのPRを最上部にする</t>
    </r>
  </si>
  <si>
    <r>
      <rPr>
        <rFont val="arial,sans,sans-serif"/>
        <sz val="8.0"/>
      </rPr>
      <t xml:space="preserve">（火金12）新着総合
</t>
    </r>
    <r>
      <rPr>
        <rFont val="arial,sans,sans-serif"/>
        <strike/>
        <sz val="8.0"/>
      </rPr>
      <t>（火金13）新着総合</t>
    </r>
    <r>
      <rPr>
        <rFont val="arial,sans,sans-serif"/>
        <sz val="8.0"/>
      </rPr>
      <t xml:space="preserve">　12時に集約された模様
（月12）納品対策</t>
    </r>
  </si>
  <si>
    <t>アパレル・コスメ大特集
東海大特集</t>
  </si>
  <si>
    <r>
      <rPr>
        <rFont val="arial,sans,sans-serif"/>
        <sz val="8.0"/>
      </rPr>
      <t xml:space="preserve">（火金12）新着総合
</t>
    </r>
    <r>
      <rPr>
        <rFont val="arial,sans,sans-serif"/>
        <strike/>
        <sz val="8.0"/>
      </rPr>
      <t>（火金13）新着総合</t>
    </r>
    <r>
      <rPr>
        <rFont val="arial,sans,sans-serif"/>
        <sz val="8.0"/>
      </rPr>
      <t xml:space="preserve">　12時に集約された模様
（月12）納品対策</t>
    </r>
  </si>
  <si>
    <r>
      <rPr>
        <rFont val="arial,sans,sans-serif"/>
      </rPr>
      <t>┏━━.+゜☆+.期間限定特集━━━┓
◆キレイもキャリアも手に入れる アパレル・コスメ・美容業界大特集◆
https://woman-type.jp/s/fashion/sp20160927/?waad=Sc9pToTa
◆愛知・静岡・三重・岐阜で働こう！東海地方の仕事特集
https://woman-type.jp/s/tokai/?waad=GhhWx1z3</t>
    </r>
    <r>
      <rPr>
        <rFont val="arial,sans,sans-serif"/>
        <color rgb="FF1155CC"/>
        <u/>
      </rPr>
      <t xml:space="preserve">
</t>
    </r>
    <r>
      <rPr>
        <rFont val="arial,sans,sans-serif"/>
      </rPr>
      <t xml:space="preserve">
┗━━━━━━━━ .+゜☆+. ━━┛</t>
    </r>
  </si>
  <si>
    <r>
      <rPr>
        <rFont val="arial,sans,sans-serif"/>
        <sz val="8.0"/>
      </rPr>
      <t xml:space="preserve">（火金12）新着総合
</t>
    </r>
    <r>
      <rPr>
        <rFont val="arial,sans,sans-serif"/>
        <strike/>
        <sz val="8.0"/>
      </rPr>
      <t>（火金13）新着総合</t>
    </r>
    <r>
      <rPr>
        <rFont val="arial,sans,sans-serif"/>
        <sz val="8.0"/>
      </rPr>
      <t xml:space="preserve">　12時に集約された模様
（月12）納品対策</t>
    </r>
  </si>
  <si>
    <t>IT・Web大特集（経験）
販売サービス大特集</t>
  </si>
  <si>
    <t>┏━━.+゜☆+.期間限定特集━━━┓
◆スキルアップしながら長く働く！
エンジニア経験者のためのIT・Web業界大特集
https://woman-type.jp/s/itweb/?waad=4frWJiXC
◆実は魅力がたくさん！「サービス・販売系職種」大特集◆
https://woman-type.jp/s/service/?waad=fjHIdBUn
┗━━━━━━━━ .+゜☆+. ━━┛</t>
  </si>
  <si>
    <t>介護大特集
関西大特集</t>
  </si>
  <si>
    <r>
      <rPr>
        <rFont val="arial,sans,sans-serif"/>
        <sz val="8.0"/>
      </rPr>
      <t xml:space="preserve">（火金12）新着総合
</t>
    </r>
    <r>
      <rPr>
        <rFont val="arial,sans,sans-serif"/>
        <strike/>
        <sz val="8.0"/>
      </rPr>
      <t>（火金13）新着総合</t>
    </r>
    <r>
      <rPr>
        <rFont val="arial,sans,sans-serif"/>
        <sz val="8.0"/>
      </rPr>
      <t xml:space="preserve">　※12時台に集約されています。
（月12）納品対策</t>
    </r>
  </si>
  <si>
    <t xml:space="preserve">
┏━━━★期間限定特集★━━━━┓
◆手に職つけて社会に貢献！介護・保育・医療・福祉業界に関わる仕事特集◆
https://woman-type.jp/s/kaigosp/?waad=fb5rf2VK
◆大阪エリアで働きたい人のための関西大特集◆
https://woman-type.jp/s/kansai/?waad=PtjnBstP
┗━━━━━━━━━━━━━━━┛</t>
  </si>
  <si>
    <t>ET差し込み</t>
  </si>
  <si>
    <t>（火18）エンジニア_経験_首都圏版
（火18）エンジニア_未経験_首都圏版
（火18）スカウトリマインド
（火21）WEB面接・コロナ対策</t>
  </si>
  <si>
    <t xml:space="preserve">┏━━━━━━━★姉妹サイトエンジニアtypeの注目コンテンツ★━━━━━━━━┓
エンジニアの方はもちろん、そうでない方にも、
仕事やキャリアの参考にしていただけそうな記事をピックアップしました♪
 ★着想は「起動しないPepper」LOVOT開発者・林要が説くテクノロジーと幸せの関係性
https://type.jp/et/feature/23728/
 ★ひろゆき「失敗する」宣言！話題のSNS『DYSTOPIA』開発者と対談【連載：僕ならこう作るね】
https://type.jp/et/feature/23611/
★良かれと思ってやったのに…元Google人事が説く、日本の管理職がやりがちなエンジニアの心理的安全性を下げるNG行動四つ
https://type.jp/et/feature/22419/
★発行部数16万部突破！『「静かな人」の戦略書』著者ジル・チャンさんに聞いた、リーダー業務が苦手な人が「内向的資質」を武器にする思考法
https://type.jp/et/feature/21887/
┗━━━━━━━━━━━━━━━━━━━━━━━━━━━━━━━┛
</t>
  </si>
  <si>
    <t>（火8）関西_自己PR不要_リモート未経験_事務
（火10）カスタマーサクセス_リモート 
（火20）引っ越し特典</t>
  </si>
  <si>
    <t xml:space="preserve">┏━━━━━━━★姉妹サイトWoman typeの注目コンテンツ★━━━━━━━━┓
▼働く女性にも参考になる！有名人たちの仕事論
・津田健次郎「僕にとって立ち止まることは恐怖」いい芝居を追求するために捨てる、経験への甘え
https://woman-type.jp/wt/feature/32524/
・【大木亜希子✕深川麻衣】作家・俳優に転身した二人が“元アイドル”のレッテルから解放されるまで
https://woman-type.jp/wt/feature/32616/
▼転職お役立ちコンテンツ♪
・  カジュアル面談は「選考ではない」って言うけれど……？ 採用担当者が転職者に抱く、葛藤と願望
https://woman-type.jp/wt/feature/32576/
・女性は年齢を重ねても年収が上がらない？ 人生100年時代、自分らしく稼ぎ続けるためにできる3つのこと
https://woman-type.jp/wt/feature/32542
┗━━━━━━━━━━━━━━━━━━━━━━━━━━━━━━━┛
</t>
  </si>
  <si>
    <r>
      <rPr>
        <rFont val="arial,sans,sans-serif"/>
        <sz val="8.0"/>
      </rPr>
      <t xml:space="preserve">（火金12）新着総合
</t>
    </r>
    <r>
      <rPr>
        <rFont val="arial,sans,sans-serif"/>
        <strike/>
        <sz val="8.0"/>
      </rPr>
      <t>（火金13）新着総合</t>
    </r>
    <r>
      <rPr>
        <rFont val="arial,sans,sans-serif"/>
        <sz val="8.0"/>
      </rPr>
      <t xml:space="preserve">　※12時台に集約されています。
（月12）納品対策</t>
    </r>
  </si>
  <si>
    <r>
      <rPr/>
      <t xml:space="preserve">┏━━━★期間限定特集★━━━━┓
◆「“理想の働き方”から長く働ける職場を見つける！」大特集◆
</t>
    </r>
    <r>
      <rPr>
        <color rgb="FF1155CC"/>
        <u/>
      </rPr>
      <t>https://woman-type.jp/s/careertype/?utm_source=adm&amp;utm_medium=email&amp;utm_campaign=adm_pr_1</t>
    </r>
    <r>
      <rPr/>
      <t xml:space="preserve">
┗━━━━━━━━━━━━━━━┛</t>
    </r>
  </si>
  <si>
    <t>(火18)スカウトリマインド　※月末増発
(水10)新生活応援_複数_未経験_事務　※月末増発
(水21)年収UP
(木15)レコメンドリマインド　※月末増発
(木19)フルリモート×未経験歓迎_過去会員　※月末増発</t>
  </si>
  <si>
    <t>┏━━━━━━━★姉妹サイトWoman typeの注目コンテンツ★━━━━━━━━┓
▼転職お役立ちコンテンツ♪
・リーマン後最大級の売り手市場で「女性の転職」に追い風？ このチャンスを生かす4つの行動
https://woman-type.jp/wt/feature/32791/
・採用人事が転職者に伝授する、年収交渉のコツ「高い年収額で入社するリスクもある」
https://woman-type.jp/wt/feature/32721/
・転職者のSNSチェックする？ 人事が明かす、リファレンスチェックの本当の狙い
https://woman-type.jp/wt/feature/32677/
・今やりたいこと、いずれ挑戦したいこと、どちらを選んだらいい？ キャリアアドバイザーが明かす、30代以降の選択肢を広げる行動
https://woman-type.jp/wt/feature/32650/
┗━━━━━━━━━━━━━━━━━━━━━━━━━━━━━━━┛</t>
  </si>
  <si>
    <t>エンジニア入社プレゼントキャンペーン</t>
  </si>
  <si>
    <r>
      <rPr>
        <rFont val="arial,sans,sans-serif"/>
        <sz val="8.0"/>
      </rPr>
      <t xml:space="preserve">（火金12）新着総合
（火金13）新着総合
（月12）納品対策
（月19）超好条件_エンジニア
（木8）年収500万以上_未経験歓迎
</t>
    </r>
    <r>
      <rPr>
        <rFont val="arial,sans,sans-serif"/>
        <color rgb="FFFF0000"/>
        <sz val="8.0"/>
      </rPr>
      <t>~~開始・終了時の手動設定⇔RPAに注意~~</t>
    </r>
    <r>
      <rPr>
        <rFont val="arial,sans,sans-serif"/>
        <sz val="8.0"/>
      </rPr>
      <t xml:space="preserve">
（火19）フルリモート_全国_エンジニア
（水12）自己PR不要_リモート未経験_エンジニア
</t>
    </r>
    <r>
      <rPr>
        <rFont val="arial,sans,sans-serif"/>
        <color rgb="FFFF0000"/>
        <sz val="8.0"/>
      </rPr>
      <t>~~~~~~~~~~~~~~~~~~~~~~~~~~~~~~~~~</t>
    </r>
  </si>
  <si>
    <t>┏.+゜☆+.━━━━━━━━ ━.+゜☆+. ゜┓
【Amazonギフトカード10,000円分プレゼント！】
女の転職typeに掲載中の「ITエンジニア系」求人に
入社決定＆エントリーで、Amazonギフトカードをプレゼント！
▼詳しくはこちら
https://epfb.f.msgs.jp/n/form/epfb/FzsRepky7rHM7XmmnHuFd?waad=LGbT0rkJ
┗.+゜☆+. ゜━ ━━━━━━━━.+゜☆+.┛</t>
  </si>
  <si>
    <t>リード文の下にいれる
フェアの次でよいです</t>
  </si>
  <si>
    <t>エンジニア専門サイトPR</t>
  </si>
  <si>
    <t>ランキング_エンジニア（IT系）_希望
エンジニア_未経験_首都圏版
エンジニア_未経験_35歳以上_首都圏版
事務（経理）_希望
未経験_研修・資格_エンジニア系_首都圏</t>
  </si>
  <si>
    <t>┏.+゜☆+.━━━━━━━━ ━.+゜☆+. ゜┓
～未経験からでも大丈夫◎　目指せ手に職！ITエンジニア～
ITエンジニア求人を様々な検索方法で探せる！
＼エンジニア専門サイトはこちら／
http://woman.type.jp/s/engineer/?waad=GjG9MSYz
┗.+゜☆+. ゜━ ━━━━━━━━.+゜☆+.┛</t>
  </si>
  <si>
    <t>24/7/21(土)</t>
  </si>
  <si>
    <t>コメントで依頼しているので、スケジュールへの反映は不要です</t>
  </si>
  <si>
    <t>☆エンジニア_未経験_首都圏版
☆エンジニア_未経験_35歳以上_首都圏版
未経験_研修・資格_エンジニア系_首都圏
はPR165に差し替え
ランキング_エンジニア（IT系）_希望
はPR167に差し替え
事務（経理）_希望は差し込み終了</t>
  </si>
  <si>
    <r>
      <rPr>
        <rFont val="arial,sans,sans-serif"/>
        <sz val="8.0"/>
      </rPr>
      <t xml:space="preserve">（火金12）新着総合
（火金13）新着総合
（水8）★求人特集(35歳未満) A
（日9）応募ランキング C　</t>
    </r>
    <r>
      <rPr>
        <rFont val="arial,sans,sans-serif"/>
        <color rgb="FFFF0000"/>
        <sz val="8.0"/>
      </rPr>
      <t>※フェア終了後RPA戻し</t>
    </r>
    <r>
      <rPr>
        <rFont val="arial,sans,sans-serif"/>
        <sz val="8.0"/>
      </rPr>
      <t xml:space="preserve">
（月12）納品対策
</t>
    </r>
  </si>
  <si>
    <t>┏━━.+゜☆+.女の転職type 転職イベント━━━┓
7/27(土)12:00～18:00
東京国際フォーラムにて女性のための転職イベント開催！
最大2,000円分のQUOカード他をプレゼント！
https://woman-type.jp/s/event/?utm_source=woman-type&amp;utm_medium=email&amp;utm_campaign=inner_wr_boss_pr_240727&amp;waad=TRR2CPXt
┗━━━━━━━━━━━━━━━ .+゜☆+.━━┛</t>
  </si>
  <si>
    <t>24/6/12(水)</t>
  </si>
  <si>
    <t>24/7/26(金)</t>
  </si>
  <si>
    <r>
      <rPr>
        <rFont val="arial,sans,sans-serif"/>
      </rPr>
      <t xml:space="preserve">リード文の下に入れる
</t>
    </r>
    <r>
      <rPr>
        <rFont val="arial,sans,sans-serif"/>
        <color rgb="FFFF0000"/>
      </rPr>
      <t>※他のPRも差し込んでいる場合は
こちらのPRを最上部にする</t>
    </r>
  </si>
  <si>
    <t>エンジニア専門サイトPR
未経験者(経験職種無・未経験OK)</t>
  </si>
  <si>
    <t>火18時 ☆エンジニア_未経験_首都圏版
火18時 ☆エンジニア_未経験_35歳以上_首都圏版
木19時 未経験エンジニア希望向け_首都圏
水19時 未経験_研修・資格_エンジニア系_首都圏
水12時 自己PR不要_リモート未経験_エンジニア
火11時 事務（経理）_希望</t>
  </si>
  <si>
    <r>
      <rPr>
        <rFont val="Arial"/>
      </rPr>
      <t xml:space="preserve">┏.+゜☆+.━━━━━━━━ ━.+゜☆+. ゜┓
～未経験からでも大丈夫◎　目指せ手に職！ITエンジニア～
ITエンジニア求人を様々な検索方法で探せる！
＼エンジニア専門サイトはこちら／
</t>
    </r>
    <r>
      <rPr>
        <rFont val="Arial"/>
        <color rgb="FF1155CC"/>
        <u/>
      </rPr>
      <t>http://woman.type.jp/s/engineer/?utm_source=adm&amp;utm_medium=email&amp;utm_campaign=adm_pr_11</t>
    </r>
    <r>
      <rPr>
        <rFont val="Arial"/>
      </rPr>
      <t xml:space="preserve">
┗.+゜☆+. ゜━ ━━━━━━━━.+゜☆+.┛</t>
    </r>
  </si>
  <si>
    <t>24/7/22(月)
18時配信~</t>
  </si>
  <si>
    <t>ずっと</t>
  </si>
  <si>
    <r>
      <rPr>
        <rFont val="arial,sans,sans-serif"/>
      </rPr>
      <t xml:space="preserve">リード文の下に入れる
</t>
    </r>
    <r>
      <rPr>
        <rFont val="arial,sans,sans-serif"/>
        <color rgb="FFFF0000"/>
      </rPr>
      <t>※他のPRも差し込んでいる場合は
こちらのPRを最上部にする
※今後新しくPRを差し込むときは下になってしまっても問題ないです</t>
    </r>
  </si>
  <si>
    <t>エンジニア専門サイトPR
(経験者※経験職種有)</t>
  </si>
  <si>
    <t>日19時 上場_エンジニア経験
火18時 ☆エンジニア_経験_首都圏版
火18時 ☆エンジニア_経験_35歳以上_首都圏版</t>
  </si>
  <si>
    <r>
      <rPr>
        <rFont val="Arial"/>
      </rPr>
      <t xml:space="preserve">┏.+゜☆+.━━━━━━━━ ━.+゜☆+. ゜┓
～エンジニア経験者必見◎今後のキャリアのヒントに！～
こだわりの働き方や会社の特徴などから簡単に求人が探せる！
＼エンジニア専門サイトはこちら／
</t>
    </r>
    <r>
      <rPr>
        <rFont val="Arial"/>
        <color rgb="FF1155CC"/>
        <u/>
      </rPr>
      <t>https://woman-type.jp/s/itengineer/?utm_source=adm&amp;utm_medium=email&amp;utm_campaign=adm_pr_12</t>
    </r>
    <r>
      <rPr>
        <rFont val="Arial"/>
      </rPr>
      <t xml:space="preserve">
┗.+゜☆+. ゜━ ━━━━━━━━.+゜☆+.┛</t>
    </r>
  </si>
  <si>
    <r>
      <rPr>
        <rFont val="arial,sans,sans-serif"/>
      </rPr>
      <t xml:space="preserve">リード文の下に入れる
</t>
    </r>
    <r>
      <rPr>
        <rFont val="arial,sans,sans-serif"/>
        <color rgb="FFFF0000"/>
      </rPr>
      <t>※他のPRも差し込んでいる場合は
こちらのPRを最上部にする
※今後新しくPRを差し込むときは下になってしまっても問題ないです</t>
    </r>
  </si>
  <si>
    <t>エンジニア専門サイトPR
(希望職種のみ)</t>
  </si>
  <si>
    <t>月19時 超好条件_エンジニア
火19時 フルリモート_全国_エンジニア
水9時 ランキング_エンジニア（IT系）_希望</t>
  </si>
  <si>
    <r>
      <rPr>
        <rFont val="Arial"/>
      </rPr>
      <t xml:space="preserve">┏.+゜☆+.━━━━━━━━ ━.+゜☆+. ゜┓
～エンジニア必見◎今後のキャリアのヒントに！～
こだわりの働き方や会社の特徴などから簡単に求人が探せる！
＼エンジニアを目指す！未経験者専門サイトはこちら／
http://woman.type.jp/s/engineer/?utm_source=adm&amp;utm_medium=email&amp;utm_campaign=adm_pr_11
＼経験を活かして活躍！経験者専門サイトはこちら／
</t>
    </r>
    <r>
      <rPr>
        <rFont val="Arial"/>
        <color rgb="FF1155CC"/>
        <u/>
      </rPr>
      <t>https://woman-type.jp/s/itengineer/?utm_source=adm&amp;utm_medium=email&amp;utm_campaign=adm_pr_12</t>
    </r>
    <r>
      <rPr>
        <rFont val="Arial"/>
      </rPr>
      <t xml:space="preserve">
┗.+゜☆+. ゜━ ━━━━━━━━.+゜☆+.┛</t>
    </r>
  </si>
  <si>
    <r>
      <rPr>
        <rFont val="arial,sans,sans-serif"/>
      </rPr>
      <t xml:space="preserve">リード文の下に入れる
</t>
    </r>
    <r>
      <rPr>
        <rFont val="arial,sans,sans-serif"/>
        <color rgb="FFFF0000"/>
      </rPr>
      <t>※他のPRも差し込んでいる場合は
こちらのPRを最上部にする
※今後新しくPRを差し込むときは下になってしまっても問題ないです</t>
    </r>
  </si>
  <si>
    <t>営業・企画職専門サイトPR</t>
  </si>
  <si>
    <t>日曜21時 検討中ランキング_営業
→隔週配信</t>
  </si>
  <si>
    <r>
      <rPr>
        <rFont val="arial,sans,sans-serif"/>
      </rPr>
      <t xml:space="preserve">┏.+゜☆+.━━━━━━━━ ━.+゜☆+. ゜┓
営業・企画職の新しい働き方を見つけよう。
▼営業・企画職の専門サイト
</t>
    </r>
    <r>
      <rPr>
        <rFont val="arial,sans,sans-serif"/>
        <color rgb="FF1155CC"/>
        <u/>
      </rPr>
      <t>https://woman-type.jp/sales/?waad=3Qc98CpN</t>
    </r>
    <r>
      <rPr>
        <rFont val="arial,sans,sans-serif"/>
      </rPr>
      <t xml:space="preserve">
┗.+゜☆+. ゜━ ━━━━━━━━.+゜☆+.┛</t>
    </r>
  </si>
  <si>
    <t>24/8/4(日)
21時配信~</t>
  </si>
  <si>
    <t>2024/09/22（日）</t>
  </si>
  <si>
    <t>リード文の下に入れる
※他のPRも差し込んでいる場合は
こちらのPRを最上部にする</t>
  </si>
  <si>
    <r>
      <rPr>
        <rFont val="Arial"/>
        <sz val="8.0"/>
      </rPr>
      <t xml:space="preserve">（火金12）新着総合
（水8）★求人特集(35歳未満) A
（日9）応募ランキング C　</t>
    </r>
    <r>
      <rPr>
        <rFont val="Arial"/>
        <color rgb="FFFF0000"/>
        <sz val="8.0"/>
      </rPr>
      <t>※フェア終了後RPA戻し</t>
    </r>
    <r>
      <rPr>
        <rFont val="Arial"/>
        <sz val="8.0"/>
      </rPr>
      <t xml:space="preserve">
（月12）納品対策
</t>
    </r>
  </si>
  <si>
    <r>
      <rPr>
        <rFont val="Arial"/>
      </rPr>
      <t xml:space="preserve">┏━━.+゜☆+.女の転職type 転職イベント━━━┓
10/19(土)12:00～18:00
渋谷ヒカリエにて女性のための転職イベント開催！
最大1,500円分のQUOカード他をプレゼント！
</t>
    </r>
    <r>
      <rPr>
        <rFont val="Arial"/>
        <color rgb="FF1155CC"/>
        <u/>
      </rPr>
      <t>https://woman-type.jp/s/event/?utm_source=fair_woman-type&amp;utm_medium=email&amp;utm_campaign=inner_wr_mail_boss_pr_241019</t>
    </r>
    <r>
      <rPr>
        <rFont val="Arial"/>
      </rPr>
      <t xml:space="preserve">
┗━━━━━━━━━━━━━━━ .+゜☆+.━━┛</t>
    </r>
  </si>
  <si>
    <t>24/9/4(水)</t>
  </si>
  <si>
    <t>24/10/18(金)</t>
  </si>
  <si>
    <r>
      <rPr>
        <rFont val="Arial"/>
      </rPr>
      <t xml:space="preserve">リード文の下に入れる
</t>
    </r>
    <r>
      <rPr>
        <rFont val="Arial"/>
        <color rgb="FFFF0000"/>
      </rPr>
      <t>※他のPRも差し込んでいる場合は
こちらのPRを最上部にする</t>
    </r>
  </si>
  <si>
    <t>D-typeアプリインストール</t>
  </si>
  <si>
    <t>☆エンジニア_経験_首都圏版
☆エンジニア_経験_35歳以上_首都圏版</t>
  </si>
  <si>
    <t xml:space="preserve">★Direct typeで転職が決まった方に
【Amazonギフト券 1万円分】プレゼント！★
ITエンジニアのためのスカウト型転職サービス【 Direct type 】
↓こちらよりご登録ください↓
https://bit.ly/ITP2311
・‥…━━━━━━━━━━━━━━…‥・
Direct type（ダイレクトタイプ）https://directtype.jp は
ITエンジニア専用のスカウト型転職サービスです。
登録後は待つだけ。
企業から直接アプローチが来るため、スキマ時間を活用して
効率的に転職活動を進めることができます。
・IT求人、常時1600職種以上
・ITエンジニアスカウト100％なのでマッチしたスカウトが届きます
・職種から言語、CI/CDツールまで、ITエンジニア向の登録項目が充実
　自分の経験と希望を詳細に登録できるので、高精度のマッチングが実現できる！
▼ アプリ版※iOS限定【 Direct type 】のDLはこちらから
https://apps.apple.com/us/app/id1525688066
・‥…━━━━━━━━━━━━━━…‥・
</t>
  </si>
  <si>
    <t>既存PRの下に入れる
担当：田村さん</t>
  </si>
  <si>
    <t>IT・Web（経験）大特集
販売サービス大特集</t>
  </si>
  <si>
    <r>
      <rPr>
        <rFont val="arial,sans,sans-serif"/>
        <sz val="8.0"/>
      </rPr>
      <t xml:space="preserve">（火金12）新着総合
</t>
    </r>
    <r>
      <rPr>
        <rFont val="arial,sans,sans-serif"/>
        <strike/>
        <sz val="8.0"/>
      </rPr>
      <t>（火金13）新着総合</t>
    </r>
    <r>
      <rPr>
        <rFont val="arial,sans,sans-serif"/>
        <sz val="8.0"/>
      </rPr>
      <t xml:space="preserve">　※12時台に集約されています。
（月12）納品対策</t>
    </r>
  </si>
  <si>
    <r>
      <rPr/>
      <t>┏━━━★期間限定特集★━━━━┓</t>
    </r>
    <r>
      <rPr>
        <color rgb="FF1155CC"/>
        <u/>
      </rPr>
      <t xml:space="preserve">
</t>
    </r>
    <r>
      <rPr/>
      <t xml:space="preserve">◆スキルアップしながら長く働く！エンジニア経験者のためのIT・Web業界大特集◆
</t>
    </r>
    <r>
      <rPr>
        <color rgb="FF1155CC"/>
        <u/>
      </rPr>
      <t xml:space="preserve">https://woman-type.jp/s/itweb/?utm_source=adm&amp;utm_medium=email&amp;utm_campaign=adm_pr_2
</t>
    </r>
    <r>
      <rPr/>
      <t xml:space="preserve">
◆未経験でもチャレンジ可　実は魅力がたくさん！「サービス・販売系職種」大特集◆
</t>
    </r>
    <r>
      <rPr>
        <color rgb="FF1155CC"/>
        <u/>
      </rPr>
      <t>https://woman-type.jp/s/service/?utm_source=adm&amp;utm_medium=email&amp;utm_campaign=adm_pr_3</t>
    </r>
    <r>
      <rPr/>
      <t xml:space="preserve">
┗━━━━━━━━━━━━━━━┛</t>
    </r>
  </si>
  <si>
    <t>ウキフェア大阪</t>
  </si>
  <si>
    <t>（火金12）新着総合_関西
（木14）関西‗リモート×フレックス
（月19）関西‗超好条件_事務
（月14）☆関西</t>
  </si>
  <si>
    <r>
      <rPr/>
      <t xml:space="preserve">┏━━.+゜☆+.女の転職type 転職イベント━━━┓
12/14(土)12:00～18:00
グランフロント大阪にて女性のための転職イベント開催！
最大1,500円分のQUOカード他をプレゼント！
</t>
    </r>
    <r>
      <rPr>
        <color rgb="FF1155CC"/>
        <u/>
      </rPr>
      <t>https://woman-type.jp/s/event/osaka/?utm_source=fair_woman-type&amp;utm_medium=email&amp;utm_campaign=inner_wr_mail_boss_pr_241214</t>
    </r>
    <r>
      <rPr/>
      <t xml:space="preserve">
┗━━━━━━━━━━━━━━━ .+゜☆+.━━┛
</t>
    </r>
  </si>
  <si>
    <r>
      <rPr>
        <rFont val="Arial"/>
      </rPr>
      <t xml:space="preserve">リード文の下に入れる
</t>
    </r>
    <r>
      <rPr>
        <rFont val="Arial"/>
        <color rgb="FFFF0000"/>
      </rPr>
      <t>※他のPRも差し込んでいる場合は
こちらのPRを最上部にする</t>
    </r>
  </si>
  <si>
    <r>
      <rPr/>
      <t>┏━━━★期間限定特集★━━━━┓</t>
    </r>
    <r>
      <rPr>
        <color rgb="FF1155CC"/>
        <u/>
      </rPr>
      <t xml:space="preserve">
</t>
    </r>
    <r>
      <rPr/>
      <t xml:space="preserve">オンもオフも輝ける！営業大特集
</t>
    </r>
    <r>
      <rPr>
        <color rgb="FF1155CC"/>
        <u/>
      </rPr>
      <t xml:space="preserve">https://woman-type.jp/s/salessp/?utm_source=inside&amp;utm_medium=direct&amp;utm_campaign=cmp22
</t>
    </r>
    <r>
      <rPr/>
      <t xml:space="preserve">
┗━━━━━━━━━━━━━━━┛</t>
    </r>
  </si>
  <si>
    <t>関西大特集</t>
  </si>
  <si>
    <r>
      <rPr/>
      <t>┏━━━★期間限定特集★━━━━┓</t>
    </r>
    <r>
      <rPr>
        <color rgb="FF1155CC"/>
        <u/>
      </rPr>
      <t xml:space="preserve">
</t>
    </r>
    <r>
      <rPr/>
      <t xml:space="preserve">仕事もプライベートも充実！大阪エリアで働きたい人のための関西大特集
</t>
    </r>
    <r>
      <rPr>
        <color rgb="FF1155CC"/>
        <u/>
      </rPr>
      <t>https://woman-type.jp/s/kansai/?utm_source=adm&amp;utm_medium=email&amp;utm_campaign=adm_pr_5</t>
    </r>
    <r>
      <rPr/>
      <t xml:space="preserve">
┗━━━━━━━━━━━━━━━┛</t>
    </r>
  </si>
  <si>
    <r>
      <rPr>
        <rFont val="Arial"/>
        <sz val="8.0"/>
      </rPr>
      <t xml:space="preserve">（火金12）新着総合
（水8）★求人特集(35歳未満) A
（日9）応募ランキング C　
</t>
    </r>
    <r>
      <rPr>
        <rFont val="Arial"/>
        <color rgb="FFFF0000"/>
        <sz val="8.0"/>
      </rPr>
      <t xml:space="preserve">　　</t>
    </r>
    <r>
      <rPr>
        <rFont val="Arial"/>
        <strike/>
        <color rgb="FFFF0000"/>
        <sz val="8.0"/>
      </rPr>
      <t>※フェア終了後RPA戻し</t>
    </r>
    <r>
      <rPr>
        <rFont val="Arial"/>
        <color rgb="FFFF0000"/>
        <sz val="8.0"/>
      </rPr>
      <t xml:space="preserve">　リプレイス配信の為手動継続</t>
    </r>
    <r>
      <rPr>
        <rFont val="Arial"/>
        <sz val="8.0"/>
      </rPr>
      <t xml:space="preserve">
（月12）納品対策</t>
    </r>
  </si>
  <si>
    <r>
      <rPr>
        <rFont val="Arial"/>
      </rPr>
      <t xml:space="preserve">┏━━.+゜☆+.女の転職type 転職イベント━━━┓
2/1(土)12:00～18:00
渋谷ヒカリエにて女性のための転職イベント開催！
最大1,500円分のQUOカード他をプレゼント！
</t>
    </r>
    <r>
      <rPr>
        <rFont val="Arial"/>
        <color rgb="FF1155CC"/>
        <u/>
      </rPr>
      <t>https://woman-type.jp/s/event/?utm_source=fair_woman-type&amp;utm_medium=email&amp;utm_campaign=inner_wr_mail_boss_pr_250201</t>
    </r>
    <r>
      <rPr>
        <rFont val="Arial"/>
      </rPr>
      <t xml:space="preserve">
┗━━━━━━━━━━━━━━━ .+゜☆+.━━┛</t>
    </r>
  </si>
  <si>
    <t>24/12/19(木)18時配信~</t>
  </si>
  <si>
    <t>25/1/31(金)</t>
  </si>
  <si>
    <r>
      <rPr>
        <rFont val="Arial"/>
      </rPr>
      <t xml:space="preserve">リード文の下に入れる
</t>
    </r>
    <r>
      <rPr>
        <rFont val="Arial"/>
        <color rgb="FFFF0000"/>
      </rPr>
      <t>※他のPRも差し込んでいる場合は
こちらのPRを最上部にする</t>
    </r>
  </si>
  <si>
    <t>IT・Web（経験）大特集</t>
  </si>
  <si>
    <r>
      <rPr/>
      <t xml:space="preserve">┏━━━★期間限定特集★━━━━┓
◆スキルアップしながら長く働く！エンジニア経験者のためのIT・Web業界大特集◆
</t>
    </r>
    <r>
      <rPr>
        <color rgb="FF1155CC"/>
        <u/>
      </rPr>
      <t xml:space="preserve">https://woman-type.jp/s/itweb/?utm_source=adm&amp;utm_medium=email&amp;utm_campaign=adm_pr_2 </t>
    </r>
    <r>
      <rPr/>
      <t xml:space="preserve">
┗━━━━━━━━━━━━━━━┛</t>
    </r>
  </si>
  <si>
    <t>アパレル コスメ大特集
神奈川大特集</t>
  </si>
  <si>
    <r>
      <rPr/>
      <t xml:space="preserve">┏━━━★期間限定特集★━━━━┓
◆キレイもキャリアも手に入れるアパレル･コスメ･美容業界大特集◆
</t>
    </r>
    <r>
      <rPr>
        <color rgb="FF1155CC"/>
        <u/>
      </rPr>
      <t xml:space="preserve">https://woman-type.jp/s/fashion/sp20160927/?utm_source=adm&amp;utm_medium=email&amp;utm_campaign=adm_pr_6
 </t>
    </r>
    <r>
      <rPr/>
      <t xml:space="preserve">
◆愛される街！神奈川県の仕事特集◆
</t>
    </r>
    <r>
      <rPr>
        <color rgb="FF1155CC"/>
        <u/>
      </rPr>
      <t xml:space="preserve">https://woman-type.jp/s/kanagawa/?utm_source=adm&amp;utm_medium=email&amp;utm_campaign=adm_pr_7
</t>
    </r>
    <r>
      <rPr/>
      <t>┗━━━━━━━━━━━━━━━┛</t>
    </r>
  </si>
  <si>
    <t>WTイベント</t>
  </si>
  <si>
    <t>エンジニア限定_単独求人メルマガ
未経験エンジニア希望向け_首都圏</t>
  </si>
  <si>
    <t xml:space="preserve">┏…『Woman type』よりお知らせ！プログラミング体験ができるイベントを2/22(土)に開催…┓
★参加無料
★女性向けプログラミングスクールの有料プログラムを体験するチャンス
★赤坂でオフライン開催！講師や未経験スタートした先輩たちに直接質問できます
エンジニアの仕事に興味はあるけど、知識ゼロで不安…という方はぜひ体験してみてください！
▼詳細はこちらから
https://woman-type.jp/wt/feature/37968/?utm_source=adm&amp;utm_medium=email&amp;utm_campaign=uki_adm_273&amp;routeway=91
┗………………………………………………………………┛
</t>
  </si>
  <si>
    <r>
      <rPr/>
      <t xml:space="preserve">┏━━━★期間限定特集★━━━━┓
◆スキルをつけて長く働く！ねらい目のオフィスワーク特集◆
</t>
    </r>
    <r>
      <rPr>
        <color rgb="FF1155CC"/>
        <u/>
      </rPr>
      <t xml:space="preserve">https://woman-type.jp/s/officework/?utm_source=adm&amp;utm_medium=email&amp;utm_campaign=adm_pr_8
</t>
    </r>
    <r>
      <rPr/>
      <t xml:space="preserve">
┗━━━━━━━━━━━━━━━┛</t>
    </r>
  </si>
  <si>
    <r>
      <rPr>
        <rFont val="Arial"/>
        <sz val="8.0"/>
      </rPr>
      <t xml:space="preserve">（火金12）新着総合
（水8）★求人特集(35歳未満) A
（日9）応募ランキング C　
</t>
    </r>
    <r>
      <rPr>
        <rFont val="Arial"/>
        <color rgb="FFFF0000"/>
        <sz val="8.0"/>
      </rPr>
      <t xml:space="preserve">　　※フェア終了後RPA戻し</t>
    </r>
    <r>
      <rPr>
        <rFont val="Arial"/>
        <sz val="8.0"/>
      </rPr>
      <t xml:space="preserve">
（月12）納品対策</t>
    </r>
  </si>
  <si>
    <r>
      <rPr>
        <rFont val="Arial"/>
      </rPr>
      <t xml:space="preserve">┏━━.+゜☆+.女の転職type 転職イベント━━━┓
4/19(土)12:00～18:00
渋谷ヒカリエにて女性のための転職イベント開催！
QUOカードなどがもらえるプレゼント企画も！
</t>
    </r>
    <r>
      <rPr>
        <rFont val="Arial"/>
        <color rgb="FF1155CC"/>
        <u/>
      </rPr>
      <t>https://woman-type.jp/s/event/?utm_source=fair_woman-type&amp;utm_medium=email&amp;utm_campaign=inner_wr_mail_boss_pr_250419</t>
    </r>
    <r>
      <rPr>
        <rFont val="Arial"/>
      </rPr>
      <t xml:space="preserve">
┗━━━━━━━━━━━━━━━ .+゜☆+.━━┛</t>
    </r>
  </si>
  <si>
    <t>25/3/7(金)</t>
  </si>
  <si>
    <t>25/4/18(金)</t>
  </si>
  <si>
    <r>
      <rPr>
        <rFont val="Arial"/>
      </rPr>
      <t xml:space="preserve">リード文の下に入れる
</t>
    </r>
    <r>
      <rPr>
        <rFont val="Arial"/>
        <color rgb="FFFF0000"/>
      </rPr>
      <t>※他のPRも差し込んでいる場合は
こちらのPRを最上部にする</t>
    </r>
  </si>
  <si>
    <t>IT・Web （経験）大特集</t>
  </si>
  <si>
    <r>
      <rPr/>
      <t xml:space="preserve">┏━━━★期間限定特集★━━━━┓
◆スキルアップしながら長く働く！エンジニア経験者のためのIT・Web業界大特集◆
</t>
    </r>
    <r>
      <rPr>
        <color rgb="FF1155CC"/>
        <u/>
      </rPr>
      <t xml:space="preserve">https://woman-type.jp/s/itweb/?utm_source=adm&amp;utm_medium=email&amp;utm_campaign=adm_pr_2 </t>
    </r>
    <r>
      <rPr/>
      <t xml:space="preserve">
┗━━━━━━━━━━━━━━━┛</t>
    </r>
  </si>
  <si>
    <t>WEPCP_生成AIを使うお仕事PR</t>
  </si>
  <si>
    <t>(金11)今週の人気求人ランキング</t>
  </si>
  <si>
    <r>
      <rPr/>
      <t xml:space="preserve">┏.+゜☆+.━━━━━━━━ ━.+゜☆+. ゜┓
◆未経験からスキルアップ！生成AIを使うお仕事特集
</t>
    </r>
    <r>
      <rPr>
        <color rgb="FF1155CC"/>
        <u/>
      </rPr>
      <t xml:space="preserve">https://woman-type.jp/job-job-keyword/25036/f/?utm_source=adm&amp;utm_medium=email&amp;utm_campaign=adm_pr_15
</t>
    </r>
    <r>
      <rPr/>
      <t xml:space="preserve">
┗.+゜☆+. ゜━ ━━━━━━━━.+゜☆+.┛</t>
    </r>
  </si>
  <si>
    <r>
      <rPr>
        <rFont val="Arial"/>
        <sz val="8.0"/>
      </rPr>
      <t xml:space="preserve">（火金12）新着総合
（水8）★求人特集(35歳未満) A
（日9）応募ランキング C　
</t>
    </r>
    <r>
      <rPr>
        <rFont val="Arial"/>
        <color rgb="FFFF0000"/>
        <sz val="8.0"/>
      </rPr>
      <t xml:space="preserve">　　※フェア終了後RPA戻し</t>
    </r>
    <r>
      <rPr>
        <rFont val="Arial"/>
        <sz val="8.0"/>
      </rPr>
      <t xml:space="preserve">
（月12）納品対策</t>
    </r>
  </si>
  <si>
    <r>
      <rPr>
        <rFont val="Arial"/>
      </rPr>
      <t xml:space="preserve">┏━━.+゜☆+.女の転職type 転職イベント━━━┓
7/5(土)12:00～18:00
東京国際フォーラムにて女性のための転職イベント開催！
QUOカードなどがもらえるプレゼント企画も！
</t>
    </r>
    <r>
      <rPr>
        <rFont val="Arial"/>
        <color rgb="FF1155CC"/>
        <u/>
      </rPr>
      <t xml:space="preserve">https://woman-type.jp/s/event/?utm_source=fair_woman-type&amp;utm_medium=email&amp;utm_campaign=inner_wr_mail_boss_pr_250705
</t>
    </r>
    <r>
      <rPr>
        <rFont val="Arial"/>
      </rPr>
      <t xml:space="preserve">
┗━━━━━━━━━━━━━━━ .+゜☆+.━━┛</t>
    </r>
  </si>
  <si>
    <t>25/5/16(金)</t>
  </si>
  <si>
    <t>25/7/4(金)</t>
  </si>
  <si>
    <r>
      <rPr>
        <rFont val="Arial"/>
      </rPr>
      <t xml:space="preserve">リード文の下に入れる
</t>
    </r>
    <r>
      <rPr>
        <rFont val="Arial"/>
        <color rgb="FFFF0000"/>
      </rPr>
      <t>※他のPRも差し込んでいる場合は
こちらのPRを最上部にする</t>
    </r>
  </si>
  <si>
    <t>関西大特集
アパレルコスメ大特集</t>
  </si>
  <si>
    <r>
      <rPr/>
      <t>┏━━━★期間限定特集★━━━━┓</t>
    </r>
    <r>
      <rPr>
        <color rgb="FF1155CC"/>
        <u/>
      </rPr>
      <t xml:space="preserve">
</t>
    </r>
    <r>
      <rPr/>
      <t>◆仕事もプライベートも充実！大阪エリアで働きたい人のための関西大特集◆
https://woman-type.jp/s/kansai/?utm_source=adm&amp;utm_medium=email&amp;utm_campaign=adm_pr_5
◆キレイもキャリアも手に入れる アパレル・コスメ・美容業界大特集◆
https://woman-type.jp/s/fashion/sp20160927/?utm_source=adm&amp;utm_medium=email&amp;utm_campaign=adm_pr_6
┗━━━━━━━━━━━━━━━┛</t>
    </r>
  </si>
  <si>
    <t>オンもオフも輝ける！営業大特集</t>
  </si>
  <si>
    <r>
      <rPr/>
      <t>┏━━━★期間限定特集★━━━━┓</t>
    </r>
    <r>
      <rPr>
        <color rgb="FF1155CC"/>
        <u/>
      </rPr>
      <t xml:space="preserve">
</t>
    </r>
    <r>
      <rPr/>
      <t>◆オンもオフも輝ける！営業大特集◆
https://woman-type.jp/s/salessp/?utm_source=adm&amp;utm_medium=email&amp;utm_campaign=adm_pr_4
┗━━━━━━━━━━━━━━━┛</t>
    </r>
  </si>
  <si>
    <t>エンジニア限定_単独求人メルマガ
超好条件_エンジニア</t>
  </si>
  <si>
    <t>┏…『Woman type』よりオンラインイベントのお知らせ！初心者歓迎のプログラミング体験イベントを6/18(水)に開催…┓
★未経験から「リモートワークで稼ぐ力」を付けよう！参加無料
★女性向けプログラミングスクールのプログラムを体験できる！
★地方出身で「リモートワークで年収アップ」を実現した先輩たちによるトークイベントもあり◎
★オンラインなので全国から参加可能
「地元で働いているけれど、リモートワークでもう少し年収アップが望める仕事にキャリアチェンジしたい…」
「エンジニアの仕事に興味はあるけれど、実際どんな仕事なんだろう？」
「IT企業への応募を検討する前に、向いているかどうか確かめたい」
そんな方は、ぜひお気軽にエントリーください！
実際にお仕事体験をしてみるチャンスです。
▼詳細はこちらから
https://woman-type.jp/wt/feature/40265/?utm_source=email&amp;utm_medium=wt&amp;utm_campaign=185&amp;routeway=91
＜本件に関するお問い合わせ先＞
Woman type編集部：wtinfo@type.jp
┗………………………………………………………………┛</t>
  </si>
  <si>
    <t>IT・Web （経験）大特集
販売サービス大特集</t>
  </si>
  <si>
    <t>┏━━━★期間限定特集★━━━━┓
◆スキルアップしながら長く働く！エンジニア経験者のためのIT・Web業界大特集◆
https://woman-type.jp/s/itweb/?utm_source=adm&amp;utm_medium=email&amp;utm_campaign=adm_pr_2
◆未経験でもチャレンジ可　実は魅力がたくさん！「サービス・販売系職種」大特集◆
https://woman-type.jp/s/service/?utm_source=adm&amp;utm_medium=email&amp;utm_campaign=adm_pr_3 
┗━━━━━━━━━━━━━━━┛</t>
  </si>
  <si>
    <t>（月12）★納品対策</t>
  </si>
  <si>
    <t>┏…『Woman type』より無料イベントのお知らせ！妊活中の転職Q＆Aセミナー7/30(水)に開催…┓
★妊活中でも転職を諦めたくない！
★不妊治療と両立して働きやすい仕事・職場を見つけたい
★出産後も長く働ける仕事・職場を見つけたい
…etc
妊活と両立しながら転職を成功させるための具体的な方法を、
キャリアコンサルタントと企業の採用担当者が解説します。
妊活中のキャリアプランニングの考え方や、
ライフステージの変化があっても自分らしく長く働き続けていくための秘訣を知りたい方は
ぜひお気軽にエントリーください！
▼詳細はこちらから
https://woman-type.jp/wt/feature/40934/?utm_source=email&amp;utm_medium=wt&amp;utm_campaign=188
＜本件に関するお問い合わせ先＞
Woman type編集部：wtinfo@type.jp
┗………………………………………………………………┛</t>
  </si>
  <si>
    <t>リード文の下にいれる
※他のPRも差し込んでいる場合は
こちらのPRを最下部にする</t>
  </si>
  <si>
    <t>神奈川大特集
UIターン大特集</t>
  </si>
  <si>
    <r>
      <rPr/>
      <t xml:space="preserve">┏━━━★期間限定特集★━━━━┓
◆愛される街！神奈川県の仕事特集◆
https://woman-type.jp/s/kanagawa/?utm_source=adm&amp;utm_medium=email&amp;utm_campaign=adm_pr_7
◆地方で働こう！Uターン、Iターン歓迎企業特集◆
https://woman-type.jp/s/region?utm_source=adm&amp;utm_medium=email&amp;utm_campaign=adm_pr_16
</t>
    </r>
    <r>
      <rPr>
        <color rgb="FF1155CC"/>
        <u/>
      </rPr>
      <t xml:space="preserve">
</t>
    </r>
    <r>
      <rPr/>
      <t>┗━━━━━━━━━━━━━━━┛</t>
    </r>
  </si>
  <si>
    <t>AP依頼</t>
  </si>
  <si>
    <t>（金17）☆Womantype[全]</t>
  </si>
  <si>
    <t xml:space="preserve">┏━━━ PR★ポジウィル主催の無料企画 ━━━┓
～キャリアに悩む20～30代女性におすすめ～
転職ありきではなく、「どう生きたいか？」からキャリアを考える
キャリアのパーソナルトレーニングを提供中！
自己分析～キャリア設計まで、専属トレーナーがマンツーマンで伴走。
まずは無料体験セッションからどうぞ！
▼詳細・無料体験のご予約はこちら▼
https://posiwill.jp/career/lp/light/?utm_medium=alliance&amp;utm_source=cdc&amp;utm_campaign=cl
┗━━━━━━━━━━━━━━━━━━━━━┛
</t>
  </si>
  <si>
    <t>リード文の下にいれる
ポジウィルさんPR</t>
  </si>
  <si>
    <r>
      <rPr>
        <rFont val="Arial"/>
        <sz val="8.0"/>
      </rPr>
      <t xml:space="preserve">（火金12）新着総合
（水8）★求人特集(35歳未満) A
（日9）応募ランキング C　
</t>
    </r>
    <r>
      <rPr>
        <rFont val="Arial"/>
        <color rgb="FFFF0000"/>
        <sz val="8.0"/>
      </rPr>
      <t xml:space="preserve">　　※フェア終了後RPA戻し</t>
    </r>
    <r>
      <rPr>
        <rFont val="Arial"/>
        <sz val="8.0"/>
      </rPr>
      <t xml:space="preserve">
（月12）納品対策</t>
    </r>
  </si>
  <si>
    <r>
      <rPr>
        <rFont val="Arial"/>
      </rPr>
      <t xml:space="preserve">┏━━.+゜☆+.女の転職type 転職イベント━━━┓
10/18(土)12:00～18:00
渋谷ヒカリエにて女性のための転職イベント開催！
ギフト券がもらえるプレゼント企画も実施！
</t>
    </r>
    <r>
      <rPr>
        <rFont val="Arial"/>
        <color rgb="FF1155CC"/>
        <u/>
      </rPr>
      <t xml:space="preserve">https://woman-type.jp/s/event/?utm_source=fair_woman-type&amp;utm_medium=email&amp;utm_campaign=inner_wr_mail_boss_pr_251018
</t>
    </r>
    <r>
      <rPr>
        <rFont val="Arial"/>
      </rPr>
      <t xml:space="preserve">
┗━━━━━━━━━━━━━━━ .+゜☆+.━━┛</t>
    </r>
  </si>
  <si>
    <t>25/8/29(金)</t>
  </si>
  <si>
    <t>25/10/17(金)</t>
  </si>
  <si>
    <r>
      <rPr>
        <rFont val="Arial"/>
      </rPr>
      <t xml:space="preserve">リード文の下に入れる
</t>
    </r>
    <r>
      <rPr>
        <rFont val="Arial"/>
        <color rgb="FFFF0000"/>
      </rPr>
      <t>※他のPRも差し込んでいる場合は
こちらのPRを最上部にする</t>
    </r>
  </si>
  <si>
    <t>介護・保育・医療・福祉大特集</t>
  </si>
  <si>
    <r>
      <rPr/>
      <t xml:space="preserve">┏━━━★期間限定特集★━━━━┓
◆手に職つけて社会に貢献！介護・保育・医療・福祉業界に関わる仕事特集◆
</t>
    </r>
    <r>
      <rPr>
        <color rgb="FF1155CC"/>
        <u/>
      </rPr>
      <t xml:space="preserve">https://woman-type.jp/s/kaigosp/?utm_source=adm&amp;utm_medium=email&amp;utm_campaign=adm_pr_10
</t>
    </r>
    <r>
      <rPr/>
      <t>┗━━━━━━━━━━━━━━━┛</t>
    </r>
  </si>
  <si>
    <t>25/9/9(火)</t>
  </si>
  <si>
    <t>25/10/6(月)</t>
  </si>
  <si>
    <r>
      <rPr>
        <rFont val="Arial"/>
      </rPr>
      <t xml:space="preserve">リード文の下に入れる
</t>
    </r>
    <r>
      <rPr>
        <rFont val="Arial"/>
        <color rgb="FFFF0000"/>
      </rPr>
      <t>※他のPRも差し込んでいる場合は
こちらのPRを最上部にする</t>
    </r>
  </si>
  <si>
    <t>25/10/7(火)</t>
  </si>
  <si>
    <t>25/11/3(月)</t>
  </si>
  <si>
    <r>
      <rPr>
        <rFont val="Arial"/>
      </rPr>
      <t xml:space="preserve">リード文の下に入れる
</t>
    </r>
    <r>
      <rPr>
        <rFont val="Arial"/>
        <color rgb="FFFF0000"/>
      </rPr>
      <t>※他のPRも差し込んでいる場合は
こちらのPRを最上部にする</t>
    </r>
  </si>
  <si>
    <t>（火金12）新着総合_西日本
（木14）関西‗リモート×フレックス
（月19）関西‗超好条件_事務
（月14）☆関西</t>
  </si>
  <si>
    <r>
      <rPr/>
      <t xml:space="preserve">┏━━.+゜☆+.女の転職type 転職イベント━━━┓
11/29(土)12:00～18:00
グランフロント大阪にて女性のための転職イベント開催！
ギフト券がもらえるプレゼント企画も実施！
</t>
    </r>
    <r>
      <rPr>
        <color rgb="FF1155CC"/>
        <u/>
      </rPr>
      <t xml:space="preserve">https://woman-type.jp/s/event/osaka/?utm_source=fair_woman-type&amp;utm_medium=email&amp;utm_campaign=inner_wr_mail_boss_pr_251129 
</t>
    </r>
    <r>
      <rPr/>
      <t>┗━━━━━━━━━━━━━━━ .+゜☆+.━━┛</t>
    </r>
  </si>
  <si>
    <t>25/10/25(土)</t>
  </si>
  <si>
    <t>25/11/29(土)</t>
  </si>
  <si>
    <r>
      <rPr>
        <rFont val="Arial"/>
      </rPr>
      <t xml:space="preserve">リード文の下に入れる
</t>
    </r>
    <r>
      <rPr>
        <rFont val="Arial"/>
        <color rgb="FFFF0000"/>
      </rPr>
      <t>※他のPRも差し込んでいる場合は
こちらのPRを最上部にする</t>
    </r>
  </si>
  <si>
    <r>
      <rPr/>
      <t>┏━━━★期間限定特集★━━━━┓</t>
    </r>
    <r>
      <rPr>
        <color rgb="FF1155CC"/>
        <u/>
      </rPr>
      <t xml:space="preserve">
</t>
    </r>
    <r>
      <rPr/>
      <t>◆オンもオフも輝ける！営業大特集◆
https://woman-type.jp/s/salessp/?utm_source=adm&amp;utm_medium=email&amp;utm_campaign=adm_pr_4
┗━━━━━━━━━━━━━━━┛</t>
    </r>
  </si>
  <si>
    <t>25/11/4(火)</t>
  </si>
  <si>
    <t>25/12/1(月)</t>
  </si>
  <si>
    <r>
      <rPr>
        <rFont val="Arial"/>
      </rPr>
      <t xml:space="preserve">リード文の下に入れる
</t>
    </r>
    <r>
      <rPr>
        <rFont val="Arial"/>
        <color rgb="FFFF0000"/>
      </rPr>
      <t>※他のPRも差し込んでいる場合は
こちらのPRを最上部にする</t>
    </r>
  </si>
  <si>
    <t xml:space="preserve"> Woman type Meets! 告知</t>
  </si>
  <si>
    <t>（木16）エンジニア限定_単独求人メルマガ
（月19）超好条件_エンジニア</t>
  </si>
  <si>
    <t>┏…『Woman type』より「リモートワークで自由な働き方を叶える」ためのオンラインイベントのお知らせ！★参加無料★…┓
★知識ゼロでOK！女性向けプログラミングスクールのプログラムを体験できる！
★地方出身で「リモートワークで年収アップ」を実現した先輩たちによるトークイベントもあり◎
★オンラインなので全国から参加可能
「地元で働いているけれど、リモートワークで自由度高く働ける仕事にキャリアチェンジしたい…」
「地元で働きながら年収アップできる仕事に転職したい！」
「エンジニアの仕事に興味はあるけれど、実際どんな仕事なんだろう？」
「IT企業への応募を検討する前に、向いているかどうか確かめたい」
そんな方は、ぜひお気軽にエントリーください！
実際にお仕事体験をしてみるチャンスです。
▼詳細はこちらから
https://woman-type.jp/wt/feature/42521/?utm_source=email&amp;utm_medium=wt&amp;utm_campaign=314&amp;routeway=91
＜本件に関するお問い合わせ先＞
Woman type編集部：wtinfo@type.jp
┗………………………………………………………………┛</t>
  </si>
  <si>
    <t>25/11/6(火)</t>
  </si>
  <si>
    <t>25/11/17(火)</t>
  </si>
  <si>
    <t>┏━━━★期間限定特集★━━━━┓
◆仕事もプライベートも充実！大阪エリアで働きたい人のための関西大特集◆
https://woman-type.jp/s/kansai/?utm_source=adm&amp;utm_medium=email&amp;utm_campaign=adm_pr_5
┗━━━━━━━━━━━━━━━┛</t>
  </si>
  <si>
    <t>25/12/2(火)</t>
  </si>
  <si>
    <t>26/1/5(月)</t>
  </si>
  <si>
    <r>
      <rPr>
        <rFont val="Arial"/>
      </rPr>
      <t xml:space="preserve">リード文の下に入れる
</t>
    </r>
    <r>
      <rPr>
        <rFont val="Arial"/>
        <color rgb="FFFF0000"/>
      </rPr>
      <t>※他のPRも差し込んでいる場合は
こちらのPRを最上部にする</t>
    </r>
  </si>
  <si>
    <r>
      <rPr>
        <rFont val="Arial"/>
        <sz val="8.0"/>
      </rPr>
      <t xml:space="preserve">（火金12）新着総合
（水8）★求人特集(35歳未満) A
（日9）応募ランキング C　
</t>
    </r>
    <r>
      <rPr>
        <rFont val="Arial"/>
        <color rgb="FFFF0000"/>
        <sz val="8.0"/>
      </rPr>
      <t xml:space="preserve">　　※フェア終了後RPA戻し</t>
    </r>
    <r>
      <rPr>
        <rFont val="Arial"/>
        <sz val="8.0"/>
      </rPr>
      <t xml:space="preserve">
（月12）納品対策</t>
    </r>
  </si>
  <si>
    <r>
      <rPr>
        <rFont val="Arial"/>
      </rPr>
      <t xml:space="preserve">┏━━.+゜☆+.女の転職type 転職イベント━━━┓
1/31(土)12:00～18:00
渋谷ヒカリエにて女性のための転職イベント開催！
ギフト券がもらえるプレゼント企画も実施！
</t>
    </r>
    <r>
      <rPr>
        <rFont val="Arial"/>
        <color rgb="FF1155CC"/>
        <u/>
      </rPr>
      <t>https://woman-type.jp/s/event/?utm_source=fair_woman-type&amp;utm_medium=email&amp;utm_campaign=inner_wr_mail_boss_pr_260131</t>
    </r>
    <r>
      <rPr>
        <rFont val="Arial"/>
      </rPr>
      <t xml:space="preserve">
┗━━━━━━━━━━━━━━━ .+゜☆+.━━┛</t>
    </r>
  </si>
  <si>
    <t>25/12/5(金)</t>
  </si>
  <si>
    <t>26/1/30(金)</t>
  </si>
  <si>
    <r>
      <rPr>
        <rFont val="Arial"/>
      </rPr>
      <t xml:space="preserve">リード文の下に入れる
</t>
    </r>
    <r>
      <rPr>
        <rFont val="Arial"/>
        <color rgb="FFFF0000"/>
      </rPr>
      <t>※他のPRも差し込んでいる場合は
こちらのPRを最上部にする</t>
    </r>
  </si>
  <si>
    <r>
      <rPr/>
      <t xml:space="preserve">┏━━━★期間限定特集★━━━━┓
◆スキルアップしながら長く働く！エンジニア経験者のためのIT・Web業界大特集◆
</t>
    </r>
    <r>
      <rPr>
        <color rgb="FF1155CC"/>
        <u/>
      </rPr>
      <t>https://woman-type.jp/s/itweb/?utm_source=adm&amp;utm_medium=email&amp;utm_campaign=adm_pr_2</t>
    </r>
    <r>
      <rPr/>
      <t xml:space="preserve">
┗━━━━━━━━━━━━━━━┛</t>
    </r>
  </si>
  <si>
    <t>26/1/6(火)</t>
  </si>
  <si>
    <t>26/2/2(月)</t>
  </si>
  <si>
    <r>
      <rPr>
        <rFont val="Arial"/>
      </rPr>
      <t xml:space="preserve">リード文の下に入れる
</t>
    </r>
    <r>
      <rPr>
        <rFont val="Arial"/>
        <color rgb="FFFF0000"/>
      </rPr>
      <t>※他のPRも差し込んでいる場合は
こちらのPRを最上部にする</t>
    </r>
  </si>
  <si>
    <t>アパレルコスメ大特集
神奈川大特集</t>
  </si>
  <si>
    <r>
      <rPr/>
      <t xml:space="preserve">┏━━━★期間限定特集★━━━━┓
◆キレイもキャリアも手に入れるアパレル･コスメ･美容業界大特集◆
</t>
    </r>
    <r>
      <rPr>
        <color rgb="FF1155CC"/>
        <u/>
      </rPr>
      <t>https://woman-type.jp/s/fashion/sp20160927/?utm_source=adm&amp;utm_medium=email&amp;utm_campaign=adm_pr_6</t>
    </r>
    <r>
      <rPr/>
      <t xml:space="preserve">
◆愛される街！神奈川県の仕事特集◆
</t>
    </r>
    <r>
      <rPr>
        <color rgb="FF1155CC"/>
        <u/>
      </rPr>
      <t xml:space="preserve">https://woman-type.jp/s/kanagawa/?utm_source=adm&amp;utm_medium=email&amp;utm_campaign=adm_pr_7
</t>
    </r>
    <r>
      <rPr/>
      <t xml:space="preserve">
┗━━━━━━━━━━━━━━━┛</t>
    </r>
  </si>
  <si>
    <t>26/2/3(火)</t>
  </si>
  <si>
    <t>26/3/2(月)</t>
  </si>
  <si>
    <r>
      <rPr>
        <rFont val="Arial"/>
      </rPr>
      <t xml:space="preserve">リード文の下に入れる
</t>
    </r>
    <r>
      <rPr>
        <rFont val="Arial"/>
        <color rgb="FFFF0000"/>
      </rPr>
      <t>※他のPRも差し込んでいる場合は
こちらのPRを最上部にする</t>
    </r>
  </si>
  <si>
    <r>
      <rPr>
        <rFont val="arial,sans,sans-serif"/>
      </rPr>
      <t xml:space="preserve">┏━━━★期間限定特集★━━━━┓
◆スキルをつけて長く働く！ねらい目のオフィスワーク特集◆
</t>
    </r>
    <r>
      <rPr>
        <rFont val="arial,sans,sans-serif"/>
        <color rgb="FF1155CC"/>
        <u/>
      </rPr>
      <t xml:space="preserve">https://woman-type.jp/s/officework/?utm_source=adm&amp;utm_medium=email&amp;utm_campaign=adm_pr_8 
</t>
    </r>
    <r>
      <rPr>
        <rFont val="arial,sans,sans-serif"/>
      </rPr>
      <t xml:space="preserve">
┗━━━━━━━━━━━━━━━┛</t>
    </r>
  </si>
  <si>
    <t>26/3/3(火)</t>
  </si>
  <si>
    <t>26/3/30(月)</t>
  </si>
  <si>
    <r>
      <rPr>
        <rFont val="Arial"/>
      </rPr>
      <t xml:space="preserve">リード文の下に入れる
</t>
    </r>
    <r>
      <rPr>
        <rFont val="Arial"/>
        <color rgb="FFFF0000"/>
      </rPr>
      <t>※他のPRも差し込んでいる場合は
こちらのPRを最上部にする</t>
    </r>
  </si>
  <si>
    <t>┏━━━★期間限定特集★━━━━┓
◆スキルアップしながら長く働く！エンジニア経験者のためのIT・Web業界大特集◆
https://woman-type.jp/s/itweb/?utm_source=adm&amp;utm_medium=email&amp;utm_campaign=adm_pr_2
┗━━━━━━━━━━━━━━━┛</t>
  </si>
  <si>
    <t>26/3/31(火)</t>
  </si>
  <si>
    <t>26/4/27(月)</t>
  </si>
  <si>
    <r>
      <rPr>
        <rFont val="Arial"/>
      </rPr>
      <t xml:space="preserve">リード文の下に入れる
</t>
    </r>
    <r>
      <rPr>
        <rFont val="Arial"/>
        <color rgb="FFFF0000"/>
      </rPr>
      <t>※他のPRも差し込んでいる場合は
こちらのPRを最上部にする</t>
    </r>
  </si>
  <si>
    <t>１０</t>
  </si>
  <si>
    <t>月末増発</t>
  </si>
  <si>
    <t>自動求人特集パトロール対象</t>
  </si>
  <si>
    <r>
      <rPr>
        <b/>
        <color rgb="FF1155CC"/>
        <u/>
      </rPr>
      <t>月末増発管理シート</t>
    </r>
    <r>
      <rPr>
        <b/>
      </rPr>
      <t>(月末増発ラインナップ変更時は、シートも編集してください)</t>
    </r>
  </si>
  <si>
    <t>Q1回くらいで確認※200件以下を保つこと、危ないものはRPA外す</t>
  </si>
  <si>
    <t>※200件を超えていたらコメント＆チャット連絡(【ウキ】メルマガ改善PJT)</t>
  </si>
  <si>
    <t>→本部対応：1000件超えるとアウト。手動はその時点でみているので700件まで大丈夫としている。これはQ1回確認にしたので200件以下をボーダーラインとしている。</t>
  </si>
  <si>
    <t>確認履歴：その時点件数</t>
  </si>
  <si>
    <t>メルマガ名</t>
  </si>
  <si>
    <t>回数</t>
  </si>
  <si>
    <t>自動求人特集タイトル</t>
  </si>
  <si>
    <t>求人特集ID</t>
  </si>
  <si>
    <t>最終確認日/件</t>
  </si>
  <si>
    <t>40代以上の人気求人ランキング</t>
  </si>
  <si>
    <t>年収600万円以上の仕事</t>
  </si>
  <si>
    <t>251016/55</t>
  </si>
  <si>
    <t>2024/4/9：71</t>
  </si>
  <si>
    <t>激すご事務</t>
  </si>
  <si>
    <t>【首都圏版】自己PR不要！フルリモート可能な求人</t>
  </si>
  <si>
    <t>251016/77</t>
  </si>
  <si>
    <t>2024/4/9：62</t>
  </si>
  <si>
    <t>検討中ランキング_エンジニア</t>
  </si>
  <si>
    <t>カスタマーサクセス_リモート</t>
  </si>
  <si>
    <t>【関西版】自己PR不要！リモート×未経験OKの事務職求人</t>
  </si>
  <si>
    <t>251016/58</t>
  </si>
  <si>
    <t>検討中ランキング_コンサル</t>
  </si>
  <si>
    <t>検討中ランキング_営業</t>
  </si>
  <si>
    <t>検討中ランキング_介護</t>
  </si>
  <si>
    <t>ランキング_事務（受付）_希望</t>
  </si>
  <si>
    <t>2024/4/9：136</t>
  </si>
  <si>
    <t>新生活応援_複数_未経験_事務</t>
  </si>
  <si>
    <t>40代から未経験でチャレンジできる正社員の求人</t>
  </si>
  <si>
    <t>251016/198</t>
  </si>
  <si>
    <t>2024/4/9：121</t>
  </si>
  <si>
    <t>関西_転勤なし</t>
  </si>
  <si>
    <t>【首都圏版】自己PR不要！リモート×未経験OKの事務職求人</t>
  </si>
  <si>
    <t>251016/163</t>
  </si>
  <si>
    <t>2024/4/9：88</t>
  </si>
  <si>
    <t>【首都圏版】自己PR不要！リモート×未経験OKの営業・企画系求人</t>
  </si>
  <si>
    <t>251016/93</t>
  </si>
  <si>
    <t>2024/4/9：68</t>
  </si>
  <si>
    <t>【全国版】自己PR不要！リモート×未経験OKのエンジニア系求人</t>
  </si>
  <si>
    <t>251016/97</t>
  </si>
  <si>
    <t>2024/4/9：80</t>
  </si>
  <si>
    <t>【首都圏版】自己PR不要！残業ほぼなし×未経験OKのサービス・販売系求人</t>
  </si>
  <si>
    <t>251016/107</t>
  </si>
  <si>
    <t>資格活かせる_FP</t>
  </si>
  <si>
    <t>未経験からでも年収500万円以上が叶うお仕事</t>
  </si>
  <si>
    <t>251016/43</t>
  </si>
  <si>
    <t>未経験OK_受付</t>
  </si>
  <si>
    <t>フルリモート×未経験歓迎_過去会員</t>
  </si>
  <si>
    <t>未経験_研修・資格_営業系_埼玉神奈川千葉</t>
  </si>
  <si>
    <t>【首都圏版】年収400万円以上！自己PR不要×社会人経験10年以上歓迎の求人特集</t>
  </si>
  <si>
    <t>251016/187</t>
  </si>
  <si>
    <t>SDGsメルマガ</t>
  </si>
  <si>
    <t>合計</t>
  </si>
  <si>
    <t>2020年_GW</t>
  </si>
  <si>
    <t>配信日</t>
  </si>
  <si>
    <t>関係部署</t>
  </si>
  <si>
    <t>配信有無</t>
  </si>
  <si>
    <t>連絡</t>
  </si>
  <si>
    <t>救済UP対策</t>
  </si>
  <si>
    <t>制作 藤本さん</t>
  </si>
  <si>
    <t>更新なし</t>
  </si>
  <si>
    <t>編集部オススメ</t>
  </si>
  <si>
    <t>TP 田口さん</t>
  </si>
  <si>
    <t>配信休止</t>
  </si>
  <si>
    <t>推進課メルマガ</t>
  </si>
  <si>
    <t>推進部 有馬さん</t>
  </si>
  <si>
    <t>（ウキ向け）typeの求人</t>
  </si>
  <si>
    <t>typeチーム</t>
  </si>
  <si>
    <t>通常配信</t>
  </si>
  <si>
    <t>Womantype</t>
  </si>
  <si>
    <t>MT課</t>
  </si>
  <si>
    <t>配信あり。5/1(金）入稿〆切</t>
  </si>
  <si>
    <t>救済メルマガUP10</t>
  </si>
  <si>
    <t>横浜メルマガ</t>
  </si>
  <si>
    <t>ベイ</t>
  </si>
  <si>
    <t>ウキポリ</t>
  </si>
  <si>
    <t>田川さん</t>
  </si>
  <si>
    <t>TP部メルマガ</t>
  </si>
  <si>
    <t>関西メルマガ</t>
  </si>
  <si>
    <t>代理店課</t>
  </si>
  <si>
    <t>東海メルマガ</t>
  </si>
  <si>
    <t>岸さん</t>
  </si>
  <si>
    <t>配信あり。5/8(金）入稿〆切</t>
  </si>
  <si>
    <t>2020年_年末年始</t>
  </si>
  <si>
    <t>新着総合5本</t>
  </si>
  <si>
    <t>メルマガPR(商品)差込なしで配信。</t>
  </si>
  <si>
    <t>求人特集(35歳未満) A</t>
  </si>
  <si>
    <t>12/26(土)にずらして配信</t>
  </si>
  <si>
    <t>掲載終了前+UP3本</t>
  </si>
  <si>
    <t>制作_江橋さん、本多さん</t>
  </si>
  <si>
    <t>制作UP救済求人の差し込み無しで配信。</t>
  </si>
  <si>
    <t>済</t>
  </si>
  <si>
    <t>推進課</t>
  </si>
  <si>
    <t>推進_飯弘さん</t>
  </si>
  <si>
    <t>17時以降すべて</t>
  </si>
  <si>
    <t>終日</t>
  </si>
  <si>
    <t>MT_秋元さん</t>
  </si>
  <si>
    <t>求人特集(35歳未満) B</t>
  </si>
  <si>
    <t>横浜</t>
  </si>
  <si>
    <t>営業_霞さん</t>
  </si>
  <si>
    <t>差込なし。代替で「希望勤務地_神奈川」を配信。</t>
  </si>
  <si>
    <t>救済メルマガ(UP10)</t>
  </si>
  <si>
    <t>TP_田口さん</t>
  </si>
  <si>
    <t>掲載終了3本</t>
  </si>
  <si>
    <t>制作_本多さん</t>
  </si>
  <si>
    <t>関西、東海</t>
  </si>
  <si>
    <t>代理店_河合さん</t>
  </si>
  <si>
    <t>2021年_GW</t>
  </si>
  <si>
    <t>TP 田口さん、吉江さん</t>
  </si>
  <si>
    <t>ー</t>
  </si>
  <si>
    <t>制作 江橋さん、本多さん</t>
  </si>
  <si>
    <t>通常配信、入稿〆を前倒してエントリー</t>
  </si>
  <si>
    <t>◯</t>
  </si>
  <si>
    <t>新着総合8本</t>
  </si>
  <si>
    <t>掲載終了前+UP A</t>
  </si>
  <si>
    <t>差し込みなしで配信を打診中</t>
  </si>
  <si>
    <t>△</t>
  </si>
  <si>
    <t>火曜更新がなく、配信する特集がないので配信休止</t>
  </si>
  <si>
    <t>小林佳奈さん</t>
  </si>
  <si>
    <t>2021年_7月下旬の4連休（木～日）</t>
  </si>
  <si>
    <t>新着総合</t>
  </si>
  <si>
    <t>-</t>
  </si>
  <si>
    <t>差込なしのイレギュラー文面で配信。</t>
  </si>
  <si>
    <t>不要</t>
  </si>
  <si>
    <t>TW_秋元さん</t>
  </si>
  <si>
    <t>入稿を金曜AM〆⇒水曜AM〆に早めてもらう。</t>
  </si>
  <si>
    <t>編集部オススメ_営業</t>
  </si>
  <si>
    <t>TP_吉江さん</t>
  </si>
  <si>
    <t>typeと協働</t>
  </si>
  <si>
    <t>求人特集(35歳未満） B</t>
  </si>
  <si>
    <t>金曜更新がないので配信休止</t>
  </si>
  <si>
    <t>入稿を木曜〆⇒火曜〆に早めてもらう。</t>
  </si>
  <si>
    <t>営業_花澤さん、紅谷さん</t>
  </si>
  <si>
    <t>エントリーを木曜〆⇒水曜AM〆に前倒してもらう。</t>
  </si>
  <si>
    <t>IT派遣</t>
  </si>
  <si>
    <t>CDI_羽根さん、北島さん</t>
  </si>
  <si>
    <t>TP部メルマガ×2本</t>
  </si>
  <si>
    <t>掲載終了前+UP B</t>
  </si>
  <si>
    <t>2021年_お盆（8/7土～8/15日）</t>
  </si>
  <si>
    <t>杉浦メモ</t>
  </si>
  <si>
    <t>差込なしで配信</t>
  </si>
  <si>
    <t>（火12・13）新着総合5本・・・更新が無いため、メルマガPR（商品）の差込無し+通常文面とは異なるイレギュラー文面での配信。</t>
  </si>
  <si>
    <t>18時のエンジニア系</t>
  </si>
  <si>
    <t>営業 花澤さん紅谷さん</t>
  </si>
  <si>
    <t>エントリーフォームで配信休止予告済み</t>
  </si>
  <si>
    <t>火曜更新がないので配信休止</t>
  </si>
  <si>
    <t>編集部オススメ_事務</t>
  </si>
  <si>
    <t>TP 吉江さん</t>
  </si>
  <si>
    <t>手動対応が必要&amp;設定後の求人変更が起きた場合に対応不可なため配信不可</t>
  </si>
  <si>
    <t>18時の営業系</t>
  </si>
  <si>
    <t>推進課から文面がもらえないため配信不可</t>
  </si>
  <si>
    <t>18時の販サ系</t>
  </si>
  <si>
    <t>文面入稿なし、typeADMから抽出している</t>
  </si>
  <si>
    <t>TW 秋元さん</t>
  </si>
  <si>
    <t>文面もらえないため配信不可</t>
  </si>
  <si>
    <t>配信休止。代替で「希望勤務地_神奈川」を配信。</t>
  </si>
  <si>
    <t>エントリーができないから配信不可</t>
  </si>
  <si>
    <t>配信休止。代替で「救済メルマガ(UP10)_イレギュラー」を配信。</t>
  </si>
  <si>
    <t>エントリーできないため配信休止</t>
  </si>
  <si>
    <t>関西</t>
  </si>
  <si>
    <t>代理店課　河合さん</t>
  </si>
  <si>
    <t>代理店課から文面もらえないから配信休止</t>
  </si>
  <si>
    <t>東海</t>
  </si>
  <si>
    <t>以下、川村の個人的メモを畳んでます</t>
  </si>
  <si>
    <t>■エントリーなしで配信⇒必掲出求人なしの旨をスケジュールにも記載</t>
  </si>
  <si>
    <t>（土16）救済メルマガ(UP10)　→エントリーなしの連絡を制作藤本さんに。</t>
  </si>
  <si>
    <t>（日18）販サ4本　→調整済み</t>
  </si>
  <si>
    <t>（月8）掲載終了3本　→エントリーなしの連絡を制作藤本さん、本多令奈さん に。</t>
  </si>
  <si>
    <t>（水08）求人特集(35歳未満) A・・・火曜更新がないため、配信する求人特集がないのでお休み。</t>
  </si>
  <si>
    <t>（水14）編集部オススメ・・・他サイトでの求人掲載有無確認を行っているため前日設定が必須。今回はお休み。</t>
  </si>
  <si>
    <t>このメールは抽出じゃなくてフリー文面だから、たとえば前週金曜に設定して（火曜に職種名変わって）水曜配信とかだと死亡する。</t>
  </si>
  <si>
    <t>■入稿・エントリーを早めるor配信休止</t>
  </si>
  <si>
    <t>木曜午前中までに入稿・エントリーしてもらう。もっと早くてもよい。</t>
  </si>
  <si>
    <t>この連絡調整をお願いします。</t>
  </si>
  <si>
    <t>（水17）推進課　→飯弘さん。配信中止。</t>
  </si>
  <si>
    <t>（金17）Womantype　→MT秋元さん。入稿前倒し。</t>
  </si>
  <si>
    <t>（土14）横浜　→ベイ鎌田さん　差込なし</t>
  </si>
  <si>
    <t>（日19）TP部メルマガ　→TP田口さん。配信中止。</t>
  </si>
  <si>
    <t>（月14）関西、東海　→代理店課</t>
  </si>
  <si>
    <t>※ベイと代理店課はtypeと連携して連絡、調整する。</t>
  </si>
  <si>
    <t>商品の入稿がないから差し込めない。でも新着求人は推したいからスペシャルテンプレートで配信はしたいよ、という意味。</t>
  </si>
  <si>
    <t>（水13）掲載終了前+UP3本・・・制作UP救済求人の差込無しでの配信。</t>
  </si>
  <si>
    <t>2021年_年末年始</t>
  </si>
  <si>
    <t>2022年2月11日（金）祝日対応</t>
  </si>
  <si>
    <t>メルマガPR(商品)差込なしで配信。
スケジュール表に「イレギュラー文面で設定」とコメントを追加</t>
  </si>
  <si>
    <t>更新日（求人入れ替えに当たる火金）がお休みでも、新着総合は送れる！けど、新規入稿商品は全部ナシなので商品のPRも入稿ナシです！</t>
  </si>
  <si>
    <t>入稿〆切を2/9（水）に変更</t>
  </si>
  <si>
    <t>営アシ_藤村さん</t>
  </si>
  <si>
    <t>エントリー〆が水曜18時のため配信に間に合うため配信</t>
  </si>
  <si>
    <t>typeと協働　type課に確認</t>
  </si>
  <si>
    <t>制作_桑原さん、本多さん</t>
  </si>
  <si>
    <t>エントリー〆を木曜午前中に変更</t>
  </si>
  <si>
    <r>
      <rPr>
        <rFont val="Arial, Helvetica, sans-serif"/>
        <color rgb="FF1155CC"/>
        <u/>
      </rPr>
      <t>求人特集の更新がない</t>
    </r>
    <r>
      <rPr>
        <rFont val="Arial, Helvetica, sans-serif"/>
        <color rgb="FF222222"/>
      </rPr>
      <t>ため配信停止</t>
    </r>
  </si>
  <si>
    <t>営業 花澤さん紅谷さん富田さん</t>
  </si>
  <si>
    <t>エントリー〆を2/9（水）に変更</t>
  </si>
  <si>
    <t>エントリー〆切を2/10（木）午前に変更</t>
  </si>
  <si>
    <t>IT派遣　加藤さん　木村さん　川村さん</t>
  </si>
  <si>
    <t>入稿〆切を2/10（木）午前中までにお願いする</t>
  </si>
  <si>
    <t>杉浦さんご対応くださる</t>
  </si>
  <si>
    <t>制作_本多さん　Cc：桑原さん</t>
  </si>
  <si>
    <t>代理店_井上さん</t>
  </si>
  <si>
    <t>2022年2月23日（水）祝日対応</t>
  </si>
  <si>
    <t>火曜12時〆切　→　月曜12時〆切</t>
  </si>
  <si>
    <t>2022年3月20日（日）～19時までメンテでサイト停止・3月21日（月）祝日</t>
  </si>
  <si>
    <r>
      <rPr>
        <color rgb="FF1155CC"/>
        <u/>
      </rPr>
      <t>SWAT版ウキポリ</t>
    </r>
    <r>
      <rPr/>
      <t>はエントリーがあるのでご注意ください！</t>
    </r>
  </si>
  <si>
    <t>エントリー〆切を3/17（木）午前に変更</t>
  </si>
  <si>
    <t>変更しなくてOK</t>
  </si>
  <si>
    <t>通常通り配信</t>
  </si>
  <si>
    <t>商品「女の転職ｔｙｐｅ　スマホ版採用応援リンク　第一特集」を受注した企業を配信（求人特集に登録してメルマガ配信）
受注がある限り配信可能</t>
  </si>
  <si>
    <t>入稿を3/17（木）午前までの締め切りに変更</t>
  </si>
  <si>
    <t>ポジションマッチ A2</t>
  </si>
  <si>
    <t>新着総合（8本）</t>
  </si>
  <si>
    <t>3/22（火）納品のメルマガPR（商品）があるので通常文面で配信だと思います！</t>
  </si>
  <si>
    <t>応募ランキング A</t>
  </si>
  <si>
    <t>除外企業の設定をしてくださっていそう？更新とは関係なさそうなので通常配信でお願いします！</t>
  </si>
  <si>
    <t>2022年_GW</t>
  </si>
  <si>
    <t>祝日：4/29（金）、5/3（火）、5/4（水）、5/5（木）</t>
  </si>
  <si>
    <t>MT_柴田さん　Cc：TW課</t>
  </si>
  <si>
    <t>入稿〆切を4/27（水）に変更</t>
  </si>
  <si>
    <t>4/29(金)に設定ができないため配信休止</t>
  </si>
  <si>
    <r>
      <rPr>
        <rFont val="Arial, Helvetica, sans-serif"/>
        <color rgb="FF1155CC"/>
        <u/>
      </rPr>
      <t>求人特集の更新がない</t>
    </r>
    <r>
      <rPr>
        <rFont val="Arial, Helvetica, sans-serif"/>
        <color rgb="FF222222"/>
      </rPr>
      <t>ため配信停止</t>
    </r>
  </si>
  <si>
    <t>エントリー〆を4/27（水）に変更</t>
  </si>
  <si>
    <t>エントリー〆切を4/28（木）午前に変更</t>
  </si>
  <si>
    <t>入稿〆切を4/28（木）午前中までにお願いする　
→　typeは4/27（水）中までに〆切変更</t>
  </si>
  <si>
    <t>5/3(火)に設定ができないため配信休止</t>
  </si>
  <si>
    <t>5/3(火)のエントリーを停止、差込なしで配信</t>
  </si>
  <si>
    <t>コメントに「差込なしで配信」</t>
  </si>
  <si>
    <t>推進課メルマガ3本</t>
  </si>
  <si>
    <t>推進_小林晃輝さん</t>
  </si>
  <si>
    <t>typeと協働　→　河西さん配信</t>
  </si>
  <si>
    <t>5/4(水)のエントリー停止のため配信停止</t>
  </si>
  <si>
    <t>typeと協働　→　鎌田</t>
  </si>
  <si>
    <t>5/5(木)のエントリー停止のため配信停止</t>
  </si>
  <si>
    <r>
      <rPr>
        <rFont val="Arial, Helvetica, sans-serif"/>
        <color rgb="FF1155CC"/>
        <u/>
      </rPr>
      <t>求人特集の更新が</t>
    </r>
    <r>
      <rPr>
        <rFont val="Arial, Helvetica, sans-serif"/>
        <color rgb="FF222222"/>
      </rPr>
      <t>あるため配信</t>
    </r>
  </si>
  <si>
    <t>5/3(火)～5/5(木)のエントリーを停止のため配信休止</t>
  </si>
  <si>
    <t>エントリー〆切が5/6（金）午前のため配信可能</t>
  </si>
  <si>
    <t>IT派遣　木村さん　中島さん　加藤さん</t>
  </si>
  <si>
    <t>入稿〆切を4/28（木）午前中までにお願いする</t>
  </si>
  <si>
    <t>typeと協働　→　ウキのみ</t>
  </si>
  <si>
    <t>入稿〆切が5/6(金)午前のため配信可能
→　typeは配信停止</t>
  </si>
  <si>
    <t>5/3(火)～5/5(木)のエントリーを停止のため差込なしで配信</t>
  </si>
  <si>
    <t>2022年7月18日（月）祝日対応</t>
  </si>
  <si>
    <t>金曜12時〆切 → 通常運営でOK</t>
  </si>
  <si>
    <t>変更なしでOK</t>
  </si>
  <si>
    <t>ポジションマッチ A3</t>
  </si>
  <si>
    <t>2022年_お盆（8/11木～8/17水）</t>
  </si>
  <si>
    <r>
      <rPr>
        <rFont val="Arial, Helvetica, sans-serif"/>
        <color rgb="FF222222"/>
      </rPr>
      <t>営業 花澤さん紅谷さん</t>
    </r>
    <r>
      <rPr>
        <rFont val="Arial, Helvetica, sans-serif"/>
        <strike/>
        <color rgb="FF222222"/>
      </rPr>
      <t>富田さん</t>
    </r>
  </si>
  <si>
    <t>TW 柴田さん</t>
  </si>
  <si>
    <t>配信なしでOKとのこと</t>
  </si>
  <si>
    <t>平山さん、原田さん、営アシsales-assistant@type.jp</t>
  </si>
  <si>
    <t>8/9AMで前倒し</t>
  </si>
  <si>
    <t>typeと協働　→　鎌田メール（河西さんも入れる）</t>
  </si>
  <si>
    <r>
      <rPr>
        <rFont val="Arial, Helvetica, sans-serif"/>
        <b/>
        <color rgb="FF222222"/>
      </rPr>
      <t>営業 花澤さん紅谷さん</t>
    </r>
    <r>
      <rPr>
        <rFont val="Arial, Helvetica, sans-serif"/>
        <b/>
        <strike/>
        <color rgb="FF222222"/>
      </rPr>
      <t>富田さん</t>
    </r>
  </si>
  <si>
    <r>
      <rPr>
        <rFont val="Arial, Helvetica, sans-serif"/>
        <b/>
        <color rgb="FF222222"/>
      </rPr>
      <t>配信休止</t>
    </r>
    <r>
      <rPr>
        <rFont val="Arial, Helvetica, sans-serif"/>
        <b/>
        <color rgb="FFFF0000"/>
      </rPr>
      <t>→配信有、エントリー期間8/9(火)中に変更</t>
    </r>
  </si>
  <si>
    <t>水曜午前中で入稿〆切変更</t>
  </si>
  <si>
    <t>代理店_西山さん</t>
  </si>
  <si>
    <t>typeと協働　→　河西さんから連絡してくださる</t>
  </si>
  <si>
    <t>シンデレラパックにある商品「女の転職ｔｙｐｅ　スマホ版採用応援リンク　第一特集」を受注した企業を配信（求人特集に登録してメルマガ配信）
受注がある限り配信可能</t>
  </si>
  <si>
    <r>
      <rPr>
        <rFont val="Arial, Helvetica, sans-serif"/>
        <b/>
        <color rgb="FF222222"/>
      </rPr>
      <t>営業 花澤さん紅谷さん</t>
    </r>
    <r>
      <rPr>
        <rFont val="Arial, Helvetica, sans-serif"/>
        <b/>
        <strike/>
        <color rgb="FF222222"/>
      </rPr>
      <t>富田さん</t>
    </r>
  </si>
  <si>
    <r>
      <rPr>
        <rFont val="Arial, Helvetica, sans-serif"/>
        <b/>
        <color rgb="FF222222"/>
      </rPr>
      <t>差込なしで配信</t>
    </r>
    <r>
      <rPr>
        <rFont val="Arial, Helvetica, sans-serif"/>
        <b/>
        <color rgb="FFFF0000"/>
      </rPr>
      <t>→差し込み有、エントリー期間8/9(火)中に変更</t>
    </r>
  </si>
  <si>
    <r>
      <rPr>
        <rFont val="Arial, Helvetica, sans-serif"/>
        <b/>
        <color rgb="FF222222"/>
      </rPr>
      <t>営業 花澤さん紅谷さん</t>
    </r>
    <r>
      <rPr>
        <rFont val="Arial, Helvetica, sans-serif"/>
        <b/>
        <strike/>
        <color rgb="FF222222"/>
      </rPr>
      <t>富田さん</t>
    </r>
  </si>
  <si>
    <r>
      <rPr>
        <rFont val="Arial, Helvetica, sans-serif"/>
        <b/>
        <color rgb="FF222222"/>
      </rPr>
      <t>差込なしで配信</t>
    </r>
    <r>
      <rPr>
        <rFont val="Arial, Helvetica, sans-serif"/>
        <b/>
        <color rgb="FFFF0000"/>
      </rPr>
      <t>→差し込み有、エントリー期間8/9(火)中に変更</t>
    </r>
  </si>
  <si>
    <r>
      <rPr>
        <rFont val="Arial, Helvetica, sans-serif"/>
        <b/>
        <color rgb="FF222222"/>
      </rPr>
      <t>営業 花澤さん紅谷さん</t>
    </r>
    <r>
      <rPr>
        <rFont val="Arial, Helvetica, sans-serif"/>
        <b/>
        <strike/>
        <color rgb="FF222222"/>
      </rPr>
      <t>富田さん</t>
    </r>
  </si>
  <si>
    <r>
      <rPr>
        <rFont val="Arial, Helvetica, sans-serif"/>
        <b/>
        <color rgb="FF222222"/>
      </rPr>
      <t>差込なしで配信</t>
    </r>
    <r>
      <rPr>
        <rFont val="Arial, Helvetica, sans-serif"/>
        <b/>
        <color rgb="FFFF0000"/>
      </rPr>
      <t>→差し込み有、エントリー期間8/9(火)中に変更</t>
    </r>
  </si>
  <si>
    <t>配信休止　エントリー受付なし</t>
  </si>
  <si>
    <r>
      <rPr>
        <rFont val="Arial, Helvetica, sans-serif"/>
        <b/>
        <color rgb="FF222222"/>
      </rPr>
      <t>営業 花澤さん紅谷さん</t>
    </r>
    <r>
      <rPr>
        <rFont val="Arial, Helvetica, sans-serif"/>
        <b/>
        <strike/>
        <color rgb="FF222222"/>
      </rPr>
      <t>富田さん</t>
    </r>
  </si>
  <si>
    <r>
      <rPr>
        <rFont val="Arial, Helvetica, sans-serif"/>
        <b/>
        <color rgb="FF222222"/>
      </rPr>
      <t>営業 花澤さん紅谷さん</t>
    </r>
    <r>
      <rPr>
        <rFont val="Arial, Helvetica, sans-serif"/>
        <b/>
        <strike/>
        <color rgb="FF222222"/>
      </rPr>
      <t>富田さん</t>
    </r>
  </si>
  <si>
    <r>
      <rPr>
        <rFont val="Arial, Helvetica, sans-serif"/>
        <b/>
        <color rgb="FF222222"/>
      </rPr>
      <t>営業 花澤さん紅谷さん</t>
    </r>
    <r>
      <rPr>
        <rFont val="Arial, Helvetica, sans-serif"/>
        <b/>
        <strike/>
        <color rgb="FF222222"/>
      </rPr>
      <t>富田さん</t>
    </r>
  </si>
  <si>
    <r>
      <rPr>
        <rFont val="Arial, Helvetica, sans-serif"/>
        <b/>
        <color rgb="FF222222"/>
      </rPr>
      <t>営業 花澤さん紅谷さん</t>
    </r>
    <r>
      <rPr>
        <rFont val="Arial, Helvetica, sans-serif"/>
        <b/>
        <strike/>
        <color rgb="FF222222"/>
      </rPr>
      <t>富田さん</t>
    </r>
  </si>
  <si>
    <t>2022年9月23日（金曜）祝日対応</t>
  </si>
  <si>
    <t>ポジションマッチ B2</t>
  </si>
  <si>
    <t>入稿〆切を9/21（水）に変更</t>
  </si>
  <si>
    <t>件名：メルマガ業務●ウキ／お盆休みのTP部メルマガについて　を参考</t>
  </si>
  <si>
    <t>エントリー〆を水曜中に変更</t>
  </si>
  <si>
    <t>件名：メルマガ業務●ウキ／お盆休みのUP救済関連のエントリー〆について　を参考</t>
  </si>
  <si>
    <t>水曜中で入稿〆切変更</t>
  </si>
  <si>
    <t>件名：メルマガ業務●ウキ：8/14（日）配信のIT派遣メルマガについて　を参考</t>
  </si>
  <si>
    <t>2022年_マスタ改修期間（10/22～10/24）</t>
  </si>
  <si>
    <t>営業 _石川翔一さん、紅谷さん</t>
  </si>
  <si>
    <t>IT派遣　木村さん　中島さん</t>
  </si>
  <si>
    <t>2022年11月3日（木曜）祝日対応</t>
  </si>
  <si>
    <t>件名：メルマガ業務●ウキ</t>
  </si>
  <si>
    <t>基本的に他部署依頼の入稿系は前日12時までの〆切</t>
  </si>
  <si>
    <t>求人特集の更新があるため配信</t>
  </si>
  <si>
    <t>エントリーは火曜なので通常配信</t>
  </si>
  <si>
    <t>11/3日(木)が祝日のためエントリー期間を10/31(月)～11/1(火)</t>
  </si>
  <si>
    <t>TW 関口さん　Cc：TW課</t>
  </si>
  <si>
    <t>入稿〆切を11/2（水）に変更</t>
  </si>
  <si>
    <t>2022年11月23日（水曜）祝日対応</t>
  </si>
  <si>
    <t>推進_布施さん</t>
  </si>
  <si>
    <t>推進部 推進課 火曜午前締切</t>
  </si>
  <si>
    <t>2022年12月29日から2023年1月3日　年末年始休日対応</t>
  </si>
  <si>
    <t>3つメール送る</t>
  </si>
  <si>
    <t>差し込みなしで配信</t>
  </si>
  <si>
    <t>推進課　　　停止　1/4の分12/26までにもらえたら配信</t>
  </si>
  <si>
    <t>ポジションマッチB1</t>
  </si>
  <si>
    <t>横浜　　　　停止　原田梓さん、鈴木順恵さん</t>
  </si>
  <si>
    <t>関西・東海　停止</t>
  </si>
  <si>
    <t>sales-assistant@type.jpのみ(島原さん)</t>
  </si>
  <si>
    <t>12/31(土)17時から1/1(日)終日</t>
  </si>
  <si>
    <t>営業 _石川翔一さん、畑さん、㏄花澤さん</t>
  </si>
  <si>
    <t>ポジションマッチB2</t>
  </si>
  <si>
    <t>メルマガPR(商品)差込なしで配信。 
スケジュール表に「イレギュラー文面で設定」とコメントを追加</t>
  </si>
  <si>
    <t>応募ランキング</t>
  </si>
  <si>
    <t>1/4の分12/26までにもらえるようなので配信</t>
  </si>
  <si>
    <t>2023年2月23日（木）祝日対応</t>
  </si>
  <si>
    <t>TW 柴田さん　Cc：TW課</t>
  </si>
  <si>
    <t>入稿〆切を2/22（水）AM中に変更</t>
  </si>
  <si>
    <t>2023年3月21日（火）祝日対応</t>
  </si>
  <si>
    <t>入稿〆切を3/20（月）AM中に変更</t>
  </si>
  <si>
    <t>typeと協働（担当者と連絡取り合う）</t>
  </si>
  <si>
    <t>2023年5月3(水)~7日（日）GW対応</t>
  </si>
  <si>
    <t>休みの前後1日も注視</t>
  </si>
  <si>
    <t>連絡、3日はＯＫの旨</t>
  </si>
  <si>
    <t>通常配信※前倒し設定可能</t>
  </si>
  <si>
    <t>平田さん確認→×ならtypeに共有</t>
  </si>
  <si>
    <t>TW 光谷さん　Cc：TW課</t>
  </si>
  <si>
    <t>入稿〆切5/2（火）AM中に変更</t>
  </si>
  <si>
    <t>原田梓 &lt;a-harata@type.jp&gt;
Cc:        arp_assistant@type.jp,</t>
  </si>
  <si>
    <t>平田さん確認</t>
  </si>
  <si>
    <t>typeと協働(佐藤さん・野村さん・ウキ停止するけどtypeどうするか→西山さんにメール)</t>
  </si>
  <si>
    <t>※全部グレーアウト。戻すときにコメントしておく</t>
  </si>
  <si>
    <t>2023年6月4日（日）BOSS-Cメンテ対応</t>
  </si>
  <si>
    <t xml:space="preserve">6/3(土)18時に配信日だけ変更する旨お伝えする　</t>
  </si>
  <si>
    <t xml:space="preserve">6/5(月)19時に配信日だけ変更する旨お伝えする　</t>
  </si>
  <si>
    <t>2023年7月17日（月）祝日対応</t>
  </si>
  <si>
    <t>2023年_お盆（8/11金～8/20日）</t>
  </si>
  <si>
    <t>通常は配信当日AMに設定するとのこと</t>
  </si>
  <si>
    <t>山田達郎さん、原田さん、営アシsales-assistant@type.jp</t>
  </si>
  <si>
    <t>8/7AMで前倒し</t>
  </si>
  <si>
    <t>typeと協働　→　佐藤さんから連絡してくださる</t>
  </si>
  <si>
    <r>
      <rPr>
        <rFont val="Arial, Helvetica, sans-serif"/>
        <color rgb="FF222222"/>
      </rPr>
      <t>配信休止</t>
    </r>
    <r>
      <rPr>
        <rFont val="Arial, Helvetica, sans-serif"/>
        <color rgb="FFFF0000"/>
      </rPr>
      <t>→配信有、エントリー期間8/9(水)中に変更</t>
    </r>
  </si>
  <si>
    <t>営業 石川翔一さん、畑さん</t>
  </si>
  <si>
    <r>
      <rPr>
        <rFont val="Arial, Helvetica, sans-serif"/>
        <color rgb="FF222222"/>
      </rPr>
      <t>配信休止</t>
    </r>
    <r>
      <rPr>
        <rFont val="Arial, Helvetica, sans-serif"/>
        <color rgb="FFFF0000"/>
      </rPr>
      <t>→配信有、エントリー期間8/9(水)中に変更</t>
    </r>
  </si>
  <si>
    <r>
      <rPr>
        <rFont val="Arial, Helvetica, sans-serif"/>
        <color rgb="FF222222"/>
      </rPr>
      <t>配信休止</t>
    </r>
    <r>
      <rPr>
        <rFont val="Arial, Helvetica, sans-serif"/>
        <color rgb="FFFF0000"/>
      </rPr>
      <t>→配信有、エントリー期間8/9(水)中に変更</t>
    </r>
  </si>
  <si>
    <t>IT派遣　木村さん　中島さん　Cc：ITH事業部 登録部</t>
  </si>
  <si>
    <t>木曜午前中で入稿〆切変更</t>
  </si>
  <si>
    <t>内田さん確認済み　基本的に他部署依頼の入稿系は前日12時までの〆切　※隔週配信なので、配信日が連休に被る場合のみ広報が必要</t>
  </si>
  <si>
    <r>
      <rPr>
        <rFont val="Arial, Helvetica, sans-serif"/>
        <color rgb="FF222222"/>
      </rPr>
      <t>差込なしで配信</t>
    </r>
    <r>
      <rPr>
        <rFont val="Arial, Helvetica, sans-serif"/>
        <color rgb="FFFF0000"/>
      </rPr>
      <t>→配信有、エントリー期間8/9(水)中に変更</t>
    </r>
  </si>
  <si>
    <t>代理店_中嶋さん</t>
  </si>
  <si>
    <t>シンデレラパックにある商品「女の転職ｔｙｐｅ　スマホ版採用応援リンク　第一特集」を受注した企業を配信（求人特集に登録してメルマガ配信）
受注がある限り配信可能 　念のため松下さん確認済</t>
  </si>
  <si>
    <r>
      <rPr>
        <rFont val="Arial, Helvetica, sans-serif"/>
        <color rgb="FF222222"/>
      </rPr>
      <t>差込なしで配信</t>
    </r>
    <r>
      <rPr>
        <rFont val="Arial, Helvetica, sans-serif"/>
        <color rgb="FFFF0000"/>
      </rPr>
      <t>→差し込み有、エントリー期間8/9(水)中に変更</t>
    </r>
  </si>
  <si>
    <r>
      <rPr>
        <rFont val="Arial, Helvetica, sans-serif"/>
        <color rgb="FF222222"/>
      </rPr>
      <t>火曜更新がないので</t>
    </r>
    <r>
      <rPr>
        <rFont val="Arial, Helvetica, sans-serif"/>
        <color rgb="FFFF0000"/>
      </rPr>
      <t>配信停止</t>
    </r>
  </si>
  <si>
    <r>
      <rPr>
        <rFont val="Arial, Helvetica, sans-serif"/>
        <color rgb="FF222222"/>
      </rPr>
      <t>差込なしで配信</t>
    </r>
    <r>
      <rPr>
        <rFont val="Arial, Helvetica, sans-serif"/>
        <color rgb="FFFF0000"/>
      </rPr>
      <t>→差し込み有、エントリー期間8/9(水)中に変更</t>
    </r>
  </si>
  <si>
    <t>推進_布施舞奈味さん</t>
  </si>
  <si>
    <t>8/7に入稿締め切りを前倒し</t>
  </si>
  <si>
    <t>typeと協働　→　佐藤さんから連絡してくださる？</t>
  </si>
  <si>
    <r>
      <rPr>
        <rFont val="Arial, Helvetica, sans-serif"/>
        <color rgb="FF222222"/>
      </rPr>
      <t>差込なしで配信</t>
    </r>
    <r>
      <rPr>
        <rFont val="Arial, Helvetica, sans-serif"/>
        <color rgb="FFFF0000"/>
      </rPr>
      <t>→差し込み有、エントリー期間8/9(水)中に変更</t>
    </r>
  </si>
  <si>
    <t xml:space="preserve"> 山田達郎さん、原田さん、営アシsales-assistant@type.jp</t>
  </si>
  <si>
    <t>シンデレラパックにある商品「女の転職ｔｙｐｅ　スマホ版採用応援リンク　第一特集」を受注した企業を配信（求人特集に登録してメルマガ配信）
受注がある限り配信可能 　念のため松下さん確認</t>
  </si>
  <si>
    <t>2023年9月18日（月）祝日対応</t>
  </si>
  <si>
    <t>2023年10月9日（月）祝日対応</t>
  </si>
  <si>
    <r>
      <rPr>
        <rFont val="Arial, Helvetica, sans-serif"/>
        <color rgb="FF222222"/>
      </rPr>
      <t xml:space="preserve">金曜12時〆切 → </t>
    </r>
    <r>
      <rPr>
        <rFont val="Arial, Helvetica, sans-serif"/>
        <b/>
        <color rgb="FF222222"/>
      </rPr>
      <t>通常運営</t>
    </r>
    <r>
      <rPr>
        <rFont val="Arial, Helvetica, sans-serif"/>
        <color rgb="FF222222"/>
      </rPr>
      <t>でOK</t>
    </r>
  </si>
  <si>
    <r>
      <rPr>
        <rFont val="Arial, Helvetica, sans-serif"/>
        <color rgb="FF222222"/>
      </rPr>
      <t xml:space="preserve">金曜12時〆切 → </t>
    </r>
    <r>
      <rPr>
        <rFont val="Arial, Helvetica, sans-serif"/>
        <b/>
        <color rgb="FF222222"/>
      </rPr>
      <t>通常運営</t>
    </r>
    <r>
      <rPr>
        <rFont val="Arial, Helvetica, sans-serif"/>
        <color rgb="FF222222"/>
      </rPr>
      <t>でOK</t>
    </r>
  </si>
  <si>
    <t>2023年11月3日（金）祝日対応</t>
  </si>
  <si>
    <t>山田達郎さん、原田さん、営アシeh_eiashi@type.jp</t>
  </si>
  <si>
    <t>10/31（火）AMで前倒し</t>
  </si>
  <si>
    <t>typeと協働　→　若松から連絡済</t>
  </si>
  <si>
    <r>
      <rPr>
        <rFont val="Arial, Helvetica, sans-serif"/>
        <color rgb="FF222222"/>
      </rPr>
      <t>配信休止</t>
    </r>
    <r>
      <rPr>
        <rFont val="Arial, Helvetica, sans-serif"/>
        <color rgb="FFFF0000"/>
      </rPr>
      <t>→配信有、エントリー期間11/1(水)中に変更</t>
    </r>
  </si>
  <si>
    <r>
      <rPr>
        <rFont val="Arial, Helvetica, sans-serif"/>
        <color rgb="FF222222"/>
      </rPr>
      <t>配信休止</t>
    </r>
    <r>
      <rPr>
        <rFont val="Arial, Helvetica, sans-serif"/>
        <color rgb="FFFF0000"/>
      </rPr>
      <t>→配信有、エントリー期間11/1(水)中に変更</t>
    </r>
  </si>
  <si>
    <r>
      <rPr>
        <rFont val="Arial, Helvetica, sans-serif"/>
        <color rgb="FF222222"/>
      </rPr>
      <t>配信休止</t>
    </r>
    <r>
      <rPr>
        <rFont val="Arial, Helvetica, sans-serif"/>
        <color rgb="FFFF0000"/>
      </rPr>
      <t>→配信有、エントリー期間11/1(水)中に変更</t>
    </r>
  </si>
  <si>
    <r>
      <rPr>
        <rFont val="Arial, Helvetica, sans-serif"/>
        <color rgb="FF222222"/>
      </rPr>
      <t>差込なしで配信</t>
    </r>
    <r>
      <rPr>
        <rFont val="Arial, Helvetica, sans-serif"/>
        <color rgb="FFFF0000"/>
      </rPr>
      <t>→配信有、エントリー期間11/1(水)中に変更</t>
    </r>
  </si>
  <si>
    <t>木曜日、代理店課に該当の求人特集を直接更新していただいてる。関西…16243 代理店課特集(関西)</t>
  </si>
  <si>
    <t>木曜日、代理店課に該当の求人特集を直接更新していただいてる。東海…16223 代理店課特集(東海)</t>
  </si>
  <si>
    <t>2023年11月23日（木）祝日対応</t>
  </si>
  <si>
    <r>
      <rPr>
        <rFont val="Arial, Helvetica, sans-serif"/>
        <color rgb="FF222222"/>
      </rPr>
      <t>差込なしで配信</t>
    </r>
    <r>
      <rPr>
        <rFont val="Arial, Helvetica, sans-serif"/>
        <color rgb="FFFF0000"/>
      </rPr>
      <t>→差し込み有、通常通り配信</t>
    </r>
  </si>
  <si>
    <r>
      <rPr>
        <rFont val="Arial, Helvetica, sans-serif"/>
        <color rgb="FF222222"/>
      </rPr>
      <t>配信休止</t>
    </r>
    <r>
      <rPr>
        <rFont val="Arial, Helvetica, sans-serif"/>
        <color rgb="FFFF0000"/>
      </rPr>
      <t>→配信有、エントリー期間11/22(水)中に変更</t>
    </r>
  </si>
  <si>
    <r>
      <rPr>
        <rFont val="Arial, Helvetica, sans-serif"/>
        <color rgb="FF222222"/>
      </rPr>
      <t>配信休止</t>
    </r>
    <r>
      <rPr>
        <rFont val="Arial, Helvetica, sans-serif"/>
        <color rgb="FFFF0000"/>
      </rPr>
      <t>→配信有、エントリー期間11/20(月)～11/21(火)中に変更</t>
    </r>
  </si>
  <si>
    <t>typeと協働　→　若松から連絡</t>
  </si>
  <si>
    <r>
      <rPr>
        <rFont val="Arial, Helvetica, sans-serif"/>
        <color rgb="FF222222"/>
      </rPr>
      <t>差込なしで配信</t>
    </r>
    <r>
      <rPr>
        <rFont val="Arial, Helvetica, sans-serif"/>
        <color rgb="FFFF0000"/>
      </rPr>
      <t>→差し込み有、エントリー期間11/22(水)中に変更</t>
    </r>
  </si>
  <si>
    <r>
      <rPr>
        <rFont val="Arial, Helvetica, sans-serif"/>
        <color rgb="FF222222"/>
      </rPr>
      <t>差込なしで配信</t>
    </r>
    <r>
      <rPr>
        <rFont val="Arial, Helvetica, sans-serif"/>
        <color rgb="FFFF0000"/>
      </rPr>
      <t>→差し込み有、エントリー期間11/22(水)中に変更</t>
    </r>
  </si>
  <si>
    <r>
      <rPr>
        <rFont val="Arial, Helvetica, sans-serif"/>
        <color rgb="FF222222"/>
      </rPr>
      <t>差込なしで配信</t>
    </r>
    <r>
      <rPr>
        <rFont val="Arial, Helvetica, sans-serif"/>
        <color rgb="FFFF0000"/>
      </rPr>
      <t>→差し込み有、エントリー期間11/22(水)中に変更</t>
    </r>
  </si>
  <si>
    <t>2023年12月29日から2024年1月3日　年末年始休日対応
2024年1月8日（月）　祝日対応</t>
  </si>
  <si>
    <t>山田達郎さん、松浦さん、営アシsales-assistant@type.jp</t>
  </si>
  <si>
    <t>12/26AMに入稿締め切りを前倒し</t>
  </si>
  <si>
    <t>typeと協働　→　若松から連絡する　（参考）メール件名：【type・ウキメルマガ】お盆期間中の配信について</t>
  </si>
  <si>
    <r>
      <rPr>
        <rFont val="Arial, Helvetica, sans-serif"/>
        <color rgb="FF222222"/>
      </rPr>
      <t>配信休止</t>
    </r>
    <r>
      <rPr>
        <rFont val="Arial, Helvetica, sans-serif"/>
        <color rgb="FFFF0000"/>
      </rPr>
      <t>→配信有、エントリー期間12/27(水)中に変更</t>
    </r>
  </si>
  <si>
    <r>
      <rPr>
        <rFont val="Arial, Helvetica, sans-serif"/>
        <b/>
        <color rgb="FFFF0000"/>
      </rPr>
      <t xml:space="preserve">配信停止　</t>
    </r>
    <r>
      <rPr>
        <rFont val="Arial, Helvetica, sans-serif"/>
        <color rgb="FFFF0000"/>
      </rPr>
      <t>金曜更新がないため</t>
    </r>
  </si>
  <si>
    <r>
      <rPr>
        <rFont val="Arial, Helvetica, sans-serif"/>
        <color rgb="FF222222"/>
      </rPr>
      <t>配信休止</t>
    </r>
    <r>
      <rPr>
        <rFont val="Arial, Helvetica, sans-serif"/>
        <color rgb="FFFF0000"/>
      </rPr>
      <t>→配信有、エントリー期間12/27(水)中に変更</t>
    </r>
  </si>
  <si>
    <r>
      <rPr>
        <b/>
        <color rgb="FFFF0000"/>
      </rPr>
      <t>配信停止</t>
    </r>
    <r>
      <rPr>
        <b val="0"/>
        <color rgb="FFFF0000"/>
      </rPr>
      <t xml:space="preserve">　※毎年12/31 17時～1/1終日の間、メルマガを停止している</t>
    </r>
  </si>
  <si>
    <t>IT派遣　岩間理穂さん　中島さん　Cc：ITH事業部 登録部</t>
  </si>
  <si>
    <r>
      <rPr>
        <b/>
        <color rgb="FFFF0000"/>
      </rPr>
      <t>配信停止</t>
    </r>
    <r>
      <rPr>
        <b val="0"/>
        <color rgb="FFFF0000"/>
      </rPr>
      <t xml:space="preserve">　※毎年12/31 17時～1/1終日の間、メルマガを停止している</t>
    </r>
  </si>
  <si>
    <r>
      <rPr>
        <b/>
        <color rgb="FFFF0000"/>
      </rPr>
      <t>配信停止</t>
    </r>
    <r>
      <rPr>
        <b val="0"/>
        <color rgb="FFFF0000"/>
      </rPr>
      <t xml:space="preserve">　※毎年12/31 17時～1/1終日の間、メルマガを停止している</t>
    </r>
  </si>
  <si>
    <r>
      <rPr>
        <b/>
        <color rgb="FFFF0000"/>
      </rPr>
      <t>配信停止</t>
    </r>
    <r>
      <rPr>
        <b val="0"/>
        <color rgb="FFFF0000"/>
      </rPr>
      <t xml:space="preserve">　※毎年12/31 17時～1/1終日の間、メルマガを停止している</t>
    </r>
  </si>
  <si>
    <t>typeと協働　→　若松から連絡する</t>
  </si>
  <si>
    <r>
      <rPr>
        <b/>
        <color rgb="FFFF0000"/>
      </rPr>
      <t>配信停止</t>
    </r>
    <r>
      <rPr>
        <b val="0"/>
        <color rgb="FFFF0000"/>
      </rPr>
      <t xml:space="preserve">　※毎年12/31 17時～1/1終日の間、メルマガを停止している</t>
    </r>
  </si>
  <si>
    <r>
      <rPr>
        <b/>
        <color rgb="FFFF0000"/>
      </rPr>
      <t>配信停止</t>
    </r>
    <r>
      <rPr>
        <b val="0"/>
        <color rgb="FFFF0000"/>
      </rPr>
      <t xml:space="preserve">　※毎年12/31 17時～1/1終日の間、メルマガを停止している</t>
    </r>
  </si>
  <si>
    <t>シンデレラパックにある商品「女の転職ｔｙｐｅ　スマホ版採用応援リンク　第一特集」を受注した企業を配信（求人特集に登録してメルマガ配信）
受注がある限り配信可能 　念のため設定者QAチーム松下さんへ確認済</t>
  </si>
  <si>
    <r>
      <rPr>
        <rFont val="Arial, Helvetica, sans-serif"/>
        <color rgb="FF222222"/>
      </rPr>
      <t>差込なしで配信</t>
    </r>
    <r>
      <rPr>
        <rFont val="Arial, Helvetica, sans-serif"/>
        <color rgb="FFFF0000"/>
      </rPr>
      <t>→差し込み有、エントリー期間12/27(水)中に変更</t>
    </r>
  </si>
  <si>
    <r>
      <rPr>
        <rFont val="Arial, Helvetica, sans-serif"/>
        <color rgb="FF222222"/>
      </rPr>
      <t>差込なしで配信</t>
    </r>
    <r>
      <rPr>
        <rFont val="Arial, Helvetica, sans-serif"/>
        <color rgb="FFFF0000"/>
      </rPr>
      <t>→差し込み有、エントリー期間12/27(水)中に変更</t>
    </r>
  </si>
  <si>
    <r>
      <rPr>
        <rFont val="Arial, Helvetica, sans-serif"/>
        <b/>
        <color rgb="FFFF0000"/>
      </rPr>
      <t xml:space="preserve">配信停止　</t>
    </r>
    <r>
      <rPr>
        <rFont val="Arial, Helvetica, sans-serif"/>
        <color rgb="FFFF0000"/>
      </rPr>
      <t>火曜更新がないため</t>
    </r>
  </si>
  <si>
    <r>
      <rPr>
        <rFont val="Arial, Helvetica, sans-serif"/>
        <b/>
        <color rgb="FFFF0000"/>
      </rPr>
      <t>配信停止</t>
    </r>
    <r>
      <rPr>
        <rFont val="Arial, Helvetica, sans-serif"/>
        <color rgb="FFFF0000"/>
      </rPr>
      <t xml:space="preserve">　12/26AMに入稿締め切りを前倒し</t>
    </r>
  </si>
  <si>
    <t>配信直前の毎週火曜に、推進部が直接BOSS-Sの求人特集に企業を設定しているとの事。</t>
  </si>
  <si>
    <r>
      <rPr>
        <rFont val="Arial, Helvetica, sans-serif"/>
        <color rgb="FF222222"/>
      </rPr>
      <t>差込なしで配信</t>
    </r>
    <r>
      <rPr>
        <rFont val="Arial, Helvetica, sans-serif"/>
        <color rgb="FFFF0000"/>
      </rPr>
      <t>→差し込み有、エントリー期間12/27(水)中に変更</t>
    </r>
  </si>
  <si>
    <t>金曜更新あり→通常運営でOK</t>
  </si>
  <si>
    <t xml:space="preserve"> 山田達郎さん、松浦さん、営アシsales-assistant@type.jp</t>
  </si>
  <si>
    <r>
      <rPr>
        <rFont val="Arial, Helvetica, sans-serif"/>
        <color rgb="FF222222"/>
      </rPr>
      <t>配信休止</t>
    </r>
    <r>
      <rPr>
        <rFont val="Arial, Helvetica, sans-serif"/>
        <color rgb="FFFF0000"/>
      </rPr>
      <t>→配信有、エントリー期間1/4(木)中に変更</t>
    </r>
  </si>
  <si>
    <t>2024年2月12日（月）祝日対応</t>
  </si>
  <si>
    <r>
      <rPr>
        <rFont val="Arial, Helvetica, sans-serif"/>
        <color rgb="FF222222"/>
      </rPr>
      <t xml:space="preserve">金曜12時〆切 → </t>
    </r>
    <r>
      <rPr>
        <rFont val="Arial, Helvetica, sans-serif"/>
        <b/>
        <color rgb="FF222222"/>
      </rPr>
      <t>通常運営</t>
    </r>
    <r>
      <rPr>
        <rFont val="Arial, Helvetica, sans-serif"/>
        <color rgb="FF222222"/>
      </rPr>
      <t>でOK</t>
    </r>
  </si>
  <si>
    <r>
      <rPr>
        <rFont val="Arial, Helvetica, sans-serif"/>
        <color rgb="FF222222"/>
      </rPr>
      <t xml:space="preserve">金曜12時〆切 → </t>
    </r>
    <r>
      <rPr>
        <rFont val="Arial, Helvetica, sans-serif"/>
        <b/>
        <color rgb="FF222222"/>
      </rPr>
      <t>通常運営</t>
    </r>
    <r>
      <rPr>
        <rFont val="Arial, Helvetica, sans-serif"/>
        <color rgb="FF222222"/>
      </rPr>
      <t>でOK</t>
    </r>
  </si>
  <si>
    <t>2024年2月23日（金）祝日対応</t>
  </si>
  <si>
    <t>今後全員一斉送信でもいいと思う＆祝日あるから対応方法考えてよってメールにしたいな</t>
  </si>
  <si>
    <t>←配信停止のため今回より対応不要？(横尾)
　→これに代わるものが「TP部_事務_希望地」になります。連絡不要。(杉浦さんに確認済み：本部)</t>
  </si>
  <si>
    <t>山田達郎さん、松浦悠真さん、営アシeh_eiashi@type.jp</t>
  </si>
  <si>
    <r>
      <rPr>
        <rFont val="Arial, Helvetica, sans-serif"/>
      </rPr>
      <t xml:space="preserve">2/21（水）エントリー締切なので配信可
通常配信
</t>
    </r>
    <r>
      <rPr>
        <rFont val="Arial, Helvetica, sans-serif"/>
        <color rgb="FFFF0000"/>
      </rPr>
      <t>→差し込みなしで配信。</t>
    </r>
  </si>
  <si>
    <r>
      <rPr/>
      <t xml:space="preserve">typeと協働　</t>
    </r>
    <r>
      <rPr>
        <color rgb="FFFF0000"/>
      </rPr>
      <t>今回連絡無→次回は連絡しておいたほうがよさそうです。</t>
    </r>
    <r>
      <rPr/>
      <t xml:space="preserve">
</t>
    </r>
    <r>
      <rPr>
        <color rgb="FFFF0000"/>
      </rPr>
      <t>設定当日シート確認したところエントリー無く、
type課佐藤さんから差し込みなしで配信する旨のメール連絡していただきました。</t>
    </r>
  </si>
  <si>
    <t>制作_桑原さん、小櫻さん</t>
  </si>
  <si>
    <t>配信有、エントリー期間2/21(水)中に変更</t>
  </si>
  <si>
    <t>←2/21（水）中にエントリー可能であれば配信、そうでなければ配信停止で連絡でよいと思います（杉浦）</t>
  </si>
  <si>
    <t>←2/13週にエントリー期間変更になることのリマインドお願い致します（杉浦）</t>
  </si>
  <si>
    <t>ITH事業部 中島さん</t>
  </si>
  <si>
    <t>配信有、入稿2/22(木)AM中に変更</t>
  </si>
  <si>
    <t>配信スキップ</t>
  </si>
  <si>
    <t>typeと協働　→　type課と確認お願い致します！2/21（水）中に求人特集紐づけが可能であれば配信、そうでなければ配信停止で良いと思います（杉浦）</t>
  </si>
  <si>
    <t>TP部_事務_希望地</t>
  </si>
  <si>
    <t>2024年3月20日（水）祝日対応</t>
  </si>
  <si>
    <t>SWAT版ウキポリのエントリーは前週木曜締めなので対応不要。
通常配信</t>
  </si>
  <si>
    <t>8時
求人特集(35歳未満) A</t>
  </si>
  <si>
    <t>火・金午前中のサイト更新で内容が更新される。その企業を引っぱってきて作成している。サイト更新があれば配信可能。
通常配信</t>
  </si>
  <si>
    <t>制作_薄井さん、小櫻さん</t>
  </si>
  <si>
    <t>エントリーは火曜12時締めなので対応不要。
通常配信</t>
  </si>
  <si>
    <t>17時
推進課</t>
  </si>
  <si>
    <t>配信直前の毎週火曜に、推進部が直接BOSS-Sの求人特集に企業を設定している。
火曜午前中登録完了で対応⇒通常配信</t>
  </si>
  <si>
    <t>必要：
済</t>
  </si>
  <si>
    <t>typeと協働　→　本部から連絡。
　件名：メルマガ入稿●type・ウキ／推進部メルマガ</t>
  </si>
  <si>
    <t>TP部_事務_現住所</t>
  </si>
  <si>
    <t>エントリーは前週金曜締めなので対応不要。
通常配信</t>
  </si>
  <si>
    <t>18時
TP部_働きやすい企業特集</t>
  </si>
  <si>
    <t>通常配信で、連絡等も不要。</t>
  </si>
  <si>
    <t>隔週で同じ求人を引っぱってきている？？ような話だったかと。</t>
  </si>
  <si>
    <t>メディア営業　松浦さん
CC:山田さん、町田さん</t>
  </si>
  <si>
    <t>エントリー締めが水曜のため、前倒しorスキップ確認が必要。
火曜中エントリーで対応⇒通常配信</t>
  </si>
  <si>
    <r>
      <rPr/>
      <t xml:space="preserve">typeと協働　→　本部から連絡。
　件名：【type・ウキメルマガ】来週3/20(水)のエントリーについて／神奈川・横浜求人救済系
</t>
    </r>
    <r>
      <rPr>
        <b/>
        <color rgb="FFFF0000"/>
      </rPr>
      <t>※CDI営業企画課 は全然関係ないアドレスなので必ず抜いてください</t>
    </r>
  </si>
  <si>
    <t>2024年4月29日（月）祝日対応
2024年5月  3日（金）～  5月6日（月）GW対応</t>
  </si>
  <si>
    <t>連絡
※黄背景はメール連絡済み</t>
  </si>
  <si>
    <t>制作_小櫻さん　Cc：薄井さん</t>
  </si>
  <si>
    <r>
      <rPr>
        <rFont val="Arial, Helvetica, sans-serif"/>
        <color rgb="FF000000"/>
        <sz val="10.0"/>
      </rPr>
      <t xml:space="preserve">金曜12時〆切なので問題ない。
</t>
    </r>
    <r>
      <rPr>
        <rFont val="Arial, Helvetica, sans-serif"/>
        <color rgb="FF000000"/>
        <sz val="10.0"/>
      </rPr>
      <t>通常配信</t>
    </r>
  </si>
  <si>
    <t>19日がエントリー締めなので問題ない。
通常配信</t>
  </si>
  <si>
    <t>データは金曜に更新される。でも金曜休みでも特に連絡は不要。
通常配信</t>
  </si>
  <si>
    <r>
      <rPr>
        <rFont val="Arial, Helvetica, sans-serif"/>
        <color rgb="FF000000"/>
        <sz val="10.0"/>
      </rPr>
      <t xml:space="preserve">金曜12時〆切 → </t>
    </r>
    <r>
      <rPr>
        <rFont val="Arial, Helvetica, sans-serif"/>
        <color rgb="FF000000"/>
        <sz val="10.0"/>
      </rPr>
      <t>通常運営</t>
    </r>
    <r>
      <rPr>
        <rFont val="Arial, Helvetica, sans-serif"/>
        <color rgb="FF000000"/>
        <sz val="10.0"/>
      </rPr>
      <t>でOK</t>
    </r>
  </si>
  <si>
    <t>荒木さんが設定くださっている。特に連絡不要。
通常配信</t>
  </si>
  <si>
    <r>
      <rPr>
        <rFont val="Arial, Helvetica, sans-serif"/>
        <color rgb="FF1155CC"/>
        <u/>
      </rPr>
      <t xml:space="preserve">参照：type／女の転職typeのGWを挟む入稿スケジュールのお知らせ
</t>
    </r>
    <r>
      <rPr>
        <rFont val="Arial, Helvetica, sans-serif"/>
      </rPr>
      <t>「広告・オプション」部分確認。</t>
    </r>
  </si>
  <si>
    <t>「メルマガPR」という商品の受注があれば設定する。
通常は配信当日AMに設定するとのこと。</t>
  </si>
  <si>
    <t>商品系ではなさそう。特に連絡するところはない。</t>
  </si>
  <si>
    <t>営業_石川翔一さん、斉藤さん</t>
  </si>
  <si>
    <t>通常配信（木曜エントリー締め）</t>
  </si>
  <si>
    <t>連休前に神谷さんがRPA設定するのでスケジュール早めに出す。
通常配信</t>
  </si>
  <si>
    <r>
      <rPr>
        <rFont val="Arial, Helvetica, sans-serif"/>
        <color rgb="FF1155CC"/>
        <u/>
      </rPr>
      <t xml:space="preserve">参照：type／女の転職typeのGWを挟む入稿スケジュールのお知らせ
</t>
    </r>
    <r>
      <rPr>
        <rFont val="Arial, Helvetica, sans-serif"/>
        <color rgb="FF000000"/>
      </rPr>
      <t>「広告・オプション」部分確認。</t>
    </r>
  </si>
  <si>
    <t>メルマガPR(商品)差込なしで配信。
スケジュールに「イレギュラー文面で設定」とコメント挿入。</t>
  </si>
  <si>
    <t>5/1中に入稿を依頼。
⇒5/1入稿で対応。</t>
  </si>
  <si>
    <t>済み</t>
  </si>
  <si>
    <r>
      <rPr>
        <rFont val="Arial, Helvetica, sans-serif"/>
      </rPr>
      <t>松浦悠真さん、町田さん
CC：</t>
    </r>
    <r>
      <rPr>
        <rFont val="Arial, Helvetica, sans-serif"/>
        <strike/>
      </rPr>
      <t>山田達郎さん</t>
    </r>
    <r>
      <rPr>
        <rFont val="Arial, Helvetica, sans-serif"/>
      </rPr>
      <t>→中村真太郎さん</t>
    </r>
  </si>
  <si>
    <t>5/1(水)中にエントリーがない場合
配信スキップとなりますのでご注意ください。
的な連絡を入れておく。
⇒通常配信</t>
  </si>
  <si>
    <r>
      <rPr/>
      <t xml:space="preserve">typeと協働　</t>
    </r>
    <r>
      <rPr>
        <color rgb="FFFF0000"/>
      </rPr>
      <t>今回(2月)連絡無→次回は連絡しておいたほうがよさそうです。</t>
    </r>
    <r>
      <rPr/>
      <t xml:space="preserve">
</t>
    </r>
    <r>
      <rPr>
        <color rgb="FFFF0000"/>
      </rPr>
      <t>設定当日シート確認したところエントリー無く、
type課佐藤さんから差し込みなしで配信する旨のメール連絡していただきました。</t>
    </r>
  </si>
  <si>
    <t>制作_小櫻さん</t>
  </si>
  <si>
    <t>エントリー5/1(水)中で可能なら配信、難しければスキップ
5/1中入稿⇒通常配信</t>
  </si>
  <si>
    <t>「金曜更新がないので配信休止」となっていましたが、スキップで問題ないですか？→配信休止
他部署への連絡も不要？？→不要。</t>
  </si>
  <si>
    <t>エントリー5/1(水)中のリマインドメール送信。
5/1中エントリー⇒通常配信</t>
  </si>
  <si>
    <t>今回配信週ではないため対応不要。</t>
  </si>
  <si>
    <t>必要</t>
  </si>
  <si>
    <t>エントリー5/1(水)中で可能なら配信、難しければスキップ
4/29は通常配信の旨併せて伝える。
⇒配信スキップ</t>
  </si>
  <si>
    <t>4/26(金)がエントリー締めなので問題ない。
通常配信</t>
  </si>
  <si>
    <r>
      <rPr>
        <rFont val="Arial, Helvetica, sans-serif"/>
        <color rgb="FF1155CC"/>
        <u/>
      </rPr>
      <t xml:space="preserve">参照：type／女の転職typeのGWを挟む入稿スケジュールのお知らせ
</t>
    </r>
    <r>
      <rPr>
        <rFont val="Arial, Helvetica, sans-serif"/>
        <color rgb="FF000000"/>
      </rPr>
      <t>「広告・オプション」部分確認。</t>
    </r>
  </si>
  <si>
    <t>5/3(金)エントリー締め。5/7(火)中エントリーで問題ない旨念のため連絡。
その時に併せて4/29,5/6通常配信も伝える。</t>
  </si>
  <si>
    <t>※締め切りが連休に被るものについて、ピック出来ていない可能性があります...(もとぶ)</t>
  </si>
  <si>
    <t xml:space="preserve">2024年7月15日（月）祝日対応
</t>
  </si>
  <si>
    <t>制作_堤智美さん　Cc：薄井真理子さん</t>
  </si>
  <si>
    <r>
      <rPr>
        <rFont val="Arial"/>
        <color rgb="FF000000"/>
      </rPr>
      <t xml:space="preserve">金曜12時〆切なので問題ない。
</t>
    </r>
    <r>
      <rPr>
        <rFont val="Arial"/>
        <color rgb="FF000000"/>
      </rPr>
      <t>通常配信</t>
    </r>
  </si>
  <si>
    <t>5日がエントリー締めなので問題ない。
通常配信</t>
  </si>
  <si>
    <r>
      <rPr>
        <rFont val="Arial"/>
        <color rgb="FF000000"/>
      </rPr>
      <t xml:space="preserve">金曜12時〆切 → </t>
    </r>
    <r>
      <rPr>
        <rFont val="Arial"/>
        <color rgb="FF000000"/>
      </rPr>
      <t>通常運営</t>
    </r>
    <r>
      <rPr>
        <rFont val="Arial"/>
        <color rgb="FF000000"/>
      </rPr>
      <t>でOK</t>
    </r>
  </si>
  <si>
    <r>
      <rPr>
        <rFont val="Arial"/>
        <color rgb="FF1155CC"/>
        <u/>
      </rPr>
      <t xml:space="preserve">参照：type／女の転職typeのGWを挟む入稿スケジュールのお知らせ
</t>
    </r>
    <r>
      <rPr>
        <rFont val="Arial"/>
        <color rgb="FF000000"/>
        <u/>
      </rPr>
      <t>「広告・オプション」部分確認。</t>
    </r>
  </si>
  <si>
    <t>2024年_お盆（8/10土～8/18日）</t>
  </si>
  <si>
    <t>参照：type／女の転職typeのGWを挟む入稿スケジュールのお知らせ(https://sites.google.com/type.jp/medimap/%E5%90%84%E7%A8%AE%E8%B3%87%E6%96%99/%E5%85%A5%E7%A8%BF%E3%82%B9%E3%82%B1%E3%82%B8%E3%83%A5%E3%83%BC%E3%83%AB?authuser=0)
「広告・オプション」部分確認。
「メルマガPR」という商品の受注があれば設定する。
通常は配信当日AMに設定するとのこと。</t>
  </si>
  <si>
    <t>武政、本部確認済み</t>
  </si>
  <si>
    <t>荒木さんが設定くださっている。特に連絡不要。</t>
  </si>
  <si>
    <t>松浦悠真さん
CC：中村真太郎さん、町田有希さん</t>
  </si>
  <si>
    <t>8/5AM入稿〆切変更で前倒し
前倒し無し、通常運用。typeとは別で連絡。</t>
  </si>
  <si>
    <t>通常運用で問題ない旨平田さんに確認済み。</t>
  </si>
  <si>
    <t>営業_斉藤美香子さん
CC：畑さん、石川邦之さん</t>
  </si>
  <si>
    <t>通常運用で問題ない旨荒木さんに確認済み。</t>
  </si>
  <si>
    <t>金曜12時入稿締め切り
通常運用で問題ない旨平田さんに確認済み。（設定者の内田さんお休みのため）</t>
  </si>
  <si>
    <t>8/2入稿分は通常配信(このメルマガ)。8/9入稿分での配信はスキップ。8/16入稿分は8/20(火)中の入稿で配信可能。
本部確認済み</t>
  </si>
  <si>
    <t>8/7(水)中入稿〆切変更(前倒し)
配信あり</t>
  </si>
  <si>
    <t>typeと共同（佐藤さんに共有）</t>
  </si>
  <si>
    <t>関西・東海</t>
  </si>
  <si>
    <t>荒木さんが設定くださっている。特に連絡不要。
本部確認済み</t>
  </si>
  <si>
    <t>レ</t>
  </si>
  <si>
    <t>typeと共通でよい</t>
  </si>
  <si>
    <t>メルマガPR(商品)差込なしで配信。
スケジュール表に「メルマガPR(商品)差込なしです。イレギュラー文面で設定お願いします。」とコメントを追加</t>
  </si>
  <si>
    <t>本部確認済み</t>
  </si>
  <si>
    <r>
      <rPr>
        <rFont val="Arial, Helvetica, sans-serif"/>
        <color rgb="FF000000"/>
      </rPr>
      <t>火曜更新がないので</t>
    </r>
    <r>
      <rPr>
        <rFont val="Arial, Helvetica, sans-serif"/>
        <color rgb="FF000000"/>
      </rPr>
      <t>配信停止</t>
    </r>
  </si>
  <si>
    <t>火曜入稿締め、水曜配信。</t>
  </si>
  <si>
    <t>推進_中村優花さん</t>
  </si>
  <si>
    <t>松浦悠真さん
CC：中村真太郎さん、町田有希さん</t>
  </si>
  <si>
    <t>17日は配信スキップのメールを送る</t>
  </si>
  <si>
    <t>15日入稿文スキップは配信スキップのメールを送る</t>
  </si>
  <si>
    <t>18日日曜日分は配信スキップか確認</t>
  </si>
  <si>
    <t>13日入稿文スキップ</t>
  </si>
  <si>
    <t>8/2入稿分は通常配信。8/9入稿分での配信はスキップ。8/16入稿分は8/20(火)中の入稿で配信可能。
本部確認済み</t>
  </si>
  <si>
    <t>スキップ</t>
  </si>
  <si>
    <t>19日(月) AM入稿〆切変更</t>
  </si>
  <si>
    <t>19日午前中までに入稿で配信可能
そうでなければ、差し込みなしで配信する旨のメール</t>
  </si>
  <si>
    <t>2024年9月16日（月）祝日対応</t>
  </si>
  <si>
    <t>金曜12時〆切なので問題ない。
通常配信</t>
  </si>
  <si>
    <r>
      <rPr>
        <rFont val="Arial"/>
        <color rgb="FF1155CC"/>
        <u/>
      </rPr>
      <t xml:space="preserve">参照：type／女の転職typeのGWを挟む入稿スケジュールのお知らせ
</t>
    </r>
    <r>
      <rPr>
        <rFont val="Arial"/>
        <color rgb="FF000000"/>
        <u/>
      </rPr>
      <t>「広告・オプション」部分確認。</t>
    </r>
  </si>
  <si>
    <t>2024年9月23日（月）祝日対応</t>
  </si>
  <si>
    <r>
      <rPr>
        <rFont val="Arial"/>
        <color rgb="FF1155CC"/>
        <u/>
      </rPr>
      <t xml:space="preserve">参照：type／女の転職typeのGWを挟む入稿スケジュールのお知らせ
</t>
    </r>
    <r>
      <rPr>
        <rFont val="Arial"/>
        <color rgb="FF000000"/>
        <u/>
      </rPr>
      <t>「広告・オプション」部分確認。</t>
    </r>
  </si>
  <si>
    <t>2024年10月14日（月）祝日対応</t>
  </si>
  <si>
    <r>
      <rPr>
        <rFont val="Arial, Helvetica, sans-serif"/>
        <color rgb="FF222222"/>
      </rPr>
      <t xml:space="preserve">金曜12時〆切 → </t>
    </r>
    <r>
      <rPr>
        <rFont val="Arial, Helvetica, sans-serif"/>
        <b/>
        <color rgb="FF222222"/>
      </rPr>
      <t>通常運営</t>
    </r>
    <r>
      <rPr>
        <rFont val="Arial, Helvetica, sans-serif"/>
        <color rgb="FF222222"/>
      </rPr>
      <t>でOK</t>
    </r>
  </si>
  <si>
    <r>
      <rPr>
        <rFont val="Arial, Helvetica, sans-serif"/>
        <color rgb="FF222222"/>
      </rPr>
      <t xml:space="preserve">金曜12時〆切 → </t>
    </r>
    <r>
      <rPr>
        <rFont val="Arial, Helvetica, sans-serif"/>
        <b/>
        <color rgb="FF222222"/>
      </rPr>
      <t>通常運営</t>
    </r>
    <r>
      <rPr>
        <rFont val="Arial, Helvetica, sans-serif"/>
        <color rgb="FF222222"/>
      </rPr>
      <t>でOK</t>
    </r>
  </si>
  <si>
    <t>2024年11月4日（月）祝日対応</t>
  </si>
  <si>
    <r>
      <rPr>
        <rFont val="Arial, Helvetica, sans-serif"/>
        <b/>
        <color rgb="FF222222"/>
      </rPr>
      <t>通常運営</t>
    </r>
    <r>
      <rPr>
        <rFont val="Arial, Helvetica, sans-serif"/>
        <color rgb="FF222222"/>
      </rPr>
      <t>でOK</t>
    </r>
  </si>
  <si>
    <r>
      <rPr>
        <rFont val="Arial, Helvetica, sans-serif"/>
        <color rgb="FF222222"/>
      </rPr>
      <t xml:space="preserve"> </t>
    </r>
    <r>
      <rPr>
        <rFont val="Arial, Helvetica, sans-serif"/>
        <b/>
        <color rgb="FF222222"/>
      </rPr>
      <t>通常運営</t>
    </r>
    <r>
      <rPr>
        <rFont val="Arial, Helvetica, sans-serif"/>
        <color rgb="FF222222"/>
      </rPr>
      <t>でOK</t>
    </r>
  </si>
  <si>
    <t>2024年12月28日から2025年1月6日　年末年始休日対応</t>
  </si>
  <si>
    <t>概要(この欄までコピペお願いします)</t>
  </si>
  <si>
    <t>荒木さんが設定くださっている。</t>
  </si>
  <si>
    <t>連絡必要メルマガ</t>
  </si>
  <si>
    <t>メール作成</t>
  </si>
  <si>
    <t>内容</t>
  </si>
  <si>
    <t>type共通</t>
  </si>
  <si>
    <t>担当</t>
  </si>
  <si>
    <t>対応</t>
  </si>
  <si>
    <t>認識すり合わせ：
求人特集ページから求人抽出して作成するメルマガ。長期休暇対応は不要。</t>
  </si>
  <si>
    <t>お盆期間中の神奈川メルマガについて</t>
  </si>
  <si>
    <t>共通</t>
  </si>
  <si>
    <t>武政</t>
  </si>
  <si>
    <t>2024年12月28日(土)	入稿前倒し依頼
2025年1月4日(土)	配信停止</t>
  </si>
  <si>
    <t>掲載前終了UP</t>
  </si>
  <si>
    <t>【ウキメルマガ】お盆連休期間中の配信について／掲載終了前+UP・救済メルマガ（UP10）</t>
  </si>
  <si>
    <t>ウキのみ</t>
  </si>
  <si>
    <t>本部さん</t>
  </si>
  <si>
    <t>認識すり合わせ：
火・金のサイト更新で求人が入れ替わるため、金曜サイト更新がない場合、水曜配信のAとかぶるため配信停止にする必要がある。その際でも連絡は不要。</t>
  </si>
  <si>
    <t>TP系</t>
  </si>
  <si>
    <t>【ウキメルマガ】お盆連休期間中の配信について／編集部オススメ・TP部メルマガ</t>
  </si>
  <si>
    <t>山田達郎さん、松浦さん、営アシsales-assistant@type.jp
後ほど担当者 要確認！！</t>
  </si>
  <si>
    <t>12月24日（火）入稿前倒し依頼　通常配信</t>
  </si>
  <si>
    <t>typeと協働／（参考）メール件名：【type・ウキメルマガ】お盆期間中の配信について
毎週水曜エントリー〆、エントリーが連休中の場合も配信スキップ。</t>
  </si>
  <si>
    <t>【type・ウキメルマガ】お盆連休期間中の配信について／関西・東海</t>
  </si>
  <si>
    <t>2024年12月30日(月)	入稿前倒し依頼
2025年1月6日(月)	配信停止</t>
  </si>
  <si>
    <t>制作 堤 智美さん
cc：薄井 真理子さん</t>
  </si>
  <si>
    <t>毎週木曜エントリー〆。</t>
  </si>
  <si>
    <t>【type・ウキメルマガ】お盆連休期間中の配信について／推進部</t>
  </si>
  <si>
    <t>2025年1月1日(水)	配信停止(日程都合)</t>
  </si>
  <si>
    <t>ウキポリ[全]</t>
  </si>
  <si>
    <t>営業 斉藤 美香子さん
cc：畑 幸歩さん、森 秀将さん</t>
  </si>
  <si>
    <t>通常配信
連係ミスでエントリー無し⇒配信停止。</t>
  </si>
  <si>
    <t>毎週木曜エントリー〆。
認識の齟齬によりエントリー無し⇒配信停止。次回より通常配信分も合わせてメールに記載する。</t>
  </si>
  <si>
    <t>【ウキメルマガ】お盆連休期間中の配信について／Womantype</t>
  </si>
  <si>
    <t>12/27(金)　通常配信
Womantype　配信停止</t>
  </si>
  <si>
    <t>IT派遣［全］</t>
  </si>
  <si>
    <t>IT派遣　岩間理穂さん　中島さん　Cc：ITH事業部 登録部
後ほど担当者 要確認！！</t>
  </si>
  <si>
    <t>第２，第４日曜配信</t>
  </si>
  <si>
    <t>18時の営業系、18時のエンジニア系、</t>
  </si>
  <si>
    <t>【ウキメルマガ】お盆連休期間中の対応について／SP版ウキポリ・SWAT版ウキポリ</t>
  </si>
  <si>
    <t>12/31(火)、1/1(水)　配信停止
1/2(木)　通常配信　　　1/7(火)～1/9(木)　1/6(月)午前エントリー〆で可能なら配信可。</t>
  </si>
  <si>
    <t>毎週金曜12時エントリー〆。</t>
  </si>
  <si>
    <t>ウキポリ系</t>
  </si>
  <si>
    <t>12/29(日)　通常配信
1/5(日)　配信停止</t>
  </si>
  <si>
    <t>QAチームにエントリーの被りなど確認を共有する際に追記</t>
  </si>
  <si>
    <t>毎週火曜エントリー〆。(2412より運用変更-以前は配信前週金曜〆でした)</t>
  </si>
  <si>
    <t>シンデレラパックにある商品「女の転職ｔｙｐｅ　スマホ版採用応援リンク　第一特集」を受注した企業を配信（求人特集に登録してメルマガ配信）
受注がある限り配信可能。</t>
  </si>
  <si>
    <t>代理店_保母さん</t>
  </si>
  <si>
    <t>認識のすり合わせ：
火・金更新(納品)分が前日(木)には確認でき、それをシステム(BOSS-S？)に代理店課で登録している。
typeと協働</t>
  </si>
  <si>
    <t>typeと協働。木曜にメールで連絡が入る。入稿を前倒すと金曜分が拾えず、その分は次回入稿に入れ込む。
木曜日、代理店課に該当の求人特集を直接更新していただいてる。関西…16243 代理店課特集(関西)</t>
  </si>
  <si>
    <t>typeと協働。木曜にメールで連絡が入る。入稿を前倒すと金曜分が拾えず、その分は次回入稿に入れ込む。
木曜日、代理店課に該当の求人特集を直接更新していただいてる。東海…16223 代理店課特集(東海)</t>
  </si>
  <si>
    <t>スケジュールの定期連絡時にこのシートも確認いただくように案内する。
設定上不都合等ありましたら連絡いただきたく。的な文面で。</t>
  </si>
  <si>
    <r>
      <rPr>
        <b/>
        <color rgb="FFFF0000"/>
      </rPr>
      <t>配信停止</t>
    </r>
    <r>
      <rPr>
        <b val="0"/>
        <color rgb="FFFF0000"/>
      </rPr>
      <t xml:space="preserve">　※毎年12/31 17時～1/1終日の間、メルマガを停止している</t>
    </r>
  </si>
  <si>
    <r>
      <rPr>
        <b/>
        <color rgb="FFFF0000"/>
      </rPr>
      <t>配信停止</t>
    </r>
    <r>
      <rPr>
        <b val="0"/>
        <color rgb="FFFF0000"/>
      </rPr>
      <t xml:space="preserve">　※毎年12/31 17時～1/1終日の間、メルマガを停止している</t>
    </r>
  </si>
  <si>
    <r>
      <rPr>
        <b/>
        <color rgb="FFFF0000"/>
      </rPr>
      <t>配信停止</t>
    </r>
    <r>
      <rPr>
        <b val="0"/>
        <color rgb="FFFF0000"/>
      </rPr>
      <t xml:space="preserve">　※毎年12/31 17時～1/1終日の間、メルマガを停止している</t>
    </r>
  </si>
  <si>
    <r>
      <rPr>
        <b/>
        <color rgb="FFFF0000"/>
      </rPr>
      <t>配信停止</t>
    </r>
    <r>
      <rPr>
        <b val="0"/>
        <color rgb="FFFF0000"/>
      </rPr>
      <t xml:space="preserve">　※毎年12/31 17時～1/1終日の間、メルマガを停止している</t>
    </r>
  </si>
  <si>
    <t>火曜エントリー〆</t>
  </si>
  <si>
    <t>推進_布施舞奈味さん
担当要確認、中村さんだと思う</t>
  </si>
  <si>
    <r>
      <rPr>
        <b/>
        <color rgb="FFFF0000"/>
      </rPr>
      <t>配信停止</t>
    </r>
    <r>
      <rPr>
        <b val="0"/>
        <color rgb="FFFF0000"/>
      </rPr>
      <t xml:space="preserve">　※毎年12/31 17時～1/1終日の間、メルマガを停止している</t>
    </r>
  </si>
  <si>
    <t>typeと協働
配信直前の毎週火曜に、推進部が直接BOSS-Sの求人特集に企業を設定しているとの事。</t>
  </si>
  <si>
    <r>
      <rPr>
        <b/>
        <color rgb="FFFF0000"/>
      </rPr>
      <t>配信停止</t>
    </r>
    <r>
      <rPr>
        <b val="0"/>
        <color rgb="FFFF0000"/>
      </rPr>
      <t xml:space="preserve">　※毎年12/31 17時～1/1終日の間、メルマガを停止している</t>
    </r>
  </si>
  <si>
    <t>12/26(木)前倒し</t>
  </si>
  <si>
    <t>差し込み無しで配信</t>
  </si>
  <si>
    <t>エントリー〆を1/6(月)AMに変更
期限までにエントリー無い場合差し込みなし</t>
  </si>
  <si>
    <t>2025年1月13日（月）　祝日対応</t>
  </si>
  <si>
    <r>
      <rPr>
        <rFont val="Arial, Helvetica, sans-serif"/>
        <b/>
        <color rgb="FF222222"/>
      </rPr>
      <t>通常運営</t>
    </r>
    <r>
      <rPr>
        <rFont val="Arial, Helvetica, sans-serif"/>
        <color rgb="FF222222"/>
      </rPr>
      <t>でOK</t>
    </r>
  </si>
  <si>
    <r>
      <rPr>
        <rFont val="Arial, Helvetica, sans-serif"/>
        <color rgb="FF222222"/>
      </rPr>
      <t xml:space="preserve"> </t>
    </r>
    <r>
      <rPr>
        <rFont val="Arial, Helvetica, sans-serif"/>
        <b/>
        <color rgb="FF222222"/>
      </rPr>
      <t>通常運営</t>
    </r>
    <r>
      <rPr>
        <rFont val="Arial, Helvetica, sans-serif"/>
        <color rgb="FF222222"/>
      </rPr>
      <t>でOK</t>
    </r>
  </si>
  <si>
    <t>2025年2月11日（火）祝日対応</t>
  </si>
  <si>
    <t>入稿〆切を2/10（月）AM中に変更</t>
  </si>
  <si>
    <t>2025/02/12（水）求人抽出に変更</t>
  </si>
  <si>
    <t>2025年2月24日（月）　祝日対応</t>
  </si>
  <si>
    <r>
      <rPr>
        <rFont val="Arial, Helvetica, sans-serif"/>
        <b/>
        <color rgb="FF222222"/>
      </rPr>
      <t>通常運営</t>
    </r>
    <r>
      <rPr>
        <rFont val="Arial, Helvetica, sans-serif"/>
        <color rgb="FF222222"/>
      </rPr>
      <t>でOK</t>
    </r>
  </si>
  <si>
    <r>
      <rPr>
        <rFont val="Arial, Helvetica, sans-serif"/>
        <color rgb="FF222222"/>
      </rPr>
      <t xml:space="preserve"> </t>
    </r>
    <r>
      <rPr>
        <rFont val="Arial, Helvetica, sans-serif"/>
        <b/>
        <color rgb="FF222222"/>
      </rPr>
      <t>通常運営</t>
    </r>
    <r>
      <rPr>
        <rFont val="Arial, Helvetica, sans-serif"/>
        <color rgb="FF222222"/>
      </rPr>
      <t>でOK</t>
    </r>
  </si>
  <si>
    <t>営業 _小林さん</t>
  </si>
  <si>
    <t>2025年3月20日(木)　祝日対応</t>
  </si>
  <si>
    <t>通常配信で問題ない旨平田さんに確認済みです。</t>
  </si>
  <si>
    <t>入稿前倒し：3/19(水)AM中
要連絡</t>
  </si>
  <si>
    <t>エントリー前倒し：3/19(水)中
シート確認して、、、連絡したほうがいいと思う。</t>
  </si>
  <si>
    <t>営業 小林大翼さん
cc：畑 幸歩さん、森秀将さん</t>
  </si>
  <si>
    <t>毎週木曜エントリー〆。
教訓：認識の齟齬によりエントリー無し⇒配信停止。次回より通常配信分も合わせてメールに記載する。</t>
  </si>
  <si>
    <r>
      <rPr>
        <rFont val="Arial, Helvetica, sans-serif"/>
        <strike/>
        <color rgb="FFFF0000"/>
      </rPr>
      <t>24日週，31日週に配信　　【ご相談】3/20配信分ウキメルマガについて</t>
    </r>
    <r>
      <rPr>
        <rFont val="Arial, Helvetica, sans-serif"/>
        <color rgb="FFFF0000"/>
      </rPr>
      <t xml:space="preserve">
通常金曜にメールで入稿っぽいため連絡不要：通常配信</t>
    </r>
  </si>
  <si>
    <t>毎週金曜にメールで入稿される。</t>
  </si>
  <si>
    <t>3/19(水)に入稿を前田推すと金曜更新分が拾えないと思うので、
金曜午前中入稿でいけるかを設定者に確認して、問題なければ連絡。</t>
  </si>
  <si>
    <t>typeと協働。木曜にメールで連絡が入る。入稿を前倒すと金曜分が拾えず、その分は次回入稿に入れ込む。
木曜日、代理店課に該当の求人特集を直接更新していただいてる。東海…16223 代理店課特集(東海)</t>
  </si>
  <si>
    <t>2025年4月29日（火）祝日対応
2025年5月  3日（土）～  5月6日（火）GW対応</t>
  </si>
  <si>
    <t>メルマガPR(商品)差込なしで配信。
スケジュールに「イレギュラー文面で設定」とコメント追加。</t>
  </si>
  <si>
    <t>小林大翼さん(daisuke.kobayashi@type.jp)</t>
  </si>
  <si>
    <t>木曜エントリー〆</t>
  </si>
  <si>
    <t>入稿〆切を4/28(月)AM中に変更。
通常配信</t>
  </si>
  <si>
    <t>小林由佳さん(yuka.kobayashi@type.jp)</t>
  </si>
  <si>
    <t>入稿〆切を4/28(月)AM中に変更※２
対応問題ないかをtypeと確認し、推進へ連絡。</t>
  </si>
  <si>
    <t>神谷さん</t>
  </si>
  <si>
    <t>4/30(水)求人抽出に変更。配信日当日設定。</t>
  </si>
  <si>
    <t>本部から神谷さんに連絡します。</t>
  </si>
  <si>
    <t>4/28(月)エントリー〆に前倒し。
通常配信</t>
  </si>
  <si>
    <t>▼GW後半▼</t>
  </si>
  <si>
    <t>松浦悠真さん(yuma.matsuura@type.jp)
cc：町田有希さん(yuki.machida@type.jp)、営業サポート課(sales-assistant@type.jp)</t>
  </si>
  <si>
    <t>通常配信
(「通常配信」の旨連絡済み。)</t>
  </si>
  <si>
    <t>代理店 保母佳紀さん(y-hobo@type.jp)</t>
  </si>
  <si>
    <t>設定：内田さん、確認：平田さん</t>
  </si>
  <si>
    <t>設定：荒木さん、確認：平田さん</t>
  </si>
  <si>
    <t>除外企業の設定をしてくださっていそう？
更新とは関係なさそうなので通常配信？？</t>
  </si>
  <si>
    <t>5/1(木)AM中に対応いただけるなら配信
※２と併せて連絡。</t>
  </si>
  <si>
    <t>5/7(水)求人抽出に変更。配信日当日設定。
通常配信</t>
  </si>
  <si>
    <t>5/7(水)AM中にエントリー後倒し。
通常配信</t>
  </si>
  <si>
    <t>※本部確認分反映済み (4/18金 更新)。</t>
  </si>
  <si>
    <t>2025年7月21日（月）　祝日対応</t>
  </si>
  <si>
    <t>設定：内田さん、確認：平田さん
通常配信</t>
  </si>
  <si>
    <t>設定：荒木さん、確認：平田さん
通常配信</t>
  </si>
  <si>
    <t xml:space="preserve">斉藤美香子さん(m-saito@type.jp)
cc:森秀将さん(h-mori@type.jp)
</t>
  </si>
  <si>
    <t>2025年8月9日（土）～  8月17日（日）お盆対応</t>
  </si>
  <si>
    <t>本部確認</t>
  </si>
  <si>
    <t>石原確認</t>
  </si>
  <si>
    <t>◇ポジションマッチ</t>
  </si>
  <si>
    <t>配信前日の木曜午前中に入稿される。</t>
  </si>
  <si>
    <t>この認識で合ってる？？：
火・金のサイト更新で求人が入れ替わるため、金曜サイト更新がない場合、水曜配信のAとかぶるため配信停止にする必要がある。その際でも連絡は不要。</t>
  </si>
  <si>
    <t>ウキは通常配信で問題ないです。
typeも通常配信で問題ないか念のため確認ください。</t>
  </si>
  <si>
    <t>制作_堤智美さん
cc：薄井真理子さん</t>
  </si>
  <si>
    <t>通常配信
②：念のため通常配信の旨連絡</t>
  </si>
  <si>
    <t>連絡済
②</t>
  </si>
  <si>
    <t>通常配信
①：念のため通常配信の旨連絡。</t>
  </si>
  <si>
    <t>連絡済
①</t>
  </si>
  <si>
    <t>IT派遣　岩間理穂さん　中島さん
Cc：ITH事業部 登録部（3051@type.jp）</t>
  </si>
  <si>
    <t>配信直前の金曜午前中にメールで入稿される。</t>
  </si>
  <si>
    <t>通常配信
⑤：念のため通常配信の旨連絡</t>
  </si>
  <si>
    <t>連絡済
⑤</t>
  </si>
  <si>
    <t>制作_堤智美さん
Cc：薄井真理子さん</t>
  </si>
  <si>
    <t>金曜12時入稿締め切り</t>
  </si>
  <si>
    <t>商品系ではなさそう。抽出メルマガだし、特に連絡するところはなさそう...。</t>
  </si>
  <si>
    <t>☆エンジニア系</t>
  </si>
  <si>
    <t>前週木曜エントリー〆。</t>
  </si>
  <si>
    <t>火曜更新がないので配信停止</t>
  </si>
  <si>
    <t>この認識で合ってる？？：
火・金のサイト更新で求人が入れ替わるため、火曜サイト更新がない場合、土曜配信のBとかぶるため配信停止にする必要がある。その際でも連絡は不要。</t>
  </si>
  <si>
    <t>☆営業系</t>
  </si>
  <si>
    <t>連絡済
③</t>
  </si>
  <si>
    <t>連絡済
④</t>
  </si>
  <si>
    <t>☆販サ系</t>
  </si>
  <si>
    <t>TW 光谷さん　cc：TW課</t>
  </si>
  <si>
    <t>連絡済
⑥</t>
  </si>
  <si>
    <t>金曜更新がないので配信停止</t>
  </si>
  <si>
    <t>連絡済
⑦</t>
  </si>
  <si>
    <t>連絡済</t>
  </si>
  <si>
    <t>入稿〆切を8/8(金)AM中に変更 or 入稿日変更が難しい場合、配信スキップ</t>
  </si>
  <si>
    <t>連絡済
⑧</t>
  </si>
  <si>
    <t>この認識で合ってる？？：
火・金更新(納品)分が前日(木)には確認でき、それをシステム(BOSS-S？)に代理店課で登録している。
typeと協働</t>
  </si>
  <si>
    <t>通常配信
7/18(月)午前中までにエントリーがない場合差し込みなしで配信</t>
  </si>
  <si>
    <t>※本部確認済み(7/25)</t>
  </si>
  <si>
    <t>2025年9月15日（月）祝日対応</t>
  </si>
  <si>
    <r>
      <rPr>
        <rFont val="Arial"/>
        <color rgb="FF1155CC"/>
        <u/>
      </rPr>
      <t xml:space="preserve">参照：type／女の転職typeのGWを挟む入稿スケジュールのお知らせ
</t>
    </r>
    <r>
      <rPr>
        <rFont val="Arial"/>
        <color rgb="FF000000"/>
        <u/>
      </rPr>
      <t>「広告・オプション」部分確認。</t>
    </r>
  </si>
  <si>
    <t>2025年9月23日（火）祝日対応</t>
  </si>
  <si>
    <t>メルマガPR(商品)差込なしで配信。 
スケジュール表に「メルマガPR(商品)差込なしです。イレギュラー文面で設定お願いします。」とコメントを追加</t>
  </si>
  <si>
    <t>入稿〆切を9/22（月）AM中に変更</t>
  </si>
  <si>
    <t>2025/09/24（水）求人抽出に変更</t>
  </si>
  <si>
    <t>2025年10月13日（月）祝日対応</t>
  </si>
  <si>
    <r>
      <rPr>
        <rFont val="Arial"/>
        <color rgb="FF1155CC"/>
        <u/>
      </rPr>
      <t xml:space="preserve">参照：type／女の転職typeのGWを挟む入稿スケジュールのお知らせ
</t>
    </r>
    <r>
      <rPr>
        <rFont val="Arial"/>
        <color rgb="FF000000"/>
        <u/>
      </rPr>
      <t>「広告・オプション」部分確認。</t>
    </r>
  </si>
  <si>
    <t>2025年11月3日（月）祝日対応</t>
  </si>
  <si>
    <r>
      <rPr>
        <rFont val="Arial"/>
        <color rgb="FF1155CC"/>
        <u/>
      </rPr>
      <t xml:space="preserve">参照：type／女の転職typeのGWを挟む入稿スケジュールのお知らせ
</t>
    </r>
    <r>
      <rPr>
        <rFont val="Arial"/>
        <color rgb="FF000000"/>
        <u/>
      </rPr>
      <t>「広告・オプション」部分確認。</t>
    </r>
  </si>
  <si>
    <t>2025年11月24日（月）祝日対応</t>
  </si>
  <si>
    <r>
      <rPr>
        <rFont val="Arial"/>
        <color rgb="FF1155CC"/>
        <u/>
      </rPr>
      <t xml:space="preserve">参照：type／女の転職typeのGWを挟む入稿スケジュールのお知らせ
</t>
    </r>
    <r>
      <rPr>
        <rFont val="Arial"/>
        <color rgb="FF000000"/>
        <u/>
      </rPr>
      <t>「広告・オプション」部分確認。</t>
    </r>
  </si>
  <si>
    <t>2025年12月27日（土）～  1月4日（日）年末年始対応</t>
  </si>
  <si>
    <t>WT 光谷さん　Cc：WT（woman-type@type.jp）</t>
  </si>
  <si>
    <t>ウキは通常配信で問題ない。typeもそれで問題ないか確認。前回は火曜入稿前倒しで対応。⑦：type確認後連絡検討</t>
  </si>
  <si>
    <t>連絡済み
⑦</t>
  </si>
  <si>
    <t>連絡済み
②</t>
  </si>
  <si>
    <t xml:space="preserve">村上瑞恵さん(m-murakami@type.jp)
cc:森秀将さん(h-mori@type.jp)
</t>
  </si>
  <si>
    <t>連絡済み
①</t>
  </si>
  <si>
    <t>IT派遣　中島ほのかさん（honoka.nakajima@type.jp）
Cc：ITH事業部 登録部（3051@type.jp）</t>
  </si>
  <si>
    <t>通常配信
⑨：念のため通常配信の旨連絡</t>
  </si>
  <si>
    <t>要連絡
⑨</t>
  </si>
  <si>
    <t>要連絡
⑤</t>
  </si>
  <si>
    <t>通常配信
12/25木と同じ求人差し込み(12/23火 入稿〆)なので連絡も不要かと。</t>
  </si>
  <si>
    <t>ウキは通常配信で問題ない。typeもそれで問題ないか確認。前回は火曜入稿前倒しで対応。⑧：typeと調整後連絡検討</t>
  </si>
  <si>
    <t>連絡済み
⑧</t>
  </si>
  <si>
    <t>差し込みなしで配信
要連絡：①</t>
  </si>
  <si>
    <t>配信停止
要連絡：②</t>
  </si>
  <si>
    <t>配信日変更⇒12/29(月) 15時</t>
  </si>
  <si>
    <t>本部独断で変更検討中。
石原くん確認OKならこちらで進めようと思います。</t>
  </si>
  <si>
    <t>配信停止　※毎年12/31 17時～1/1終日の間、メルマガを停止している
要連絡：③</t>
  </si>
  <si>
    <t>連絡済み
③</t>
  </si>
  <si>
    <t>配信停止　※毎年12/31 17時～1/1終日の間、メルマガを停止している
要連絡：①</t>
  </si>
  <si>
    <t>12/29(月) 11時 6.9万通 で配信。12/26(金)抽出依頼済み。
コメントで「掲載期間を必ず確認」と記載。</t>
  </si>
  <si>
    <t>連絡済み
④</t>
  </si>
  <si>
    <t>配信停止　※毎年12/31 17時～1/1終日の間、メルマガを停止している
要連絡：⑤</t>
  </si>
  <si>
    <t>配信停止
要連絡：⑥</t>
  </si>
  <si>
    <t>要連絡
⑥</t>
  </si>
  <si>
    <t>配信停止
要連絡：⑦</t>
  </si>
  <si>
    <t>配信停止
要連絡：①</t>
  </si>
  <si>
    <t>配信停止
要連絡：⑨</t>
  </si>
  <si>
    <t>配信停止
要連絡：⑤</t>
  </si>
  <si>
    <t>配信停止
要連絡：⑧</t>
  </si>
  <si>
    <t>エントリー前倒し可能か確認。1/5(月)午前中エントリーで差し込み可能、無ければ差し込みなしで配信。</t>
  </si>
  <si>
    <t>本部確認済み_25/12/05</t>
  </si>
  <si>
    <t>2026年1月12日（月）祝日対応</t>
  </si>
  <si>
    <r>
      <rPr>
        <rFont val="Arial"/>
        <color rgb="FF1155CC"/>
        <u/>
      </rPr>
      <t xml:space="preserve">参照：type／女の転職typeのGWを挟む入稿スケジュールのお知らせ
</t>
    </r>
    <r>
      <rPr>
        <rFont val="Arial"/>
        <color rgb="FF000000"/>
        <u/>
      </rPr>
      <t>「広告・オプション」部分確認。</t>
    </r>
  </si>
  <si>
    <t>2026年2月11日（水）祝日対応</t>
  </si>
  <si>
    <t>火・金午前中のサイト更新で内容が更新される。サイト更新があれば配信可能。
通常配信</t>
  </si>
  <si>
    <t>配信直前の毎週火曜に、推進部が直接BOSS-Sの求人特集に企業を設定している。
通常配信</t>
  </si>
  <si>
    <t>前週木曜エントリー〆。
通常配信</t>
  </si>
  <si>
    <t>火曜日設定
通常配信</t>
  </si>
  <si>
    <t>毎週火曜エントリー〆。
通常配信</t>
  </si>
  <si>
    <t>配信当日AMに設定するので通常配信</t>
  </si>
  <si>
    <t>配信前日の木曜午前中に入稿される。
通常配信</t>
  </si>
  <si>
    <t>2026年2月23日（月）祝日対応</t>
  </si>
  <si>
    <r>
      <rPr>
        <rFont val="Arial"/>
        <color rgb="FF1155CC"/>
        <u/>
      </rPr>
      <t xml:space="preserve">参照：type／女の転職typeのGWを挟む入稿スケジュールのお知らせ
</t>
    </r>
    <r>
      <rPr>
        <rFont val="Arial"/>
        <color rgb="FF000000"/>
        <u/>
      </rPr>
      <t>「広告・オプション」部分確認。</t>
    </r>
  </si>
  <si>
    <t>2026年3月20日（月）祝日対応</t>
  </si>
  <si>
    <t>小林大翼さん &lt;daisuke.kobayashi@type.jp&gt;、営アシeh_eiashi@type.jp</t>
  </si>
  <si>
    <r>
      <rPr>
        <rFont val="Arial, Helvetica, sans-serif"/>
      </rPr>
      <t xml:space="preserve">2/21（水）エントリー締切なので配信可
通常配信
</t>
    </r>
    <r>
      <rPr>
        <rFont val="Arial, Helvetica, sans-serif"/>
        <color rgb="FFFF0000"/>
      </rPr>
      <t>→差し込みなしで配信。</t>
    </r>
  </si>
  <si>
    <t>エントリー〆3/18(水)中に変更で配信。</t>
  </si>
  <si>
    <t>要</t>
  </si>
  <si>
    <t>本部連絡完了。</t>
  </si>
  <si>
    <t>エントリー期間3/18(水)中に変更して配信。</t>
  </si>
  <si>
    <t>入稿3/19(木)AM中に変更して配信。</t>
  </si>
  <si>
    <t>入稿3/19(木)AM中に変更可能か連絡</t>
  </si>
  <si>
    <t>本部連絡済み-返信待ち</t>
  </si>
  <si>
    <t>通常配信(3/17〆)</t>
  </si>
  <si>
    <r>
      <rPr>
        <rFont val="Arial, Helvetica, sans-serif"/>
        <color rgb="FFFF0000"/>
        <sz val="10.0"/>
      </rPr>
      <t xml:space="preserve">3/18(水)中に求人特集紐づけが可能であれば配信、そうでなければ配信停止
</t>
    </r>
    <r>
      <rPr>
        <rFont val="Arial, Helvetica, sans-serif"/>
        <sz val="10.0"/>
      </rPr>
      <t>ウキは通常配信で問題ない。typeもそれで問題ないか確認。前回は火曜入稿前倒しで対応。⑧：typeと調整後連絡検討</t>
    </r>
  </si>
  <si>
    <t>連絡完了</t>
  </si>
  <si>
    <r>
      <rPr>
        <rFont val="Arial, Helvetica, sans-serif"/>
        <color rgb="FFFF0000"/>
        <sz val="10.0"/>
      </rPr>
      <t xml:space="preserve">3/18(水)中に求人特集紐づけが可能であれば配信、そうでなければ配信停止
</t>
    </r>
    <r>
      <rPr>
        <rFont val="Arial, Helvetica, sans-serif"/>
        <sz val="10.0"/>
      </rPr>
      <t>ウキは通常配信で問題ない。typeもそれで問題ないか確認。前回は火曜入稿前倒しで対応。⑧：typeと調整後連絡検討</t>
    </r>
  </si>
  <si>
    <t>2026年4月29日（水）祝日対応</t>
  </si>
  <si>
    <t>毎週火曜エントリー〆を4/27月に前倒しで配信可能：⑤</t>
  </si>
  <si>
    <t>前回は火曜入稿前倒しで対応。4/28火入稿前倒しで
問題ないかtype確認。決定内容で連絡：⑦</t>
  </si>
  <si>
    <t>要連絡
⑦</t>
  </si>
  <si>
    <t>要連絡
②</t>
  </si>
  <si>
    <t>要連絡
①</t>
  </si>
  <si>
    <t>毎週火曜エントリー〆を4/27月に前倒しで配信可能：⑤
4/30木と同じ求人差し込み。</t>
  </si>
  <si>
    <t>配信停止条件：</t>
  </si>
  <si>
    <t>検証メルマガレギュレーション</t>
  </si>
  <si>
    <t>NO.</t>
  </si>
  <si>
    <t>件名</t>
  </si>
  <si>
    <t>本文</t>
  </si>
  <si>
    <t>配信対象</t>
  </si>
  <si>
    <t>求人抽出条件</t>
  </si>
  <si>
    <r>
      <rPr>
        <rFont val="Noto Sans JP"/>
        <b/>
      </rPr>
      <t xml:space="preserve">配信日
</t>
    </r>
    <r>
      <rPr>
        <rFont val="Noto Sans JP"/>
        <b/>
        <sz val="7.0"/>
      </rPr>
      <t>配信最終日</t>
    </r>
  </si>
  <si>
    <t>配信曜日</t>
  </si>
  <si>
    <t>配信時間</t>
  </si>
  <si>
    <r>
      <rPr>
        <rFont val="Noto Sans JP"/>
        <b/>
      </rPr>
      <t xml:space="preserve">配信数
</t>
    </r>
    <r>
      <rPr>
        <rFont val="Noto Sans JP"/>
        <b/>
        <sz val="7.0"/>
      </rPr>
      <t>3回合計</t>
    </r>
  </si>
  <si>
    <r>
      <rPr>
        <rFont val="Noto Sans JP"/>
        <b/>
      </rPr>
      <t xml:space="preserve">クリック数 
</t>
    </r>
    <r>
      <rPr>
        <rFont val="Noto Sans JP"/>
        <b/>
        <sz val="7.0"/>
      </rPr>
      <t>3回合計</t>
    </r>
  </si>
  <si>
    <r>
      <rPr>
        <rFont val="Noto Sans JP"/>
        <b/>
      </rPr>
      <t xml:space="preserve">応募数 
</t>
    </r>
    <r>
      <rPr>
        <rFont val="Noto Sans JP"/>
        <b/>
        <sz val="7.0"/>
      </rPr>
      <t>3回合計</t>
    </r>
  </si>
  <si>
    <r>
      <rPr>
        <rFont val="Noto Sans JP"/>
        <b/>
      </rPr>
      <t xml:space="preserve">CTR
</t>
    </r>
    <r>
      <rPr>
        <rFont val="Noto Sans JP"/>
        <b/>
        <sz val="7.0"/>
      </rPr>
      <t>3回平均</t>
    </r>
  </si>
  <si>
    <r>
      <rPr>
        <rFont val="Noto Sans JP"/>
        <b/>
      </rPr>
      <t xml:space="preserve">CVR
</t>
    </r>
    <r>
      <rPr>
        <rFont val="Noto Sans JP"/>
        <b/>
        <sz val="7.0"/>
      </rPr>
      <t>3回平均</t>
    </r>
  </si>
  <si>
    <r>
      <rPr>
        <rFont val="Noto Sans JP"/>
        <b/>
      </rPr>
      <t xml:space="preserve">配信CVR
</t>
    </r>
    <r>
      <rPr>
        <rFont val="Noto Sans JP"/>
        <b/>
        <sz val="7.0"/>
      </rPr>
      <t>3回平均</t>
    </r>
  </si>
  <si>
    <t>配信停止理由</t>
  </si>
  <si>
    <t>担当者</t>
  </si>
  <si>
    <t>施策シート</t>
  </si>
  <si>
    <t>大手上場 A</t>
  </si>
  <si>
    <t>【未経験でも応募可能！】大手･上場企業の人気求人ランキング - 女の転職type</t>
  </si>
  <si>
    <t>こんにちは、女の転職type編集部です。
本日は、編集部が厳選した“未経験OK”の大手・上場企業の求人をお届けします！
大手ならではの充実の福利厚生で安定してお仕事が可能です★
気になる求人はぜひチェックしてくださいね。
☆…━…‥…━…‥…━…‥…━…‥…━…
大手･上場企業の人気求人ランキング
…━…‥……━…‥…━…‥…━…‥…━…☆
☆■RANK■位☆
■COM_NAME■ 
■OFF_NAME■
-----------------------------------
[勤務地]■OFF_PLACE■
[給与]■OFF_SALARY■
[勤務時間]■OFF_OF_HOUR■
■OFF_URL■?utm_source=adm&amp;utm_medium=email&amp;utm_campaign=uki_adm_184&amp;routeway=85</t>
  </si>
  <si>
    <t>年齢：0～ 34 歳
希望勤務地：埼玉県 、千葉県 、東京都 、神奈川県
最新レジュメ更新日から180日以内</t>
  </si>
  <si>
    <t>PRコード：
職種未経験OK 、大手・上場企業 、福利厚生が充実
勤務地コード：首都圏</t>
  </si>
  <si>
    <t>20時</t>
  </si>
  <si>
    <t>CVRが配信CVR約0.02%台であったため、ブラッシュアップ
配信数を増加し、対象者の年齢の範囲を広げ人数を増やしたが応募数は増加せず。
未経験の大手上場のため、企業名で引きのある求人があまり抽出されないことで、
クリックにつながらないことが考えられる。</t>
  </si>
  <si>
    <t>［武政］短期施策</t>
  </si>
  <si>
    <t>BtoCからBtoB営業へ</t>
  </si>
  <si>
    <t>法人営業へ転身！個人営業の経験を活かせる求人特集 - 女の転職type</t>
  </si>
  <si>
    <t>こんにちは、女の転職type編集部です！
個人営業（BtoC）でご活躍されてきたあなたへ。
その豊富な経験とスキルで、新たな可能性を切り拓いてみませんか？
そんな経験が活かせる法人営業（BtoB）の求人を厳選してご紹介します！
土日祝休みや勤務時間が安定しやすいなど、働きやすさもBtoB営業の魅力の1つです！
どの求人も応募定員に達すると掲載が終わってしまうので、
気になる求人はぜひ早めにチェックしてくださいね♪
━☆━━━━━━━━━━━━━━━
土日祝休み・月残業20時間以内のBtoB求人
━━━━━━━━━━━━━━━☆━
≪■COM_NAME■≫
◎■OFF_NAME■
----------------------------------
■OFF_CATCHCOPY■
給与：■OFF_SALARY■
勤務地：■OFF_PLACE■
?utm_source=adm&amp;utm_medium=email&amp;utm_campaign=uki_adm_438&amp;routeway=85</t>
  </si>
  <si>
    <t>・経験業種：営業・企画・マーケティング系　個人営業（BtoC）
・最終ログインから120日以内　3000通(2094人) 
・希望勤務地：一都三県（未登録含む）</t>
  </si>
  <si>
    <t>・職種コード：法人営業（BtoB）
・PRコード：職種未経験OK、土日祝休み、残業月20時間以内（AND検索）
・勤務地：一都三県
・1社あたりの上限職種数：1
・抽出上限社数 ：30</t>
  </si>
  <si>
    <t>17時</t>
  </si>
  <si>
    <t>現在BtoCの仕事をしている人に向けたメルマガがなかった為、新規で作成
そもそも母数が少ないのと、BtoBを希望する人があまりいなかったと考えられる。
また配信を重ねるごとにCTRが減っていったためあまり求人が変わっていなかったことも考えられる。</t>
  </si>
  <si>
    <t>石原</t>
  </si>
  <si>
    <t>短期施策シート【石原】</t>
  </si>
  <si>
    <t>定着率の高い企業</t>
  </si>
  <si>
    <t>30代女性にオススメしたい定着率が高い企業特集 - 女の転職type</t>
  </si>
  <si>
    <t>こんにちは、女の転職type編集部です！
「会社・仕事内容が合わず退職を考えているけれど、次の選択肢が見つからない...」
「転職したい気持ちはあるけど、失敗したらどうしよう…」
「安定した職場に行きたい...」
今回はそんな方に向けて、定着率が高く、働きやすい環境のある企業をまとめてご紹介します！
どの求人も応募定員に達すると掲載が終わってしまうので、
気になる求人はぜひ早めにチェックしてくださいね♪
━☆━━━━━━━━━━━━━━━
30代にオススメの定着率の高い企業特集
━━━━━━━━━━━━━━━☆━
≪■COM_NAME■≫
◎■OFF_NAME■
----------------------------------
■OFF_CATCHCOPY■
給与：■OFF_SALARY■
勤務地：■OFF_PLACE■
?utm_source=adm&amp;utm_medium=email&amp;utm_campaign=uki_adm_447&amp;routeway=85</t>
  </si>
  <si>
    <t>・年齢：30歳を含む～39歳を含む
・希望勤務地：一都三県（未登録含む）
・最終ログインから60日以内 10000通(9874通)</t>
  </si>
  <si>
    <t xml:space="preserve">・フリーワード：定着率
・勤務地：一都三県
・1社あたりの上限職種数：1
・抽出上限社数 ：50
</t>
  </si>
  <si>
    <t>20代訴求の時と同じようにあまり伸びなかった
「定着率」というワードはあまり響かないか</t>
  </si>
  <si>
    <t>外資系企業_ランキング</t>
  </si>
  <si>
    <t>好待遇＆柔軟な働き方！外資系企業の人気求人ランキング - 女の転職type</t>
  </si>
  <si>
    <t>こんにちは、女の転職type編集部です。
本日は「外資系企業」に限定した人気求人ランキングをご紹介します！
外資系企業はフレックスタイムや福利厚生が充実している企業が多く、
好待遇で柔軟な働き方を叶えたい方にはオススメです。
どの求人も応募定員に達すると掲載が終わってしまうので、
気になる求人はぜひ早めにチェックしてくださいね♪
━━━━━━━━━━━━━━━━━
「外資系企業」限定人気求人ランキング
━━━━━━━━━━━━━━━━━
☆■RANK■位☆
■COM_NAME■
≫■OFF_NAME■
----------------------------------
給与：■OFF_SALARY■
勤務地：■OFF_PLACE■
■OFF_URL■?utm_source=adm&amp;utm_medium=email&amp;utm_campaign=uki_adm_445&amp;routeway=85</t>
  </si>
  <si>
    <t>・希望勤務地：一都三県（未登録含む）
・会員ステータス：直近30日以内にログインあり
→24,000通（23,431人）</t>
  </si>
  <si>
    <t>PRコード：外資系企業
勤務地コード：一都三県
ランキング種別：応募数順
求人の並び順：降順(多い→少ない)
表示形式：(抽出上限まで)該当する全ての職種
1社あたりの上限職種数：1
抽出上限社数：30</t>
  </si>
  <si>
    <t>ブラッシュアップの基準には満たないが、既存の数字も揺れが大きいので比較する月によっては超えているので悩ましいが、ランキングのためそこまで上位のラインナップが代わり映えしなかった可能性あり。既存の内容に戻して数字見てみる</t>
  </si>
  <si>
    <t>福島</t>
  </si>
  <si>
    <t>短期施策シート【福島】</t>
  </si>
  <si>
    <t>ランキング_介護・医療・福祉系</t>
  </si>
  <si>
    <t>未経験OK！プライベート充実の好条件求人が多数！介護・医療・福祉系の人気求人ランキング - 女の転職type</t>
  </si>
  <si>
    <t>こんばんは、女の転職type編集部です。
本日は未経験から始められる「介護・医療・福祉系」の人気求人をランキングでご紹介します！
プライベートを充実できる「休日120日以上」「残業少なめ」の好条件求人のみを厳選しています。
気になる求人はぜひチェックしてくださいね。
━☆━━━━━━━━━━━━━━━━━━━━━━━━
【未経験OK】介護・医療・福祉系の求人ランキング
━━━━━━━━━━━━━━━━━━━━━━━━☆━
☆■RANK■位☆
■OFF_NAME■
（■COM_NAME■）
-----------------------------------
■OFF_CATCHCOPY■
［勤務地］■OFF_PLACE■
［給与］■OFF_SALARY■
■OFF_URL■?utm_source=adm&amp;utm_medium=email&amp;utm_campaign=uki_adm_468&amp;routeway=85</t>
  </si>
  <si>
    <t>希望職種：介護・医療・福祉系        
最終ログイン日からの経過日数90日以内
→8,000通（7,312人）</t>
  </si>
  <si>
    <t>職種コード：介護・医療・福祉系
PRコード：職種未経験OK 、月残業20時間以内 、休日120日以上
ランキング種別：応募数順
求人の並び順：降順(多い→少ない)
表示形式：(抽出上限まで)該当する全ての職種
1社あたりの上限職種数：1
抽出上限社数：30</t>
  </si>
  <si>
    <t>3週の結果、0応募と厳しい着地となった。初回こそCTRが1.0％超えていたが、徐々に下がってしまった。
3週目に給与訴求に切り替えたが対象者減もあり、数字は上がらなかった。
元々介護・医療・福祉系のユーザーへのメルマガはほぼなく、目新しさで1週目はクリックされたが、求人が期待していた内容と異なり、
徐々に反応が悪くなったと言えそう。プライベート充実や給与といった訴求要因というよりも、職種ごとの専門性や内容に幅がある職種分類のため、そもそも一括りで訴求したときにランキング形式だと希望している職種に出会えない可能性があるのかもしれない</t>
  </si>
  <si>
    <t>ウキ初掲載求人</t>
  </si>
  <si>
    <t>★リモートワークOK&amp;フレックスのカスタマーサポートなど★女の転職type初掲載の優良求人！ - 女の転職type</t>
  </si>
  <si>
    <t xml:space="preserve">こんばんは、女の転職type編集部です！
今回は、今週から女の転職typeに初めて掲載する優良求人をピックアップしました！
普段の求人検索では出会えない新たなお仕事が発見できるかも★
気になる求人はぜひ早めにチェックしてくださいね♪
━☆━━━━━━━━━━━━━━━
★編集部厳選！女の転職type初掲載の優良求人
━━━━━━━━━━━━━━━☆━
▼ユーレカ株式会社
----------------------------------
◎カスタマーサポート/未経験OK/土日祝休/残業ほぼ0/フレックス/リモート有
黙々作業の事務じゃないから 接客販売スタッフからの キャリアチェンジにもピッタリ！
給与：◆月給：25万円～28万円 ※残業代は別途全額支給 ※試用期間は3ヶ月。．．．
勤務地：＼月3～4回のリモート活用も◎駅チカで通勤に便利！／ 東京都豊島区北大塚．．．
https://woman-type.jp/job-offer/743605/?utm_source=adm&amp;utm_medium=email&amp;utm_campaign=uki_adm_467&amp;routeway=85
▼シンエイホーム株式会社
----------------------------------
◎一般事務*未経験大歓迎*残業ほぼなし*マイカー通勤OK*完全週休2日制
【毎日定時で帰れる◎】 住み慣れた札幌の安定企業で 未経験から事務デビューを叶えませんか？
給与：◆時給1,300円 ※試用期間3ヵ月あり。期間中の給与・待遇の差異はあり．．．
勤務地：★マイカー通勤OK ★転勤なし  【清田営業所（統括本部）】 北海道札幌．．．
https://woman-type.jp/job-offer/743597/?utm_source=adm&amp;utm_medium=email&amp;utm_campaign=uki_adm_467&amp;routeway=85
▼社会福祉法人東益津福祉会
----------------------------------
◎採用・広報で組織づくりに貢献！“人をつなぐ”仕事ができる事務職
想いを届ける採用広報 あなたの経験が、高麓と未来の仲間をつなぐ力になる
給与：月給200,000円～300,000円（学歴、経験によって変動有り）
勤務地：静岡県焼津市坂本３８５−１
https://woman-type.jp/job-offer/743277/?utm_source=adm&amp;utm_medium=email&amp;utm_campaign=uki_adm_467&amp;routeway=85
▼株式会社みちのりトラベルジャパン
----------------------------------
◎営業サポート*年休120日*完全週休2日制*子育てママ活躍中*基本定時退社*
｡ﾟ+.日本の魅力を世界へ届ける営業サポート+.ﾟ ＼有休時間単位で取得OK＆定時退社でプライベート充実／
給与：月給235,000円〜月給312,500円  ※前職給与を最大限考慮しま．．．
勤務地：◆転勤なし／駅チカ勤務地「日比谷駅」徒歩3分◆  【本社】 東京都千代田．．．
https://woman-type.jp/job-offer/743471/?utm_source=adm&amp;utm_medium=email&amp;utm_campaign=uki_adm_467&amp;routeway=85
▼株式会社ＵＲコミュニティ
----------------------------------
◎総務経理＊未経験・ブランクOK＊賞与年2回＊定時17時40分＊奈良市
≪【URであ～る♪】のCMでおなじみ！≫ UR都市機構のグループ会社で長く活躍しませんか？
給与：月給：190,000 円   ■本給…190,000円  ■勤務評価手当．．．
勤務地：☆近鉄京都線「高の原」駅徒歩4分☆  【奈良住まいセンター】 奈良県奈良．．．
https://woman-type.jp/job-offer/743580/?utm_source=adm&amp;utm_medium=email&amp;utm_campaign=uki_adm_467&amp;routeway=85
▼ネスコ株式会社
----------------------------------
◎ジムインストラクター*未経験歓迎*ジム利用可*年末や夏季など長期休暇あり
＼全くの未経験からでもOK！／ 運動が好きを仕事にしませんか？
給与：月給22万9999円～25万9999円(経験により)＋賞与年2回(業績に．．．
勤務地：＜JR吉祥寺駅徒歩5分★リボーンマイセルフ 吉祥寺店＞ 東京都武蔵野市吉．．．
https://woman-type.jp/job-offer/743591/?utm_source=adm&amp;utm_medium=email&amp;utm_campaign=uki_adm_467&amp;routeway=85
▼株式会社ＪＶＣケンウッド・ビデオテック《東証プライム上場グループ》
----------------------------------
◎経理*正社員登用前提*実務未経験OK*服装自由*フレックス制*上場グループ
≪あなたの"好き"の近くで働ける職場≫ 話題のアーティストを支える経理のお仕事です◎
給与：◎月給23万円～＋賞与年2回（昨年実績4ヶ月分）＋交通費全額支給  ※経．．．
勤務地：＜国立競技場前でアクセス抜群！＞  東京都渋谷区神宮前2-13-19  ．．．
https://woman-type.jp/job-offer/743582/?utm_source=adm&amp;utm_medium=email&amp;utm_campaign=uki_adm_467&amp;routeway=85
▼株式会社三実通商
----------------------------------
◎事務スタッフ*未経験OK*年休127日*残業月10ｈ以下*転勤なし
仕事もプライベートもどちらも大事にしたい！ 未経験から働きやすさ抜群の事務ライフを手に入れませんか？
給与：月給23万円～28万円  ※あなたのスキル・能力を考慮して決定いたします
勤務地：★転勤なし！ ★駅チカの好立地  【本社】 東京都千代田区神田岩本町4　．．．
https://woman-type.jp/job-offer/743337/?utm_source=adm&amp;utm_medium=email&amp;utm_campaign=uki_adm_467&amp;routeway=85
━☆━━━━━━━━━━━━━━━
★今週から掲載の新着求人
━━━━━━━━━━━━━━━☆━
▼株式会社神戸製鋼所
----------------------------------
◎新規事業企画・推進（事業開発部／東京・兵庫）（H405）
『Team KOBELCO』として 未来に挑戦できる事業体を創り上げます。
給与：■想定年収：570万円～1,100万円（月例給＋賞与＋諸手当） ※残業手．．．
勤務地：■東京本社/東京都品川区北品川5-9-12　ONビル ■神戸本社/兵庫県．．．
https://woman-type.jp/job-offer/708198/?utm_source=adm&amp;utm_medium=email&amp;utm_campaign=uki_adm_467&amp;routeway=85
▼株式会社リベルテ
----------------------------------
◎フラワーコーディネーター(店長候補)*月8日休*服装自由*オープニング店舗有
お花本来が持つ美しさで、大切な思い出の1ページ、日々の暮らしを美しく彩ってください。
給与：【正社員】 月給24万円～+賞与年2回  ※研修期間6ヶ月あり。 その間．．．
勤務地：複数店舗で募集中！先輩からのサポートが受けられる店舗に配属♪  ＜ブライ．．．
https://woman-type.jp/job-offer/595114/?utm_source=adm&amp;utm_medium=email&amp;utm_campaign=uki_adm_467&amp;routeway=85
▼株式会社ヴィンテージカーズ
----------------------------------
◎事務スタッフ(簡単な経理含む)*残業少なめ*土日祝休み*30～40代活躍中
麻布十番駅から徒歩5分でアクセス良好♪ プライベート時間も充実！onとoffをしっかり切り替えて働けます！
給与：月給27万円以上 ※賞与年2回あり  ◆試用期間3ヶ月あり 　待遇・福利．．．
勤務地：東京都港区元麻布1-1-11
https://woman-type.jp/job-offer/744135/?utm_source=adm&amp;utm_medium=email&amp;utm_campaign=uki_adm_467&amp;routeway=85
▼株式会社タミヤホーム　東京事務所
----------------------------------
◎事務/月給25万円～/完全週休2日/残業月10h以内/未経験・第二新卒歓迎
変化を楽しむあなたに。"成長フェーズ"の"安定企業"で、 仕事も自分の時間も大切にした働き方を叶えよう◎
給与：◆月給25万円～43万円 ※前職の経験を考慮のうえ決定します ※月給には．．．
勤務地：＊最寄り駅「永田町」より徒歩3分 ＊駅チカ勤務で通勤をラクに♪  《東京．．．
https://woman-type.jp/job-offer/738757/?utm_source=adm&amp;utm_medium=email&amp;utm_campaign=uki_adm_467&amp;routeway=85
▼一般社団法人常仁会グループ
----------------------------------
◎経理事務★未経験OK*土日祝休*平均勤続年数10年以上*実働7h*育休復帰100％
全国展開する病院グループで事務デビュー！ 未経験でも、1～2年かけてじっくり育てます◎
給与：■月給21万1000円～25万8500円＋賞与年2回（昨年度実績4.27．．．
勤務地：★「永田町駅」「麹町駅」徒歩5分の駅チカ！ ★昨年移転したばかりのキレイ．．．
https://woman-type.jp/job-offer/738806/?utm_source=adm&amp;utm_medium=email&amp;utm_campaign=uki_adm_467&amp;routeway=85
▼サントリーパブリシティサービス株式会社　施設運営部【サントリーグループ】
----------------------------------
◎施設ガイド未経験OK*土日祝休み*17時台退社可*大阪駅直結*オープニング
【グラングリーン大阪で働く｜オープニング募集】 大手グループならではの働きやすさも魅力です♪
給与：月給23万8,000円＋賞与年2回＋各種手当  ※試用期間3ヶ月あり（期．．．
勤務地：★「大阪駅」「梅田駅」直結・グラングリーン大阪勤務★転勤なし  住所／大．．．
https://woman-type.jp/job-offer/744262/?utm_source=adm&amp;utm_medium=email&amp;utm_campaign=uki_adm_467&amp;routeway=85
▼株式会社生活の木
----------------------------------
◎アロマ・ハーブ専門店の店長/賞与実績最大6ヶ月分/残業月5h以内/完休2日制
働きやすさも大切にできる環境で アイデアを活かして、店舗づくりを手掛けませんか？
給与：月給23万6100円～＋各種手当（店長・家族手当など）＋賞与年2回+業績．．．
勤務地：＊下記店舗にて勤務となります ＊配属先は希望を最大限考慮いたします  ■．．．
https://woman-type.jp/job-offer/739479/?utm_source=adm&amp;utm_medium=email&amp;utm_campaign=uki_adm_467&amp;routeway=85
▼株式会社ＮＥＵＧＡＴＥ（ノイゲート）
----------------------------------
◎採用アシスタント*未経験OK*定時17時半*髪色/服装/ネイル自由
応募資格は【人がスキ】なこと！ あなたの愛嬌を活かして、採用をサポートしてくれませんか？
給与：★賞与年2回支給あり（過去支給実績：基本給の2ヶ月分） ★経験やスキルに．．．
勤務地：★赤坂駅から徒歩スグ  【本社】東京都港区赤坂6-3-12 リバービル赤．．．
https://woman-type.jp/job-offer/739388/?utm_source=adm&amp;utm_medium=email&amp;utm_campaign=uki_adm_467&amp;routeway=85
▼株式会社ジールコミュニケーションズ
----------------------------------
◎キャリアカウンセラー【HR事業部】/代表は元Jリーガー/未経験歓迎
時代にマッチした2つの事業を展開----。 ニーズは確実に拡大しています。
給与：【年収】282万円～420万円 【月給】24万円～+各種手当 ※経験・ス．．．
勤務地：東京都渋谷区東2-16-10　ヤナセ渋谷ビル4・5F  大阪府大阪市西区．．．
https://woman-type.jp/job-offer/571239/?utm_source=adm&amp;utm_medium=email&amp;utm_campaign=uki_adm_467&amp;routeway=85
▼三井不動産ビルマネジメント株式会社 ビジネスソリューション事業推進本部
----------------------------------
◎シェアオフィス受付◇月収27万円以上◇都心人気2拠点から選べる◇土日祝休
オフィスワークデビュー応援します♪ 安定基盤×自由度高く働ける環境で、 受付のお仕事にチャレンジ！
給与：【想定月給】278,800円～ ＊昇給制度あり ＊残業代別途全額支給 ＊．．．
勤務地：■ワークスタイリング汐留シティセンター 東京都港区東新橋1-5-2  ■．．．
https://woman-type.jp/job-offer/732648/?utm_source=adm&amp;utm_medium=email&amp;utm_campaign=uki_adm_467&amp;routeway=85
▼ダイト空調工業株式会社
----------------------------------
◎IT企画・推進*年休127日*残業5h未満/月平均*未経験歓迎！手厚い研修あり
＼データ分析からシステム導入、デザインまで経験可能／ 成長も、プライベートの充実も、ココで欲張る！
給与：◇月給28万円～35万円＋賞与2回＋決算賞与（8年連続支給） ◇資格手当．．．
勤務地：◇横浜オフィス勤務 ◇転勤なし ◇ゆくゆくはリモートも…！  ■横浜オフ．．．
https://woman-type.jp/job-offer/735101/?utm_source=adm&amp;utm_medium=email&amp;utm_campaign=uki_adm_467&amp;routeway=85
▼日証貿株式会社
----------------------------------
◎貿易事務*未経験大歓迎*産育休取得実績多数*月収27.5万も可*残業少なめ
ライフステージに左右されず腰を据えて働きたい方大歓迎！ あなたらしく貿易事務として活躍しませんか？
給与：★月収29万円以上も可能！ ★各種手当を豊富にご用意♪  月給22万円～．．．
勤務地：【東京勤務！転居を伴う転勤なし！リモートワークの案件あり】  東京都内（．．．
https://woman-type.jp/job-offer/699926/?utm_source=adm&amp;utm_medium=email&amp;utm_campaign=uki_adm_467&amp;routeway=85
▼株式会社ユアーズ・コーポレーション
----------------------------------
◎接客スタッフ*未経験OK*月給27万円～*日祝/GW/年末年始休み*キャリア復帰OK
＜お気軽応募歓迎！自己PRや志望動機は不要＞ 家族やプライベートなど、あなたの希望に寄り添います。
給与：★賞与年3回 ★未経験スタートでも平均年収410万円 ……… ■月給27．．．
勤務地：★転勤なし＆U・Iターン歓迎 ★店舗はすべて駅チカ＆お住まいやご希望を考．．．
https://woman-type.jp/job-offer/655521/?utm_source=adm&amp;utm_medium=email&amp;utm_campaign=uki_adm_467&amp;routeway=85
▼住友生命保険相互会社　埼玉中央支社　浦和営業第2支部
----------------------------------
◎ライフデザイナー(営業)＜浦和募集＞未経験歓迎☆異業種出身者の先輩活躍中
★入社後3ヶ月の研修でしっかり学べる！ キャリアアップもプライベート充実も♪
給与：月給21～35万円  ※固定残業代【おおむね15時間分(2.5万円～4.．．．
勤務地：【住友生命保険相互会社　埼玉中央支社　浦和営業第2支部】 埼玉県さいたま．．．
https://woman-type.jp/job-offer/681087/?utm_source=adm&amp;utm_medium=email&amp;utm_campaign=uki_adm_467&amp;routeway=85
▼住友生命保険相互会社　東京中央支社
----------------------------------
◎ライフデザイナー（未経験歓迎＆日本橋駅直結で通勤ラクラク！）
生活の不安、仕事の不安――すべてスミセイなら解消！ あなたは、今の生活スタイルに満足できていますか？
給与：月給23万円～35万円  ※経験・能力・前職年収を考慮の上、35万円を限．．．
勤務地：# 日本橋駅直結ビル # 転勤なし 東京都中央区日本橋2丁目1-10 柳．．．
https://woman-type.jp/job-offer/597593/?utm_source=adm&amp;utm_medium=email&amp;utm_campaign=uki_adm_467&amp;routeway=85
▼株式会社ＮＮＣグループ
----------------------------------
◎事務スタッフ｜全員未経験入社*月給27万円以上*基本定時退社*年休125日以上
完全未経験から安定したオフィスワークを！ 育成前提の採用なので、ゼロから安心して始められます◎
給与：＜初年度想定月収30万円！資格取得で大幅な給与UPも可能＞  月給27万．．．
勤務地：一都三県、または希望があれば全国のクライアント先での勤務となります。 ※．．．
https://woman-type.jp/job-offer/734267/?utm_source=adm&amp;utm_medium=email&amp;utm_campaign=uki_adm_467&amp;routeway=85
▼学校法人駿河台学園
----------------------------------
◎専門学校事務★未経験歓迎★一時金年2回★産育休取得実績多数★5連休もOK
＼働きやすさ抜群／ ワークライフバランスを保ちながら、 学生のターニングポイントに寄り添えます。
給与：★一時金年2回支給あり ★残業代全額支給  ◆月給23万円～ ◆想定年収．．．
勤務地：転勤なし！徒歩5分圏内で通勤も快適★  ◆駿台ITビジネスカレッジ ⇒〒．．．
https://woman-type.jp/job-offer/728685/?utm_source=adm&amp;utm_medium=email&amp;utm_campaign=uki_adm_467&amp;routeway=85
▼株式会社　時空テクノロジーズ
----------------------------------
◎カスタマーサクセス*月給27万円～*フルリモート*全国から応募可能
提供するのは、導入実績が伸び続ける自社システム。 お客様の課題や悩みに寄り添いませんか？
給与：月給27万円以上＋賞与1回  【月給27万円の場合】 ・基本給218,7．．．
勤務地：&lt;&lt;フルリモートワークのため全国で勤務可能&gt;&gt; 東京本社ですが、実際に大．．．
https://woman-type.jp/job-offer/653556/?utm_source=adm&amp;utm_medium=email&amp;utm_campaign=uki_adm_467&amp;routeway=85
▼株式会社スタッフサービス　オフィス事業本部 ミラエール推進部
----------------------------------
◎総務事務/スピード選考！/未経験OK/リモートあり/研修充実/残業少なめ
韓国語も学べる学習アプリで推し活もサポート★ 仕事も推し活もどちらも充実させませんか？
給与：☆年収例：年収325万(事務、27歳) 【月給】★2025年4月から給与．．．
勤務地：★リモートワーク（在宅勤務/在宅ワーク/テレワーク）もOK 東京都内（渋．．．
https://woman-type.jp/job-offer/521579/?utm_source=adm&amp;utm_medium=email&amp;utm_campaign=uki_adm_467&amp;routeway=85
▼株式会社シリウスコーポレーション
----------------------------------
◎販売スタッフ*未経験OK*月給25万～*賞与年2回*ノルマなし*青山/銀座/六本木
未経験歓迎！残業ほぼなし♪ 幅広い年代に愛される ラグジュアリーブランドkashwere
給与：【正社員】月給25万円～＋賞与年2回 ＋残業代全額支給 【アルバイト】時．．．
勤務地：＜駅徒歩3分以内！複数路線の利用が可能なのでアクセス良好！＞ 青山・六本．．．
https://woman-type.jp/job-offer/494475/?utm_source=adm&amp;utm_medium=email&amp;utm_campaign=uki_adm_467&amp;routeway=85
▼株式会社C・S・R
----------------------------------
◎営業事務*20～30代女性活躍中*人柄重視*お茶・コーヒー飲み放題*駅徒歩3分
＼ワークもライフもどっちも叶う／ とことん働きやすい事務のお仕事、未経験から始めてみませんか？
給与：月給22万円以上+諸手当  ※固定残業代（月20時間07分相当／30,0．．．
勤務地：【池袋駅から徒歩3分！駅チカでキレイなオフィスです♪】  ■東京本社 東．．．
https://woman-type.jp/job-offer/625489/?utm_source=adm&amp;utm_medium=email&amp;utm_campaign=uki_adm_467&amp;routeway=85
▼バレーパーキングシステムズ株式会社
----------------------------------
◎港区高級マンションのフロントコンシェルジュ*原則定時退社/月給23.5万円～
《落ち着いた空間で丁寧なおもてなしを実現》 富裕層を魅了する「上質な接客」を、あなたのものに。
給与：月給23万5000円以上＋各種手当＋賞与  ※試用期間3ヶ月は月給22.．．．
勤務地：～* 転勤はありません *～  ■東京都港区芝5丁目36-7 三田ベルジ．．．
https://woman-type.jp/job-offer/743445/?utm_source=adm&amp;utm_medium=email&amp;utm_campaign=uki_adm_467&amp;routeway=85
▼住友生命保険相互会社　京都支社
----------------------------------
◎ライフデザイナー(営業)駅チカオフィス*未経験スタート多数*京都市エリア
入社後の3か月間の研修で イチから丁寧に学べます♪
給与：月給19万円～35万円  ※上記には固定残業代【おおむね15時間分(2.．．．
勤務地：【住友生命保険相互会社　京都支社　新東山支部＆新山科支部】  ★新東山支．．．
https://woman-type.jp/job-offer/732752/?utm_source=adm&amp;utm_medium=email&amp;utm_campaign=uki_adm_467&amp;routeway=85
▼アズビル株式会社【プライム市場上場】
----------------------------------
◎事務スタッフ*賞与年2回*年休127日*1hごとの有給消化可*残業少なめ
☆＼IT経験を活かした事務職デビュー／☆ 東証プライム上場企業で安定キャリアを歩みませんか？
給与：★昇給年1回、賞与年2回あり！ ┗月給22万9090円～+交通費全額支給．．．
勤務地：◆藤沢テクノセンター 〒251-8522 神奈川県藤沢市川名1-12-2
https://woman-type.jp/job-offer/566242/?utm_source=adm&amp;utm_medium=email&amp;utm_campaign=uki_adm_467&amp;routeway=85
▼株式会社エーアールエー
----------------------------------
◎データ入力事務*未経験OK*17時退勤*残業無*ブランクOK*ママさん社員活躍
【ブランクOK！子育て中の社員多数】 未経験から始める事務＆正社員デビュー
給与：■月給25万円～35万円＋交通費などの手当 ★交通費支給（月3万円まで）．．．
勤務地：★職場近くにスーパーあり！ ┗帰り道に夜ご飯の買い物をして帰れます◎ ★．．．
https://woman-type.jp/job-offer/744307/?utm_source=adm&amp;utm_medium=email&amp;utm_campaign=uki_adm_467&amp;routeway=85
▼医療法人社団宏清会　新宿ＮＳビル歯科
----------------------------------
◎受付(歯科助手含む)／正社員・パート同時募集★駅チカ便利！未経験者歓迎！
勤務地は新宿西口高層ビル街にある｢新宿ＮＳビル｣ 異業種からの転職大歓迎！頑張りはきちんと評価します
給与：[正社員] Ａ(完全週休2日制)／月給23万5000円以上 Ｂ(隔週休2．．．
勤務地：東京都新宿区西新宿2-4-1 新宿ＮＳビル4Ｆ  ◆通勤ラクラク､アクセ．．．
https://woman-type.jp/job-offer/744213/?utm_source=adm&amp;utm_medium=email&amp;utm_campaign=uki_adm_467&amp;routeway=85
▼株式会社メトロ
----------------------------------
◎【一般事務】経験が活かせる*残業ほぼなし*私服OK*リモート相談可
＊―仕事もプライベートも安定を実現―＊ ワークライフバランスを叶えながらステップアップ◎
給与：月給22万円+各種手当+賞与年2回 ※経験やスキルを考慮して、優遇いたし．．．
勤務地：本社／東京都中央区銀座8-18-11 銀座エスシービル7階 ※転勤はあり．．．
https://woman-type.jp/job-offer/569673/?utm_source=adm&amp;utm_medium=email&amp;utm_campaign=uki_adm_467&amp;routeway=85
▼住友生命保険相互会社　神戸支社
----------------------------------
◎ライフデザイナー(営業)未経験歓迎♪安心の研修制度が充実♪尼崎市エリア
入社して約3か月の研修では、 保険・金融知識を基礎から学べる教育プログラムあり！
給与：月給21万円～35万円  ※上記には固定残業代【おおむね15時間分(2.．．．
勤務地：【住友生命保険相互会社　神戸支社　武庫之荘支部・尼崎支部・尼崎東支部】 ．．．
https://woman-type.jp/job-offer/732074/?utm_source=adm&amp;utm_medium=email&amp;utm_campaign=uki_adm_467&amp;routeway=85
▼ビッグクリエイト株式会社
----------------------------------
◎広報【SNS運用やPRなど】*未経験OK*残業少なめ*土日祝休み*5連休OK
SNSでも話題のドーナツ店【JACK IN THE DONUTS】などの PRやSNS運用に携われる♪
給与：★賞与年2回（6ヶ月分の営業利益の10%を分配） ★社割あり！全商品を5．．．
勤務地：★青山一丁目駅・外苑前駅から徒歩スグ  東京都港区北青山1-4-6 24．．．
https://woman-type.jp/job-offer/739890/?utm_source=adm&amp;utm_medium=email&amp;utm_campaign=uki_adm_467&amp;routeway=85
▼弁理士法人 谷・阿部特許事務所
----------------------------------
◎特許事務*未経験OK*赤坂駅から徒歩2分*リモート可*フレックス制
落ち着いて、じっくりと。 ストレスフリーな環境で、仕事に没頭しませんか？
給与：◇月給21.5万円～26万円+賞与年2回+通勤手当+昇給あり ※残業代全．．．
勤務地：＼お仕事に慣れてきたら週2回程度のリモートワーク可能！／ ◇本社：東京都．．．
https://woman-type.jp/job-offer/733240/?utm_source=adm&amp;utm_medium=email&amp;utm_campaign=uki_adm_467&amp;routeway=85
※掲載が終了している場合や条件に合わない場合は何卒ご了承ください。
◆転職活動をお手伝い！便利機能のご紹介
━━━━━━━━━━━━━━━★━
内定獲得者は平均７社に応募しています。
ちょっと多い…と感じた方も大丈夫！
自身の希望や経験にあった求人探しをお手伝いする便利機能をご紹介！
▼「スカウト」
あなたに興味を持った企業から応募依頼が届く！「面接確約」などの特別待遇が受けられる場合も！
https://woman-type.jp/scout/?utm_source=adm_temp&amp;utm_medium=email&amp;utm_campaign=uki_adm_temp3&amp;routeway=85
☆WEB履歴書から『職務内容』を登録しておくと、あなたの経験にあうスカウトが届きやすくなります。
↓↓スマホならテンプレートで簡単登録！
https://woman-type.jp/mypage/history/?utm_source=adm_temp&amp;utm_medium=email&amp;utm_campaign=uki_adm_temp2&amp;routeway=85#job-description
▼選考通過する可能性が高い求人を編集部がピックアップ！
「あなたに関心のある企業」
https://woman-type.jp/matching/?utm_source=adm_temp&amp;utm_medium=email&amp;utm_campaign=uki_adm_temp3&amp;routeway=85
▼「女の転職typeアプリ」のインストールはお済みですか？
希望条件をもとに「あなたにおすすめの求人」をピックアップ！
求人検索やメッセージ管理もアプリならラクラク♪
◎女の転職typeのスマホアプリ（無料）
https://woman-type.onelink.me/MoBt/gztauco9
---------------------------------
※本メールは送信専用アドレスです。ご返信ができませんのでご注意ください。
≫ よくある質問
https://woman-type.jp/s/support/?utm_source=adm_temp&amp;utm_medium=email&amp;utm_campaign=uki_adm_temp4&amp;routeway=85
---------------------------------
</t>
  </si>
  <si>
    <t>希望職種：販サ・営業・事務（興味あり・少し）
最終ログイン：30日
→31985人</t>
  </si>
  <si>
    <t xml:space="preserve">求人抽出条件：事務・営業・販サ
販サ
ネスコ株式会社　743591
営業
ユーレカ株式会社　743605
事務
株式会社三実通商　743337
株式会社みちのりトラベルジャパン　743471
株式会社ＵＲコミュニティ　西日本　743580
社会福祉法人東益津福祉会　743277
シンエイホーム株式会社　743597
株式会社ＪＶＣケンウッド・ビデオテック　743582
</t>
  </si>
  <si>
    <t>14時</t>
  </si>
  <si>
    <t>2回目配信時は、CVR0.18%と爆発したが、内容としては株式会社ｋｕｂｅｌｌパートナーが配信された影響で、
応募数が増加したことが考えられる。
再現性がないので継続して高い応募数を得ることは難しそうだが、
フルリモート好条件求人などが初めて掲載された場合にイレギュラーとして配信するのは良さそう。</t>
  </si>
  <si>
    <t>学歴不問_35歳以上</t>
  </si>
  <si>
    <t>チームで働く</t>
  </si>
  <si>
    <t>【未経験でも安心】人に相談できる／チームで働くお仕事特集 - 女の転職type</t>
  </si>
  <si>
    <t>こんにちは、女の転職type編集部です。
「職場の人間関係」って、仕事を選ぶうえで見えづらいけど、実はすごく大事。
質問しやすかったり、気軽に相談できる人がいたり、
そんな“チームで働ける”空気がある職場は、未経験でも安心できるもの。
今回は、「一人で抱えこまなくていい」、
そんな職場を集めた求人特集をお届けします。</t>
  </si>
  <si>
    <t>・最終ログインから30日以内 
→17533人
～49歳まで
一都三県</t>
  </si>
  <si>
    <t>職種未経験OK
キーワード：
チーム制
チームワーク
チーム体制</t>
  </si>
  <si>
    <t>派遣からデビュー</t>
  </si>
  <si>
    <t>【正社員デビューを応援している求人限定！】未経験OKの求人特集 - 女の転職type</t>
  </si>
  <si>
    <t>こんにちは、女の転職type編集部です。
転職って、なんとなく不安。
でも「ちょっとやってみたいかも」って気持ちは、
もしかしたら今が“その一歩目”かもしれません。
今回ご紹介するのは、
はじめての挑戦をしっかり応援してくれる“デビュー歓迎”の求人たち。
事務デビュー、営業デビュー、正社員デビュー…
あなたの“新しいはじまり”を受け入れてくれる職場が、きっとあります。</t>
  </si>
  <si>
    <t>・最終ログインから30日以内 
→11692人
雇用形態：契約社員紹介予定派遣・派遣アルバイト・パート</t>
  </si>
  <si>
    <t>職種未経験OK
キーワード：デビュー
正社員</t>
  </si>
  <si>
    <t>一般事務・営業アシスタント×未経験歓迎_希望</t>
  </si>
  <si>
    <t>未経験OK！一般事務・営業アシスタントの正社員求人 - 女の転職type</t>
  </si>
  <si>
    <t xml:space="preserve">こんにちは、女の転職type編集部です。
本日お届けするのは、大人気の【一般事務・営業アシスタント】×【未経験OK】の求人です！
どの求人も応募定員に達すると掲載が終わってしまうので、
気になる求人はぜひ早めにチェックしてくださいね！
━━━━━━━━━━━━━━━━━━━━━━
【一般事務・営業アシスタント】×【未経験OK】の求人
━━━━━━━━━━━━━━━━━━━━━━
（■COM_NAME■）
▼■OFF_NAME■
■OFF_CATCHCOPY■
-------------------------------
給与：■OFF_SALARY■
勤務地：■OFF_PLACE■
■OFF_URL■?utm_source=adm&amp;utm_medium=email&amp;utm_campaign=uki_adm_199&amp;routeway=85
※掲載が終了している場合や条件に合わない場合は何卒ご了承ください。
◆転職活動をお手伝い！便利機能のご紹介
━━━━━━━━━━━━━━━★━
内定獲得者は平均７社に応募しています。
ちょっと多い…と感じた方も大丈夫！
自身の希望や経験にあった求人探しをお手伝いする便利機能をご紹介！
▼「スカウト」
あなたに興味を持った企業から応募依頼が届く！「面接確約」などの特別待遇が受けられる場合も！
https://woman-type.jp/scout/?utm_source=adm_temp&amp;utm_medium=email&amp;utm_campaign=uki_adm_temp3&amp;routeway=85
☆WEB履歴書から『職務内容』を登録しておくと、あなたの経験にあうスカウトが届きやすくなります。
↓↓スマホならテンプレートで簡単登録！
https://woman-type.jp/mypage/history/?utm_source=adm_temp&amp;utm_medium=email&amp;utm_campaign=uki_adm_temp2&amp;routeway=85#job-description
▼選考通過する可能性が高い求人を編集部がピックアップ！
「あなたに関心のある企業」
https://woman-type.jp/matching/?utm_source=adm_temp&amp;utm_medium=email&amp;utm_campaign=uki_adm_temp3&amp;routeway=85
▼「女の転職typeアプリ」のインストールはお済みですか？
希望条件をもとに「あなたにおすすめの求人」をピックアップ！
求人検索やメッセージ管理もアプリならラクラク♪
◎女の転職typeのスマホアプリ（無料）
https://woman-type.onelink.me/MoBt/gztauco9
---------------------------------
※本メールは送信専用アドレスです。ご返信ができませんのでご注意ください。
≫ よくある質問
https://woman-type.jp/s/support/?utm_source=adm_temp&amp;utm_medium=email&amp;utm_campaign=uki_adm_temp4&amp;routeway=85
---------------------------------
</t>
  </si>
  <si>
    <t xml:space="preserve">経験職種：一般事務・営業事務、営業アシスタント経験者以外
希望職種：一般事務（ 興味がある 少し ）・営業事務、営業アシスタント（  興味がある  少し  ）
最終ログイン日からの経過日数を指定：ログイン40日
</t>
  </si>
  <si>
    <t>検索種別A-自動求人特集
1954 未経験OK！一般事務・営業アシスタントの正社員求人
319社</t>
  </si>
  <si>
    <t>&gt;2024/02/22　メールサーバー負荷を下げるために、大量配信の商品系メルマガの通数を見直した</t>
  </si>
  <si>
    <t>応募
（1配信あたり）</t>
  </si>
  <si>
    <t>変更前（設定）</t>
  </si>
  <si>
    <t>変更前
（通数）</t>
  </si>
  <si>
    <t>変更後（設定）</t>
  </si>
  <si>
    <t>変更後
（通数）</t>
  </si>
  <si>
    <t>5~7</t>
  </si>
  <si>
    <t>レジュメ更新日360日以内</t>
  </si>
  <si>
    <t>11万通</t>
  </si>
  <si>
    <t>レジュメ更新日180日以内</t>
  </si>
  <si>
    <t>7万通</t>
  </si>
  <si>
    <r>
      <rPr/>
      <t xml:space="preserve">→メディマップの営業資料に配信通数記載あり
</t>
    </r>
    <r>
      <rPr>
        <color rgb="FF1155CC"/>
        <u/>
      </rPr>
      <t>https://drive.google.com/drive/folders/1xCE0OLYDmi25JpGRmLxNm5hjiFvriGKJ</t>
    </r>
  </si>
  <si>
    <t>現住所：一都三県
入会時期：2017/08/01～現在</t>
  </si>
  <si>
    <t>16万通</t>
  </si>
  <si>
    <r>
      <rPr>
        <rFont val="&quot;Noto Sans JP&quot;, Arial"/>
      </rPr>
      <t xml:space="preserve">現住所：一都三県
</t>
    </r>
    <r>
      <rPr>
        <rFont val="&quot;Noto Sans JP&quot;, Arial"/>
        <color rgb="FFFF0000"/>
      </rPr>
      <t>最終ログイン180日以内</t>
    </r>
  </si>
  <si>
    <t>5万通</t>
  </si>
  <si>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</si>
  <si>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t>年齢：～34歳</t>
  </si>
  <si>
    <r>
      <rPr>
        <rFont val="&quot;Noto Sans JP&quot;, Arial"/>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</si>
  <si>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</si>
  <si>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t>現住所：一都三県</t>
  </si>
  <si>
    <r>
      <rPr>
        <rFont val="&quot;Noto Sans JP&quot;, Arial"/>
      </rPr>
      <t xml:space="preserve">現住所：一都三県
</t>
    </r>
    <r>
      <rPr>
        <rFont val="&quot;Noto Sans JP&quot;, Arial"/>
        <color rgb="FFFF0000"/>
      </rPr>
      <t>最終ログイン180日以内</t>
    </r>
  </si>
  <si>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</si>
  <si>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t>★求人特集(35歳未満）B</t>
  </si>
  <si>
    <r>
      <rPr>
        <rFont val="&quot;Noto Sans JP&quot;, Arial"/>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</si>
  <si>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</si>
  <si>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t>最終ログイン180日以内</t>
  </si>
  <si>
    <t>10万通</t>
  </si>
  <si>
    <r>
      <rPr/>
      <t xml:space="preserve">→メディマップの質問コーナーに記載あり
</t>
    </r>
    <r>
      <rPr>
        <color rgb="FF1155CC"/>
        <u/>
      </rPr>
      <t>https://docs.google.com/spreadsheets/d/16xGmrj4EBxZTHMVN-c2ydDDdMCW_s04mJYApUP3wRSY/edit#gid=1230167073</t>
    </r>
  </si>
  <si>
    <t>15~20</t>
  </si>
  <si>
    <t>年齢：～45歳
新規会員登録日経過820日以内</t>
  </si>
  <si>
    <r>
      <rPr>
        <rFont val="&quot;Noto Sans JP&quot;, Arial"/>
      </rPr>
      <t xml:space="preserve">年齢：～45歳
</t>
    </r>
    <r>
      <rPr>
        <rFont val="&quot;Noto Sans JP&quot;, Arial"/>
        <color rgb="FFFF0000"/>
      </rPr>
      <t>レジュメ更新日180日以内</t>
    </r>
  </si>
  <si>
    <t>6万通</t>
  </si>
  <si>
    <t>ITH事業部より入稿
→第2・第4日曜に配信</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</si>
</sst>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quot;/&quot;d&quot;(&quot;ddd)"/>
    <numFmt numFmtId="165" formatCode="m&quot;月&quot;d&quot;日&quot;"/>
    <numFmt numFmtId="166" formatCode="yyyy/mm/dd"/>
    <numFmt numFmtId="167" formatCode="yyyy/MM/dd"/>
    <numFmt numFmtId="168" formatCode="ddd"/>
    <numFmt numFmtId="169" formatCode="yyyy&quot;/&quot;m&quot;/&quot;d&quot;(&quot;ddd&quot;)&quot;"/>
    <numFmt numFmtId="170" formatCode="m&quot;/&quot;d&quot;(&quot;ddd&quot;)&quot;"/>
    <numFmt numFmtId="171" formatCode="m&quot;/&quot;d&quot;(&quot;ddd&quot;)&quot;yyyy"/>
    <numFmt numFmtId="172" formatCode="yyyy/m/d"/>
    <numFmt numFmtId="173" formatCode="yyyy年m月"/>
    <numFmt numFmtId="174" formatCode="m/d"/>
  </numFmts>
  <fonts count="139">
    <font>
      <sz val="10.0"/>
      <color rgb="FF000000"/>
      <name val="Arial"/>
    </font>
    <font>
      <sz val="8.0"/>
      <color rgb="FFFFFFFF"/>
    </font>
    <font>
      <b/>
      <sz val="8.0"/>
      <color rgb="FFFFFFFF"/>
      <name val="Arial"/>
    </font>
    <font>
      <sz val="8.0"/>
      <name val="Arial"/>
    </font>
    <font>
      <u/>
      <sz val="8.0"/>
      <color rgb="FF0000FF"/>
      <name val="Arial"/>
    </font>
    <font>
      <sz val="8.0"/>
    </font>
    <font>
      <u/>
      <sz val="8.0"/>
      <color rgb="FF0000FF"/>
      <name val="Arial"/>
    </font>
    <font/>
    <font>
      <sz val="11.0"/>
      <color rgb="FF1F1F1F"/>
      <name val="&quot;Google Sans&quot;"/>
    </font>
    <font>
      <u/>
      <color rgb="FF0000FF"/>
    </font>
    <font>
      <sz val="8.0"/>
      <color rgb="FF000000"/>
      <name val="Arial"/>
    </font>
    <font>
      <u/>
      <sz val="8.0"/>
      <color rgb="FF0000FF"/>
      <name val="Arial"/>
    </font>
    <font>
      <sz val="8.0"/>
      <color rgb="FF000000"/>
    </font>
    <font>
      <sz val="8.0"/>
      <color rgb="FF000000"/>
      <name val="&quot;ＭＳ Ｐゴシック&quot;"/>
    </font>
    <font>
      <u/>
      <sz val="8.0"/>
      <color rgb="FF0000FF"/>
      <name val="Arial"/>
    </font>
    <font>
      <sz val="8.0"/>
      <color rgb="FF000000"/>
      <name val="Roboto"/>
    </font>
    <font>
      <name val="Arial"/>
    </font>
    <font>
      <u/>
      <sz val="8.0"/>
      <color rgb="FF000000"/>
      <name val="Arial"/>
    </font>
    <font>
      <u/>
      <sz val="8.0"/>
      <color rgb="FF0000FF"/>
    </font>
    <font>
      <u/>
      <sz val="8.0"/>
      <color rgb="FF0000FF"/>
      <name val="Arial"/>
    </font>
    <font>
      <u/>
      <sz val="8.0"/>
      <color rgb="FF0000FF"/>
      <name val="Arial"/>
    </font>
    <font>
      <u/>
      <sz val="8.0"/>
      <color rgb="FF0000FF"/>
      <name val="Arial"/>
    </font>
    <font>
      <sz val="9.0"/>
    </font>
    <font>
      <b/>
      <sz val="9.0"/>
      <color rgb="FF000000"/>
      <name val="メイリオ"/>
    </font>
    <font>
      <sz val="9.0"/>
      <color rgb="FF000000"/>
      <name val="メイリオ"/>
    </font>
    <font>
      <sz val="9.0"/>
      <name val="Arial"/>
    </font>
    <font>
      <sz val="9.0"/>
      <color rgb="FFFF9900"/>
      <name val="メイリオ"/>
    </font>
    <font>
      <sz val="9.0"/>
      <color rgb="FFFF9900"/>
      <name val="Arial"/>
    </font>
    <font>
      <b/>
      <sz val="18.0"/>
      <color rgb="FFFFFFFF"/>
      <name val="Arial"/>
    </font>
    <font>
      <b/>
      <name val="Arial"/>
    </font>
    <font>
      <color rgb="FF0000FF"/>
      <name val="Arial"/>
    </font>
    <font>
      <sz val="10.0"/>
      <color rgb="FF0000FF"/>
      <name val="Arial"/>
    </font>
    <font>
      <sz val="10.0"/>
      <name val="Arial"/>
    </font>
    <font>
      <sz val="10.0"/>
    </font>
    <font>
      <sz val="10.0"/>
      <color rgb="FF222222"/>
      <name val="Arial"/>
    </font>
    <font>
      <u/>
      <color rgb="FF0000FF"/>
      <name val="Arial"/>
    </font>
    <font>
      <u/>
      <color rgb="FF0000FF"/>
      <name val="Arial"/>
    </font>
    <font>
      <u/>
      <color rgb="FF0000FF"/>
      <name val="Arial"/>
    </font>
    <font>
      <u/>
      <color rgb="FF0000FF"/>
      <name val="Arial"/>
    </font>
    <font>
      <u/>
      <sz val="8.0"/>
      <color rgb="FF999999"/>
      <name val="Arial"/>
    </font>
    <font>
      <u/>
      <color rgb="FF0000FF"/>
      <name val="Arial"/>
    </font>
    <font>
      <sz val="11.0"/>
      <name val="Arial"/>
    </font>
    <font>
      <color rgb="FF0000FF"/>
    </font>
    <font>
      <u/>
      <color rgb="FF0000FF"/>
      <name val="Arial"/>
    </font>
    <font>
      <u/>
      <color rgb="FF0000FF"/>
      <name val="Arial"/>
    </font>
    <font>
      <color rgb="FF222222"/>
      <name val="Arial"/>
    </font>
    <font>
      <u/>
      <color rgb="FF0000FF"/>
      <name val="Arial"/>
    </font>
    <font>
      <b/>
      <sz val="12.0"/>
      <color rgb="FFFFFFFF"/>
    </font>
    <font>
      <color rgb="FFFFFFFF"/>
    </font>
    <font>
      <color rgb="FF000000"/>
    </font>
    <font>
      <b/>
      <u/>
      <color rgb="FF0000FF"/>
    </font>
    <font>
      <b/>
    </font>
    <font>
      <b/>
      <color rgb="FFFFFFFF"/>
    </font>
    <font>
      <sz val="6.0"/>
    </font>
    <font>
      <color rgb="FF000000"/>
      <name val="Arial"/>
    </font>
    <font>
      <color rgb="FFFF0000"/>
    </font>
    <font>
      <color rgb="FFFF0000"/>
      <name val="Arial"/>
    </font>
    <font>
      <u/>
      <sz val="9.0"/>
      <color rgb="FF0000FF"/>
    </font>
    <font>
      <color rgb="FFFF0000"/>
      <name val="Meiryo"/>
    </font>
    <font>
      <color rgb="FF000000"/>
      <name val="Meiryo"/>
    </font>
    <font>
      <name val="Meiryo"/>
    </font>
    <font>
      <sz val="9.0"/>
      <name val="Meiryo"/>
    </font>
    <font>
      <u/>
      <sz val="9.0"/>
      <color rgb="FF0000FF"/>
    </font>
    <font>
      <sz val="10.0"/>
      <color rgb="FF000000"/>
      <name val="Meiryo"/>
    </font>
    <font>
      <sz val="10.0"/>
      <color rgb="FFFF0000"/>
      <name val="Meiryo"/>
    </font>
    <font>
      <sz val="10.0"/>
      <name val="Meiryo"/>
    </font>
    <font>
      <u/>
      <sz val="9.0"/>
      <color rgb="FF0000FF"/>
      <name val="Arial"/>
    </font>
    <font>
      <u/>
      <sz val="9.0"/>
      <color rgb="FF0000FF"/>
      <name val="Arial"/>
    </font>
    <font>
      <u/>
      <sz val="9.0"/>
      <color rgb="FF0000FF"/>
      <name val="Arial"/>
    </font>
    <font>
      <u/>
      <sz val="9.0"/>
      <color rgb="FF0000FF"/>
      <name val="Arial"/>
    </font>
    <font>
      <u/>
      <sz val="9.0"/>
      <color rgb="FF0000FF"/>
      <name val="Meiryo"/>
    </font>
    <font>
      <sz val="11.0"/>
      <color rgb="FF000000"/>
      <name val="Inconsolata"/>
    </font>
    <font>
      <u/>
      <color rgb="FF1155CC"/>
    </font>
    <font>
      <u/>
      <color rgb="FF222222"/>
      <name val="Arial"/>
    </font>
    <font>
      <u/>
      <color rgb="FF1155CC"/>
      <name val="Arial"/>
    </font>
    <font>
      <u/>
      <color rgb="FF0000FF"/>
    </font>
    <font>
      <u/>
      <color rgb="FF222222"/>
      <name val="Arial"/>
    </font>
    <font>
      <b/>
      <color rgb="FF222222"/>
      <name val="Arial"/>
    </font>
    <font>
      <b/>
      <color rgb="FFF4295C"/>
    </font>
    <font>
      <b/>
      <color rgb="FFFF0000"/>
      <name val="Arial"/>
    </font>
    <font>
      <sz val="12.0"/>
    </font>
    <font>
      <b/>
      <color rgb="FFFF0000"/>
    </font>
    <font>
      <u/>
      <color rgb="FF0000FF"/>
    </font>
    <font>
      <b/>
      <color rgb="FFFF00FF"/>
    </font>
    <font>
      <color rgb="FFFF00FF"/>
      <name val="Arial"/>
    </font>
    <font>
      <color rgb="FFFF00FF"/>
    </font>
    <font>
      <u/>
      <color rgb="FFFF00FF"/>
    </font>
    <font>
      <color rgb="FF008000"/>
      <name val="Arial"/>
    </font>
    <font>
      <color rgb="FF008000"/>
    </font>
    <font>
      <color rgb="FF9900FF"/>
    </font>
    <font>
      <u/>
      <sz val="10.0"/>
      <color rgb="FF0000FF"/>
    </font>
    <font>
      <u/>
      <sz val="10.0"/>
      <color rgb="FF0000FF"/>
      <name val="Arial"/>
    </font>
    <font>
      <u/>
      <color rgb="FF0000FF"/>
      <name val="Arial"/>
    </font>
    <font>
      <sz val="10.0"/>
      <color rgb="FFFF0000"/>
      <name val="Arial"/>
    </font>
    <font>
      <sz val="10.0"/>
      <color rgb="FFFF0000"/>
    </font>
    <font>
      <u/>
      <sz val="10.0"/>
      <color rgb="FF0000FF"/>
      <name val="Arial"/>
    </font>
    <font>
      <sz val="10.0"/>
      <color rgb="FF000000"/>
    </font>
    <font>
      <u/>
      <sz val="10.0"/>
      <color rgb="FF0000FF"/>
      <name val="Arial"/>
    </font>
    <font>
      <u/>
      <color rgb="FF1155CC"/>
      <name val="Arial"/>
    </font>
    <font>
      <u/>
      <color rgb="FF1155CC"/>
      <name val="Arial"/>
    </font>
    <font>
      <u/>
      <color rgb="FF000000"/>
    </font>
    <font>
      <u/>
      <color rgb="FF000000"/>
    </font>
    <font>
      <u/>
      <color rgb="FF1155CC"/>
      <name val="Arial"/>
    </font>
    <font>
      <u/>
      <color rgb="FF1155CC"/>
      <name val="Arial"/>
    </font>
    <font>
      <u/>
      <color rgb="FF1155CC"/>
      <name val="Arial"/>
    </font>
    <font>
      <u/>
      <color rgb="FF1155CC"/>
      <name val="Arial"/>
    </font>
    <font>
      <u/>
      <sz val="8.0"/>
      <color rgb="FF1155CC"/>
      <name val="Arial"/>
    </font>
    <font>
      <u/>
      <sz val="8.0"/>
      <color rgb="FF1155CC"/>
      <name val="Arial"/>
    </font>
    <font>
      <u/>
      <sz val="10.0"/>
      <color rgb="FF0000FF"/>
      <name val="Arial"/>
    </font>
    <font>
      <u/>
      <sz val="8.0"/>
      <color rgb="FF0000FF"/>
      <name val="Arial"/>
    </font>
    <font>
      <u/>
      <sz val="8.0"/>
      <color rgb="FF0000FF"/>
      <name val="Arial"/>
    </font>
    <font>
      <u/>
      <sz val="8.0"/>
      <color rgb="FF0000FF"/>
      <name val="Arial"/>
    </font>
    <font>
      <u/>
      <sz val="8.0"/>
      <color rgb="FF0000FF"/>
      <name val="Arial"/>
    </font>
    <font>
      <u/>
      <sz val="8.0"/>
      <color rgb="FF0000FF"/>
      <name val="Arial"/>
    </font>
    <font>
      <b/>
      <color rgb="FF000000"/>
      <name val="Arial"/>
    </font>
    <font>
      <b/>
      <sz val="10.0"/>
      <color rgb="FF000000"/>
      <name val="Arial"/>
    </font>
    <font>
      <u/>
      <sz val="10.0"/>
      <color rgb="FF0000FF"/>
      <name val="Arial"/>
    </font>
    <font>
      <b/>
      <sz val="10.0"/>
      <color rgb="FFFF0000"/>
      <name val="Arial"/>
    </font>
    <font>
      <u/>
      <sz val="10.0"/>
      <color rgb="FF0000FF"/>
      <name val="Arial"/>
    </font>
    <font>
      <u/>
      <sz val="10.0"/>
      <color rgb="FF0000FF"/>
    </font>
    <font>
      <u/>
      <sz val="10.0"/>
      <color rgb="FF0000FF"/>
      <name val="Arial"/>
    </font>
    <font>
      <u/>
      <sz val="10.0"/>
      <color rgb="FF0000FF"/>
      <name val="Arial"/>
    </font>
    <font>
      <u/>
      <sz val="10.0"/>
      <color rgb="FF0000FF"/>
      <name val="Arial"/>
    </font>
    <font>
      <u/>
      <sz val="10.0"/>
      <color rgb="FF0000FF"/>
      <name val="Arial"/>
    </font>
    <font>
      <u/>
      <sz val="10.0"/>
      <color rgb="FF0000FF"/>
      <name val="Arial"/>
    </font>
    <font>
      <u/>
      <sz val="10.0"/>
      <color rgb="FF0000FF"/>
      <name val="Arial"/>
    </font>
    <font>
      <u/>
      <sz val="10.0"/>
      <color rgb="FF0000FF"/>
      <name val="Arial"/>
    </font>
    <font>
      <u/>
      <sz val="10.0"/>
      <color rgb="FF0000FF"/>
      <name val="Arial"/>
    </font>
    <font>
      <b/>
      <sz val="10.0"/>
      <color rgb="FFFF0000"/>
    </font>
    <font>
      <u/>
      <sz val="10.0"/>
      <color rgb="FF0000FF"/>
      <name val="Arial"/>
    </font>
    <font>
      <b/>
      <name val="Noto Sans JP"/>
    </font>
    <font>
      <b/>
      <u/>
      <color rgb="FF0000FF"/>
      <name val="Noto Sans JP"/>
    </font>
    <font>
      <b/>
      <sz val="9.0"/>
      <color rgb="FF1F1F1F"/>
      <name val="Noto Sans JP"/>
    </font>
    <font>
      <name val="Noto Sans JP"/>
    </font>
    <font>
      <u/>
      <color rgb="FF0000FF"/>
      <name val="Noto Sans JP"/>
    </font>
    <font>
      <color rgb="FFFFFFFF"/>
      <name val="&quot;Noto Sans JP&quot;"/>
    </font>
    <font>
      <name val="&quot;Noto Sans JP&quot;"/>
    </font>
    <font>
      <color rgb="FFFF0000"/>
      <name val="&quot;Noto Sans JP&quot;"/>
    </font>
    <font>
      <u/>
      <color rgb="FF0000FF"/>
    </font>
  </fonts>
  <fills count="36">
    <fill>
      <patternFill patternType="none"/>
    </fill>
    <fill>
      <patternFill patternType="lightGray"/>
    </fill>
    <fill>
      <patternFill patternType="solid">
        <fgColor rgb="FFD82035"/>
        <bgColor rgb="FFD82035"/>
      </patternFill>
    </fill>
    <fill>
      <patternFill patternType="solid">
        <fgColor rgb="FF008000"/>
        <bgColor rgb="FF008000"/>
      </patternFill>
    </fill>
    <fill>
      <patternFill patternType="solid">
        <fgColor rgb="FFFFFFFF"/>
        <bgColor rgb="FFFFFFFF"/>
      </patternFill>
    </fill>
    <fill>
      <patternFill patternType="solid">
        <fgColor rgb="FFFF0000"/>
        <bgColor rgb="FFFF0000"/>
      </patternFill>
    </fill>
    <fill>
      <patternFill patternType="solid">
        <fgColor rgb="FF999999"/>
        <bgColor rgb="FF999999"/>
      </patternFill>
    </fill>
    <fill>
      <patternFill patternType="solid">
        <fgColor rgb="FF00FFFF"/>
        <bgColor rgb="FF00FFFF"/>
      </patternFill>
    </fill>
    <fill>
      <patternFill patternType="solid">
        <fgColor rgb="FF93C47D"/>
        <bgColor rgb="FF93C47D"/>
      </patternFill>
    </fill>
    <fill>
      <patternFill patternType="solid">
        <fgColor rgb="FFCFE2F3"/>
        <bgColor rgb="FFCFE2F3"/>
      </patternFill>
    </fill>
    <fill>
      <patternFill patternType="solid">
        <fgColor rgb="FFDDEBF7"/>
        <bgColor rgb="FFDDEBF7"/>
      </patternFill>
    </fill>
    <fill>
      <patternFill patternType="solid">
        <fgColor rgb="FFFCE5CD"/>
        <bgColor rgb="FFFCE5CD"/>
      </patternFill>
    </fill>
    <fill>
      <patternFill patternType="solid">
        <fgColor rgb="FFF4CCCC"/>
        <bgColor rgb="FFF4CCCC"/>
      </patternFill>
    </fill>
    <fill>
      <patternFill patternType="solid">
        <fgColor rgb="FFFFE1F6"/>
        <bgColor rgb="FFFFE1F6"/>
      </patternFill>
    </fill>
    <fill>
      <patternFill patternType="solid">
        <fgColor rgb="FFD5D0D0"/>
        <bgColor rgb="FFD5D0D0"/>
      </patternFill>
    </fill>
    <fill>
      <patternFill patternType="solid">
        <fgColor rgb="FFEFEFEF"/>
        <bgColor rgb="FFEFEFEF"/>
      </patternFill>
    </fill>
    <fill>
      <patternFill patternType="solid">
        <fgColor rgb="FFF3F3F3"/>
        <bgColor rgb="FFF3F3F3"/>
      </patternFill>
    </fill>
    <fill>
      <patternFill patternType="solid">
        <fgColor rgb="FFFFDADF"/>
        <bgColor rgb="FFFFDADF"/>
      </patternFill>
    </fill>
    <fill>
      <patternFill patternType="solid">
        <fgColor rgb="FFFFF2CC"/>
        <bgColor rgb="FFFFF2CC"/>
      </patternFill>
    </fill>
    <fill>
      <patternFill patternType="solid">
        <fgColor rgb="FF000000"/>
        <bgColor rgb="FF000000"/>
      </patternFill>
    </fill>
    <fill>
      <patternFill patternType="solid">
        <fgColor rgb="FFB7B7B7"/>
        <bgColor rgb="FFB7B7B7"/>
      </patternFill>
    </fill>
    <fill>
      <patternFill patternType="solid">
        <fgColor rgb="FFFFFF00"/>
        <bgColor rgb="FFFFFF00"/>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rgb="FFD9D2E9"/>
        <bgColor rgb="FFD9D2E9"/>
      </patternFill>
    </fill>
    <fill>
      <patternFill patternType="solid">
        <fgColor rgb="FFFF00FF"/>
        <bgColor rgb="FFFF00FF"/>
      </patternFill>
    </fill>
    <fill>
      <patternFill patternType="solid">
        <fgColor rgb="FF00FF00"/>
        <bgColor rgb="FF00FF00"/>
      </patternFill>
    </fill>
    <fill>
      <patternFill patternType="solid">
        <fgColor rgb="FFFF9900"/>
        <bgColor rgb="FFFF9900"/>
      </patternFill>
    </fill>
    <fill>
      <patternFill patternType="solid">
        <fgColor rgb="FF9900FF"/>
        <bgColor rgb="FF9900FF"/>
      </patternFill>
    </fill>
    <fill>
      <patternFill patternType="solid">
        <fgColor rgb="FF4A86E8"/>
        <bgColor rgb="FF4A86E8"/>
      </patternFill>
    </fill>
    <fill>
      <patternFill patternType="solid">
        <fgColor rgb="FFB4A7D6"/>
        <bgColor rgb="FFB4A7D6"/>
      </patternFill>
    </fill>
    <fill>
      <patternFill patternType="solid">
        <fgColor rgb="FFCCCCCC"/>
        <bgColor rgb="FFCCCCCC"/>
      </patternFill>
    </fill>
    <fill>
      <patternFill patternType="solid">
        <fgColor rgb="FFFCCDF1"/>
        <bgColor rgb="FFFCCDF1"/>
      </patternFill>
    </fill>
    <fill>
      <patternFill patternType="solid">
        <fgColor rgb="FF434343"/>
        <bgColor rgb="FF434343"/>
      </patternFill>
    </fill>
    <fill>
      <patternFill patternType="solid">
        <fgColor rgb="FFE06666"/>
        <bgColor rgb="FFE06666"/>
      </patternFill>
    </fill>
  </fills>
  <borders count="79">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bottom style="thin">
        <color rgb="FF000000"/>
      </bottom>
    </border>
    <border>
      <left style="thin">
        <color rgb="FF000000"/>
      </left>
      <right style="thin">
        <color rgb="FF000000"/>
      </right>
      <top style="thin">
        <color rgb="FF000000"/>
      </top>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top style="medium">
        <color rgb="FF000000"/>
      </top>
      <bottom style="medium">
        <color rgb="FF000000"/>
      </bottom>
    </border>
    <border>
      <right style="thin">
        <color rgb="FF000000"/>
      </right>
      <top style="medium">
        <color rgb="FF000000"/>
      </top>
      <bottom style="medium">
        <color rgb="FF000000"/>
      </bottom>
    </border>
    <border>
      <right style="thin">
        <color rgb="FF000000"/>
      </right>
    </border>
    <border>
      <left style="thin">
        <color rgb="FF000000"/>
      </left>
    </border>
    <border>
      <left style="medium">
        <color rgb="FF000000"/>
      </left>
      <right style="thin">
        <color rgb="FF000000"/>
      </right>
    </border>
    <border>
      <left style="thin">
        <color rgb="FF000000"/>
      </left>
      <right style="medium">
        <color rgb="FF000000"/>
      </right>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bottom style="medium">
        <color rgb="FF000000"/>
      </bottom>
    </border>
    <border>
      <left style="medium">
        <color rgb="FF000000"/>
      </left>
      <right style="medium">
        <color rgb="FF000000"/>
      </right>
      <top style="medium">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medium">
        <color rgb="FF000000"/>
      </left>
      <right style="medium">
        <color rgb="FF000000"/>
      </right>
      <bottom style="thin">
        <color rgb="FF000000"/>
      </bottom>
    </border>
    <border>
      <left style="medium">
        <color rgb="FF000000"/>
      </left>
      <top style="medium">
        <color rgb="FF000000"/>
      </top>
    </border>
    <border>
      <right style="medium">
        <color rgb="FF000000"/>
      </right>
      <bottom style="thin">
        <color rgb="FF000000"/>
      </bottom>
    </border>
    <border>
      <left style="medium">
        <color rgb="FF000000"/>
      </left>
      <right style="medium">
        <color rgb="FF000000"/>
      </right>
    </border>
    <border>
      <left style="thin">
        <color rgb="FF000000"/>
      </left>
      <right style="medium">
        <color rgb="FF000000"/>
      </right>
      <top style="thin">
        <color rgb="FF000000"/>
      </top>
      <bottom style="thin">
        <color rgb="FF000000"/>
      </bottom>
    </border>
    <border>
      <left style="medium">
        <color rgb="FF000000"/>
      </left>
    </border>
    <border>
      <left style="medium">
        <color rgb="FF000000"/>
      </left>
      <right style="medium">
        <color rgb="FF000000"/>
      </righ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right style="thin">
        <color rgb="FF000000"/>
      </right>
      <top style="thin">
        <color rgb="FF000000"/>
      </top>
      <bottom style="medium">
        <color rgb="FF000000"/>
      </bottom>
    </border>
    <border>
      <left style="medium">
        <color rgb="FF000000"/>
      </left>
      <right style="medium">
        <color rgb="FF000000"/>
      </right>
      <top style="thin">
        <color rgb="FF000000"/>
      </top>
      <bottom style="medium">
        <color rgb="FF000000"/>
      </bottom>
    </border>
    <border>
      <left style="medium">
        <color rgb="FF000000"/>
      </left>
      <bottom style="medium">
        <color rgb="FF000000"/>
      </bottom>
    </border>
    <border>
      <left style="thin">
        <color rgb="FF000000"/>
      </left>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medium">
        <color rgb="FF000000"/>
      </left>
      <top style="thin">
        <color rgb="FF000000"/>
      </top>
      <bottom style="thin">
        <color rgb="FF000000"/>
      </bottom>
    </border>
    <border>
      <left style="medium">
        <color rgb="FF000000"/>
      </left>
      <right style="medium">
        <color rgb="FF000000"/>
      </right>
      <top style="thin">
        <color rgb="FF000000"/>
      </top>
    </border>
    <border>
      <right style="thick">
        <color rgb="FF000000"/>
      </right>
      <bottom style="thin">
        <color rgb="FF000000"/>
      </bottom>
    </border>
    <border>
      <right style="thick">
        <color rgb="FF000000"/>
      </right>
      <top style="thin">
        <color rgb="FF000000"/>
      </top>
      <bottom style="thin">
        <color rgb="FF000000"/>
      </bottom>
    </border>
    <border>
      <right style="medium">
        <color rgb="FF000000"/>
      </right>
      <top style="thin">
        <color rgb="FF000000"/>
      </top>
    </border>
    <border>
      <right style="medium">
        <color rgb="FF000000"/>
      </right>
    </border>
    <border>
      <right style="thin">
        <color rgb="FF000000"/>
      </right>
      <top style="thin">
        <color rgb="FF000000"/>
      </top>
    </border>
    <border>
      <left style="thin">
        <color rgb="FF000000"/>
      </left>
      <top style="thin">
        <color rgb="FF000000"/>
      </top>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thin">
        <color rgb="FF000000"/>
      </left>
      <top style="thin">
        <color rgb="FF000000"/>
      </top>
      <bottom style="medium">
        <color rgb="FF000000"/>
      </bottom>
    </border>
    <border>
      <right style="medium">
        <color rgb="FF000000"/>
      </right>
      <top style="thin">
        <color rgb="FF000000"/>
      </top>
      <bottom style="medium">
        <color rgb="FF000000"/>
      </bottom>
    </border>
    <border>
      <left style="medium">
        <color rgb="FF000000"/>
      </left>
      <right style="medium">
        <color rgb="FF000000"/>
      </right>
      <top style="thin">
        <color rgb="FF000000"/>
      </top>
      <bottom style="thick">
        <color rgb="FF000000"/>
      </bottom>
    </border>
    <border>
      <right style="thin">
        <color rgb="FF000000"/>
      </right>
      <bottom style="medium">
        <color rgb="FF000000"/>
      </bottom>
    </border>
    <border>
      <left style="thin">
        <color rgb="FF000000"/>
      </left>
      <bottom style="medium">
        <color rgb="FF000000"/>
      </bottom>
    </border>
    <border>
      <left style="medium">
        <color rgb="FF000000"/>
      </left>
      <right style="thin">
        <color rgb="FF000000"/>
      </right>
      <bottom style="medium">
        <color rgb="FF000000"/>
      </bottom>
    </border>
    <border>
      <left style="thin">
        <color rgb="FF000000"/>
      </left>
      <right style="medium">
        <color rgb="FF000000"/>
      </right>
      <bottom style="medium">
        <color rgb="FF000000"/>
      </bottom>
    </border>
    <border>
      <left style="medium">
        <color rgb="FF000000"/>
      </left>
      <bottom style="thin">
        <color rgb="FF000000"/>
      </bottom>
    </border>
    <border>
      <right style="medium">
        <color rgb="FF000000"/>
      </right>
      <bottom style="medium">
        <color rgb="FF000000"/>
      </bottom>
    </border>
    <border>
      <left style="medium">
        <color rgb="FF000000"/>
      </left>
      <right style="medium">
        <color rgb="FF000000"/>
      </right>
      <top style="medium">
        <color rgb="FF000000"/>
      </top>
      <bottom style="thin">
        <color rgb="FF000000"/>
      </bottom>
    </border>
    <border>
      <left style="thin">
        <color rgb="FF000000"/>
      </left>
      <right style="thin">
        <color rgb="FF000000"/>
      </right>
      <top style="thin">
        <color rgb="FF000000"/>
      </top>
      <bottom style="double">
        <color rgb="FF000000"/>
      </bottom>
    </border>
    <border>
      <right/>
      <bottom style="thin">
        <color rgb="FF000000"/>
      </bottom>
    </border>
    <border>
      <left style="thin">
        <color rgb="FF000000"/>
      </left>
      <right style="thin">
        <color rgb="FF000000"/>
      </right>
      <bottom style="double">
        <color rgb="FF000000"/>
      </bottom>
    </border>
    <border>
      <right style="thin">
        <color rgb="FF000000"/>
      </right>
      <bottom style="double">
        <color rgb="FF000000"/>
      </bottom>
    </border>
    <border>
      <right/>
    </border>
    <border>
      <left style="thin">
        <color rgb="FF000000"/>
      </left>
      <right style="thin">
        <color rgb="FF000000"/>
      </right>
    </border>
    <border>
      <right style="thin">
        <color rgb="FF000000"/>
      </right>
      <top style="thin">
        <color rgb="FF000000"/>
      </top>
      <bottom style="double">
        <color rgb="FF000000"/>
      </bottom>
    </border>
    <border>
      <left style="hair">
        <color rgb="FF000000"/>
      </left>
      <right style="hair">
        <color rgb="FF000000"/>
      </right>
      <top style="thin">
        <color rgb="FF000000"/>
      </top>
    </border>
    <border>
      <right style="hair">
        <color rgb="FF000000"/>
      </right>
      <top style="thin">
        <color rgb="FF000000"/>
      </top>
    </border>
    <border>
      <bottom style="double">
        <color rgb="FF000000"/>
      </bottom>
    </border>
    <border>
      <left style="thin">
        <color rgb="FF999999"/>
      </left>
      <right style="thin">
        <color rgb="FF999999"/>
      </right>
      <top style="thin">
        <color rgb="FF999999"/>
      </top>
      <bottom style="thin">
        <color rgb="FF999999"/>
      </bottom>
    </border>
    <border>
      <left style="hair">
        <color rgb="FF000000"/>
      </left>
    </border>
    <border>
      <left style="hair">
        <color rgb="FF000000"/>
      </left>
      <top style="thin">
        <color rgb="FF000000"/>
      </top>
    </border>
    <border>
      <left style="thin">
        <color rgb="FF999999"/>
      </left>
      <right style="thin">
        <color rgb="FF999999"/>
      </right>
      <top style="thin">
        <color rgb="FF999999"/>
      </top>
    </border>
    <border>
      <left style="hair">
        <color rgb="FF000000"/>
      </left>
      <right style="hair">
        <color rgb="FF000000"/>
      </right>
    </border>
    <border>
      <left style="thin">
        <color rgb="FF999999"/>
      </left>
      <right style="thin">
        <color rgb="FF999999"/>
      </right>
      <bottom style="thin">
        <color rgb="FF999999"/>
      </bottom>
    </border>
    <border>
      <bottom style="thin">
        <color rgb="FF666666"/>
      </bottom>
    </border>
    <border>
      <left style="thin">
        <color rgb="FF666666"/>
      </left>
      <right style="thin">
        <color rgb="FF666666"/>
      </right>
      <bottom style="thin">
        <color rgb="FF666666"/>
      </bottom>
    </border>
    <border>
      <right style="thin">
        <color rgb="FF666666"/>
      </right>
      <bottom style="thin">
        <color rgb="FF666666"/>
      </bottom>
    </border>
  </borders>
  <cellStyleXfs count="1">
    <xf borderId="0" fillId="0" fontId="0" numFmtId="0" applyAlignment="1" applyFont="1"/>
  </cellStyleXfs>
  <cellXfs count="849">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1" fillId="2" fontId="2" numFmtId="164" xfId="0" applyAlignment="1" applyBorder="1" applyFont="1" applyNumberFormat="1">
      <alignment horizontal="center" readingOrder="0" shrinkToFit="0" vertical="center" wrapText="0"/>
    </xf>
    <xf borderId="1" fillId="3" fontId="2" numFmtId="164" xfId="0" applyAlignment="1" applyBorder="1" applyFill="1" applyFont="1" applyNumberFormat="1">
      <alignment horizontal="center" readingOrder="0" shrinkToFit="0" vertical="center" wrapText="0"/>
    </xf>
    <xf borderId="1" fillId="2" fontId="2" numFmtId="165" xfId="0" applyAlignment="1" applyBorder="1" applyFont="1" applyNumberFormat="1">
      <alignment horizontal="center" readingOrder="0" shrinkToFit="0" vertical="center" wrapText="0"/>
    </xf>
    <xf borderId="1" fillId="2" fontId="2" numFmtId="0" xfId="0" applyAlignment="1" applyBorder="1" applyFont="1">
      <alignment horizontal="center" readingOrder="0" shrinkToFit="0" vertical="center" wrapText="0"/>
    </xf>
    <xf borderId="1" fillId="2" fontId="2" numFmtId="0" xfId="0" applyAlignment="1" applyBorder="1" applyFont="1">
      <alignment horizontal="center" readingOrder="0" shrinkToFit="0" vertical="center" wrapText="0"/>
    </xf>
    <xf borderId="1" fillId="0" fontId="3" numFmtId="0" xfId="0" applyAlignment="1" applyBorder="1" applyFont="1">
      <alignment horizontal="center" readingOrder="0" shrinkToFit="0" vertical="center" wrapText="0"/>
    </xf>
    <xf borderId="1" fillId="0" fontId="3" numFmtId="0" xfId="0" applyAlignment="1" applyBorder="1" applyFont="1">
      <alignment horizontal="left" readingOrder="0" shrinkToFit="0" vertical="center" wrapText="0"/>
    </xf>
    <xf borderId="1" fillId="0" fontId="3" numFmtId="0" xfId="0" applyAlignment="1" applyBorder="1" applyFont="1">
      <alignment horizontal="left" readingOrder="0" shrinkToFit="0" textRotation="180" vertical="center" wrapText="0"/>
    </xf>
    <xf borderId="1" fillId="0" fontId="3" numFmtId="0" xfId="0" applyAlignment="1" applyBorder="1" applyFont="1">
      <alignment horizontal="left" readingOrder="0" shrinkToFit="0" vertical="center" wrapText="0"/>
    </xf>
    <xf borderId="1" fillId="0" fontId="3" numFmtId="0" xfId="0" applyAlignment="1" applyBorder="1" applyFont="1">
      <alignment horizontal="center" readingOrder="0" shrinkToFit="0" vertical="center" wrapText="0"/>
    </xf>
    <xf borderId="1" fillId="0" fontId="3" numFmtId="0" xfId="0" applyAlignment="1" applyBorder="1" applyFont="1">
      <alignment horizontal="left" readingOrder="0" shrinkToFit="0" vertical="center" wrapText="0"/>
    </xf>
    <xf borderId="1" fillId="0" fontId="3" numFmtId="0" xfId="0" applyAlignment="1" applyBorder="1" applyFont="1">
      <alignment horizontal="center" readingOrder="0" vertical="center"/>
    </xf>
    <xf borderId="1" fillId="4" fontId="3" numFmtId="0" xfId="0" applyAlignment="1" applyBorder="1" applyFill="1" applyFont="1">
      <alignment horizontal="left" readingOrder="0" vertical="center"/>
    </xf>
    <xf borderId="1" fillId="4" fontId="3" numFmtId="0" xfId="0" applyAlignment="1" applyBorder="1" applyFont="1">
      <alignment horizontal="center" readingOrder="0" vertical="center"/>
    </xf>
    <xf borderId="1" fillId="4" fontId="4" numFmtId="0" xfId="0" applyAlignment="1" applyBorder="1" applyFont="1">
      <alignment horizontal="left" readingOrder="0" vertical="center"/>
    </xf>
    <xf borderId="1" fillId="0" fontId="5" numFmtId="0" xfId="0" applyAlignment="1" applyBorder="1" applyFont="1">
      <alignment horizontal="left" vertical="center"/>
    </xf>
    <xf borderId="1" fillId="0" fontId="6" numFmtId="0" xfId="0" applyAlignment="1" applyBorder="1" applyFont="1">
      <alignment horizontal="left" readingOrder="0" shrinkToFit="0" vertical="center" wrapText="0"/>
    </xf>
    <xf borderId="0" fillId="0" fontId="7" numFmtId="0" xfId="0" applyAlignment="1" applyFont="1">
      <alignment readingOrder="0"/>
    </xf>
    <xf borderId="0" fillId="0" fontId="7" numFmtId="0" xfId="0" applyAlignment="1" applyFont="1">
      <alignment horizontal="left" readingOrder="0" shrinkToFit="0" wrapText="0"/>
    </xf>
    <xf borderId="0" fillId="0" fontId="7" numFmtId="0" xfId="0" applyAlignment="1" applyFont="1">
      <alignment horizontal="left" readingOrder="0" shrinkToFit="0" wrapText="1"/>
    </xf>
    <xf borderId="0" fillId="0" fontId="7" numFmtId="0" xfId="0" applyAlignment="1" applyFont="1">
      <alignment shrinkToFit="0" wrapText="0"/>
    </xf>
    <xf borderId="0" fillId="5" fontId="7" numFmtId="0" xfId="0" applyAlignment="1" applyFill="1" applyFont="1">
      <alignment readingOrder="0" shrinkToFit="0" wrapText="0"/>
    </xf>
    <xf borderId="0" fillId="0" fontId="7" numFmtId="0" xfId="0" applyAlignment="1" applyFont="1">
      <alignment readingOrder="0" shrinkToFit="0" wrapText="1"/>
    </xf>
    <xf borderId="0" fillId="0" fontId="7" numFmtId="0" xfId="0" applyAlignment="1" applyFont="1">
      <alignment shrinkToFit="0" wrapText="1"/>
    </xf>
    <xf borderId="0" fillId="0" fontId="7" numFmtId="0" xfId="0" applyAlignment="1" applyFont="1">
      <alignment readingOrder="0" shrinkToFit="0" wrapText="0"/>
    </xf>
    <xf borderId="0" fillId="6" fontId="7" numFmtId="0" xfId="0" applyAlignment="1" applyFill="1" applyFont="1">
      <alignment readingOrder="0" shrinkToFit="0" wrapText="0"/>
    </xf>
    <xf borderId="0" fillId="7" fontId="7" numFmtId="0" xfId="0" applyAlignment="1" applyFill="1" applyFont="1">
      <alignment readingOrder="0"/>
    </xf>
    <xf borderId="0" fillId="0" fontId="8" numFmtId="0" xfId="0" applyAlignment="1" applyFont="1">
      <alignment readingOrder="0"/>
    </xf>
    <xf borderId="0" fillId="0" fontId="7" numFmtId="166" xfId="0" applyAlignment="1" applyFont="1" applyNumberFormat="1">
      <alignment readingOrder="0"/>
    </xf>
    <xf borderId="0" fillId="0" fontId="9" numFmtId="0" xfId="0" applyAlignment="1" applyFont="1">
      <alignment readingOrder="0"/>
    </xf>
    <xf borderId="0" fillId="0" fontId="7" numFmtId="0" xfId="0" applyFont="1"/>
    <xf borderId="1" fillId="0" fontId="7" numFmtId="49" xfId="0" applyAlignment="1" applyBorder="1" applyFont="1" applyNumberFormat="1">
      <alignment horizontal="center" readingOrder="0" shrinkToFit="0" vertical="center" wrapText="0"/>
    </xf>
    <xf borderId="1" fillId="0" fontId="7" numFmtId="0" xfId="0" applyAlignment="1" applyBorder="1" applyFont="1">
      <alignment horizontal="center" readingOrder="0" shrinkToFit="0" vertical="center" wrapText="0"/>
    </xf>
    <xf borderId="1" fillId="0" fontId="7"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3" numFmtId="49" xfId="0" applyAlignment="1" applyBorder="1" applyFont="1" applyNumberFormat="1">
      <alignment horizontal="center" readingOrder="0" shrinkToFit="0" vertical="center" wrapText="0"/>
    </xf>
    <xf borderId="1" fillId="0" fontId="10" numFmtId="0" xfId="0" applyAlignment="1" applyBorder="1" applyFont="1">
      <alignment horizontal="center" readingOrder="0" shrinkToFit="0" vertical="center" wrapText="0"/>
    </xf>
    <xf borderId="1" fillId="0" fontId="10" numFmtId="0" xfId="0" applyAlignment="1" applyBorder="1" applyFont="1">
      <alignment horizontal="center" readingOrder="0" vertical="center"/>
    </xf>
    <xf borderId="1" fillId="0" fontId="3" numFmtId="0" xfId="0" applyAlignment="1" applyBorder="1" applyFont="1">
      <alignment horizontal="left" readingOrder="0" vertical="center"/>
    </xf>
    <xf borderId="1" fillId="0" fontId="3" numFmtId="0" xfId="0" applyAlignment="1" applyBorder="1" applyFont="1">
      <alignment horizontal="center" vertical="center"/>
    </xf>
    <xf borderId="1" fillId="0" fontId="5" numFmtId="0" xfId="0" applyAlignment="1" applyBorder="1" applyFont="1">
      <alignment horizontal="left" readingOrder="0" vertical="center"/>
    </xf>
    <xf borderId="1" fillId="0" fontId="5" numFmtId="0" xfId="0" applyAlignment="1" applyBorder="1" applyFont="1">
      <alignment horizontal="center" readingOrder="0" vertical="center"/>
    </xf>
    <xf borderId="1" fillId="0" fontId="3" numFmtId="0" xfId="0" applyAlignment="1" applyBorder="1" applyFont="1">
      <alignment horizontal="center" shrinkToFit="0" vertical="center" wrapText="0"/>
    </xf>
    <xf borderId="1" fillId="0" fontId="3" numFmtId="0" xfId="0" applyAlignment="1" applyBorder="1" applyFont="1">
      <alignment horizontal="center" readingOrder="0" shrinkToFit="0" vertical="center" wrapText="0"/>
    </xf>
    <xf borderId="1" fillId="0" fontId="3" numFmtId="0" xfId="0" applyAlignment="1" applyBorder="1" applyFont="1">
      <alignment horizontal="center" readingOrder="0" shrinkToFit="0" vertical="center" wrapText="0"/>
    </xf>
    <xf borderId="1" fillId="0" fontId="3" numFmtId="0" xfId="0" applyAlignment="1" applyBorder="1" applyFont="1">
      <alignment horizontal="center" shrinkToFit="0" vertical="center" wrapText="0"/>
    </xf>
    <xf borderId="1" fillId="0" fontId="3" numFmtId="0" xfId="0" applyAlignment="1" applyBorder="1" applyFont="1">
      <alignment horizontal="center" vertical="center"/>
    </xf>
    <xf borderId="1" fillId="0" fontId="10" numFmtId="0" xfId="0" applyAlignment="1" applyBorder="1" applyFont="1">
      <alignment horizontal="center" readingOrder="0" shrinkToFit="0" vertical="center" wrapText="0"/>
    </xf>
    <xf borderId="1" fillId="0" fontId="11" numFmtId="0" xfId="0" applyAlignment="1" applyBorder="1" applyFont="1">
      <alignment horizontal="center" readingOrder="0" shrinkToFit="0" vertical="center" wrapText="0"/>
    </xf>
    <xf borderId="1" fillId="0" fontId="3" numFmtId="0" xfId="0" applyAlignment="1" applyBorder="1" applyFont="1">
      <alignment horizontal="center" readingOrder="0" shrinkToFit="0" vertical="center" wrapText="0"/>
    </xf>
    <xf borderId="1" fillId="0" fontId="3" numFmtId="0" xfId="0" applyAlignment="1" applyBorder="1" applyFont="1">
      <alignment horizontal="center" readingOrder="0" vertical="center"/>
    </xf>
    <xf borderId="1" fillId="0" fontId="3" numFmtId="0" xfId="0" applyAlignment="1" applyBorder="1" applyFont="1">
      <alignment horizontal="left" readingOrder="0" vertical="center"/>
    </xf>
    <xf borderId="1" fillId="0" fontId="10" numFmtId="0" xfId="0" applyAlignment="1" applyBorder="1" applyFont="1">
      <alignment horizontal="center" vertical="center"/>
    </xf>
    <xf borderId="1" fillId="0" fontId="10" numFmtId="0" xfId="0" applyAlignment="1" applyBorder="1" applyFont="1">
      <alignment horizontal="center" shrinkToFit="0" vertical="center" wrapText="0"/>
    </xf>
    <xf borderId="1" fillId="0" fontId="3" numFmtId="0" xfId="0" applyAlignment="1" applyBorder="1" applyFont="1">
      <alignment horizontal="center" readingOrder="0" shrinkToFit="0" vertical="center" wrapText="0"/>
    </xf>
    <xf borderId="1" fillId="0" fontId="12" numFmtId="0" xfId="0" applyAlignment="1" applyBorder="1" applyFont="1">
      <alignment horizontal="center" readingOrder="0" vertical="center"/>
    </xf>
    <xf borderId="1" fillId="0" fontId="3" numFmtId="0" xfId="0" applyAlignment="1" applyBorder="1" applyFont="1">
      <alignment horizontal="left" shrinkToFit="0" vertical="center" wrapText="0"/>
    </xf>
    <xf borderId="1" fillId="0" fontId="3" numFmtId="0" xfId="0" applyAlignment="1" applyBorder="1" applyFont="1">
      <alignment horizontal="left" vertical="center"/>
    </xf>
    <xf borderId="1" fillId="0" fontId="13" numFmtId="0" xfId="0" applyAlignment="1" applyBorder="1" applyFont="1">
      <alignment horizontal="center" readingOrder="0" vertical="center"/>
    </xf>
    <xf borderId="1" fillId="0" fontId="3" numFmtId="0" xfId="0" applyAlignment="1" applyBorder="1" applyFont="1">
      <alignment horizontal="left" readingOrder="0" shrinkToFit="0" vertical="center" wrapText="0"/>
    </xf>
    <xf borderId="1" fillId="0" fontId="14" numFmtId="0" xfId="0" applyAlignment="1" applyBorder="1" applyFont="1">
      <alignment horizontal="center" readingOrder="0" vertical="center"/>
    </xf>
    <xf borderId="1" fillId="0" fontId="3" numFmtId="0" xfId="0" applyAlignment="1" applyBorder="1" applyFont="1">
      <alignment horizontal="center" readingOrder="0" vertical="center"/>
    </xf>
    <xf borderId="1" fillId="0" fontId="3" numFmtId="0" xfId="0" applyAlignment="1" applyBorder="1" applyFont="1">
      <alignment horizontal="center" shrinkToFit="0" vertical="center" wrapText="0"/>
    </xf>
    <xf borderId="1" fillId="0" fontId="10" numFmtId="0" xfId="0" applyAlignment="1" applyBorder="1" applyFont="1">
      <alignment horizontal="center" readingOrder="0" shrinkToFit="0" vertical="center" wrapText="0"/>
    </xf>
    <xf borderId="1" fillId="0" fontId="10" numFmtId="0" xfId="0" applyAlignment="1" applyBorder="1" applyFont="1">
      <alignment horizontal="center" readingOrder="0" shrinkToFit="0" vertical="center" wrapText="0"/>
    </xf>
    <xf borderId="1" fillId="0" fontId="3" numFmtId="0" xfId="0" applyAlignment="1" applyBorder="1" applyFont="1">
      <alignment horizontal="center" readingOrder="0" vertical="center"/>
    </xf>
    <xf borderId="1" fillId="0" fontId="3" numFmtId="0" xfId="0" applyAlignment="1" applyBorder="1" applyFont="1">
      <alignment horizontal="left" vertical="center"/>
    </xf>
    <xf borderId="1" fillId="0" fontId="10" numFmtId="0" xfId="0" applyAlignment="1" applyBorder="1" applyFont="1">
      <alignment horizontal="center" readingOrder="0" shrinkToFit="0" vertical="center" wrapText="0"/>
    </xf>
    <xf borderId="1" fillId="0" fontId="15" numFmtId="0" xfId="0" applyAlignment="1" applyBorder="1" applyFont="1">
      <alignment horizontal="center" vertical="center"/>
    </xf>
    <xf borderId="1" fillId="0" fontId="15" numFmtId="0" xfId="0" applyAlignment="1" applyBorder="1" applyFont="1">
      <alignment horizontal="center" readingOrder="0" vertical="center"/>
    </xf>
    <xf borderId="1" fillId="0" fontId="3" numFmtId="0" xfId="0" applyAlignment="1" applyBorder="1" applyFont="1">
      <alignment horizontal="center" readingOrder="0" vertical="center"/>
    </xf>
    <xf borderId="1" fillId="0" fontId="10" numFmtId="0" xfId="0" applyAlignment="1" applyBorder="1" applyFont="1">
      <alignment horizontal="center" readingOrder="0" shrinkToFit="0" vertical="center" wrapText="0"/>
    </xf>
    <xf borderId="1" fillId="0" fontId="10" numFmtId="0" xfId="0" applyAlignment="1" applyBorder="1" applyFont="1">
      <alignment horizontal="center" vertical="center"/>
    </xf>
    <xf borderId="1" fillId="0" fontId="10" numFmtId="0" xfId="0" applyAlignment="1" applyBorder="1" applyFont="1">
      <alignment horizontal="center" readingOrder="0" shrinkToFit="0" vertical="center" wrapText="0"/>
    </xf>
    <xf borderId="1" fillId="0" fontId="5" numFmtId="0" xfId="0" applyAlignment="1" applyBorder="1" applyFont="1">
      <alignment horizontal="center" vertical="center"/>
    </xf>
    <xf borderId="1" fillId="0" fontId="3" numFmtId="0" xfId="0" applyAlignment="1" applyBorder="1" applyFont="1">
      <alignment horizontal="left" readingOrder="0" vertical="center"/>
    </xf>
    <xf borderId="1" fillId="0" fontId="16" numFmtId="0" xfId="0" applyAlignment="1" applyBorder="1" applyFont="1">
      <alignment horizontal="center" vertical="center"/>
    </xf>
    <xf borderId="1" fillId="0" fontId="10" numFmtId="0" xfId="0" applyAlignment="1" applyBorder="1" applyFont="1">
      <alignment horizontal="center" readingOrder="0" vertical="center"/>
    </xf>
    <xf borderId="1" fillId="0" fontId="3" numFmtId="0" xfId="0" applyAlignment="1" applyBorder="1" applyFont="1">
      <alignment horizontal="center" readingOrder="0" vertical="center"/>
    </xf>
    <xf borderId="1" fillId="0" fontId="3" numFmtId="0" xfId="0" applyAlignment="1" applyBorder="1" applyFont="1">
      <alignment horizontal="center"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1" fillId="0" fontId="7" numFmtId="164" xfId="0" applyAlignment="1" applyBorder="1" applyFont="1" applyNumberFormat="1">
      <alignment horizontal="center" readingOrder="0" shrinkToFit="0" vertical="center" wrapText="0"/>
    </xf>
    <xf borderId="1" fillId="0" fontId="7" numFmtId="167" xfId="0" applyAlignment="1" applyBorder="1" applyFont="1" applyNumberFormat="1">
      <alignment horizontal="center" readingOrder="0" shrinkToFit="0" vertical="center" wrapText="0"/>
    </xf>
    <xf borderId="1" fillId="0" fontId="17" numFmtId="0" xfId="0" applyAlignment="1" applyBorder="1" applyFont="1">
      <alignment horizontal="center" readingOrder="0" vertical="center"/>
    </xf>
    <xf borderId="1" fillId="0" fontId="18" numFmtId="0" xfId="0" applyAlignment="1" applyBorder="1" applyFont="1">
      <alignment horizontal="center" readingOrder="0" vertical="center"/>
    </xf>
    <xf borderId="1" fillId="0" fontId="19" numFmtId="0" xfId="0" applyAlignment="1" applyBorder="1" applyFont="1">
      <alignment horizontal="center" readingOrder="0" vertical="center"/>
    </xf>
    <xf borderId="1" fillId="0" fontId="20" numFmtId="0" xfId="0" applyAlignment="1" applyBorder="1" applyFont="1">
      <alignment horizontal="center" readingOrder="0" shrinkToFit="0" vertical="center" wrapText="0"/>
    </xf>
    <xf borderId="1" fillId="0" fontId="21" numFmtId="0" xfId="0" applyAlignment="1" applyBorder="1" applyFont="1">
      <alignment horizontal="center" shrinkToFit="0" vertical="center" wrapText="0"/>
    </xf>
    <xf borderId="1" fillId="0" fontId="3" numFmtId="168" xfId="0" applyAlignment="1" applyBorder="1" applyFont="1" applyNumberFormat="1">
      <alignment horizontal="center" readingOrder="0" shrinkToFit="0" vertical="center" wrapText="0"/>
    </xf>
    <xf borderId="1" fillId="0" fontId="3" numFmtId="164" xfId="0" applyAlignment="1" applyBorder="1" applyFont="1" applyNumberFormat="1">
      <alignment horizontal="center" readingOrder="0" shrinkToFit="0" vertical="center" wrapText="0"/>
    </xf>
    <xf borderId="1" fillId="8" fontId="3" numFmtId="0" xfId="0" applyAlignment="1" applyBorder="1" applyFill="1" applyFont="1">
      <alignment horizontal="center" readingOrder="0" shrinkToFit="0" vertical="center" wrapText="0"/>
    </xf>
    <xf borderId="1" fillId="0" fontId="7" numFmtId="0" xfId="0" applyAlignment="1" applyBorder="1" applyFont="1">
      <alignment horizontal="center" vertical="center"/>
    </xf>
    <xf borderId="1" fillId="8" fontId="22" numFmtId="0" xfId="0" applyAlignment="1" applyBorder="1" applyFont="1">
      <alignment horizontal="center" readingOrder="0" vertical="center"/>
    </xf>
    <xf borderId="1" fillId="0" fontId="22" numFmtId="0" xfId="0" applyAlignment="1" applyBorder="1" applyFont="1">
      <alignment horizontal="center" readingOrder="0" vertical="center"/>
    </xf>
    <xf borderId="1" fillId="9" fontId="5" numFmtId="0" xfId="0" applyAlignment="1" applyBorder="1" applyFill="1" applyFont="1">
      <alignment horizontal="center" readingOrder="0" vertical="center"/>
    </xf>
    <xf borderId="1" fillId="9" fontId="3" numFmtId="0" xfId="0" applyAlignment="1" applyBorder="1" applyFont="1">
      <alignment horizontal="center" readingOrder="0" shrinkToFit="0" vertical="center" wrapText="0"/>
    </xf>
    <xf borderId="1" fillId="9" fontId="3" numFmtId="0" xfId="0" applyAlignment="1" applyBorder="1" applyFont="1">
      <alignment horizontal="center" readingOrder="0" vertical="center"/>
    </xf>
    <xf borderId="1" fillId="10" fontId="23" numFmtId="0" xfId="0" applyAlignment="1" applyBorder="1" applyFill="1" applyFont="1">
      <alignment horizontal="center" readingOrder="0" shrinkToFit="0" vertical="center" wrapText="1"/>
    </xf>
    <xf borderId="2" fillId="10" fontId="23" numFmtId="0" xfId="0" applyAlignment="1" applyBorder="1" applyFont="1">
      <alignment readingOrder="0" shrinkToFit="0" vertical="center" wrapText="1"/>
    </xf>
    <xf borderId="0" fillId="0" fontId="24" numFmtId="0" xfId="0" applyAlignment="1" applyFont="1">
      <alignment shrinkToFit="0" vertical="center" wrapText="1"/>
    </xf>
    <xf borderId="0" fillId="0" fontId="22" numFmtId="0" xfId="0" applyAlignment="1" applyFont="1">
      <alignment shrinkToFit="0" vertical="center" wrapText="1"/>
    </xf>
    <xf borderId="3" fillId="11" fontId="24" numFmtId="0" xfId="0" applyAlignment="1" applyBorder="1" applyFill="1" applyFont="1">
      <alignment horizontal="center" readingOrder="0" shrinkToFit="0" vertical="center" wrapText="1"/>
    </xf>
    <xf borderId="4" fillId="0" fontId="24" numFmtId="0" xfId="0" applyAlignment="1" applyBorder="1" applyFont="1">
      <alignment readingOrder="0" shrinkToFit="0" vertical="center" wrapText="1"/>
    </xf>
    <xf borderId="1" fillId="12" fontId="25" numFmtId="0" xfId="0" applyAlignment="1" applyBorder="1" applyFill="1" applyFont="1">
      <alignment readingOrder="0" shrinkToFit="0" vertical="center" wrapText="1"/>
    </xf>
    <xf borderId="1" fillId="0" fontId="24" numFmtId="0" xfId="0" applyAlignment="1" applyBorder="1" applyFont="1">
      <alignment readingOrder="0" shrinkToFit="0" vertical="center" wrapText="1"/>
    </xf>
    <xf borderId="1" fillId="12" fontId="24" numFmtId="0" xfId="0" applyAlignment="1" applyBorder="1" applyFont="1">
      <alignment readingOrder="0" shrinkToFit="0" vertical="center" wrapText="1"/>
    </xf>
    <xf borderId="4" fillId="0" fontId="26" numFmtId="0" xfId="0" applyAlignment="1" applyBorder="1" applyFont="1">
      <alignment readingOrder="0" shrinkToFit="0" vertical="center" wrapText="1"/>
    </xf>
    <xf borderId="1" fillId="4" fontId="24" numFmtId="0" xfId="0" applyAlignment="1" applyBorder="1" applyFont="1">
      <alignment readingOrder="0" shrinkToFit="0" vertical="center" wrapText="1"/>
    </xf>
    <xf borderId="1" fillId="12" fontId="26" numFmtId="0" xfId="0" applyAlignment="1" applyBorder="1" applyFont="1">
      <alignment readingOrder="0" shrinkToFit="0" vertical="center" wrapText="1"/>
    </xf>
    <xf borderId="1" fillId="0" fontId="22" numFmtId="0" xfId="0" applyAlignment="1" applyBorder="1" applyFont="1">
      <alignment readingOrder="0" shrinkToFit="0" vertical="center" wrapText="1"/>
    </xf>
    <xf borderId="1" fillId="12" fontId="27" numFmtId="0" xfId="0" applyAlignment="1" applyBorder="1" applyFont="1">
      <alignment readingOrder="0" shrinkToFit="0" vertical="center" wrapText="1"/>
    </xf>
    <xf borderId="0" fillId="0" fontId="22" numFmtId="0" xfId="0" applyAlignment="1" applyFont="1">
      <alignment shrinkToFit="0" wrapText="1"/>
    </xf>
    <xf borderId="4" fillId="0" fontId="22" numFmtId="0" xfId="0" applyAlignment="1" applyBorder="1" applyFont="1">
      <alignment readingOrder="0" shrinkToFit="0" vertical="center" wrapText="1"/>
    </xf>
    <xf borderId="5" fillId="5" fontId="28" numFmtId="0" xfId="0" applyAlignment="1" applyBorder="1" applyFont="1">
      <alignment horizontal="center" readingOrder="0" vertical="center"/>
    </xf>
    <xf borderId="6" fillId="0" fontId="7" numFmtId="0" xfId="0" applyBorder="1" applyFont="1"/>
    <xf borderId="2" fillId="0" fontId="7" numFmtId="0" xfId="0" applyBorder="1" applyFont="1"/>
    <xf borderId="0" fillId="0" fontId="29" numFmtId="0" xfId="0" applyAlignment="1" applyFont="1">
      <alignment vertical="bottom"/>
    </xf>
    <xf borderId="0" fillId="0" fontId="16" numFmtId="0" xfId="0" applyAlignment="1" applyFont="1">
      <alignment shrinkToFit="0" vertical="bottom" wrapText="1"/>
    </xf>
    <xf borderId="0" fillId="0" fontId="29" numFmtId="0" xfId="0" applyAlignment="1" applyFont="1">
      <alignment shrinkToFit="0" vertical="bottom" wrapText="1"/>
    </xf>
    <xf borderId="0" fillId="0" fontId="16" numFmtId="167" xfId="0" applyAlignment="1" applyFont="1" applyNumberFormat="1">
      <alignment shrinkToFit="0" vertical="bottom" wrapText="1"/>
    </xf>
    <xf borderId="0" fillId="0" fontId="29" numFmtId="0" xfId="0" applyAlignment="1" applyFont="1">
      <alignment readingOrder="0" vertical="bottom"/>
    </xf>
    <xf borderId="0" fillId="0" fontId="30" numFmtId="0" xfId="0" applyAlignment="1" applyFont="1">
      <alignment readingOrder="0" shrinkToFit="0" vertical="bottom" wrapText="1"/>
    </xf>
    <xf borderId="7" fillId="0" fontId="31" numFmtId="0" xfId="0" applyAlignment="1" applyBorder="1" applyFont="1">
      <alignment horizontal="left" readingOrder="0" vertical="center"/>
    </xf>
    <xf borderId="7" fillId="0" fontId="16" numFmtId="0" xfId="0" applyAlignment="1" applyBorder="1" applyFont="1">
      <alignment shrinkToFit="0" vertical="bottom" wrapText="1"/>
    </xf>
    <xf borderId="7" fillId="0" fontId="16" numFmtId="167" xfId="0" applyAlignment="1" applyBorder="1" applyFont="1" applyNumberFormat="1">
      <alignment shrinkToFit="0" vertical="bottom" wrapText="1"/>
    </xf>
    <xf borderId="3" fillId="13" fontId="29" numFmtId="0" xfId="0" applyAlignment="1" applyBorder="1" applyFill="1" applyFont="1">
      <alignment horizontal="center" vertical="center"/>
    </xf>
    <xf borderId="4" fillId="13" fontId="29" numFmtId="0" xfId="0" applyAlignment="1" applyBorder="1" applyFont="1">
      <alignment horizontal="center" readingOrder="0" shrinkToFit="0" vertical="center" wrapText="1"/>
    </xf>
    <xf borderId="4" fillId="13" fontId="29" numFmtId="0" xfId="0" applyAlignment="1" applyBorder="1" applyFont="1">
      <alignment horizontal="center" shrinkToFit="0" vertical="center" wrapText="1"/>
    </xf>
    <xf borderId="4" fillId="13" fontId="29" numFmtId="169" xfId="0" applyAlignment="1" applyBorder="1" applyFont="1" applyNumberFormat="1">
      <alignment horizontal="center" readingOrder="0" shrinkToFit="0" vertical="center" wrapText="1"/>
    </xf>
    <xf borderId="0" fillId="0" fontId="7" numFmtId="0" xfId="0" applyAlignment="1" applyFont="1">
      <alignment vertical="center"/>
    </xf>
    <xf borderId="3" fillId="6" fontId="16" numFmtId="0" xfId="0" applyAlignment="1" applyBorder="1" applyFont="1">
      <alignment horizontal="center" vertical="center"/>
    </xf>
    <xf borderId="4" fillId="6" fontId="16" numFmtId="0" xfId="0" applyAlignment="1" applyBorder="1" applyFont="1">
      <alignment horizontal="center" readingOrder="0" shrinkToFit="0" vertical="center" wrapText="1"/>
    </xf>
    <xf borderId="1" fillId="6" fontId="16" numFmtId="0" xfId="0" applyAlignment="1" applyBorder="1" applyFont="1">
      <alignment horizontal="center" readingOrder="0" shrinkToFit="0" vertical="center" wrapText="1"/>
    </xf>
    <xf borderId="4" fillId="6" fontId="16" numFmtId="167" xfId="0" applyAlignment="1" applyBorder="1" applyFont="1" applyNumberFormat="1">
      <alignment horizontal="center" readingOrder="0" shrinkToFit="0" vertical="center" wrapText="1"/>
    </xf>
    <xf borderId="4" fillId="6" fontId="16" numFmtId="0" xfId="0" applyAlignment="1" applyBorder="1" applyFont="1">
      <alignment horizontal="center" shrinkToFit="0" vertical="center" wrapText="1"/>
    </xf>
    <xf borderId="3" fillId="6" fontId="16" numFmtId="0" xfId="0" applyAlignment="1" applyBorder="1" applyFont="1">
      <alignment horizontal="center" readingOrder="0" vertical="center"/>
    </xf>
    <xf borderId="1" fillId="6" fontId="16" numFmtId="166" xfId="0" applyAlignment="1" applyBorder="1" applyFont="1" applyNumberFormat="1">
      <alignment horizontal="center" readingOrder="0" shrinkToFit="0" vertical="center" wrapText="1"/>
    </xf>
    <xf borderId="1" fillId="6" fontId="16" numFmtId="0" xfId="0" applyAlignment="1" applyBorder="1" applyFont="1">
      <alignment horizontal="center" readingOrder="0" vertical="center"/>
    </xf>
    <xf borderId="1" fillId="6" fontId="16" numFmtId="167" xfId="0" applyAlignment="1" applyBorder="1" applyFont="1" applyNumberFormat="1">
      <alignment horizontal="center" readingOrder="0" shrinkToFit="0" vertical="center" wrapText="1"/>
    </xf>
    <xf borderId="1" fillId="6" fontId="16" numFmtId="0" xfId="0" applyAlignment="1" applyBorder="1" applyFont="1">
      <alignment horizontal="left" readingOrder="0" shrinkToFit="0" vertical="center" wrapText="1"/>
    </xf>
    <xf borderId="1" fillId="6" fontId="32" numFmtId="0" xfId="0" applyAlignment="1" applyBorder="1" applyFont="1">
      <alignment horizontal="center" readingOrder="0" vertical="center"/>
    </xf>
    <xf borderId="1" fillId="6" fontId="32" numFmtId="0" xfId="0" applyAlignment="1" applyBorder="1" applyFont="1">
      <alignment horizontal="left" readingOrder="0" shrinkToFit="0" vertical="center" wrapText="1"/>
    </xf>
    <xf borderId="1" fillId="6" fontId="32" numFmtId="166" xfId="0" applyAlignment="1" applyBorder="1" applyFont="1" applyNumberFormat="1">
      <alignment horizontal="center" readingOrder="0" shrinkToFit="0" vertical="center" wrapText="1"/>
    </xf>
    <xf borderId="1" fillId="6" fontId="32" numFmtId="167" xfId="0" applyAlignment="1" applyBorder="1" applyFont="1" applyNumberFormat="1">
      <alignment horizontal="center" readingOrder="0" shrinkToFit="0" vertical="center" wrapText="1"/>
    </xf>
    <xf borderId="1" fillId="6" fontId="32" numFmtId="0" xfId="0" applyAlignment="1" applyBorder="1" applyFont="1">
      <alignment horizontal="center" readingOrder="0" shrinkToFit="0" vertical="center" wrapText="1"/>
    </xf>
    <xf borderId="0" fillId="0" fontId="33" numFmtId="0" xfId="0" applyFont="1"/>
    <xf borderId="0" fillId="6" fontId="34" numFmtId="0" xfId="0" applyAlignment="1" applyFont="1">
      <alignment readingOrder="0" shrinkToFit="0" vertical="center" wrapText="1"/>
    </xf>
    <xf borderId="8" fillId="6" fontId="16" numFmtId="0" xfId="0" applyAlignment="1" applyBorder="1" applyFont="1">
      <alignment horizontal="center" readingOrder="0" vertical="center"/>
    </xf>
    <xf borderId="8" fillId="6" fontId="16" numFmtId="0" xfId="0" applyAlignment="1" applyBorder="1" applyFont="1">
      <alignment horizontal="center" readingOrder="0" shrinkToFit="0" vertical="center" wrapText="1"/>
    </xf>
    <xf borderId="8" fillId="6" fontId="16" numFmtId="0" xfId="0" applyAlignment="1" applyBorder="1" applyFont="1">
      <alignment horizontal="left" readingOrder="0" shrinkToFit="0" vertical="center" wrapText="1"/>
    </xf>
    <xf borderId="8" fillId="6" fontId="16" numFmtId="166" xfId="0" applyAlignment="1" applyBorder="1" applyFont="1" applyNumberFormat="1">
      <alignment horizontal="center" readingOrder="0" shrinkToFit="0" vertical="center" wrapText="1"/>
    </xf>
    <xf borderId="8" fillId="6" fontId="16" numFmtId="167" xfId="0" applyAlignment="1" applyBorder="1" applyFont="1" applyNumberFormat="1">
      <alignment horizontal="center" readingOrder="0" shrinkToFit="0" vertical="center" wrapText="1"/>
    </xf>
    <xf borderId="8" fillId="6" fontId="32" numFmtId="0" xfId="0" applyAlignment="1" applyBorder="1" applyFont="1">
      <alignment horizontal="left" readingOrder="0" shrinkToFit="0" vertical="center" wrapText="1"/>
    </xf>
    <xf borderId="2" fillId="6" fontId="16" numFmtId="0" xfId="0" applyAlignment="1" applyBorder="1" applyFont="1">
      <alignment horizontal="center" shrinkToFit="0" vertical="center" wrapText="1"/>
    </xf>
    <xf borderId="2" fillId="6" fontId="16" numFmtId="0" xfId="0" applyAlignment="1" applyBorder="1" applyFont="1">
      <alignment shrinkToFit="0" vertical="center" wrapText="1"/>
    </xf>
    <xf borderId="2" fillId="6" fontId="16" numFmtId="0" xfId="0" applyAlignment="1" applyBorder="1" applyFont="1">
      <alignment readingOrder="0" shrinkToFit="0" vertical="center" wrapText="1"/>
    </xf>
    <xf borderId="2" fillId="6" fontId="16" numFmtId="166" xfId="0" applyAlignment="1" applyBorder="1" applyFont="1" applyNumberFormat="1">
      <alignment horizontal="center" shrinkToFit="0" vertical="center" wrapText="1"/>
    </xf>
    <xf borderId="2" fillId="6" fontId="16" numFmtId="167" xfId="0" applyAlignment="1" applyBorder="1" applyFont="1" applyNumberFormat="1">
      <alignment horizontal="center" shrinkToFit="0" vertical="center" wrapText="1"/>
    </xf>
    <xf borderId="2" fillId="6" fontId="16" numFmtId="0" xfId="0" applyAlignment="1" applyBorder="1" applyFont="1">
      <alignment horizontal="center" readingOrder="0" shrinkToFit="0" vertical="center" wrapText="1"/>
    </xf>
    <xf borderId="2" fillId="6" fontId="16" numFmtId="166" xfId="0" applyAlignment="1" applyBorder="1" applyFont="1" applyNumberFormat="1">
      <alignment horizontal="center" readingOrder="0" shrinkToFit="0" vertical="center" wrapText="1"/>
    </xf>
    <xf borderId="2" fillId="6" fontId="16" numFmtId="167" xfId="0" applyAlignment="1" applyBorder="1" applyFont="1" applyNumberFormat="1">
      <alignment horizontal="center" readingOrder="0" shrinkToFit="0" vertical="center" wrapText="1"/>
    </xf>
    <xf borderId="1" fillId="6" fontId="16" numFmtId="0" xfId="0" applyAlignment="1" applyBorder="1" applyFont="1">
      <alignment readingOrder="0" shrinkToFit="0" vertical="center" wrapText="1"/>
    </xf>
    <xf borderId="1" fillId="6" fontId="35" numFmtId="0" xfId="0" applyAlignment="1" applyBorder="1" applyFont="1">
      <alignment readingOrder="0" shrinkToFit="0" vertical="center" wrapText="1"/>
    </xf>
    <xf borderId="1" fillId="6" fontId="16" numFmtId="170" xfId="0" applyAlignment="1" applyBorder="1" applyFont="1" applyNumberFormat="1">
      <alignment horizontal="center" readingOrder="0" shrinkToFit="0" vertical="center" wrapText="1"/>
    </xf>
    <xf borderId="1" fillId="6" fontId="3" numFmtId="0" xfId="0" applyAlignment="1" applyBorder="1" applyFont="1">
      <alignment readingOrder="0" shrinkToFit="0" vertical="center" wrapText="1"/>
    </xf>
    <xf borderId="1" fillId="6" fontId="36" numFmtId="0" xfId="0" applyAlignment="1" applyBorder="1" applyFont="1">
      <alignment readingOrder="0" shrinkToFit="0" vertical="center" wrapText="1"/>
    </xf>
    <xf borderId="1" fillId="0" fontId="16" numFmtId="0" xfId="0" applyAlignment="1" applyBorder="1" applyFont="1">
      <alignment horizontal="center" readingOrder="0" vertical="center"/>
    </xf>
    <xf borderId="1" fillId="0" fontId="16" numFmtId="0" xfId="0" applyAlignment="1" applyBorder="1" applyFont="1">
      <alignment horizontal="center" readingOrder="0" shrinkToFit="0" vertical="center" wrapText="1"/>
    </xf>
    <xf borderId="1" fillId="0" fontId="3" numFmtId="0" xfId="0" applyAlignment="1" applyBorder="1" applyFont="1">
      <alignment readingOrder="0" shrinkToFit="0" vertical="center" wrapText="1"/>
    </xf>
    <xf borderId="1" fillId="0" fontId="37" numFmtId="0" xfId="0" applyAlignment="1" applyBorder="1" applyFont="1">
      <alignment readingOrder="0" shrinkToFit="0" vertical="center" wrapText="1"/>
    </xf>
    <xf borderId="1" fillId="0" fontId="16" numFmtId="170" xfId="0" applyAlignment="1" applyBorder="1" applyFont="1" applyNumberFormat="1">
      <alignment horizontal="center" readingOrder="0" shrinkToFit="0" vertical="center" wrapText="1"/>
    </xf>
    <xf borderId="1" fillId="0" fontId="16" numFmtId="0" xfId="0" applyAlignment="1" applyBorder="1" applyFont="1">
      <alignment readingOrder="0" shrinkToFit="0" vertical="center" wrapText="1"/>
    </xf>
    <xf borderId="0" fillId="0" fontId="7" numFmtId="0" xfId="0" applyAlignment="1" applyFont="1">
      <alignment readingOrder="0" vertical="center"/>
    </xf>
    <xf borderId="1" fillId="6" fontId="16" numFmtId="0" xfId="0" applyAlignment="1" applyBorder="1" applyFont="1">
      <alignment readingOrder="0" shrinkToFit="0" vertical="center" wrapText="1"/>
    </xf>
    <xf borderId="1" fillId="14" fontId="16" numFmtId="0" xfId="0" applyAlignment="1" applyBorder="1" applyFill="1" applyFont="1">
      <alignment horizontal="center" readingOrder="0" vertical="center"/>
    </xf>
    <xf borderId="1" fillId="14" fontId="16" numFmtId="0" xfId="0" applyAlignment="1" applyBorder="1" applyFont="1">
      <alignment horizontal="center" readingOrder="0" shrinkToFit="0" vertical="center" wrapText="1"/>
    </xf>
    <xf borderId="1" fillId="14" fontId="3" numFmtId="0" xfId="0" applyAlignment="1" applyBorder="1" applyFont="1">
      <alignment readingOrder="0" shrinkToFit="0" vertical="center" wrapText="1"/>
    </xf>
    <xf borderId="1" fillId="14" fontId="38" numFmtId="0" xfId="0" applyAlignment="1" applyBorder="1" applyFont="1">
      <alignment readingOrder="0" shrinkToFit="0" vertical="center" wrapText="1"/>
    </xf>
    <xf borderId="1" fillId="14" fontId="16" numFmtId="170" xfId="0" applyAlignment="1" applyBorder="1" applyFont="1" applyNumberFormat="1">
      <alignment horizontal="center" readingOrder="0" shrinkToFit="0" vertical="center" wrapText="1"/>
    </xf>
    <xf borderId="1" fillId="14" fontId="16" numFmtId="0" xfId="0" applyAlignment="1" applyBorder="1" applyFont="1">
      <alignment readingOrder="0" shrinkToFit="0" vertical="center" wrapText="1"/>
    </xf>
    <xf borderId="1" fillId="15" fontId="16" numFmtId="0" xfId="0" applyAlignment="1" applyBorder="1" applyFill="1" applyFont="1">
      <alignment horizontal="center" readingOrder="0" vertical="center"/>
    </xf>
    <xf borderId="1" fillId="15" fontId="16" numFmtId="0" xfId="0" applyAlignment="1" applyBorder="1" applyFont="1">
      <alignment horizontal="center" readingOrder="0" shrinkToFit="0" vertical="center" wrapText="1"/>
    </xf>
    <xf borderId="1" fillId="15" fontId="3" numFmtId="0" xfId="0" applyAlignment="1" applyBorder="1" applyFont="1">
      <alignment readingOrder="0" shrinkToFit="0" vertical="center" wrapText="1"/>
    </xf>
    <xf borderId="1" fillId="15" fontId="16" numFmtId="0" xfId="0" applyAlignment="1" applyBorder="1" applyFont="1">
      <alignment readingOrder="0" shrinkToFit="0" vertical="center" wrapText="1"/>
    </xf>
    <xf borderId="1" fillId="15" fontId="16" numFmtId="170" xfId="0" applyAlignment="1" applyBorder="1" applyFont="1" applyNumberFormat="1">
      <alignment horizontal="center" readingOrder="0" shrinkToFit="0" vertical="center" wrapText="1"/>
    </xf>
    <xf borderId="1" fillId="15" fontId="16" numFmtId="0" xfId="0" applyAlignment="1" applyBorder="1" applyFont="1">
      <alignment horizontal="center" vertical="center"/>
    </xf>
    <xf borderId="2" fillId="15" fontId="16" numFmtId="0" xfId="0" applyAlignment="1" applyBorder="1" applyFont="1">
      <alignment horizontal="center" shrinkToFit="0" vertical="center" wrapText="1"/>
    </xf>
    <xf borderId="2" fillId="15" fontId="3" numFmtId="0" xfId="0" applyAlignment="1" applyBorder="1" applyFont="1">
      <alignment readingOrder="0" shrinkToFit="0" vertical="center" wrapText="1"/>
    </xf>
    <xf borderId="2" fillId="15" fontId="16" numFmtId="0" xfId="0" applyAlignment="1" applyBorder="1" applyFont="1">
      <alignment readingOrder="0" shrinkToFit="0" vertical="center" wrapText="1"/>
    </xf>
    <xf borderId="2" fillId="15" fontId="16" numFmtId="170" xfId="0" applyAlignment="1" applyBorder="1" applyFont="1" applyNumberFormat="1">
      <alignment horizontal="center" readingOrder="0" shrinkToFit="0" vertical="center" wrapText="1"/>
    </xf>
    <xf borderId="2" fillId="15" fontId="16" numFmtId="0" xfId="0" applyAlignment="1" applyBorder="1" applyFont="1">
      <alignment shrinkToFit="0" vertical="center" wrapText="1"/>
    </xf>
    <xf borderId="0" fillId="0" fontId="16" numFmtId="0" xfId="0" applyAlignment="1" applyFont="1">
      <alignment vertical="center"/>
    </xf>
    <xf borderId="2" fillId="0" fontId="16" numFmtId="170" xfId="0" applyAlignment="1" applyBorder="1" applyFont="1" applyNumberFormat="1">
      <alignment horizontal="center" readingOrder="0" shrinkToFit="0" vertical="center" wrapText="1"/>
    </xf>
    <xf borderId="2" fillId="0" fontId="16" numFmtId="0" xfId="0" applyAlignment="1" applyBorder="1" applyFont="1">
      <alignment shrinkToFit="0" vertical="center" wrapText="1"/>
    </xf>
    <xf borderId="1" fillId="0" fontId="16" numFmtId="169" xfId="0" applyAlignment="1" applyBorder="1" applyFont="1" applyNumberFormat="1">
      <alignment horizontal="center" readingOrder="0" shrinkToFit="0" vertical="center" wrapText="1"/>
    </xf>
    <xf borderId="1" fillId="0" fontId="39" numFmtId="0" xfId="0" applyAlignment="1" applyBorder="1" applyFont="1">
      <alignment readingOrder="0" shrinkToFit="0" vertical="center" wrapText="1"/>
    </xf>
    <xf borderId="1" fillId="0" fontId="32" numFmtId="0" xfId="0" applyAlignment="1" applyBorder="1" applyFont="1">
      <alignment readingOrder="0" shrinkToFit="0" vertical="center" wrapText="1"/>
    </xf>
    <xf borderId="1" fillId="4" fontId="16" numFmtId="0" xfId="0" applyAlignment="1" applyBorder="1" applyFont="1">
      <alignment horizontal="center" vertical="center"/>
    </xf>
    <xf borderId="2" fillId="4" fontId="16" numFmtId="0" xfId="0" applyAlignment="1" applyBorder="1" applyFont="1">
      <alignment horizontal="center" shrinkToFit="0" vertical="center" wrapText="1"/>
    </xf>
    <xf borderId="2" fillId="4" fontId="3" numFmtId="0" xfId="0" applyAlignment="1" applyBorder="1" applyFont="1">
      <alignment readingOrder="0" shrinkToFit="0" vertical="center" wrapText="1"/>
    </xf>
    <xf borderId="2" fillId="4" fontId="40" numFmtId="0" xfId="0" applyAlignment="1" applyBorder="1" applyFont="1">
      <alignment readingOrder="0" shrinkToFit="0" vertical="center" wrapText="1"/>
    </xf>
    <xf borderId="2" fillId="4" fontId="16" numFmtId="170" xfId="0" applyAlignment="1" applyBorder="1" applyFont="1" applyNumberFormat="1">
      <alignment horizontal="center" readingOrder="0" shrinkToFit="0" vertical="center" wrapText="1"/>
    </xf>
    <xf borderId="1" fillId="4" fontId="16" numFmtId="0" xfId="0" applyAlignment="1" applyBorder="1" applyFont="1">
      <alignment horizontal="center" readingOrder="0" shrinkToFit="0" vertical="center" wrapText="1"/>
    </xf>
    <xf borderId="2" fillId="4" fontId="16" numFmtId="0" xfId="0" applyAlignment="1" applyBorder="1" applyFont="1">
      <alignment shrinkToFit="0" vertical="center" wrapText="1"/>
    </xf>
    <xf borderId="0" fillId="4" fontId="16" numFmtId="0" xfId="0" applyAlignment="1" applyFont="1">
      <alignment vertical="center"/>
    </xf>
    <xf borderId="2" fillId="0" fontId="16" numFmtId="0" xfId="0" applyAlignment="1" applyBorder="1" applyFont="1">
      <alignment readingOrder="0" shrinkToFit="0" vertical="center" wrapText="1"/>
    </xf>
    <xf borderId="1" fillId="0" fontId="41" numFmtId="0" xfId="0" applyAlignment="1" applyBorder="1" applyFont="1">
      <alignment horizontal="center" readingOrder="0" shrinkToFit="0" vertical="center" wrapText="1"/>
    </xf>
    <xf borderId="1" fillId="0" fontId="16" numFmtId="0" xfId="0" applyAlignment="1" applyBorder="1" applyFont="1">
      <alignment readingOrder="0" shrinkToFit="0" vertical="center" wrapText="1"/>
    </xf>
    <xf borderId="1" fillId="0" fontId="16" numFmtId="171" xfId="0" applyAlignment="1" applyBorder="1" applyFont="1" applyNumberFormat="1">
      <alignment horizontal="center" readingOrder="0" shrinkToFit="0" vertical="center" wrapText="1"/>
    </xf>
    <xf borderId="1" fillId="0" fontId="16" numFmtId="0" xfId="0" applyAlignment="1" applyBorder="1" applyFont="1">
      <alignment readingOrder="0" shrinkToFit="0" vertical="center" wrapText="1"/>
    </xf>
    <xf borderId="0" fillId="0" fontId="7" numFmtId="0" xfId="0" applyAlignment="1" applyFont="1">
      <alignment readingOrder="0"/>
    </xf>
    <xf borderId="1" fillId="0" fontId="30" numFmtId="0" xfId="0" applyAlignment="1" applyBorder="1" applyFont="1">
      <alignment readingOrder="0" shrinkToFit="0" vertical="center" wrapText="1"/>
    </xf>
    <xf borderId="1" fillId="0" fontId="16" numFmtId="0" xfId="0" applyAlignment="1" applyBorder="1" applyFont="1">
      <alignment readingOrder="0" shrinkToFit="0" vertical="bottom" wrapText="1"/>
    </xf>
    <xf borderId="0" fillId="0" fontId="16" numFmtId="0" xfId="0" applyAlignment="1" applyFont="1">
      <alignment readingOrder="0" shrinkToFit="0" vertical="center" wrapText="1"/>
    </xf>
    <xf borderId="1" fillId="0" fontId="32" numFmtId="171" xfId="0" applyAlignment="1" applyBorder="1" applyFont="1" applyNumberFormat="1">
      <alignment horizontal="center" readingOrder="0" shrinkToFit="0" vertical="center" wrapText="1"/>
    </xf>
    <xf borderId="1" fillId="0" fontId="42" numFmtId="0" xfId="0" applyAlignment="1" applyBorder="1" applyFont="1">
      <alignment readingOrder="0" shrinkToFit="0" wrapText="1"/>
    </xf>
    <xf borderId="1" fillId="0" fontId="7" numFmtId="0" xfId="0" applyAlignment="1" applyBorder="1" applyFont="1">
      <alignment readingOrder="0"/>
    </xf>
    <xf borderId="1" fillId="16" fontId="16" numFmtId="0" xfId="0" applyAlignment="1" applyBorder="1" applyFill="1" applyFont="1">
      <alignment readingOrder="0" shrinkToFit="0" vertical="center" wrapText="1"/>
    </xf>
    <xf borderId="1" fillId="15" fontId="16" numFmtId="169" xfId="0" applyAlignment="1" applyBorder="1" applyFont="1" applyNumberFormat="1">
      <alignment horizontal="center" readingOrder="0" shrinkToFit="0" vertical="center" wrapText="1"/>
    </xf>
    <xf borderId="1" fillId="0" fontId="43" numFmtId="0" xfId="0" applyAlignment="1" applyBorder="1" applyFont="1">
      <alignment readingOrder="0" shrinkToFit="0" wrapText="1"/>
    </xf>
    <xf borderId="1" fillId="0" fontId="16" numFmtId="0" xfId="0" applyAlignment="1" applyBorder="1" applyFont="1">
      <alignment shrinkToFit="0" vertical="center" wrapText="1"/>
    </xf>
    <xf borderId="1" fillId="0" fontId="30" numFmtId="0" xfId="0" applyAlignment="1" applyBorder="1" applyFont="1">
      <alignment readingOrder="0" shrinkToFit="0" wrapText="1"/>
    </xf>
    <xf borderId="1" fillId="0" fontId="16" numFmtId="0" xfId="0" applyAlignment="1" applyBorder="1" applyFont="1">
      <alignment horizontal="center" shrinkToFit="0" vertical="center" wrapText="1"/>
    </xf>
    <xf borderId="1" fillId="0" fontId="3" numFmtId="0" xfId="0" applyAlignment="1" applyBorder="1" applyFont="1">
      <alignment readingOrder="0" shrinkToFit="0" vertical="bottom" wrapText="1"/>
    </xf>
    <xf borderId="1" fillId="0" fontId="44" numFmtId="0" xfId="0" applyAlignment="1" applyBorder="1" applyFont="1">
      <alignment readingOrder="0" shrinkToFit="0" vertical="bottom" wrapText="1"/>
    </xf>
    <xf borderId="1" fillId="0" fontId="16" numFmtId="0" xfId="0" applyAlignment="1" applyBorder="1" applyFont="1">
      <alignment horizontal="center" readingOrder="0" shrinkToFit="0" vertical="center" wrapText="1"/>
    </xf>
    <xf borderId="1" fillId="0" fontId="16" numFmtId="0" xfId="0" applyAlignment="1" applyBorder="1" applyFont="1">
      <alignment readingOrder="0" shrinkToFit="0" vertical="center" wrapText="1"/>
    </xf>
    <xf borderId="1" fillId="0" fontId="16" numFmtId="0" xfId="0" applyAlignment="1" applyBorder="1" applyFont="1">
      <alignment shrinkToFit="0" vertical="bottom" wrapText="1"/>
    </xf>
    <xf borderId="1" fillId="0" fontId="16" numFmtId="172" xfId="0" applyAlignment="1" applyBorder="1" applyFont="1" applyNumberFormat="1">
      <alignment readingOrder="0" shrinkToFit="0" vertical="center" wrapText="1"/>
    </xf>
    <xf borderId="1" fillId="0" fontId="16" numFmtId="169" xfId="0" applyAlignment="1" applyBorder="1" applyFont="1" applyNumberFormat="1">
      <alignment readingOrder="0" shrinkToFit="0" vertical="center" wrapText="1"/>
    </xf>
    <xf borderId="0" fillId="4" fontId="45" numFmtId="0" xfId="0" applyAlignment="1" applyFont="1">
      <alignment horizontal="center" readingOrder="0" vertical="center"/>
    </xf>
    <xf borderId="1" fillId="0" fontId="3" numFmtId="0" xfId="0" applyAlignment="1" applyBorder="1" applyFont="1">
      <alignment readingOrder="0" shrinkToFit="0" vertical="center" wrapText="1"/>
    </xf>
    <xf borderId="1" fillId="0" fontId="42" numFmtId="0" xfId="0" applyAlignment="1" applyBorder="1" applyFont="1">
      <alignment readingOrder="0" shrinkToFit="0" vertical="center" wrapText="1"/>
    </xf>
    <xf borderId="1" fillId="0" fontId="16" numFmtId="0" xfId="0" applyAlignment="1" applyBorder="1" applyFont="1">
      <alignment shrinkToFit="0" vertical="center" wrapText="1"/>
    </xf>
    <xf borderId="1" fillId="0" fontId="7" numFmtId="0" xfId="0" applyAlignment="1" applyBorder="1" applyFont="1">
      <alignment readingOrder="0" shrinkToFit="0" wrapText="1"/>
    </xf>
    <xf borderId="1" fillId="0" fontId="16" numFmtId="0" xfId="0" applyAlignment="1" applyBorder="1" applyFont="1">
      <alignment horizontal="center" shrinkToFit="0" vertical="center" wrapText="1"/>
    </xf>
    <xf borderId="1" fillId="0" fontId="46" numFmtId="0" xfId="0" applyAlignment="1" applyBorder="1" applyFont="1">
      <alignment readingOrder="0" shrinkToFit="0" vertical="center" wrapText="1"/>
    </xf>
    <xf borderId="1" fillId="0" fontId="16" numFmtId="0" xfId="0" applyAlignment="1" applyBorder="1" applyFont="1">
      <alignment shrinkToFit="0" vertical="center" wrapText="1"/>
    </xf>
    <xf borderId="1" fillId="0" fontId="30" numFmtId="0" xfId="0" applyAlignment="1" applyBorder="1" applyFont="1">
      <alignment readingOrder="0" shrinkToFit="0" vertical="bottom" wrapText="1"/>
    </xf>
    <xf borderId="1" fillId="0" fontId="16" numFmtId="0" xfId="0" applyAlignment="1" applyBorder="1" applyFont="1">
      <alignment horizontal="center" shrinkToFit="0" wrapText="1"/>
    </xf>
    <xf borderId="1" fillId="0" fontId="16" numFmtId="0" xfId="0" applyAlignment="1" applyBorder="1" applyFont="1">
      <alignment readingOrder="0" shrinkToFit="0" vertical="bottom" wrapText="1"/>
    </xf>
    <xf borderId="1" fillId="0" fontId="16" numFmtId="0" xfId="0" applyAlignment="1" applyBorder="1" applyFont="1">
      <alignment horizontal="center" readingOrder="0" shrinkToFit="0" wrapText="1"/>
    </xf>
    <xf borderId="1" fillId="0" fontId="16" numFmtId="0" xfId="0" applyBorder="1" applyFont="1"/>
    <xf borderId="0" fillId="0" fontId="16" numFmtId="0" xfId="0" applyAlignment="1" applyFont="1">
      <alignment vertical="bottom"/>
    </xf>
    <xf borderId="9" fillId="2" fontId="47" numFmtId="0" xfId="0" applyAlignment="1" applyBorder="1" applyFont="1">
      <alignment horizontal="center" readingOrder="0"/>
    </xf>
    <xf borderId="10" fillId="0" fontId="7" numFmtId="0" xfId="0" applyBorder="1" applyFont="1"/>
    <xf borderId="0" fillId="0" fontId="48" numFmtId="0" xfId="0" applyAlignment="1" applyFont="1">
      <alignment horizontal="center" readingOrder="0" vertical="center"/>
    </xf>
    <xf borderId="11" fillId="0" fontId="7" numFmtId="0" xfId="0" applyBorder="1" applyFont="1"/>
    <xf borderId="0" fillId="0" fontId="49" numFmtId="0" xfId="0" applyFont="1"/>
    <xf borderId="0" fillId="0" fontId="50" numFmtId="0" xfId="0" applyAlignment="1" applyFont="1">
      <alignment horizontal="left" readingOrder="0" vertical="center"/>
    </xf>
    <xf borderId="0" fillId="0" fontId="51" numFmtId="0" xfId="0" applyAlignment="1" applyFont="1">
      <alignment horizontal="left" readingOrder="0" vertical="center"/>
    </xf>
    <xf borderId="0" fillId="0" fontId="49" numFmtId="173" xfId="0" applyAlignment="1" applyFont="1" applyNumberFormat="1">
      <alignment horizontal="center" readingOrder="0"/>
    </xf>
    <xf borderId="0" fillId="0" fontId="48" numFmtId="173" xfId="0" applyAlignment="1" applyFont="1" applyNumberFormat="1">
      <alignment horizontal="center" readingOrder="0"/>
    </xf>
    <xf borderId="11" fillId="2" fontId="48" numFmtId="173" xfId="0" applyAlignment="1" applyBorder="1" applyFont="1" applyNumberFormat="1">
      <alignment horizontal="center" readingOrder="0"/>
    </xf>
    <xf borderId="12" fillId="0" fontId="7" numFmtId="0" xfId="0" applyBorder="1" applyFont="1"/>
    <xf borderId="9" fillId="2" fontId="48" numFmtId="173" xfId="0" applyAlignment="1" applyBorder="1" applyFont="1" applyNumberFormat="1">
      <alignment horizontal="center" readingOrder="0"/>
    </xf>
    <xf borderId="9" fillId="2" fontId="52" numFmtId="173" xfId="0" applyAlignment="1" applyBorder="1" applyFont="1" applyNumberFormat="1">
      <alignment horizontal="center" readingOrder="0"/>
    </xf>
    <xf borderId="0" fillId="0" fontId="53" numFmtId="0" xfId="0" applyAlignment="1" applyFont="1">
      <alignment horizontal="left" readingOrder="0"/>
    </xf>
    <xf borderId="0" fillId="0" fontId="49" numFmtId="0" xfId="0" applyAlignment="1" applyFont="1">
      <alignment horizontal="center" readingOrder="0"/>
    </xf>
    <xf borderId="0" fillId="0" fontId="7" numFmtId="0" xfId="0" applyAlignment="1" applyFont="1">
      <alignment horizontal="center" readingOrder="0"/>
    </xf>
    <xf borderId="0" fillId="0" fontId="54" numFmtId="0" xfId="0" applyAlignment="1" applyFont="1">
      <alignment horizontal="center" readingOrder="0"/>
    </xf>
    <xf borderId="13" fillId="17" fontId="7" numFmtId="0" xfId="0" applyAlignment="1" applyBorder="1" applyFill="1" applyFont="1">
      <alignment horizontal="center" readingOrder="0"/>
    </xf>
    <xf borderId="14" fillId="17" fontId="7" numFmtId="0" xfId="0" applyAlignment="1" applyBorder="1" applyFont="1">
      <alignment horizontal="center" readingOrder="0"/>
    </xf>
    <xf borderId="15" fillId="17" fontId="7" numFmtId="0" xfId="0" applyAlignment="1" applyBorder="1" applyFont="1">
      <alignment horizontal="center" readingOrder="0"/>
    </xf>
    <xf borderId="16" fillId="17" fontId="7" numFmtId="0" xfId="0" applyAlignment="1" applyBorder="1" applyFont="1">
      <alignment horizontal="center" readingOrder="0"/>
    </xf>
    <xf borderId="17" fillId="17" fontId="54" numFmtId="0" xfId="0" applyAlignment="1" applyBorder="1" applyFont="1">
      <alignment horizontal="center" readingOrder="0"/>
    </xf>
    <xf borderId="18" fillId="17" fontId="7" numFmtId="0" xfId="0" applyAlignment="1" applyBorder="1" applyFont="1">
      <alignment horizontal="center" readingOrder="0"/>
    </xf>
    <xf borderId="19" fillId="17" fontId="54" numFmtId="0" xfId="0" applyAlignment="1" applyBorder="1" applyFont="1">
      <alignment horizontal="center" readingOrder="0"/>
    </xf>
    <xf borderId="10" fillId="17" fontId="7" numFmtId="0" xfId="0" applyAlignment="1" applyBorder="1" applyFont="1">
      <alignment horizontal="center" readingOrder="0"/>
    </xf>
    <xf borderId="0" fillId="0" fontId="49" numFmtId="0" xfId="0" applyAlignment="1" applyFont="1">
      <alignment readingOrder="0"/>
    </xf>
    <xf borderId="0" fillId="0" fontId="16" numFmtId="0" xfId="0" applyFont="1"/>
    <xf borderId="0" fillId="0" fontId="55" numFmtId="0" xfId="0" applyFont="1"/>
    <xf borderId="0" fillId="0" fontId="54" numFmtId="0" xfId="0" applyFont="1"/>
    <xf borderId="20" fillId="17" fontId="49" numFmtId="0" xfId="0" applyAlignment="1" applyBorder="1" applyFont="1">
      <alignment horizontal="center" readingOrder="0" vertical="center"/>
    </xf>
    <xf borderId="21" fillId="0" fontId="56" numFmtId="0" xfId="0" applyBorder="1" applyFont="1"/>
    <xf borderId="22" fillId="0" fontId="55" numFmtId="0" xfId="0" applyBorder="1" applyFont="1"/>
    <xf borderId="23" fillId="0" fontId="16" numFmtId="0" xfId="0" applyBorder="1" applyFont="1"/>
    <xf borderId="22" fillId="0" fontId="7" numFmtId="0" xfId="0" applyBorder="1" applyFont="1"/>
    <xf borderId="24" fillId="0" fontId="22" numFmtId="0" xfId="0" applyAlignment="1" applyBorder="1" applyFont="1">
      <alignment readingOrder="0" vertical="center"/>
    </xf>
    <xf borderId="24" fillId="0" fontId="54" numFmtId="0" xfId="0" applyAlignment="1" applyBorder="1" applyFont="1">
      <alignment readingOrder="0"/>
    </xf>
    <xf borderId="25" fillId="17" fontId="49" numFmtId="0" xfId="0" applyAlignment="1" applyBorder="1" applyFont="1">
      <alignment horizontal="center" readingOrder="0" vertical="center"/>
    </xf>
    <xf borderId="26" fillId="0" fontId="25" numFmtId="0" xfId="0" applyAlignment="1" applyBorder="1" applyFont="1">
      <alignment readingOrder="0"/>
    </xf>
    <xf borderId="24" fillId="0" fontId="57" numFmtId="0" xfId="0" applyAlignment="1" applyBorder="1" applyFont="1">
      <alignment readingOrder="0" vertical="center"/>
    </xf>
    <xf borderId="0" fillId="0" fontId="58" numFmtId="0" xfId="0" applyFont="1"/>
    <xf borderId="0" fillId="0" fontId="59" numFmtId="0" xfId="0" applyFont="1"/>
    <xf borderId="27" fillId="0" fontId="7" numFmtId="0" xfId="0" applyBorder="1" applyFont="1"/>
    <xf borderId="23" fillId="0" fontId="58" numFmtId="0" xfId="0" applyBorder="1" applyFont="1"/>
    <xf borderId="28" fillId="0" fontId="55" numFmtId="0" xfId="0" applyBorder="1" applyFont="1"/>
    <xf borderId="2" fillId="0" fontId="58" numFmtId="0" xfId="0" applyBorder="1" applyFont="1"/>
    <xf borderId="1" fillId="0" fontId="58" numFmtId="0" xfId="0" applyBorder="1" applyFont="1"/>
    <xf borderId="1" fillId="0" fontId="58" numFmtId="0" xfId="0" applyAlignment="1" applyBorder="1" applyFont="1">
      <alignment readingOrder="0"/>
    </xf>
    <xf borderId="1" fillId="0" fontId="60" numFmtId="0" xfId="0" applyAlignment="1" applyBorder="1" applyFont="1">
      <alignment readingOrder="0"/>
    </xf>
    <xf borderId="28" fillId="0" fontId="7" numFmtId="0" xfId="0" applyBorder="1" applyFont="1"/>
    <xf borderId="29" fillId="0" fontId="7" numFmtId="0" xfId="0" applyBorder="1" applyFont="1"/>
    <xf borderId="30" fillId="0" fontId="22" numFmtId="0" xfId="0" applyAlignment="1" applyBorder="1" applyFont="1">
      <alignment vertical="center"/>
    </xf>
    <xf borderId="31" fillId="0" fontId="61" numFmtId="0" xfId="0" applyAlignment="1" applyBorder="1" applyFont="1">
      <alignment readingOrder="0"/>
    </xf>
    <xf borderId="30" fillId="0" fontId="62" numFmtId="0" xfId="0" applyAlignment="1" applyBorder="1" applyFont="1">
      <alignment vertical="center"/>
    </xf>
    <xf borderId="0" fillId="0" fontId="56" numFmtId="0" xfId="0" applyFont="1"/>
    <xf borderId="23" fillId="0" fontId="56" numFmtId="0" xfId="0" applyBorder="1" applyFont="1"/>
    <xf borderId="2" fillId="0" fontId="56" numFmtId="0" xfId="0" applyBorder="1" applyFont="1"/>
    <xf borderId="1" fillId="0" fontId="56" numFmtId="0" xfId="0" applyBorder="1" applyFont="1"/>
    <xf borderId="30" fillId="0" fontId="22" numFmtId="0" xfId="0" applyAlignment="1" applyBorder="1" applyFont="1">
      <alignment readingOrder="0" vertical="center"/>
    </xf>
    <xf borderId="30" fillId="0" fontId="59" numFmtId="0" xfId="0" applyAlignment="1" applyBorder="1" applyFont="1">
      <alignment readingOrder="0"/>
    </xf>
    <xf borderId="30" fillId="0" fontId="61" numFmtId="0" xfId="0" applyAlignment="1" applyBorder="1" applyFont="1">
      <alignment readingOrder="0"/>
    </xf>
    <xf borderId="30" fillId="0" fontId="22" numFmtId="0" xfId="0" applyAlignment="1" applyBorder="1" applyFont="1">
      <alignment readingOrder="0" vertical="center"/>
    </xf>
    <xf borderId="19" fillId="0" fontId="7" numFmtId="0" xfId="0" applyBorder="1" applyFont="1"/>
    <xf borderId="32" fillId="0" fontId="56" numFmtId="0" xfId="0" applyBorder="1" applyFont="1"/>
    <xf borderId="33" fillId="0" fontId="55" numFmtId="0" xfId="0" applyBorder="1" applyFont="1"/>
    <xf borderId="34" fillId="0" fontId="56" numFmtId="0" xfId="0" applyBorder="1" applyFont="1"/>
    <xf borderId="17" fillId="0" fontId="56" numFmtId="0" xfId="0" applyBorder="1" applyFont="1"/>
    <xf borderId="17" fillId="0" fontId="16" numFmtId="0" xfId="0" applyBorder="1" applyFont="1"/>
    <xf borderId="33" fillId="0" fontId="7" numFmtId="0" xfId="0" applyBorder="1" applyFont="1"/>
    <xf borderId="19" fillId="0" fontId="22" numFmtId="0" xfId="0" applyAlignment="1" applyBorder="1" applyFont="1">
      <alignment vertical="center"/>
    </xf>
    <xf borderId="35" fillId="0" fontId="54" numFmtId="0" xfId="0" applyBorder="1" applyFont="1"/>
    <xf borderId="36" fillId="0" fontId="7" numFmtId="0" xfId="0" applyBorder="1" applyFont="1"/>
    <xf borderId="19" fillId="0" fontId="22" numFmtId="0" xfId="0" applyAlignment="1" applyBorder="1" applyFont="1">
      <alignment readingOrder="0" vertical="center"/>
    </xf>
    <xf borderId="35" fillId="0" fontId="25" numFmtId="0" xfId="0" applyBorder="1" applyFont="1"/>
    <xf borderId="19" fillId="0" fontId="25" numFmtId="0" xfId="0" applyBorder="1" applyFont="1"/>
    <xf borderId="0" fillId="0" fontId="16" numFmtId="0" xfId="0" applyFont="1"/>
    <xf borderId="27" fillId="17" fontId="49" numFmtId="0" xfId="0" applyAlignment="1" applyBorder="1" applyFont="1">
      <alignment horizontal="center" readingOrder="0" vertical="center"/>
    </xf>
    <xf borderId="4" fillId="0" fontId="56" numFmtId="0" xfId="0" applyBorder="1" applyFont="1"/>
    <xf borderId="37" fillId="0" fontId="55" numFmtId="0" xfId="0" applyBorder="1" applyFont="1"/>
    <xf borderId="38" fillId="0" fontId="56" numFmtId="0" xfId="0" applyBorder="1" applyFont="1"/>
    <xf borderId="39" fillId="0" fontId="55" numFmtId="0" xfId="0" applyBorder="1" applyFont="1"/>
    <xf borderId="38" fillId="18" fontId="16" numFmtId="0" xfId="0" applyBorder="1" applyFill="1" applyFont="1"/>
    <xf borderId="2" fillId="0" fontId="16" numFmtId="0" xfId="0" applyBorder="1" applyFont="1"/>
    <xf borderId="2" fillId="9" fontId="16" numFmtId="0" xfId="0" applyBorder="1" applyFont="1"/>
    <xf borderId="2" fillId="0" fontId="16" numFmtId="0" xfId="0" applyAlignment="1" applyBorder="1" applyFont="1">
      <alignment readingOrder="0"/>
    </xf>
    <xf borderId="30" fillId="0" fontId="54" numFmtId="0" xfId="0" applyAlignment="1" applyBorder="1" applyFont="1">
      <alignment readingOrder="0"/>
    </xf>
    <xf borderId="29" fillId="17" fontId="49" numFmtId="0" xfId="0" applyAlignment="1" applyBorder="1" applyFont="1">
      <alignment horizontal="center" readingOrder="0" vertical="center"/>
    </xf>
    <xf borderId="0" fillId="0" fontId="60" numFmtId="0" xfId="0" applyFont="1"/>
    <xf borderId="5" fillId="0" fontId="55" numFmtId="0" xfId="0" applyBorder="1" applyFont="1"/>
    <xf borderId="23" fillId="18" fontId="60" numFmtId="0" xfId="0" applyBorder="1" applyFont="1"/>
    <xf borderId="23" fillId="0" fontId="16" numFmtId="0" xfId="0" applyBorder="1" applyFont="1"/>
    <xf borderId="30" fillId="0" fontId="54" numFmtId="0" xfId="0" applyBorder="1" applyFont="1"/>
    <xf borderId="31" fillId="0" fontId="61" numFmtId="0" xfId="0" applyBorder="1" applyFont="1"/>
    <xf borderId="23" fillId="18" fontId="16" numFmtId="0" xfId="0" applyBorder="1" applyFont="1"/>
    <xf borderId="31" fillId="0" fontId="25" numFmtId="0" xfId="0" applyBorder="1" applyFont="1"/>
    <xf borderId="30" fillId="0" fontId="54" numFmtId="0" xfId="0" applyAlignment="1" applyBorder="1" applyFont="1">
      <alignment readingOrder="0" vertical="center"/>
    </xf>
    <xf borderId="0" fillId="0" fontId="60" numFmtId="0" xfId="0" applyAlignment="1" applyFont="1">
      <alignment vertical="bottom"/>
    </xf>
    <xf borderId="0" fillId="0" fontId="59" numFmtId="0" xfId="0" applyAlignment="1" applyFont="1">
      <alignment vertical="bottom"/>
    </xf>
    <xf borderId="2" fillId="0" fontId="60" numFmtId="0" xfId="0" applyAlignment="1" applyBorder="1" applyFont="1">
      <alignment vertical="bottom"/>
    </xf>
    <xf borderId="5" fillId="0" fontId="7" numFmtId="0" xfId="0" applyBorder="1" applyFont="1"/>
    <xf borderId="23" fillId="0" fontId="60" numFmtId="0" xfId="0" applyAlignment="1" applyBorder="1" applyFont="1">
      <alignment vertical="bottom"/>
    </xf>
    <xf borderId="30" fillId="0" fontId="59" numFmtId="0" xfId="0" applyAlignment="1" applyBorder="1" applyFont="1">
      <alignment vertical="bottom"/>
    </xf>
    <xf borderId="31" fillId="0" fontId="61" numFmtId="0" xfId="0" applyAlignment="1" applyBorder="1" applyFont="1">
      <alignment vertical="bottom"/>
    </xf>
    <xf borderId="0" fillId="0" fontId="63" numFmtId="0" xfId="0" applyAlignment="1" applyFont="1">
      <alignment readingOrder="0" vertical="center"/>
    </xf>
    <xf borderId="0" fillId="0" fontId="64" numFmtId="0" xfId="0" applyAlignment="1" applyFont="1">
      <alignment readingOrder="0" vertical="center"/>
    </xf>
    <xf borderId="32" fillId="0" fontId="63" numFmtId="0" xfId="0" applyAlignment="1" applyBorder="1" applyFont="1">
      <alignment readingOrder="0" vertical="center"/>
    </xf>
    <xf borderId="32" fillId="18" fontId="63" numFmtId="0" xfId="0" applyAlignment="1" applyBorder="1" applyFont="1">
      <alignment readingOrder="0" vertical="center"/>
    </xf>
    <xf borderId="32" fillId="0" fontId="64" numFmtId="0" xfId="0" applyAlignment="1" applyBorder="1" applyFont="1">
      <alignment readingOrder="0" vertical="center"/>
    </xf>
    <xf borderId="32" fillId="0" fontId="65" numFmtId="0" xfId="0" applyAlignment="1" applyBorder="1" applyFont="1">
      <alignment readingOrder="0" vertical="center"/>
    </xf>
    <xf borderId="35" fillId="0" fontId="22" numFmtId="0" xfId="0" applyAlignment="1" applyBorder="1" applyFont="1">
      <alignment vertical="center"/>
    </xf>
    <xf borderId="35" fillId="0" fontId="63" numFmtId="0" xfId="0" applyAlignment="1" applyBorder="1" applyFont="1">
      <alignment readingOrder="0" vertical="center"/>
    </xf>
    <xf borderId="35" fillId="0" fontId="61" numFmtId="0" xfId="0" applyAlignment="1" applyBorder="1" applyFont="1">
      <alignment readingOrder="0" vertical="center"/>
    </xf>
    <xf borderId="38" fillId="0" fontId="63" numFmtId="0" xfId="0" applyAlignment="1" applyBorder="1" applyFont="1">
      <alignment readingOrder="0" vertical="center"/>
    </xf>
    <xf borderId="39" fillId="0" fontId="64" numFmtId="0" xfId="0" applyAlignment="1" applyBorder="1" applyFont="1">
      <alignment readingOrder="0" vertical="center"/>
    </xf>
    <xf borderId="38" fillId="0" fontId="65" numFmtId="0" xfId="0" applyAlignment="1" applyBorder="1" applyFont="1">
      <alignment readingOrder="0" vertical="center"/>
    </xf>
    <xf borderId="39" fillId="0" fontId="65" numFmtId="0" xfId="0" applyAlignment="1" applyBorder="1" applyFont="1">
      <alignment readingOrder="0" vertical="center"/>
    </xf>
    <xf borderId="40" fillId="0" fontId="25" numFmtId="0" xfId="0" applyAlignment="1" applyBorder="1" applyFont="1">
      <alignment readingOrder="0" vertical="center"/>
    </xf>
    <xf borderId="30" fillId="0" fontId="49" numFmtId="0" xfId="0" applyAlignment="1" applyBorder="1" applyFont="1">
      <alignment readingOrder="0"/>
    </xf>
    <xf borderId="24" fillId="0" fontId="61" numFmtId="0" xfId="0" applyAlignment="1" applyBorder="1" applyFont="1">
      <alignment readingOrder="0" vertical="center"/>
    </xf>
    <xf borderId="24" fillId="0" fontId="66" numFmtId="0" xfId="0" applyAlignment="1" applyBorder="1" applyFont="1">
      <alignment readingOrder="0" vertical="center"/>
    </xf>
    <xf borderId="0" fillId="0" fontId="65" numFmtId="0" xfId="0" applyAlignment="1" applyFont="1">
      <alignment readingOrder="0" vertical="center"/>
    </xf>
    <xf borderId="2" fillId="0" fontId="65" numFmtId="0" xfId="0" applyAlignment="1" applyBorder="1" applyFont="1">
      <alignment readingOrder="0" vertical="center"/>
    </xf>
    <xf borderId="5" fillId="0" fontId="65" numFmtId="0" xfId="0" applyAlignment="1" applyBorder="1" applyFont="1">
      <alignment readingOrder="0" vertical="center"/>
    </xf>
    <xf borderId="23" fillId="0" fontId="65" numFmtId="0" xfId="0" applyAlignment="1" applyBorder="1" applyFont="1">
      <alignment readingOrder="0" vertical="center"/>
    </xf>
    <xf borderId="28" fillId="0" fontId="65" numFmtId="0" xfId="0" applyAlignment="1" applyBorder="1" applyFont="1">
      <alignment readingOrder="0" vertical="center"/>
    </xf>
    <xf borderId="24" fillId="0" fontId="63" numFmtId="0" xfId="0" applyAlignment="1" applyBorder="1" applyFont="1">
      <alignment readingOrder="0" vertical="center"/>
    </xf>
    <xf borderId="41" fillId="0" fontId="25" numFmtId="0" xfId="0" applyAlignment="1" applyBorder="1" applyFont="1">
      <alignment readingOrder="0" vertical="center"/>
    </xf>
    <xf borderId="42" fillId="0" fontId="25" numFmtId="0" xfId="0" applyAlignment="1" applyBorder="1" applyFont="1">
      <alignment readingOrder="0"/>
    </xf>
    <xf borderId="7" fillId="0" fontId="25" numFmtId="0" xfId="0" applyAlignment="1" applyBorder="1" applyFont="1">
      <alignment readingOrder="0"/>
    </xf>
    <xf borderId="30" fillId="0" fontId="67" numFmtId="0" xfId="0" applyAlignment="1" applyBorder="1" applyFont="1">
      <alignment readingOrder="0" vertical="center"/>
    </xf>
    <xf borderId="5" fillId="0" fontId="16" numFmtId="0" xfId="0" applyBorder="1" applyFont="1"/>
    <xf borderId="28" fillId="0" fontId="16" numFmtId="0" xfId="0" applyBorder="1" applyFont="1"/>
    <xf borderId="23" fillId="0" fontId="56" numFmtId="0" xfId="0" applyAlignment="1" applyBorder="1" applyFont="1">
      <alignment readingOrder="0"/>
    </xf>
    <xf borderId="23" fillId="0" fontId="16" numFmtId="0" xfId="0" applyAlignment="1" applyBorder="1" applyFont="1">
      <alignment readingOrder="0"/>
    </xf>
    <xf borderId="30" fillId="0" fontId="25" numFmtId="0" xfId="0" applyAlignment="1" applyBorder="1" applyFont="1">
      <alignment readingOrder="0" vertical="center"/>
    </xf>
    <xf borderId="41" fillId="0" fontId="63" numFmtId="0" xfId="0" applyAlignment="1" applyBorder="1" applyFont="1">
      <alignment readingOrder="0" vertical="center"/>
    </xf>
    <xf borderId="43" fillId="0" fontId="25" numFmtId="0" xfId="0" applyAlignment="1" applyBorder="1" applyFont="1">
      <alignment readingOrder="0"/>
    </xf>
    <xf borderId="6" fillId="0" fontId="25" numFmtId="0" xfId="0" applyAlignment="1" applyBorder="1" applyFont="1">
      <alignment readingOrder="0"/>
    </xf>
    <xf borderId="30" fillId="0" fontId="68" numFmtId="0" xfId="0" applyAlignment="1" applyBorder="1" applyFont="1">
      <alignment readingOrder="0" vertical="center"/>
    </xf>
    <xf borderId="0" fillId="0" fontId="10" numFmtId="0" xfId="0" applyAlignment="1" applyFont="1">
      <alignment readingOrder="0" shrinkToFit="0" vertical="center" wrapText="0"/>
    </xf>
    <xf borderId="31" fillId="0" fontId="25" numFmtId="0" xfId="0" applyAlignment="1" applyBorder="1" applyFont="1">
      <alignment readingOrder="0" shrinkToFit="0" vertical="center" wrapText="0"/>
    </xf>
    <xf borderId="24" fillId="0" fontId="7" numFmtId="0" xfId="0" applyBorder="1" applyFont="1"/>
    <xf borderId="44" fillId="0" fontId="25" numFmtId="0" xfId="0" applyAlignment="1" applyBorder="1" applyFont="1">
      <alignment readingOrder="0" shrinkToFit="0" vertical="center" wrapText="0"/>
    </xf>
    <xf borderId="45" fillId="0" fontId="25" numFmtId="0" xfId="0" applyAlignment="1" applyBorder="1" applyFont="1">
      <alignment readingOrder="0" shrinkToFit="0" vertical="center" wrapText="0"/>
    </xf>
    <xf borderId="24" fillId="0" fontId="69" numFmtId="0" xfId="0" applyAlignment="1" applyBorder="1" applyFont="1">
      <alignment readingOrder="0" vertical="center"/>
    </xf>
    <xf borderId="46" fillId="0" fontId="64" numFmtId="0" xfId="0" applyAlignment="1" applyBorder="1" applyFont="1">
      <alignment readingOrder="0" vertical="center"/>
    </xf>
    <xf borderId="47" fillId="0" fontId="64" numFmtId="0" xfId="0" applyAlignment="1" applyBorder="1" applyFont="1">
      <alignment readingOrder="0" vertical="center"/>
    </xf>
    <xf borderId="48" fillId="0" fontId="64" numFmtId="0" xfId="0" applyAlignment="1" applyBorder="1" applyFont="1">
      <alignment readingOrder="0" vertical="center"/>
    </xf>
    <xf borderId="49" fillId="0" fontId="64" numFmtId="0" xfId="0" applyAlignment="1" applyBorder="1" applyFont="1">
      <alignment readingOrder="0" vertical="center"/>
    </xf>
    <xf borderId="48" fillId="0" fontId="65" numFmtId="0" xfId="0" applyAlignment="1" applyBorder="1" applyFont="1">
      <alignment readingOrder="0" vertical="center"/>
    </xf>
    <xf borderId="49" fillId="0" fontId="65" numFmtId="0" xfId="0" applyAlignment="1" applyBorder="1" applyFont="1">
      <alignment readingOrder="0" vertical="center"/>
    </xf>
    <xf borderId="41" fillId="0" fontId="61" numFmtId="0" xfId="0" applyAlignment="1" applyBorder="1" applyFont="1">
      <alignment readingOrder="0" vertical="center"/>
    </xf>
    <xf borderId="44" fillId="0" fontId="61" numFmtId="0" xfId="0" applyAlignment="1" applyBorder="1" applyFont="1">
      <alignment readingOrder="0" vertical="center"/>
    </xf>
    <xf borderId="34" fillId="0" fontId="64" numFmtId="0" xfId="0" applyAlignment="1" applyBorder="1" applyFont="1">
      <alignment readingOrder="0" vertical="center"/>
    </xf>
    <xf borderId="50" fillId="0" fontId="64" numFmtId="0" xfId="0" applyAlignment="1" applyBorder="1" applyFont="1">
      <alignment readingOrder="0" vertical="center"/>
    </xf>
    <xf borderId="33" fillId="0" fontId="64" numFmtId="0" xfId="0" applyAlignment="1" applyBorder="1" applyFont="1">
      <alignment readingOrder="0" vertical="center"/>
    </xf>
    <xf borderId="33" fillId="0" fontId="65" numFmtId="0" xfId="0" applyAlignment="1" applyBorder="1" applyFont="1">
      <alignment readingOrder="0" vertical="center"/>
    </xf>
    <xf borderId="35" fillId="0" fontId="61" numFmtId="0" xfId="0" applyAlignment="1" applyBorder="1" applyFont="1">
      <alignment vertical="center"/>
    </xf>
    <xf borderId="51" fillId="0" fontId="61" numFmtId="0" xfId="0" applyAlignment="1" applyBorder="1" applyFont="1">
      <alignment readingOrder="0" vertical="center"/>
    </xf>
    <xf borderId="0" fillId="0" fontId="54" numFmtId="0" xfId="0" applyAlignment="1" applyFont="1">
      <alignment readingOrder="0" vertical="center"/>
    </xf>
    <xf borderId="4" fillId="0" fontId="64" numFmtId="0" xfId="0" applyAlignment="1" applyBorder="1" applyFont="1">
      <alignment readingOrder="0" vertical="center"/>
    </xf>
    <xf borderId="37" fillId="0" fontId="64" numFmtId="0" xfId="0" applyAlignment="1" applyBorder="1" applyFont="1">
      <alignment readingOrder="0" vertical="center"/>
    </xf>
    <xf borderId="38" fillId="0" fontId="64" numFmtId="0" xfId="0" applyAlignment="1" applyBorder="1" applyFont="1">
      <alignment readingOrder="0" vertical="center"/>
    </xf>
    <xf borderId="38" fillId="18" fontId="54" numFmtId="0" xfId="0" applyAlignment="1" applyBorder="1" applyFont="1">
      <alignment readingOrder="0" vertical="center"/>
    </xf>
    <xf borderId="38" fillId="0" fontId="54" numFmtId="0" xfId="0" applyAlignment="1" applyBorder="1" applyFont="1">
      <alignment readingOrder="0" vertical="center"/>
    </xf>
    <xf borderId="38" fillId="0" fontId="16" numFmtId="0" xfId="0" applyAlignment="1" applyBorder="1" applyFont="1">
      <alignment readingOrder="0" vertical="center"/>
    </xf>
    <xf borderId="39" fillId="0" fontId="7" numFmtId="0" xfId="0" applyBorder="1" applyFont="1"/>
    <xf borderId="24" fillId="0" fontId="25" numFmtId="0" xfId="0" applyAlignment="1" applyBorder="1" applyFont="1">
      <alignment readingOrder="0" vertical="center"/>
    </xf>
    <xf borderId="26" fillId="0" fontId="25" numFmtId="0" xfId="0" applyAlignment="1" applyBorder="1" applyFont="1">
      <alignment readingOrder="0" vertical="center"/>
    </xf>
    <xf borderId="0" fillId="0" fontId="56" numFmtId="0" xfId="0" applyAlignment="1" applyFont="1">
      <alignment readingOrder="0" vertical="center"/>
    </xf>
    <xf borderId="0" fillId="0" fontId="16" numFmtId="0" xfId="0" applyAlignment="1" applyFont="1">
      <alignment vertical="center"/>
    </xf>
    <xf borderId="2" fillId="0" fontId="56" numFmtId="0" xfId="0" applyAlignment="1" applyBorder="1" applyFont="1">
      <alignment readingOrder="0" vertical="center"/>
    </xf>
    <xf borderId="5" fillId="0" fontId="56" numFmtId="0" xfId="0" applyBorder="1" applyFont="1"/>
    <xf borderId="23" fillId="0" fontId="56" numFmtId="0" xfId="0" applyAlignment="1" applyBorder="1" applyFont="1">
      <alignment readingOrder="0" vertical="center"/>
    </xf>
    <xf borderId="28" fillId="0" fontId="56" numFmtId="0" xfId="0" applyBorder="1" applyFont="1"/>
    <xf borderId="23" fillId="18" fontId="16" numFmtId="0" xfId="0" applyAlignment="1" applyBorder="1" applyFont="1">
      <alignment vertical="center"/>
    </xf>
    <xf borderId="23" fillId="0" fontId="16" numFmtId="0" xfId="0" applyAlignment="1" applyBorder="1" applyFont="1">
      <alignment vertical="center"/>
    </xf>
    <xf borderId="23" fillId="0" fontId="16" numFmtId="0" xfId="0" applyAlignment="1" applyBorder="1" applyFont="1">
      <alignment readingOrder="0" vertical="center"/>
    </xf>
    <xf borderId="30" fillId="0" fontId="25" numFmtId="0" xfId="0" applyAlignment="1" applyBorder="1" applyFont="1">
      <alignment vertical="center"/>
    </xf>
    <xf borderId="31" fillId="0" fontId="25" numFmtId="0" xfId="0" applyAlignment="1" applyBorder="1" applyFont="1">
      <alignment readingOrder="0" vertical="center"/>
    </xf>
    <xf borderId="34" fillId="0" fontId="65" numFmtId="0" xfId="0" applyAlignment="1" applyBorder="1" applyFont="1">
      <alignment readingOrder="0" vertical="center"/>
    </xf>
    <xf borderId="50" fillId="0" fontId="65" numFmtId="0" xfId="0" applyAlignment="1" applyBorder="1" applyFont="1">
      <alignment readingOrder="0" vertical="center"/>
    </xf>
    <xf borderId="52" fillId="0" fontId="25" numFmtId="0" xfId="0" applyAlignment="1" applyBorder="1" applyFont="1">
      <alignment vertical="center"/>
    </xf>
    <xf borderId="0" fillId="0" fontId="54" numFmtId="0" xfId="0" applyFont="1"/>
    <xf borderId="23" fillId="0" fontId="54" numFmtId="0" xfId="0" applyBorder="1" applyFont="1"/>
    <xf borderId="2" fillId="0" fontId="56" numFmtId="0" xfId="0" applyAlignment="1" applyBorder="1" applyFont="1">
      <alignment readingOrder="0"/>
    </xf>
    <xf borderId="29" fillId="0" fontId="25" numFmtId="0" xfId="0" applyAlignment="1" applyBorder="1" applyFont="1">
      <alignment readingOrder="0" vertical="center"/>
    </xf>
    <xf borderId="20" fillId="0" fontId="54" numFmtId="0" xfId="0" applyAlignment="1" applyBorder="1" applyFont="1">
      <alignment readingOrder="0"/>
    </xf>
    <xf borderId="30" fillId="0" fontId="61" numFmtId="0" xfId="0" applyAlignment="1" applyBorder="1" applyFont="1">
      <alignment readingOrder="0" vertical="center"/>
    </xf>
    <xf borderId="30" fillId="0" fontId="25" numFmtId="0" xfId="0" applyAlignment="1" applyBorder="1" applyFont="1">
      <alignment readingOrder="0"/>
    </xf>
    <xf borderId="30" fillId="0" fontId="70" numFmtId="0" xfId="0" applyAlignment="1" applyBorder="1" applyFont="1">
      <alignment readingOrder="0" vertical="center"/>
    </xf>
    <xf borderId="0" fillId="0" fontId="54" numFmtId="0" xfId="0" applyAlignment="1" applyFont="1">
      <alignment readingOrder="0"/>
    </xf>
    <xf borderId="0" fillId="0" fontId="16" numFmtId="0" xfId="0" applyAlignment="1" applyFont="1">
      <alignment readingOrder="0"/>
    </xf>
    <xf borderId="46" fillId="0" fontId="56" numFmtId="0" xfId="0" applyBorder="1" applyFont="1"/>
    <xf borderId="47" fillId="0" fontId="16" numFmtId="0" xfId="0" applyBorder="1" applyFont="1"/>
    <xf borderId="46" fillId="0" fontId="16" numFmtId="0" xfId="0" applyAlignment="1" applyBorder="1" applyFont="1">
      <alignment readingOrder="0"/>
    </xf>
    <xf borderId="49" fillId="0" fontId="16" numFmtId="0" xfId="0" applyBorder="1" applyFont="1"/>
    <xf borderId="5" fillId="0" fontId="25" numFmtId="0" xfId="0" applyAlignment="1" applyBorder="1" applyFont="1">
      <alignment readingOrder="0" vertical="center"/>
    </xf>
    <xf borderId="41" fillId="0" fontId="25" numFmtId="0" xfId="0" applyAlignment="1" applyBorder="1" applyFont="1">
      <alignment vertical="center"/>
    </xf>
    <xf borderId="44" fillId="0" fontId="25" numFmtId="0" xfId="0" applyBorder="1" applyFont="1"/>
    <xf borderId="0" fillId="0" fontId="60" numFmtId="0" xfId="0" applyAlignment="1" applyFont="1">
      <alignment readingOrder="0"/>
    </xf>
    <xf borderId="34" fillId="0" fontId="56" numFmtId="0" xfId="0" applyBorder="1" applyFont="1"/>
    <xf borderId="50" fillId="0" fontId="16" numFmtId="0" xfId="0" applyBorder="1" applyFont="1"/>
    <xf borderId="32" fillId="0" fontId="16" numFmtId="0" xfId="0" applyAlignment="1" applyBorder="1" applyFont="1">
      <alignment readingOrder="0"/>
    </xf>
    <xf borderId="33" fillId="0" fontId="16" numFmtId="0" xfId="0" applyBorder="1" applyFont="1"/>
    <xf borderId="31" fillId="0" fontId="25" numFmtId="0" xfId="0" applyBorder="1" applyFont="1"/>
    <xf borderId="53" fillId="0" fontId="56" numFmtId="0" xfId="0" applyBorder="1" applyFont="1"/>
    <xf borderId="54" fillId="0" fontId="16" numFmtId="0" xfId="0" applyBorder="1" applyFont="1"/>
    <xf borderId="55" fillId="0" fontId="16" numFmtId="0" xfId="0" applyAlignment="1" applyBorder="1" applyFont="1">
      <alignment readingOrder="0"/>
    </xf>
    <xf borderId="56" fillId="0" fontId="16" numFmtId="0" xfId="0" applyBorder="1" applyFont="1"/>
    <xf borderId="35" fillId="0" fontId="54" numFmtId="0" xfId="0" applyAlignment="1" applyBorder="1" applyFont="1">
      <alignment readingOrder="0"/>
    </xf>
    <xf borderId="35" fillId="0" fontId="25" numFmtId="0" xfId="0" applyAlignment="1" applyBorder="1" applyFont="1">
      <alignment vertical="center"/>
    </xf>
    <xf borderId="51" fillId="0" fontId="25" numFmtId="0" xfId="0" applyBorder="1" applyFont="1"/>
    <xf borderId="53" fillId="0" fontId="58" numFmtId="0" xfId="0" applyBorder="1" applyFont="1"/>
    <xf borderId="54" fillId="0" fontId="64" numFmtId="0" xfId="0" applyAlignment="1" applyBorder="1" applyFont="1">
      <alignment readingOrder="0" vertical="center"/>
    </xf>
    <xf borderId="55" fillId="0" fontId="58" numFmtId="0" xfId="0" applyBorder="1" applyFont="1"/>
    <xf borderId="56" fillId="0" fontId="64" numFmtId="0" xfId="0" applyAlignment="1" applyBorder="1" applyFont="1">
      <alignment readingOrder="0" vertical="center"/>
    </xf>
    <xf borderId="55" fillId="9" fontId="60" numFmtId="0" xfId="0" applyAlignment="1" applyBorder="1" applyFont="1">
      <alignment readingOrder="0"/>
    </xf>
    <xf borderId="55" fillId="0" fontId="60" numFmtId="0" xfId="0" applyAlignment="1" applyBorder="1" applyFont="1">
      <alignment readingOrder="0"/>
    </xf>
    <xf borderId="56" fillId="0" fontId="65" numFmtId="0" xfId="0" applyAlignment="1" applyBorder="1" applyFont="1">
      <alignment readingOrder="0" vertical="center"/>
    </xf>
    <xf borderId="57" fillId="0" fontId="61" numFmtId="0" xfId="0" applyAlignment="1" applyBorder="1" applyFont="1">
      <alignment readingOrder="0" vertical="center"/>
    </xf>
    <xf borderId="30" fillId="4" fontId="59" numFmtId="0" xfId="0" applyAlignment="1" applyBorder="1" applyFont="1">
      <alignment readingOrder="0"/>
    </xf>
    <xf borderId="0" fillId="4" fontId="7" numFmtId="0" xfId="0" applyAlignment="1" applyFont="1">
      <alignment readingOrder="0"/>
    </xf>
    <xf borderId="36" fillId="17" fontId="49" numFmtId="0" xfId="0" applyAlignment="1" applyBorder="1" applyFont="1">
      <alignment horizontal="center" readingOrder="0" vertical="center"/>
    </xf>
    <xf borderId="19" fillId="0" fontId="61" numFmtId="0" xfId="0" applyAlignment="1" applyBorder="1" applyFont="1">
      <alignment readingOrder="0" vertical="center"/>
    </xf>
    <xf borderId="58" fillId="0" fontId="61" numFmtId="0" xfId="0" applyAlignment="1" applyBorder="1" applyFont="1">
      <alignment readingOrder="0"/>
    </xf>
    <xf borderId="19" fillId="0" fontId="61" numFmtId="0" xfId="0" applyAlignment="1" applyBorder="1" applyFont="1">
      <alignment readingOrder="0" vertical="center"/>
    </xf>
    <xf borderId="0" fillId="0" fontId="54" numFmtId="0" xfId="0" applyAlignment="1" applyFont="1">
      <alignment vertical="bottom"/>
    </xf>
    <xf borderId="13" fillId="0" fontId="58" numFmtId="0" xfId="0" applyBorder="1" applyFont="1"/>
    <xf borderId="14" fillId="0" fontId="64" numFmtId="0" xfId="0" applyAlignment="1" applyBorder="1" applyFont="1">
      <alignment readingOrder="0" vertical="center"/>
    </xf>
    <xf borderId="16" fillId="0" fontId="64" numFmtId="0" xfId="0" applyAlignment="1" applyBorder="1" applyFont="1">
      <alignment readingOrder="0" vertical="center"/>
    </xf>
    <xf borderId="54" fillId="0" fontId="65" numFmtId="0" xfId="0" applyAlignment="1" applyBorder="1" applyFont="1">
      <alignment readingOrder="0" vertical="center"/>
    </xf>
    <xf borderId="30" fillId="0" fontId="25" numFmtId="0" xfId="0" applyBorder="1" applyFont="1"/>
    <xf borderId="4" fillId="0" fontId="56" numFmtId="0" xfId="0" applyAlignment="1" applyBorder="1" applyFont="1">
      <alignment vertical="bottom"/>
    </xf>
    <xf borderId="59" fillId="0" fontId="61" numFmtId="0" xfId="0" applyAlignment="1" applyBorder="1" applyFont="1">
      <alignment readingOrder="0" vertical="center"/>
    </xf>
    <xf borderId="59" fillId="0" fontId="63" numFmtId="0" xfId="0" applyAlignment="1" applyBorder="1" applyFont="1">
      <alignment readingOrder="0" vertical="center"/>
    </xf>
    <xf borderId="26" fillId="0" fontId="25" numFmtId="0" xfId="0" applyAlignment="1" applyBorder="1" applyFont="1">
      <alignment vertical="bottom"/>
    </xf>
    <xf borderId="0" fillId="0" fontId="54" numFmtId="0" xfId="0" applyAlignment="1" applyFont="1">
      <alignment vertical="center"/>
    </xf>
    <xf borderId="0" fillId="0" fontId="16" numFmtId="0" xfId="0" applyAlignment="1" applyFont="1">
      <alignment vertical="center"/>
    </xf>
    <xf borderId="0" fillId="0" fontId="49" numFmtId="0" xfId="0" applyAlignment="1" applyFont="1">
      <alignment vertical="center"/>
    </xf>
    <xf borderId="19" fillId="17" fontId="7" numFmtId="0" xfId="0" applyAlignment="1" applyBorder="1" applyFont="1">
      <alignment horizontal="center" readingOrder="0" vertical="center"/>
    </xf>
    <xf borderId="53" fillId="0" fontId="7" numFmtId="0" xfId="0" applyAlignment="1" applyBorder="1" applyFont="1">
      <alignment vertical="center"/>
    </xf>
    <xf borderId="54" fillId="0" fontId="16" numFmtId="0" xfId="0" applyAlignment="1" applyBorder="1" applyFont="1">
      <alignment vertical="center"/>
    </xf>
    <xf borderId="55" fillId="0" fontId="7" numFmtId="0" xfId="0" applyAlignment="1" applyBorder="1" applyFont="1">
      <alignment vertical="center"/>
    </xf>
    <xf borderId="56" fillId="0" fontId="16" numFmtId="0" xfId="0" applyAlignment="1" applyBorder="1" applyFont="1">
      <alignment vertical="center"/>
    </xf>
    <xf borderId="19" fillId="0" fontId="25" numFmtId="0" xfId="0" applyAlignment="1" applyBorder="1" applyFont="1">
      <alignment vertical="center"/>
    </xf>
    <xf borderId="19" fillId="0" fontId="7" numFmtId="0" xfId="0" applyAlignment="1" applyBorder="1" applyFont="1">
      <alignment vertical="center"/>
    </xf>
    <xf borderId="36" fillId="17" fontId="7" numFmtId="0" xfId="0" applyAlignment="1" applyBorder="1" applyFont="1">
      <alignment horizontal="center" readingOrder="0" vertical="center"/>
    </xf>
    <xf borderId="19" fillId="0" fontId="25" numFmtId="0" xfId="0" applyAlignment="1" applyBorder="1" applyFont="1">
      <alignment vertical="center"/>
    </xf>
    <xf borderId="58" fillId="0" fontId="22" numFmtId="0" xfId="0" applyAlignment="1" applyBorder="1" applyFont="1">
      <alignment vertical="center"/>
    </xf>
    <xf borderId="0" fillId="0" fontId="7" numFmtId="0" xfId="0" applyAlignment="1" applyFont="1">
      <alignment horizontal="center" vertical="center"/>
    </xf>
    <xf borderId="0" fillId="0" fontId="7" numFmtId="0" xfId="0" applyAlignment="1" applyFont="1">
      <alignment horizontal="left" readingOrder="0" vertical="center"/>
    </xf>
    <xf borderId="0" fillId="0" fontId="7" numFmtId="0" xfId="0" applyAlignment="1" applyFont="1">
      <alignment horizontal="center" readingOrder="0" vertical="center"/>
    </xf>
    <xf borderId="60" fillId="0" fontId="7" numFmtId="0" xfId="0" applyAlignment="1" applyBorder="1" applyFont="1">
      <alignment horizontal="center" readingOrder="0" vertical="center"/>
    </xf>
    <xf borderId="3" fillId="4" fontId="45" numFmtId="170" xfId="0" applyAlignment="1" applyBorder="1" applyFont="1" applyNumberFormat="1">
      <alignment horizontal="center" readingOrder="0" vertical="center"/>
    </xf>
    <xf borderId="3" fillId="4" fontId="71" numFmtId="0" xfId="0" applyAlignment="1" applyBorder="1" applyFont="1">
      <alignment readingOrder="0" vertical="center"/>
    </xf>
    <xf borderId="3" fillId="4" fontId="45" numFmtId="0" xfId="0" applyAlignment="1" applyBorder="1" applyFont="1">
      <alignment readingOrder="0" vertical="center"/>
    </xf>
    <xf borderId="3" fillId="0" fontId="7" numFmtId="0" xfId="0" applyAlignment="1" applyBorder="1" applyFont="1">
      <alignment horizontal="center" readingOrder="0" vertical="center"/>
    </xf>
    <xf borderId="1" fillId="4" fontId="45" numFmtId="170" xfId="0" applyAlignment="1" applyBorder="1" applyFont="1" applyNumberFormat="1">
      <alignment horizontal="center" readingOrder="0" vertical="center"/>
    </xf>
    <xf borderId="1" fillId="4" fontId="45" numFmtId="0" xfId="0" applyAlignment="1" applyBorder="1" applyFont="1">
      <alignment horizontal="left" readingOrder="0" vertical="center"/>
    </xf>
    <xf borderId="1" fillId="4" fontId="45" numFmtId="0" xfId="0" applyAlignment="1" applyBorder="1" applyFont="1">
      <alignment readingOrder="0" vertical="center"/>
    </xf>
    <xf borderId="1" fillId="0" fontId="7" numFmtId="0" xfId="0" applyAlignment="1" applyBorder="1" applyFont="1">
      <alignment readingOrder="0" vertical="center"/>
    </xf>
    <xf borderId="1" fillId="4" fontId="71" numFmtId="0" xfId="0" applyAlignment="1" applyBorder="1" applyFont="1">
      <alignment readingOrder="0" vertical="center"/>
    </xf>
    <xf borderId="0" fillId="0" fontId="7" numFmtId="0" xfId="0" applyAlignment="1" applyFont="1">
      <alignment horizontal="right" readingOrder="0" vertical="center"/>
    </xf>
    <xf borderId="0" fillId="4" fontId="45" numFmtId="0" xfId="0" applyAlignment="1" applyFont="1">
      <alignment readingOrder="0" vertical="center"/>
    </xf>
    <xf borderId="1" fillId="0" fontId="45" numFmtId="0" xfId="0" applyAlignment="1" applyBorder="1" applyFont="1">
      <alignment readingOrder="0" vertical="center"/>
    </xf>
    <xf borderId="3" fillId="0" fontId="45" numFmtId="0" xfId="0" applyAlignment="1" applyBorder="1" applyFont="1">
      <alignment readingOrder="0" vertical="center"/>
    </xf>
    <xf borderId="3" fillId="0" fontId="7" numFmtId="0" xfId="0" applyAlignment="1" applyBorder="1" applyFont="1">
      <alignment horizontal="center" readingOrder="0" vertical="center"/>
    </xf>
    <xf borderId="0" fillId="19" fontId="7" numFmtId="0" xfId="0" applyAlignment="1" applyFill="1" applyFont="1">
      <alignment vertical="center"/>
    </xf>
    <xf borderId="0" fillId="19" fontId="48" numFmtId="0" xfId="0" applyAlignment="1" applyFont="1">
      <alignment readingOrder="0" vertical="center"/>
    </xf>
    <xf borderId="0" fillId="19" fontId="7" numFmtId="0" xfId="0" applyAlignment="1" applyFont="1">
      <alignment horizontal="center" vertical="center"/>
    </xf>
    <xf borderId="0" fillId="0" fontId="55" numFmtId="0" xfId="0" applyAlignment="1" applyFont="1">
      <alignment readingOrder="0" vertical="center"/>
    </xf>
    <xf borderId="61" fillId="0" fontId="16" numFmtId="0" xfId="0" applyAlignment="1" applyBorder="1" applyFont="1">
      <alignment readingOrder="0" shrinkToFit="0" wrapText="0"/>
    </xf>
    <xf borderId="7" fillId="0" fontId="16" numFmtId="0" xfId="0" applyBorder="1" applyFont="1"/>
    <xf borderId="62" fillId="0" fontId="16" numFmtId="0" xfId="0" applyAlignment="1" applyBorder="1" applyFont="1">
      <alignment horizontal="center"/>
    </xf>
    <xf borderId="63" fillId="0" fontId="16" numFmtId="0" xfId="0" applyAlignment="1" applyBorder="1" applyFont="1">
      <alignment horizontal="center"/>
    </xf>
    <xf borderId="3" fillId="4" fontId="45" numFmtId="170" xfId="0" applyAlignment="1" applyBorder="1" applyFont="1" applyNumberFormat="1">
      <alignment horizontal="center" readingOrder="0" vertical="center"/>
    </xf>
    <xf borderId="4" fillId="0" fontId="16" numFmtId="0" xfId="0" applyAlignment="1" applyBorder="1" applyFont="1">
      <alignment vertical="center"/>
    </xf>
    <xf borderId="4" fillId="4" fontId="16" numFmtId="0" xfId="0" applyAlignment="1" applyBorder="1" applyFont="1">
      <alignment vertical="center"/>
    </xf>
    <xf borderId="4" fillId="0" fontId="16" numFmtId="0" xfId="0" applyAlignment="1" applyBorder="1" applyFont="1">
      <alignment horizontal="center" readingOrder="0" vertical="center"/>
    </xf>
    <xf borderId="4" fillId="4" fontId="16" numFmtId="0" xfId="0" applyAlignment="1" applyBorder="1" applyFont="1">
      <alignment readingOrder="0" vertical="center"/>
    </xf>
    <xf borderId="1" fillId="0" fontId="72" numFmtId="0" xfId="0" applyAlignment="1" applyBorder="1" applyFont="1">
      <alignment readingOrder="0" vertical="center"/>
    </xf>
    <xf borderId="1" fillId="4" fontId="73" numFmtId="0" xfId="0" applyAlignment="1" applyBorder="1" applyFont="1">
      <alignment readingOrder="0" vertical="center"/>
    </xf>
    <xf borderId="1" fillId="0" fontId="7" numFmtId="0" xfId="0" applyAlignment="1" applyBorder="1" applyFont="1">
      <alignment readingOrder="0" vertical="center"/>
    </xf>
    <xf borderId="4" fillId="0" fontId="74" numFmtId="0" xfId="0" applyAlignment="1" applyBorder="1" applyFont="1">
      <alignment readingOrder="0" vertical="center"/>
    </xf>
    <xf borderId="4" fillId="0" fontId="16" numFmtId="0" xfId="0" applyAlignment="1" applyBorder="1" applyFont="1">
      <alignment readingOrder="0" vertical="center"/>
    </xf>
    <xf borderId="64" fillId="0" fontId="16" numFmtId="0" xfId="0" applyAlignment="1" applyBorder="1" applyFont="1">
      <alignment readingOrder="0" shrinkToFit="0" wrapText="0"/>
    </xf>
    <xf borderId="62" fillId="0" fontId="16" numFmtId="0" xfId="0" applyAlignment="1" applyBorder="1" applyFont="1">
      <alignment horizontal="center" vertical="bottom"/>
    </xf>
    <xf borderId="63" fillId="0" fontId="16" numFmtId="0" xfId="0" applyAlignment="1" applyBorder="1" applyFont="1">
      <alignment horizontal="center" vertical="bottom"/>
    </xf>
    <xf borderId="65" fillId="0" fontId="16" numFmtId="0" xfId="0" applyAlignment="1" applyBorder="1" applyFont="1">
      <alignment horizontal="center" vertical="bottom"/>
    </xf>
    <xf borderId="13" fillId="0" fontId="16" numFmtId="0" xfId="0" applyAlignment="1" applyBorder="1" applyFont="1">
      <alignment horizontal="center" vertical="bottom"/>
    </xf>
    <xf borderId="0" fillId="0" fontId="7" numFmtId="0" xfId="0" applyAlignment="1" applyFont="1">
      <alignment readingOrder="0" vertical="center"/>
    </xf>
    <xf borderId="0" fillId="0" fontId="75" numFmtId="0" xfId="0" applyAlignment="1" applyFont="1">
      <alignment readingOrder="0" vertical="center"/>
    </xf>
    <xf borderId="1" fillId="20" fontId="45" numFmtId="170" xfId="0" applyAlignment="1" applyBorder="1" applyFill="1" applyFont="1" applyNumberFormat="1">
      <alignment horizontal="center" readingOrder="0" vertical="center"/>
    </xf>
    <xf borderId="1" fillId="20" fontId="7" numFmtId="0" xfId="0" applyAlignment="1" applyBorder="1" applyFont="1">
      <alignment readingOrder="0" vertical="center"/>
    </xf>
    <xf borderId="1" fillId="20" fontId="45" numFmtId="0" xfId="0" applyAlignment="1" applyBorder="1" applyFont="1">
      <alignment readingOrder="0" vertical="center"/>
    </xf>
    <xf borderId="1" fillId="20" fontId="7" numFmtId="0" xfId="0" applyAlignment="1" applyBorder="1" applyFont="1">
      <alignment horizontal="center" vertical="center"/>
    </xf>
    <xf borderId="1" fillId="20" fontId="16" numFmtId="0" xfId="0" applyAlignment="1" applyBorder="1" applyFont="1">
      <alignment readingOrder="0" vertical="center"/>
    </xf>
    <xf borderId="4" fillId="20" fontId="16" numFmtId="0" xfId="0" applyAlignment="1" applyBorder="1" applyFont="1">
      <alignment readingOrder="0" vertical="center"/>
    </xf>
    <xf borderId="1" fillId="0" fontId="16" numFmtId="0" xfId="0" applyAlignment="1" applyBorder="1" applyFont="1">
      <alignment horizontal="center" vertical="bottom"/>
    </xf>
    <xf borderId="1" fillId="0" fontId="45" numFmtId="170" xfId="0" applyAlignment="1" applyBorder="1" applyFont="1" applyNumberFormat="1">
      <alignment horizontal="center" readingOrder="0" vertical="center"/>
    </xf>
    <xf borderId="1" fillId="0" fontId="16" numFmtId="0" xfId="0" applyAlignment="1" applyBorder="1" applyFont="1">
      <alignment vertical="center"/>
    </xf>
    <xf borderId="1" fillId="0" fontId="16" numFmtId="0" xfId="0" applyAlignment="1" applyBorder="1" applyFont="1">
      <alignment readingOrder="0" vertical="center"/>
    </xf>
    <xf borderId="3" fillId="0" fontId="45" numFmtId="170" xfId="0" applyAlignment="1" applyBorder="1" applyFont="1" applyNumberFormat="1">
      <alignment horizontal="center" readingOrder="0" vertical="center"/>
    </xf>
    <xf borderId="1" fillId="0" fontId="76" numFmtId="0" xfId="0" applyAlignment="1" applyBorder="1" applyFont="1">
      <alignment readingOrder="0" vertical="center"/>
    </xf>
    <xf borderId="1" fillId="0" fontId="45" numFmtId="170" xfId="0" applyAlignment="1" applyBorder="1" applyFont="1" applyNumberFormat="1">
      <alignment horizontal="center" readingOrder="0" vertical="center"/>
    </xf>
    <xf borderId="8" fillId="0" fontId="7" numFmtId="0" xfId="0" applyAlignment="1" applyBorder="1" applyFont="1">
      <alignment horizontal="center" readingOrder="0" vertical="center"/>
    </xf>
    <xf borderId="1" fillId="0" fontId="45" numFmtId="0" xfId="0" applyAlignment="1" applyBorder="1" applyFont="1">
      <alignment horizontal="left" readingOrder="0" vertical="center"/>
    </xf>
    <xf borderId="5" fillId="0" fontId="45" numFmtId="0" xfId="0" applyAlignment="1" applyBorder="1" applyFont="1">
      <alignment readingOrder="0" vertical="center"/>
    </xf>
    <xf borderId="2" fillId="0" fontId="16" numFmtId="0" xfId="0" applyAlignment="1" applyBorder="1" applyFont="1">
      <alignment vertical="center"/>
    </xf>
    <xf borderId="2" fillId="0" fontId="45" numFmtId="0" xfId="0" applyAlignment="1" applyBorder="1" applyFont="1">
      <alignment vertical="center"/>
    </xf>
    <xf borderId="4" fillId="0" fontId="16" numFmtId="0" xfId="0" applyAlignment="1" applyBorder="1" applyFont="1">
      <alignment horizontal="center" readingOrder="0"/>
    </xf>
    <xf borderId="0" fillId="0" fontId="16" numFmtId="0" xfId="0" applyAlignment="1" applyFont="1">
      <alignment shrinkToFit="0" wrapText="0"/>
    </xf>
    <xf borderId="64" fillId="0" fontId="16" numFmtId="0" xfId="0" applyAlignment="1" applyBorder="1" applyFont="1">
      <alignment shrinkToFit="0" wrapText="0"/>
    </xf>
    <xf borderId="64" fillId="0" fontId="16" numFmtId="0" xfId="0" applyBorder="1" applyFont="1"/>
    <xf borderId="1" fillId="18" fontId="45" numFmtId="170" xfId="0" applyAlignment="1" applyBorder="1" applyFont="1" applyNumberFormat="1">
      <alignment horizontal="center" readingOrder="0" vertical="center"/>
    </xf>
    <xf borderId="1" fillId="18" fontId="7" numFmtId="0" xfId="0" applyAlignment="1" applyBorder="1" applyFont="1">
      <alignment readingOrder="0" vertical="center"/>
    </xf>
    <xf borderId="4" fillId="18" fontId="16" numFmtId="0" xfId="0" applyAlignment="1" applyBorder="1" applyFont="1">
      <alignment readingOrder="0" vertical="center"/>
    </xf>
    <xf borderId="4" fillId="18" fontId="16" numFmtId="0" xfId="0" applyAlignment="1" applyBorder="1" applyFont="1">
      <alignment horizontal="center" readingOrder="0" vertical="center"/>
    </xf>
    <xf borderId="1" fillId="21" fontId="45" numFmtId="170" xfId="0" applyAlignment="1" applyBorder="1" applyFill="1" applyFont="1" applyNumberFormat="1">
      <alignment horizontal="center" readingOrder="0" vertical="center"/>
    </xf>
    <xf borderId="1" fillId="10" fontId="51" numFmtId="0" xfId="0" applyAlignment="1" applyBorder="1" applyFont="1">
      <alignment readingOrder="0" vertical="center"/>
    </xf>
    <xf borderId="1" fillId="10" fontId="77" numFmtId="0" xfId="0" applyAlignment="1" applyBorder="1" applyFont="1">
      <alignment readingOrder="0" vertical="center"/>
    </xf>
    <xf borderId="1" fillId="4" fontId="7" numFmtId="0" xfId="0" applyAlignment="1" applyBorder="1" applyFont="1">
      <alignment readingOrder="0" vertical="center"/>
    </xf>
    <xf borderId="1" fillId="4" fontId="7" numFmtId="0" xfId="0" applyAlignment="1" applyBorder="1" applyFont="1">
      <alignment horizontal="center" readingOrder="0" vertical="center"/>
    </xf>
    <xf borderId="1" fillId="10" fontId="78" numFmtId="0" xfId="0" applyAlignment="1" applyBorder="1" applyFont="1">
      <alignment readingOrder="0" vertical="center"/>
    </xf>
    <xf borderId="1" fillId="10" fontId="79" numFmtId="0" xfId="0" applyAlignment="1" applyBorder="1" applyFont="1">
      <alignment readingOrder="0" vertical="center"/>
    </xf>
    <xf borderId="1" fillId="21" fontId="45" numFmtId="170" xfId="0" applyAlignment="1" applyBorder="1" applyFont="1" applyNumberFormat="1">
      <alignment horizontal="center" readingOrder="0" vertical="center"/>
    </xf>
    <xf borderId="1" fillId="7" fontId="7" numFmtId="0" xfId="0" applyAlignment="1" applyBorder="1" applyFont="1">
      <alignment horizontal="center" readingOrder="0" vertical="center"/>
    </xf>
    <xf borderId="1" fillId="0" fontId="77" numFmtId="0" xfId="0" applyAlignment="1" applyBorder="1" applyFont="1">
      <alignment readingOrder="0" vertical="center"/>
    </xf>
    <xf borderId="1" fillId="0" fontId="78" numFmtId="0" xfId="0" applyAlignment="1" applyBorder="1" applyFont="1">
      <alignment readingOrder="0" vertical="center"/>
    </xf>
    <xf borderId="1" fillId="0" fontId="79" numFmtId="0" xfId="0" applyAlignment="1" applyBorder="1" applyFont="1">
      <alignment readingOrder="0" vertical="center"/>
    </xf>
    <xf borderId="1" fillId="0" fontId="51" numFmtId="0" xfId="0" applyAlignment="1" applyBorder="1" applyFont="1">
      <alignment readingOrder="0" vertical="center"/>
    </xf>
    <xf borderId="0" fillId="0" fontId="80" numFmtId="0" xfId="0" applyAlignment="1" applyFont="1">
      <alignment readingOrder="0" vertical="center"/>
    </xf>
    <xf borderId="0" fillId="4" fontId="54" numFmtId="0" xfId="0" applyAlignment="1" applyFont="1">
      <alignment horizontal="left" readingOrder="0"/>
    </xf>
    <xf borderId="0" fillId="4" fontId="45" numFmtId="0" xfId="0" applyAlignment="1" applyFont="1">
      <alignment readingOrder="0"/>
    </xf>
    <xf borderId="8" fillId="0" fontId="78" numFmtId="0" xfId="0" applyAlignment="1" applyBorder="1" applyFont="1">
      <alignment vertical="center"/>
    </xf>
    <xf borderId="8" fillId="0" fontId="77" numFmtId="0" xfId="0" applyAlignment="1" applyBorder="1" applyFont="1">
      <alignment vertical="center"/>
    </xf>
    <xf borderId="8" fillId="0" fontId="79" numFmtId="0" xfId="0" applyAlignment="1" applyBorder="1" applyFont="1">
      <alignment vertical="center"/>
    </xf>
    <xf borderId="8" fillId="0" fontId="7" numFmtId="0" xfId="0" applyAlignment="1" applyBorder="1" applyFont="1">
      <alignment horizontal="center" vertical="center"/>
    </xf>
    <xf borderId="8" fillId="0" fontId="78" numFmtId="0" xfId="0" applyAlignment="1" applyBorder="1" applyFont="1">
      <alignment readingOrder="0" vertical="center"/>
    </xf>
    <xf borderId="8" fillId="0" fontId="77" numFmtId="0" xfId="0" applyAlignment="1" applyBorder="1" applyFont="1">
      <alignment readingOrder="0" vertical="center"/>
    </xf>
    <xf borderId="8" fillId="0" fontId="79" numFmtId="0" xfId="0" applyAlignment="1" applyBorder="1" applyFont="1">
      <alignment readingOrder="0" vertical="center"/>
    </xf>
    <xf borderId="1" fillId="0" fontId="7" numFmtId="0" xfId="0" applyAlignment="1" applyBorder="1" applyFont="1">
      <alignment horizontal="center" vertical="center"/>
    </xf>
    <xf borderId="8" fillId="7" fontId="7" numFmtId="0" xfId="0" applyAlignment="1" applyBorder="1" applyFont="1">
      <alignment horizontal="center" vertical="center"/>
    </xf>
    <xf borderId="8" fillId="0" fontId="7" numFmtId="0" xfId="0" applyAlignment="1" applyBorder="1" applyFont="1">
      <alignment readingOrder="0" vertical="center"/>
    </xf>
    <xf borderId="1" fillId="7" fontId="7" numFmtId="0" xfId="0" applyAlignment="1" applyBorder="1" applyFont="1">
      <alignment horizontal="center" vertical="center"/>
    </xf>
    <xf borderId="7" fillId="0" fontId="7" numFmtId="0" xfId="0" applyAlignment="1" applyBorder="1" applyFont="1">
      <alignment readingOrder="0" vertical="center"/>
    </xf>
    <xf borderId="7" fillId="0" fontId="7" numFmtId="0" xfId="0" applyAlignment="1" applyBorder="1" applyFont="1">
      <alignment vertical="center"/>
    </xf>
    <xf borderId="7" fillId="0" fontId="7" numFmtId="0" xfId="0" applyAlignment="1" applyBorder="1" applyFont="1">
      <alignment horizontal="center" vertical="center"/>
    </xf>
    <xf borderId="62" fillId="0" fontId="7" numFmtId="0" xfId="0" applyAlignment="1" applyBorder="1" applyFont="1">
      <alignment horizontal="center" readingOrder="0" vertical="center"/>
    </xf>
    <xf borderId="0" fillId="21" fontId="7" numFmtId="0" xfId="0" applyAlignment="1" applyFont="1">
      <alignment readingOrder="0" vertical="center"/>
    </xf>
    <xf borderId="60" fillId="0" fontId="16" numFmtId="0" xfId="0" applyAlignment="1" applyBorder="1" applyFont="1">
      <alignment horizontal="center" vertical="bottom"/>
    </xf>
    <xf borderId="66" fillId="0" fontId="16" numFmtId="0" xfId="0" applyAlignment="1" applyBorder="1" applyFont="1">
      <alignment horizontal="center" vertical="bottom"/>
    </xf>
    <xf borderId="0" fillId="0" fontId="16" numFmtId="0" xfId="0" applyAlignment="1" applyFont="1">
      <alignment readingOrder="0"/>
    </xf>
    <xf borderId="1" fillId="11" fontId="45" numFmtId="170" xfId="0" applyAlignment="1" applyBorder="1" applyFont="1" applyNumberFormat="1">
      <alignment horizontal="center" readingOrder="0" vertical="center"/>
    </xf>
    <xf borderId="1" fillId="0" fontId="29" numFmtId="0" xfId="0" applyAlignment="1" applyBorder="1" applyFont="1">
      <alignment readingOrder="0" vertical="center"/>
    </xf>
    <xf borderId="1" fillId="22" fontId="45" numFmtId="170" xfId="0" applyAlignment="1" applyBorder="1" applyFill="1" applyFont="1" applyNumberFormat="1">
      <alignment horizontal="center" readingOrder="0" vertical="center"/>
    </xf>
    <xf borderId="1" fillId="23" fontId="45" numFmtId="170" xfId="0" applyAlignment="1" applyBorder="1" applyFill="1" applyFont="1" applyNumberFormat="1">
      <alignment horizontal="center" readingOrder="0" vertical="center"/>
    </xf>
    <xf borderId="1" fillId="24" fontId="45" numFmtId="170" xfId="0" applyAlignment="1" applyBorder="1" applyFill="1" applyFont="1" applyNumberFormat="1">
      <alignment horizontal="center" readingOrder="0" vertical="center"/>
    </xf>
    <xf borderId="1" fillId="0" fontId="81" numFmtId="0" xfId="0" applyAlignment="1" applyBorder="1" applyFont="1">
      <alignment readingOrder="0" vertical="center"/>
    </xf>
    <xf borderId="1" fillId="0" fontId="82" numFmtId="0" xfId="0" applyAlignment="1" applyBorder="1" applyFont="1">
      <alignment readingOrder="0" vertical="center"/>
    </xf>
    <xf borderId="1" fillId="9" fontId="45" numFmtId="170" xfId="0" applyAlignment="1" applyBorder="1" applyFont="1" applyNumberFormat="1">
      <alignment horizontal="center" readingOrder="0" vertical="center"/>
    </xf>
    <xf borderId="1" fillId="25" fontId="45" numFmtId="170" xfId="0" applyAlignment="1" applyBorder="1" applyFill="1" applyFont="1" applyNumberFormat="1">
      <alignment horizontal="center" readingOrder="0" vertical="center"/>
    </xf>
    <xf borderId="1" fillId="0" fontId="83" numFmtId="0" xfId="0" applyAlignment="1" applyBorder="1" applyFont="1">
      <alignment readingOrder="0" vertical="center"/>
    </xf>
    <xf borderId="1" fillId="0" fontId="84" numFmtId="0" xfId="0" applyAlignment="1" applyBorder="1" applyFont="1">
      <alignment readingOrder="0" vertical="center"/>
    </xf>
    <xf borderId="1" fillId="0" fontId="84" numFmtId="0" xfId="0" applyBorder="1" applyFont="1"/>
    <xf borderId="1" fillId="0" fontId="85" numFmtId="0" xfId="0" applyAlignment="1" applyBorder="1" applyFont="1">
      <alignment readingOrder="0" vertical="center"/>
    </xf>
    <xf borderId="1" fillId="0" fontId="86" numFmtId="0" xfId="0" applyAlignment="1" applyBorder="1" applyFont="1">
      <alignment readingOrder="0" vertical="center"/>
    </xf>
    <xf borderId="4" fillId="0" fontId="84" numFmtId="0" xfId="0" applyAlignment="1" applyBorder="1" applyFont="1">
      <alignment readingOrder="0" vertical="center"/>
    </xf>
    <xf borderId="1" fillId="10" fontId="45" numFmtId="170" xfId="0" applyAlignment="1" applyBorder="1" applyFont="1" applyNumberFormat="1">
      <alignment horizontal="center" readingOrder="0" vertical="center"/>
    </xf>
    <xf borderId="0" fillId="0" fontId="85" numFmtId="0" xfId="0" applyAlignment="1" applyFont="1">
      <alignment vertical="center"/>
    </xf>
    <xf borderId="1" fillId="0" fontId="84" numFmtId="0" xfId="0" applyAlignment="1" applyBorder="1" applyFont="1">
      <alignment vertical="center"/>
    </xf>
    <xf borderId="1" fillId="0" fontId="84" numFmtId="0" xfId="0" applyAlignment="1" applyBorder="1" applyFont="1">
      <alignment readingOrder="0" vertical="center"/>
    </xf>
    <xf borderId="1" fillId="20" fontId="85" numFmtId="0" xfId="0" applyAlignment="1" applyBorder="1" applyFont="1">
      <alignment readingOrder="0" vertical="center"/>
    </xf>
    <xf borderId="1" fillId="20" fontId="84" numFmtId="0" xfId="0" applyAlignment="1" applyBorder="1" applyFont="1">
      <alignment readingOrder="0" vertical="center"/>
    </xf>
    <xf borderId="1" fillId="13" fontId="45" numFmtId="170" xfId="0" applyAlignment="1" applyBorder="1" applyFont="1" applyNumberFormat="1">
      <alignment horizontal="center" readingOrder="0" vertical="center"/>
    </xf>
    <xf borderId="2" fillId="0" fontId="84" numFmtId="0" xfId="0" applyBorder="1" applyFont="1"/>
    <xf borderId="2" fillId="7" fontId="16" numFmtId="0" xfId="0" applyAlignment="1" applyBorder="1" applyFont="1">
      <alignment horizontal="center"/>
    </xf>
    <xf borderId="4" fillId="0" fontId="84" numFmtId="0" xfId="0" applyBorder="1" applyFont="1"/>
    <xf borderId="4" fillId="7" fontId="16" numFmtId="0" xfId="0" applyAlignment="1" applyBorder="1" applyFont="1">
      <alignment horizontal="center"/>
    </xf>
    <xf borderId="1" fillId="0" fontId="16" numFmtId="0" xfId="0" applyAlignment="1" applyBorder="1" applyFont="1">
      <alignment readingOrder="0" vertical="center"/>
    </xf>
    <xf borderId="1" fillId="0" fontId="56" numFmtId="0" xfId="0" applyAlignment="1" applyBorder="1" applyFont="1">
      <alignment readingOrder="0" vertical="center"/>
    </xf>
    <xf borderId="0" fillId="0" fontId="81" numFmtId="0" xfId="0" applyAlignment="1" applyFont="1">
      <alignment readingOrder="0"/>
    </xf>
    <xf borderId="4" fillId="0" fontId="16" numFmtId="0" xfId="0" applyBorder="1" applyFont="1"/>
    <xf borderId="0" fillId="4" fontId="87" numFmtId="0" xfId="0" applyAlignment="1" applyFont="1">
      <alignment horizontal="left" readingOrder="0"/>
    </xf>
    <xf borderId="1" fillId="0" fontId="16" numFmtId="0" xfId="0" applyAlignment="1" applyBorder="1" applyFont="1">
      <alignment vertical="center"/>
    </xf>
    <xf borderId="1" fillId="20" fontId="16" numFmtId="0" xfId="0" applyAlignment="1" applyBorder="1" applyFont="1">
      <alignment readingOrder="0" vertical="center"/>
    </xf>
    <xf borderId="1" fillId="20" fontId="7" numFmtId="0" xfId="0" applyAlignment="1" applyBorder="1" applyFont="1">
      <alignment horizontal="center" readingOrder="0" vertical="center"/>
    </xf>
    <xf borderId="0" fillId="0" fontId="88" numFmtId="0" xfId="0" applyAlignment="1" applyFont="1">
      <alignment readingOrder="0" vertical="center"/>
    </xf>
    <xf borderId="0" fillId="0" fontId="89" numFmtId="0" xfId="0" applyAlignment="1" applyFont="1">
      <alignment readingOrder="0" vertical="center"/>
    </xf>
    <xf borderId="1" fillId="0" fontId="90" numFmtId="0" xfId="0" applyAlignment="1" applyBorder="1" applyFont="1">
      <alignment readingOrder="0" vertical="center"/>
    </xf>
    <xf borderId="1" fillId="0" fontId="33" numFmtId="0" xfId="0" applyAlignment="1" applyBorder="1" applyFont="1">
      <alignment readingOrder="0" vertical="center"/>
    </xf>
    <xf borderId="67" fillId="0" fontId="91" numFmtId="0" xfId="0" applyAlignment="1" applyBorder="1" applyFont="1">
      <alignment readingOrder="0" shrinkToFit="0" vertical="center" wrapText="0"/>
    </xf>
    <xf borderId="66" fillId="0" fontId="16" numFmtId="0" xfId="0" applyAlignment="1" applyBorder="1" applyFont="1">
      <alignment horizontal="left" readingOrder="0" vertical="bottom"/>
    </xf>
    <xf borderId="1" fillId="4" fontId="0" numFmtId="0" xfId="0" applyAlignment="1" applyBorder="1" applyFont="1">
      <alignment readingOrder="0" vertical="center"/>
    </xf>
    <xf borderId="4" fillId="0" fontId="7" numFmtId="0" xfId="0" applyAlignment="1" applyBorder="1" applyFont="1">
      <alignment readingOrder="0" vertical="center"/>
    </xf>
    <xf borderId="1" fillId="0" fontId="0" numFmtId="0" xfId="0" applyAlignment="1" applyBorder="1" applyFont="1">
      <alignment readingOrder="0" vertical="center"/>
    </xf>
    <xf borderId="1" fillId="0" fontId="92" numFmtId="0" xfId="0" applyAlignment="1" applyBorder="1" applyFont="1">
      <alignment readingOrder="0" vertical="center"/>
    </xf>
    <xf borderId="1" fillId="0" fontId="93" numFmtId="0" xfId="0" applyAlignment="1" applyBorder="1" applyFont="1">
      <alignment readingOrder="0" vertical="center"/>
    </xf>
    <xf borderId="1" fillId="0" fontId="93" numFmtId="0" xfId="0" applyAlignment="1" applyBorder="1" applyFont="1">
      <alignment readingOrder="0" vertical="center"/>
    </xf>
    <xf borderId="1" fillId="21" fontId="7" numFmtId="0" xfId="0" applyAlignment="1" applyBorder="1" applyFont="1">
      <alignment horizontal="center" readingOrder="0" vertical="center"/>
    </xf>
    <xf borderId="1" fillId="20" fontId="0" numFmtId="0" xfId="0" applyAlignment="1" applyBorder="1" applyFont="1">
      <alignment readingOrder="0" vertical="center"/>
    </xf>
    <xf borderId="1" fillId="0" fontId="94" numFmtId="0" xfId="0" applyAlignment="1" applyBorder="1" applyFont="1">
      <alignment readingOrder="0" vertical="center"/>
    </xf>
    <xf borderId="68" fillId="0" fontId="95" numFmtId="0" xfId="0" applyAlignment="1" applyBorder="1" applyFont="1">
      <alignment readingOrder="0" vertical="center"/>
    </xf>
    <xf borderId="1" fillId="0" fontId="96" numFmtId="0" xfId="0" applyAlignment="1" applyBorder="1" applyFont="1">
      <alignment readingOrder="0" vertical="center"/>
    </xf>
    <xf borderId="1" fillId="0" fontId="97" numFmtId="0" xfId="0" applyAlignment="1" applyBorder="1" applyFont="1">
      <alignment readingOrder="0" shrinkToFit="0" vertical="center" wrapText="0"/>
    </xf>
    <xf borderId="7" fillId="0" fontId="16" numFmtId="0" xfId="0" applyAlignment="1" applyBorder="1" applyFont="1">
      <alignment readingOrder="0" shrinkToFit="0" wrapText="0"/>
    </xf>
    <xf borderId="69" fillId="0" fontId="16" numFmtId="0" xfId="0" applyAlignment="1" applyBorder="1" applyFont="1">
      <alignment shrinkToFit="0" vertical="bottom" wrapText="0"/>
    </xf>
    <xf borderId="3" fillId="0" fontId="45" numFmtId="170" xfId="0" applyAlignment="1" applyBorder="1" applyFont="1" applyNumberFormat="1">
      <alignment horizontal="center" readingOrder="0"/>
    </xf>
    <xf borderId="4" fillId="0" fontId="98" numFmtId="0" xfId="0" applyBorder="1" applyFont="1"/>
    <xf borderId="4" fillId="4" fontId="16" numFmtId="0" xfId="0" applyAlignment="1" applyBorder="1" applyFont="1">
      <alignment readingOrder="0"/>
    </xf>
    <xf borderId="4" fillId="4" fontId="54" numFmtId="0" xfId="0" applyBorder="1" applyFont="1"/>
    <xf borderId="4" fillId="0" fontId="54" numFmtId="0" xfId="0" applyAlignment="1" applyBorder="1" applyFont="1">
      <alignment readingOrder="0"/>
    </xf>
    <xf borderId="4" fillId="0" fontId="54" numFmtId="0" xfId="0" applyBorder="1" applyFont="1"/>
    <xf borderId="4" fillId="0" fontId="99" numFmtId="0" xfId="0" applyBorder="1" applyFont="1"/>
    <xf borderId="4" fillId="0" fontId="45" numFmtId="0" xfId="0" applyBorder="1" applyFont="1"/>
    <xf borderId="1" fillId="0" fontId="54" numFmtId="170" xfId="0" applyAlignment="1" applyBorder="1" applyFont="1" applyNumberFormat="1">
      <alignment horizontal="center" readingOrder="0" vertical="center"/>
    </xf>
    <xf borderId="1" fillId="0" fontId="49" numFmtId="0" xfId="0" applyAlignment="1" applyBorder="1" applyFont="1">
      <alignment readingOrder="0" vertical="center"/>
    </xf>
    <xf borderId="1" fillId="0" fontId="54" numFmtId="0" xfId="0" applyAlignment="1" applyBorder="1" applyFont="1">
      <alignment readingOrder="0" vertical="center"/>
    </xf>
    <xf borderId="1" fillId="21" fontId="49" numFmtId="0" xfId="0" applyAlignment="1" applyBorder="1" applyFont="1">
      <alignment horizontal="center" readingOrder="0" vertical="center"/>
    </xf>
    <xf borderId="1" fillId="0" fontId="100" numFmtId="0" xfId="0" applyAlignment="1" applyBorder="1" applyFont="1">
      <alignment readingOrder="0" vertical="center"/>
    </xf>
    <xf borderId="1" fillId="21" fontId="54" numFmtId="170" xfId="0" applyAlignment="1" applyBorder="1" applyFont="1" applyNumberFormat="1">
      <alignment horizontal="center" readingOrder="0" vertical="center"/>
    </xf>
    <xf borderId="0" fillId="4" fontId="7" numFmtId="0" xfId="0" applyAlignment="1" applyFont="1">
      <alignment readingOrder="0" vertical="center"/>
    </xf>
    <xf borderId="4" fillId="0" fontId="54" numFmtId="0" xfId="0" applyAlignment="1" applyBorder="1" applyFont="1">
      <alignment readingOrder="0" vertical="center"/>
    </xf>
    <xf borderId="1" fillId="4" fontId="49" numFmtId="0" xfId="0" applyAlignment="1" applyBorder="1" applyFont="1">
      <alignment readingOrder="0" vertical="center"/>
    </xf>
    <xf borderId="1" fillId="4" fontId="54" numFmtId="0" xfId="0" applyAlignment="1" applyBorder="1" applyFont="1">
      <alignment readingOrder="0" vertical="center"/>
    </xf>
    <xf borderId="1" fillId="4" fontId="54" numFmtId="0" xfId="0" applyAlignment="1" applyBorder="1" applyFont="1">
      <alignment readingOrder="0"/>
    </xf>
    <xf borderId="4" fillId="4" fontId="54" numFmtId="0" xfId="0" applyAlignment="1" applyBorder="1" applyFont="1">
      <alignment readingOrder="0" vertical="center"/>
    </xf>
    <xf borderId="1" fillId="4" fontId="54" numFmtId="0" xfId="0" applyAlignment="1" applyBorder="1" applyFont="1">
      <alignment vertical="center"/>
    </xf>
    <xf borderId="1" fillId="4" fontId="101" numFmtId="0" xfId="0" applyAlignment="1" applyBorder="1" applyFont="1">
      <alignment readingOrder="0" vertical="center"/>
    </xf>
    <xf borderId="1" fillId="4" fontId="54" numFmtId="170" xfId="0" applyAlignment="1" applyBorder="1" applyFont="1" applyNumberFormat="1">
      <alignment horizontal="center" readingOrder="0" vertical="center"/>
    </xf>
    <xf borderId="2" fillId="0" fontId="54" numFmtId="0" xfId="0" applyBorder="1" applyFont="1"/>
    <xf borderId="4" fillId="0" fontId="54" numFmtId="0" xfId="0" applyBorder="1" applyFont="1"/>
    <xf borderId="4" fillId="0" fontId="102" numFmtId="0" xfId="0" applyAlignment="1" applyBorder="1" applyFont="1">
      <alignment vertical="center"/>
    </xf>
    <xf borderId="4" fillId="4" fontId="54" numFmtId="0" xfId="0" applyAlignment="1" applyBorder="1" applyFont="1">
      <alignment readingOrder="0" vertical="center"/>
    </xf>
    <xf borderId="7" fillId="7" fontId="16" numFmtId="0" xfId="0" applyAlignment="1" applyBorder="1" applyFont="1">
      <alignment horizontal="center" vertical="center"/>
    </xf>
    <xf borderId="0" fillId="0" fontId="45" numFmtId="170" xfId="0" applyAlignment="1" applyFont="1" applyNumberFormat="1">
      <alignment horizontal="center" readingOrder="0"/>
    </xf>
    <xf borderId="14" fillId="0" fontId="45" numFmtId="170" xfId="0" applyAlignment="1" applyBorder="1" applyFont="1" applyNumberFormat="1">
      <alignment horizontal="center" readingOrder="0"/>
    </xf>
    <xf borderId="0" fillId="0" fontId="103" numFmtId="0" xfId="0" applyFont="1"/>
    <xf borderId="0" fillId="0" fontId="54" numFmtId="0" xfId="0" applyAlignment="1" applyFont="1">
      <alignment readingOrder="0"/>
    </xf>
    <xf borderId="0" fillId="0" fontId="16" numFmtId="0" xfId="0" applyAlignment="1" applyFont="1">
      <alignment horizontal="center"/>
    </xf>
    <xf borderId="4" fillId="0" fontId="54" numFmtId="0" xfId="0" applyAlignment="1" applyBorder="1" applyFont="1">
      <alignment readingOrder="0" vertical="center"/>
    </xf>
    <xf borderId="4" fillId="0" fontId="54" numFmtId="0" xfId="0" applyAlignment="1" applyBorder="1" applyFont="1">
      <alignment vertical="center"/>
    </xf>
    <xf borderId="0" fillId="0" fontId="54" numFmtId="0" xfId="0" applyFont="1"/>
    <xf borderId="4" fillId="0" fontId="104" numFmtId="0" xfId="0" applyAlignment="1" applyBorder="1" applyFont="1">
      <alignment vertical="center"/>
    </xf>
    <xf borderId="0" fillId="0" fontId="105" numFmtId="0" xfId="0" applyFont="1"/>
    <xf borderId="4" fillId="0" fontId="45" numFmtId="0" xfId="0" applyAlignment="1" applyBorder="1" applyFont="1">
      <alignment readingOrder="0" vertical="center"/>
    </xf>
    <xf borderId="0" fillId="0" fontId="45" numFmtId="0" xfId="0" applyFont="1"/>
    <xf borderId="62" fillId="0" fontId="16" numFmtId="0" xfId="0" applyAlignment="1" applyBorder="1" applyFont="1">
      <alignment horizontal="center" vertical="center"/>
    </xf>
    <xf borderId="63" fillId="0" fontId="16" numFmtId="0" xfId="0" applyAlignment="1" applyBorder="1" applyFont="1">
      <alignment horizontal="center" vertical="center"/>
    </xf>
    <xf borderId="4" fillId="7" fontId="16" numFmtId="0" xfId="0" applyAlignment="1" applyBorder="1" applyFont="1">
      <alignment horizontal="center" vertical="center"/>
    </xf>
    <xf borderId="70" fillId="0" fontId="7" numFmtId="0" xfId="0" applyAlignment="1" applyBorder="1" applyFont="1">
      <alignment readingOrder="0" vertical="center"/>
    </xf>
    <xf borderId="70" fillId="0" fontId="7" numFmtId="0" xfId="0" applyAlignment="1" applyBorder="1" applyFont="1">
      <alignment horizontal="center" readingOrder="0" vertical="center"/>
    </xf>
    <xf borderId="71" fillId="0" fontId="106" numFmtId="0" xfId="0" applyAlignment="1" applyBorder="1" applyFont="1">
      <alignment horizontal="left" shrinkToFit="0" vertical="center" wrapText="0"/>
    </xf>
    <xf borderId="1" fillId="0" fontId="16" numFmtId="0" xfId="0" applyAlignment="1" applyBorder="1" applyFont="1">
      <alignment horizontal="left" readingOrder="0" vertical="center"/>
    </xf>
    <xf borderId="70" fillId="0" fontId="7" numFmtId="0" xfId="0" applyAlignment="1" applyBorder="1" applyFont="1">
      <alignment readingOrder="0" vertical="bottom"/>
    </xf>
    <xf borderId="72" fillId="0" fontId="107" numFmtId="0" xfId="0" applyAlignment="1" applyBorder="1" applyFont="1">
      <alignment horizontal="left" shrinkToFit="0" vertical="center" wrapText="0"/>
    </xf>
    <xf borderId="70" fillId="0" fontId="7" numFmtId="0" xfId="0" applyAlignment="1" applyBorder="1" applyFont="1">
      <alignment vertical="center"/>
    </xf>
    <xf borderId="70" fillId="0" fontId="7" numFmtId="170" xfId="0" applyAlignment="1" applyBorder="1" applyFont="1" applyNumberFormat="1">
      <alignment readingOrder="0" vertical="center"/>
    </xf>
    <xf borderId="67" fillId="4" fontId="108" numFmtId="0" xfId="0" applyAlignment="1" applyBorder="1" applyFont="1">
      <alignment readingOrder="0" shrinkToFit="0" vertical="center" wrapText="0"/>
    </xf>
    <xf borderId="1" fillId="6" fontId="7" numFmtId="0" xfId="0" applyAlignment="1" applyBorder="1" applyFont="1">
      <alignment readingOrder="0" vertical="center"/>
    </xf>
    <xf borderId="1" fillId="6" fontId="16" numFmtId="0" xfId="0" applyAlignment="1" applyBorder="1" applyFont="1">
      <alignment readingOrder="0" vertical="center"/>
    </xf>
    <xf borderId="1" fillId="6" fontId="7" numFmtId="0" xfId="0" applyAlignment="1" applyBorder="1" applyFont="1">
      <alignment horizontal="center" readingOrder="0" vertical="center"/>
    </xf>
    <xf borderId="73" fillId="0" fontId="7" numFmtId="0" xfId="0" applyAlignment="1" applyBorder="1" applyFont="1">
      <alignment readingOrder="0" vertical="center"/>
    </xf>
    <xf borderId="73" fillId="0" fontId="7" numFmtId="0" xfId="0" applyAlignment="1" applyBorder="1" applyFont="1">
      <alignment readingOrder="0" vertical="bottom"/>
    </xf>
    <xf borderId="74" fillId="4" fontId="109" numFmtId="0" xfId="0" applyAlignment="1" applyBorder="1" applyFont="1">
      <alignment readingOrder="0" shrinkToFit="0" vertical="center" wrapText="0"/>
    </xf>
    <xf borderId="75" fillId="0" fontId="7" numFmtId="0" xfId="0" applyBorder="1" applyFont="1"/>
    <xf borderId="68" fillId="4" fontId="110" numFmtId="0" xfId="0" applyAlignment="1" applyBorder="1" applyFont="1">
      <alignment readingOrder="0" vertical="center"/>
    </xf>
    <xf borderId="67" fillId="4" fontId="111" numFmtId="0" xfId="0" applyAlignment="1" applyBorder="1" applyFont="1">
      <alignment readingOrder="0" shrinkToFit="0" vertical="center" wrapText="0"/>
    </xf>
    <xf borderId="64" fillId="0" fontId="16" numFmtId="0" xfId="0" applyAlignment="1" applyBorder="1" applyFont="1">
      <alignment readingOrder="0" vertical="bottom"/>
    </xf>
    <xf borderId="1" fillId="21" fontId="45" numFmtId="170" xfId="0" applyAlignment="1" applyBorder="1" applyFont="1" applyNumberFormat="1">
      <alignment horizontal="center" readingOrder="0"/>
    </xf>
    <xf borderId="1" fillId="0" fontId="16" numFmtId="0" xfId="0" applyBorder="1" applyFont="1"/>
    <xf borderId="1" fillId="0" fontId="45" numFmtId="0" xfId="0" applyBorder="1" applyFont="1"/>
    <xf borderId="0" fillId="4" fontId="54" numFmtId="0" xfId="0" applyAlignment="1" applyFont="1">
      <alignment readingOrder="0" vertical="bottom"/>
    </xf>
    <xf borderId="8" fillId="0" fontId="16" numFmtId="0" xfId="0" applyAlignment="1" applyBorder="1" applyFont="1">
      <alignment horizontal="center"/>
    </xf>
    <xf borderId="1" fillId="0" fontId="79" numFmtId="0" xfId="0" applyBorder="1" applyFont="1"/>
    <xf borderId="1" fillId="0" fontId="16" numFmtId="0" xfId="0" applyAlignment="1" applyBorder="1" applyFont="1">
      <alignment horizontal="center"/>
    </xf>
    <xf borderId="1" fillId="0" fontId="16" numFmtId="0" xfId="0" applyAlignment="1" applyBorder="1" applyFont="1">
      <alignment readingOrder="0"/>
    </xf>
    <xf borderId="1" fillId="7" fontId="16" numFmtId="0" xfId="0" applyAlignment="1" applyBorder="1" applyFont="1">
      <alignment horizontal="center" readingOrder="0"/>
    </xf>
    <xf borderId="1" fillId="0" fontId="54" numFmtId="0" xfId="0" applyAlignment="1" applyBorder="1" applyFont="1">
      <alignment horizontal="left" readingOrder="0"/>
    </xf>
    <xf borderId="1" fillId="4" fontId="45" numFmtId="0" xfId="0" applyBorder="1" applyFont="1"/>
    <xf borderId="1" fillId="21" fontId="16" numFmtId="0" xfId="0" applyAlignment="1" applyBorder="1" applyFont="1">
      <alignment horizontal="center" readingOrder="0"/>
    </xf>
    <xf borderId="0" fillId="0" fontId="7" numFmtId="0" xfId="0" applyAlignment="1" applyFont="1">
      <alignment readingOrder="0" vertical="bottom"/>
    </xf>
    <xf borderId="0" fillId="0" fontId="7" numFmtId="170" xfId="0" applyAlignment="1" applyFont="1" applyNumberFormat="1">
      <alignment readingOrder="0" vertical="center"/>
    </xf>
    <xf borderId="1" fillId="4" fontId="56" numFmtId="0" xfId="0" applyAlignment="1" applyBorder="1" applyFont="1">
      <alignment readingOrder="0" vertical="center"/>
    </xf>
    <xf borderId="74" fillId="0" fontId="112" numFmtId="0" xfId="0" applyAlignment="1" applyBorder="1" applyFont="1">
      <alignment readingOrder="0" shrinkToFit="0" vertical="center" wrapText="0"/>
    </xf>
    <xf borderId="68" fillId="0" fontId="113" numFmtId="0" xfId="0" applyAlignment="1" applyBorder="1" applyFont="1">
      <alignment readingOrder="0" vertical="center"/>
    </xf>
    <xf borderId="8" fillId="0" fontId="16" numFmtId="0" xfId="0" applyAlignment="1" applyBorder="1" applyFont="1">
      <alignment horizontal="center" vertical="bottom"/>
    </xf>
    <xf borderId="1" fillId="0" fontId="114" numFmtId="0" xfId="0" applyAlignment="1" applyBorder="1" applyFont="1">
      <alignment readingOrder="0"/>
    </xf>
    <xf borderId="1" fillId="0" fontId="33" numFmtId="0" xfId="0" applyAlignment="1" applyBorder="1" applyFont="1">
      <alignment horizontal="left" readingOrder="0" vertical="center"/>
    </xf>
    <xf borderId="1" fillId="0" fontId="32" numFmtId="0" xfId="0" applyAlignment="1" applyBorder="1" applyFont="1">
      <alignment horizontal="left" readingOrder="0" vertical="center"/>
    </xf>
    <xf borderId="1" fillId="4" fontId="115" numFmtId="0" xfId="0" applyAlignment="1" applyBorder="1" applyFont="1">
      <alignment horizontal="left" vertical="center"/>
    </xf>
    <xf borderId="74" fillId="0" fontId="116" numFmtId="0" xfId="0" applyAlignment="1" applyBorder="1" applyFont="1">
      <alignment horizontal="left" readingOrder="0" shrinkToFit="0" vertical="center" wrapText="0"/>
    </xf>
    <xf borderId="1" fillId="0" fontId="117" numFmtId="0" xfId="0" applyAlignment="1" applyBorder="1" applyFont="1">
      <alignment horizontal="left" readingOrder="0" vertical="center"/>
    </xf>
    <xf borderId="1" fillId="0" fontId="34" numFmtId="0" xfId="0" applyAlignment="1" applyBorder="1" applyFont="1">
      <alignment horizontal="left" readingOrder="0" vertical="center"/>
    </xf>
    <xf borderId="1" fillId="0" fontId="32" numFmtId="0" xfId="0" applyAlignment="1" applyBorder="1" applyFont="1">
      <alignment horizontal="left" readingOrder="0" vertical="center"/>
    </xf>
    <xf borderId="1" fillId="0" fontId="117" numFmtId="0" xfId="0" applyAlignment="1" applyBorder="1" applyFont="1">
      <alignment horizontal="left" readingOrder="0" vertical="center"/>
    </xf>
    <xf borderId="1" fillId="0" fontId="118" numFmtId="0" xfId="0" applyAlignment="1" applyBorder="1" applyFont="1">
      <alignment horizontal="left" readingOrder="0" shrinkToFit="0" vertical="center" wrapText="0"/>
    </xf>
    <xf borderId="1" fillId="0" fontId="117" numFmtId="0" xfId="0" applyAlignment="1" applyBorder="1" applyFont="1">
      <alignment horizontal="left" readingOrder="0" vertical="center"/>
    </xf>
    <xf borderId="0" fillId="0" fontId="45" numFmtId="0" xfId="0" applyAlignment="1" applyFont="1">
      <alignment horizontal="center" readingOrder="0" vertical="center"/>
    </xf>
    <xf borderId="0" fillId="0" fontId="33" numFmtId="0" xfId="0" applyAlignment="1" applyFont="1">
      <alignment horizontal="left" readingOrder="0" vertical="center"/>
    </xf>
    <xf borderId="0" fillId="0" fontId="32" numFmtId="0" xfId="0" applyAlignment="1" applyFont="1">
      <alignment horizontal="left" readingOrder="0" vertical="center"/>
    </xf>
    <xf borderId="1" fillId="0" fontId="119" numFmtId="0" xfId="0" applyAlignment="1" applyBorder="1" applyFont="1">
      <alignment horizontal="left" readingOrder="0" vertical="center"/>
    </xf>
    <xf borderId="67" fillId="4" fontId="120" numFmtId="0" xfId="0" applyAlignment="1" applyBorder="1" applyFont="1">
      <alignment horizontal="left" readingOrder="0" shrinkToFit="0" vertical="center" wrapText="0"/>
    </xf>
    <xf borderId="1" fillId="6" fontId="33" numFmtId="0" xfId="0" applyAlignment="1" applyBorder="1" applyFont="1">
      <alignment horizontal="left" readingOrder="0" vertical="center"/>
    </xf>
    <xf borderId="1" fillId="6" fontId="32" numFmtId="0" xfId="0" applyAlignment="1" applyBorder="1" applyFont="1">
      <alignment horizontal="left" readingOrder="0" vertical="center"/>
    </xf>
    <xf borderId="74" fillId="4" fontId="121" numFmtId="0" xfId="0" applyAlignment="1" applyBorder="1" applyFont="1">
      <alignment horizontal="left" readingOrder="0" shrinkToFit="0" vertical="center" wrapText="0"/>
    </xf>
    <xf borderId="68" fillId="4" fontId="122" numFmtId="0" xfId="0" applyAlignment="1" applyBorder="1" applyFont="1">
      <alignment horizontal="left" readingOrder="0" vertical="center"/>
    </xf>
    <xf borderId="1" fillId="0" fontId="0" numFmtId="0" xfId="0" applyAlignment="1" applyBorder="1" applyFont="1">
      <alignment horizontal="left" readingOrder="0" vertical="center"/>
    </xf>
    <xf borderId="4" fillId="0" fontId="32" numFmtId="0" xfId="0" applyAlignment="1" applyBorder="1" applyFont="1">
      <alignment horizontal="left" readingOrder="0" vertical="center"/>
    </xf>
    <xf borderId="1" fillId="0" fontId="32" numFmtId="0" xfId="0" applyAlignment="1" applyBorder="1" applyFont="1">
      <alignment horizontal="left" vertical="center"/>
    </xf>
    <xf borderId="1" fillId="4" fontId="117" numFmtId="0" xfId="0" applyAlignment="1" applyBorder="1" applyFont="1">
      <alignment horizontal="left" vertical="center"/>
    </xf>
    <xf borderId="0" fillId="0" fontId="33" numFmtId="0" xfId="0" applyAlignment="1" applyFont="1">
      <alignment readingOrder="0" vertical="center"/>
    </xf>
    <xf borderId="0" fillId="0" fontId="33" numFmtId="0" xfId="0" applyAlignment="1" applyFont="1">
      <alignment vertical="center"/>
    </xf>
    <xf borderId="0" fillId="0" fontId="33" numFmtId="0" xfId="0" applyAlignment="1" applyFont="1">
      <alignment horizontal="center" vertical="center"/>
    </xf>
    <xf borderId="60" fillId="0" fontId="32" numFmtId="0" xfId="0" applyAlignment="1" applyBorder="1" applyFont="1">
      <alignment horizontal="center" vertical="bottom"/>
    </xf>
    <xf borderId="66" fillId="0" fontId="32" numFmtId="0" xfId="0" applyAlignment="1" applyBorder="1" applyFont="1">
      <alignment horizontal="center" vertical="bottom"/>
    </xf>
    <xf borderId="66" fillId="0" fontId="32" numFmtId="0" xfId="0" applyAlignment="1" applyBorder="1" applyFont="1">
      <alignment horizontal="left" readingOrder="0" vertical="bottom"/>
    </xf>
    <xf borderId="1" fillId="0" fontId="0" numFmtId="170" xfId="0" applyAlignment="1" applyBorder="1" applyFont="1" applyNumberFormat="1">
      <alignment horizontal="center" readingOrder="0" vertical="center"/>
    </xf>
    <xf borderId="1" fillId="7" fontId="33" numFmtId="0" xfId="0" applyAlignment="1" applyBorder="1" applyFont="1">
      <alignment horizontal="center" readingOrder="0" vertical="center"/>
    </xf>
    <xf borderId="74" fillId="0" fontId="123" numFmtId="0" xfId="0" applyAlignment="1" applyBorder="1" applyFont="1">
      <alignment readingOrder="0" shrinkToFit="0" vertical="center" wrapText="0"/>
    </xf>
    <xf borderId="67" fillId="4" fontId="124" numFmtId="0" xfId="0" applyAlignment="1" applyBorder="1" applyFont="1">
      <alignment readingOrder="0" shrinkToFit="0" vertical="center" wrapText="0"/>
    </xf>
    <xf borderId="1" fillId="26" fontId="33" numFmtId="0" xfId="0" applyAlignment="1" applyBorder="1" applyFill="1" applyFont="1">
      <alignment horizontal="center" readingOrder="0" vertical="center"/>
    </xf>
    <xf borderId="1" fillId="27" fontId="33" numFmtId="0" xfId="0" applyAlignment="1" applyBorder="1" applyFill="1" applyFont="1">
      <alignment horizontal="center" readingOrder="0" vertical="center"/>
    </xf>
    <xf borderId="74" fillId="4" fontId="125" numFmtId="0" xfId="0" applyAlignment="1" applyBorder="1" applyFont="1">
      <alignment readingOrder="0" shrinkToFit="0" vertical="center" wrapText="0"/>
    </xf>
    <xf borderId="1" fillId="28" fontId="33" numFmtId="0" xfId="0" applyAlignment="1" applyBorder="1" applyFill="1" applyFont="1">
      <alignment horizontal="center" readingOrder="0" vertical="center"/>
    </xf>
    <xf borderId="68" fillId="4" fontId="126" numFmtId="0" xfId="0" applyAlignment="1" applyBorder="1" applyFont="1">
      <alignment readingOrder="0" vertical="center"/>
    </xf>
    <xf borderId="0" fillId="0" fontId="32" numFmtId="0" xfId="0" applyAlignment="1" applyFont="1">
      <alignment shrinkToFit="0" wrapText="0"/>
    </xf>
    <xf borderId="67" fillId="0" fontId="127" numFmtId="0" xfId="0" applyAlignment="1" applyBorder="1" applyFont="1">
      <alignment readingOrder="0" shrinkToFit="0" vertical="center" wrapText="0"/>
    </xf>
    <xf borderId="1" fillId="4" fontId="96" numFmtId="0" xfId="0" applyAlignment="1" applyBorder="1" applyFont="1">
      <alignment readingOrder="0" vertical="center"/>
    </xf>
    <xf borderId="1" fillId="4" fontId="117" numFmtId="0" xfId="0" applyAlignment="1" applyBorder="1" applyFont="1">
      <alignment readingOrder="0"/>
    </xf>
    <xf borderId="4" fillId="4" fontId="0" numFmtId="0" xfId="0" applyAlignment="1" applyBorder="1" applyFont="1">
      <alignment readingOrder="0" vertical="center"/>
    </xf>
    <xf borderId="1" fillId="4" fontId="117" numFmtId="0" xfId="0" applyAlignment="1" applyBorder="1" applyFont="1">
      <alignment readingOrder="0" vertical="center"/>
    </xf>
    <xf borderId="1" fillId="4" fontId="128" numFmtId="0" xfId="0" applyAlignment="1" applyBorder="1" applyFont="1">
      <alignment readingOrder="0" vertical="center"/>
    </xf>
    <xf borderId="1" fillId="29" fontId="33" numFmtId="0" xfId="0" applyAlignment="1" applyBorder="1" applyFill="1" applyFont="1">
      <alignment horizontal="center" readingOrder="0" vertical="center"/>
    </xf>
    <xf borderId="1" fillId="21" fontId="33" numFmtId="0" xfId="0" applyAlignment="1" applyBorder="1" applyFont="1">
      <alignment horizontal="center" readingOrder="0" vertical="center"/>
    </xf>
    <xf borderId="1" fillId="30" fontId="33" numFmtId="0" xfId="0" applyAlignment="1" applyBorder="1" applyFill="1" applyFont="1">
      <alignment horizontal="center" readingOrder="0" vertical="center"/>
    </xf>
    <xf borderId="1" fillId="31" fontId="33" numFmtId="0" xfId="0" applyAlignment="1" applyBorder="1" applyFill="1" applyFont="1">
      <alignment horizontal="center" readingOrder="0" vertical="center"/>
    </xf>
    <xf borderId="1" fillId="4" fontId="0" numFmtId="170" xfId="0" applyAlignment="1" applyBorder="1" applyFont="1" applyNumberFormat="1">
      <alignment horizontal="center" readingOrder="0" vertical="center"/>
    </xf>
    <xf borderId="1" fillId="4" fontId="33" numFmtId="0" xfId="0" applyAlignment="1" applyBorder="1" applyFont="1">
      <alignment horizontal="center" readingOrder="0" vertical="center"/>
    </xf>
    <xf borderId="0" fillId="4" fontId="33" numFmtId="0" xfId="0" applyAlignment="1" applyFont="1">
      <alignment readingOrder="0" vertical="center"/>
    </xf>
    <xf borderId="0" fillId="4" fontId="7" numFmtId="0" xfId="0" applyAlignment="1" applyFont="1">
      <alignment vertical="center"/>
    </xf>
    <xf borderId="0" fillId="6" fontId="7" numFmtId="0" xfId="0" applyAlignment="1" applyFont="1">
      <alignment vertical="center"/>
    </xf>
    <xf borderId="0" fillId="6" fontId="7" numFmtId="0" xfId="0" applyFont="1"/>
    <xf borderId="1" fillId="17" fontId="33" numFmtId="0" xfId="0" applyAlignment="1" applyBorder="1" applyFont="1">
      <alignment horizontal="center" readingOrder="0" vertical="center"/>
    </xf>
    <xf borderId="1" fillId="9" fontId="45" numFmtId="170" xfId="0" applyAlignment="1" applyBorder="1" applyFont="1" applyNumberFormat="1">
      <alignment horizontal="center" readingOrder="0"/>
    </xf>
    <xf borderId="1" fillId="13" fontId="45" numFmtId="170" xfId="0" applyAlignment="1" applyBorder="1" applyFont="1" applyNumberFormat="1">
      <alignment horizontal="center" readingOrder="0"/>
    </xf>
    <xf borderId="1" fillId="0" fontId="32" numFmtId="0" xfId="0" applyAlignment="1" applyBorder="1" applyFont="1">
      <alignment horizontal="left" readingOrder="0" shrinkToFit="0" vertical="center" wrapText="1"/>
    </xf>
    <xf borderId="1" fillId="4" fontId="0" numFmtId="0" xfId="0" applyAlignment="1" applyBorder="1" applyFont="1">
      <alignment readingOrder="0" shrinkToFit="0" vertical="center" wrapText="1"/>
    </xf>
    <xf borderId="1" fillId="4" fontId="0" numFmtId="0" xfId="0" applyAlignment="1" applyBorder="1" applyFont="1">
      <alignment readingOrder="0"/>
    </xf>
    <xf borderId="1" fillId="4" fontId="129" numFmtId="0" xfId="0" applyAlignment="1" applyBorder="1" applyFont="1">
      <alignment readingOrder="0" shrinkToFit="0" vertical="center" wrapText="0"/>
    </xf>
    <xf borderId="0" fillId="0" fontId="45" numFmtId="170" xfId="0" applyAlignment="1" applyFont="1" applyNumberFormat="1">
      <alignment horizontal="center" readingOrder="0" vertical="center"/>
    </xf>
    <xf borderId="0" fillId="0" fontId="96" numFmtId="0" xfId="0" applyAlignment="1" applyFont="1">
      <alignment readingOrder="0" vertical="center"/>
    </xf>
    <xf borderId="0" fillId="32" fontId="130" numFmtId="0" xfId="0" applyAlignment="1" applyFill="1" applyFont="1">
      <alignment readingOrder="0" vertical="bottom"/>
    </xf>
    <xf borderId="0" fillId="32" fontId="130" numFmtId="0" xfId="0" applyAlignment="1" applyFont="1">
      <alignment horizontal="right" readingOrder="0" shrinkToFit="0" vertical="bottom" wrapText="1"/>
    </xf>
    <xf borderId="0" fillId="32" fontId="131" numFmtId="0" xfId="0" applyAlignment="1" applyFont="1">
      <alignment readingOrder="0" shrinkToFit="0" vertical="bottom" wrapText="1"/>
    </xf>
    <xf borderId="0" fillId="32" fontId="130" numFmtId="0" xfId="0" applyAlignment="1" applyFont="1">
      <alignment shrinkToFit="0" vertical="bottom" wrapText="1"/>
    </xf>
    <xf borderId="0" fillId="32" fontId="132" numFmtId="0" xfId="0" applyAlignment="1" applyFont="1">
      <alignment shrinkToFit="0" vertical="bottom" wrapText="1"/>
    </xf>
    <xf borderId="0" fillId="33" fontId="130" numFmtId="0" xfId="0" applyAlignment="1" applyFill="1" applyFont="1">
      <alignment readingOrder="0" shrinkToFit="0" vertical="bottom" wrapText="1"/>
    </xf>
    <xf borderId="0" fillId="33" fontId="130" numFmtId="0" xfId="0" applyAlignment="1" applyFont="1">
      <alignment shrinkToFit="0" vertical="bottom" wrapText="1"/>
    </xf>
    <xf borderId="0" fillId="33" fontId="130" numFmtId="3" xfId="0" applyAlignment="1" applyFont="1" applyNumberFormat="1">
      <alignment readingOrder="0" shrinkToFit="0" vertical="bottom" wrapText="1"/>
    </xf>
    <xf borderId="0" fillId="0" fontId="133" numFmtId="0" xfId="0" applyAlignment="1" applyFont="1">
      <alignment vertical="bottom"/>
    </xf>
    <xf borderId="0" fillId="32" fontId="130" numFmtId="0" xfId="0" applyAlignment="1" applyFont="1">
      <alignment vertical="bottom"/>
    </xf>
    <xf borderId="0" fillId="4" fontId="130" numFmtId="0" xfId="0" applyAlignment="1" applyFont="1">
      <alignment readingOrder="0" vertical="bottom"/>
    </xf>
    <xf borderId="0" fillId="4" fontId="133" numFmtId="0" xfId="0" applyAlignment="1" applyFont="1">
      <alignment readingOrder="0" shrinkToFit="0" vertical="bottom" wrapText="0"/>
    </xf>
    <xf borderId="0" fillId="4" fontId="133" numFmtId="172" xfId="0" applyAlignment="1" applyFont="1" applyNumberFormat="1">
      <alignment readingOrder="0" shrinkToFit="0" vertical="bottom" wrapText="0"/>
    </xf>
    <xf borderId="0" fillId="4" fontId="133" numFmtId="3" xfId="0" applyAlignment="1" applyFont="1" applyNumberFormat="1">
      <alignment readingOrder="0" shrinkToFit="0" vertical="bottom" wrapText="0"/>
    </xf>
    <xf borderId="0" fillId="4" fontId="133" numFmtId="3" xfId="0" applyAlignment="1" applyFont="1" applyNumberFormat="1">
      <alignment readingOrder="0" vertical="bottom"/>
    </xf>
    <xf borderId="0" fillId="0" fontId="133" numFmtId="10" xfId="0" applyAlignment="1" applyFont="1" applyNumberFormat="1">
      <alignment horizontal="right" shrinkToFit="0" vertical="bottom" wrapText="0"/>
    </xf>
    <xf borderId="0" fillId="4" fontId="133" numFmtId="0" xfId="0" applyAlignment="1" applyFont="1">
      <alignment readingOrder="0" vertical="bottom"/>
    </xf>
    <xf borderId="0" fillId="4" fontId="134" numFmtId="0" xfId="0" applyAlignment="1" applyFont="1">
      <alignment readingOrder="0" vertical="bottom"/>
    </xf>
    <xf borderId="0" fillId="4" fontId="133" numFmtId="0" xfId="0" applyAlignment="1" applyFont="1">
      <alignment vertical="bottom"/>
    </xf>
    <xf borderId="0" fillId="4" fontId="133" numFmtId="0" xfId="0" applyAlignment="1" applyFont="1">
      <alignment readingOrder="0" shrinkToFit="0" vertical="bottom" wrapText="1"/>
    </xf>
    <xf borderId="0" fillId="4" fontId="33" numFmtId="0" xfId="0" applyAlignment="1" applyFont="1">
      <alignment readingOrder="0" shrinkToFit="0" wrapText="1"/>
    </xf>
    <xf borderId="0" fillId="4" fontId="133" numFmtId="3" xfId="0" applyAlignment="1" applyFont="1" applyNumberFormat="1">
      <alignment horizontal="right" readingOrder="0" vertical="bottom"/>
    </xf>
    <xf borderId="0" fillId="4" fontId="133" numFmtId="0" xfId="0" applyAlignment="1" applyFont="1">
      <alignment readingOrder="0" shrinkToFit="0" vertical="bottom" wrapText="0"/>
    </xf>
    <xf borderId="0" fillId="4" fontId="133" numFmtId="3" xfId="0" applyAlignment="1" applyFont="1" applyNumberFormat="1">
      <alignment horizontal="right" readingOrder="0" shrinkToFit="0" vertical="bottom" wrapText="0"/>
    </xf>
    <xf borderId="0" fillId="4" fontId="133" numFmtId="174" xfId="0" applyAlignment="1" applyFont="1" applyNumberFormat="1">
      <alignment horizontal="right" vertical="bottom"/>
    </xf>
    <xf borderId="0" fillId="4" fontId="133" numFmtId="0" xfId="0" applyAlignment="1" applyFont="1">
      <alignment horizontal="right" vertical="bottom"/>
    </xf>
    <xf borderId="0" fillId="4" fontId="133" numFmtId="166" xfId="0" applyAlignment="1" applyFont="1" applyNumberFormat="1">
      <alignment horizontal="right" readingOrder="0" vertical="bottom"/>
    </xf>
    <xf borderId="0" fillId="4" fontId="133" numFmtId="0" xfId="0" applyAlignment="1" applyFont="1">
      <alignment horizontal="right" readingOrder="0" vertical="bottom"/>
    </xf>
    <xf borderId="0" fillId="4" fontId="133" numFmtId="174" xfId="0" applyAlignment="1" applyFont="1" applyNumberFormat="1">
      <alignment horizontal="right" readingOrder="0" vertical="bottom"/>
    </xf>
    <xf borderId="0" fillId="4" fontId="133" numFmtId="3" xfId="0" applyAlignment="1" applyFont="1" applyNumberFormat="1">
      <alignment horizontal="right" vertical="bottom"/>
    </xf>
    <xf borderId="0" fillId="4" fontId="133" numFmtId="0" xfId="0" applyAlignment="1" applyFont="1">
      <alignment shrinkToFit="0" vertical="bottom" wrapText="1"/>
    </xf>
    <xf borderId="0" fillId="4" fontId="130" numFmtId="0" xfId="0" applyAlignment="1" applyFont="1">
      <alignment shrinkToFit="0" vertical="bottom" wrapText="0"/>
    </xf>
    <xf borderId="0" fillId="4" fontId="133" numFmtId="174" xfId="0" applyAlignment="1" applyFont="1" applyNumberFormat="1">
      <alignment vertical="bottom"/>
    </xf>
    <xf borderId="0" fillId="4" fontId="133" numFmtId="3" xfId="0" applyAlignment="1" applyFont="1" applyNumberFormat="1">
      <alignment vertical="bottom"/>
    </xf>
    <xf borderId="0" fillId="4" fontId="133" numFmtId="3" xfId="0" applyAlignment="1" applyFont="1" applyNumberFormat="1">
      <alignment horizontal="right" shrinkToFit="0" vertical="bottom" wrapText="0"/>
    </xf>
    <xf borderId="0" fillId="4" fontId="133" numFmtId="174" xfId="0" applyAlignment="1" applyFont="1" applyNumberFormat="1">
      <alignment shrinkToFit="0" vertical="bottom" wrapText="0"/>
    </xf>
    <xf borderId="0" fillId="0" fontId="7" numFmtId="0" xfId="0" applyAlignment="1" applyFont="1">
      <alignment horizontal="center"/>
    </xf>
    <xf borderId="0" fillId="0" fontId="7" numFmtId="0" xfId="0" applyAlignment="1" applyFont="1">
      <alignment horizontal="left" readingOrder="0"/>
    </xf>
    <xf borderId="76" fillId="34" fontId="135" numFmtId="0" xfId="0" applyAlignment="1" applyBorder="1" applyFill="1" applyFont="1">
      <alignment horizontal="center" vertical="center"/>
    </xf>
    <xf borderId="76" fillId="35" fontId="135" numFmtId="0" xfId="0" applyAlignment="1" applyBorder="1" applyFill="1" applyFont="1">
      <alignment horizontal="center" vertical="center"/>
    </xf>
    <xf borderId="77" fillId="0" fontId="136" numFmtId="0" xfId="0" applyAlignment="1" applyBorder="1" applyFont="1">
      <alignment horizontal="center" vertical="center"/>
    </xf>
    <xf borderId="78" fillId="0" fontId="136" numFmtId="0" xfId="0" applyAlignment="1" applyBorder="1" applyFont="1">
      <alignment horizontal="center" vertical="center"/>
    </xf>
    <xf borderId="78" fillId="0" fontId="136" numFmtId="0" xfId="0" applyAlignment="1" applyBorder="1" applyFont="1">
      <alignment vertical="center"/>
    </xf>
    <xf borderId="78" fillId="0" fontId="136" numFmtId="0" xfId="0" applyAlignment="1" applyBorder="1" applyFont="1">
      <alignment horizontal="right" vertical="center"/>
    </xf>
    <xf borderId="78" fillId="0" fontId="137" numFmtId="0" xfId="0" applyAlignment="1" applyBorder="1" applyFont="1">
      <alignment vertical="center"/>
    </xf>
    <xf borderId="78" fillId="0" fontId="137" numFmtId="0" xfId="0" applyAlignment="1" applyBorder="1" applyFont="1">
      <alignment horizontal="right" vertical="center"/>
    </xf>
    <xf borderId="78" fillId="0" fontId="16" numFmtId="0" xfId="0" applyAlignment="1" applyBorder="1" applyFont="1">
      <alignment vertical="center"/>
    </xf>
    <xf borderId="0" fillId="0" fontId="138" numFmtId="0" xfId="0" applyAlignment="1" applyFont="1">
      <alignment readingOrder="0"/>
    </xf>
    <xf borderId="78" fillId="0" fontId="136" numFmtId="0" xfId="0" applyAlignment="1" applyBorder="1" applyFont="1">
      <alignment vertical="center"/>
    </xf>
    <xf borderId="78" fillId="0" fontId="136" numFmtId="0" xfId="0" applyAlignment="1" applyBorder="1" applyFont="1">
      <alignment readingOrder="0" vertical="center"/>
    </xf>
  </cellXfs>
  <cellStyles count="1">
    <cellStyle xfId="0" name="Normal" builtinId="0"/>
  </cellStyles>
  <dxfs count="11">
    <dxf>
      <font/>
      <fill>
        <patternFill patternType="solid">
          <fgColor rgb="FFCCCCCC"/>
          <bgColor rgb="FFCCCCCC"/>
        </patternFill>
      </fill>
      <border/>
    </dxf>
    <dxf>
      <font/>
      <fill>
        <patternFill patternType="solid">
          <fgColor rgb="FFB7B7B7"/>
          <bgColor rgb="FFB7B7B7"/>
        </patternFill>
      </fill>
      <border/>
    </dxf>
    <dxf>
      <font/>
      <fill>
        <patternFill patternType="solid">
          <fgColor rgb="FFB7E1CD"/>
          <bgColor rgb="FFB7E1CD"/>
        </patternFill>
      </fill>
      <border/>
    </dxf>
    <dxf>
      <font/>
      <fill>
        <patternFill patternType="solid">
          <fgColor rgb="FF00FFFF"/>
          <bgColor rgb="FF00FFFF"/>
        </patternFill>
      </fill>
      <border/>
    </dxf>
    <dxf>
      <font/>
      <fill>
        <patternFill patternType="solid">
          <fgColor rgb="FFF4CCCC"/>
          <bgColor rgb="FFF4CCCC"/>
        </patternFill>
      </fill>
      <border/>
    </dxf>
    <dxf>
      <font/>
      <fill>
        <patternFill patternType="solid">
          <fgColor rgb="FFFFC0CB"/>
          <bgColor rgb="FFFFC0CB"/>
        </patternFill>
      </fill>
      <border/>
    </dxf>
    <dxf>
      <font/>
      <fill>
        <patternFill patternType="solid">
          <fgColor rgb="FFF3F3F3"/>
          <bgColor rgb="FFF3F3F3"/>
        </patternFill>
      </fill>
      <border/>
    </dxf>
    <dxf>
      <font/>
      <fill>
        <patternFill patternType="solid">
          <fgColor rgb="FFBEE5F0"/>
          <bgColor rgb="FFBEE5F0"/>
        </patternFill>
      </fill>
      <border/>
    </dxf>
    <dxf>
      <font/>
      <fill>
        <patternFill patternType="solid">
          <fgColor rgb="FF999999"/>
          <bgColor rgb="FF999999"/>
        </patternFill>
      </fill>
      <border/>
    </dxf>
    <dxf>
      <font/>
      <fill>
        <patternFill patternType="solid">
          <fgColor rgb="FFCFE2F3"/>
          <bgColor rgb="FFCFE2F3"/>
        </patternFill>
      </fill>
      <border/>
    </dxf>
    <dxf>
      <font/>
      <fill>
        <patternFill patternType="solid">
          <fgColor rgb="FFFFE1F6"/>
          <bgColor rgb="FFFFE1F6"/>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1628775</xdr:colOff>
      <xdr:row>218</xdr:row>
      <xdr:rowOff>219075</xdr:rowOff>
    </xdr:from>
    <xdr:ext cx="3181350" cy="7810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hyperlink" Target="https://docs.google.com/spreadsheets/d/16C0DK8hCqOGeHYxFQDXSJPD7HFMtIHaiy9nkLz0jRx0/edit?gid=978158948" TargetMode="External"/><Relationship Id="rId2" Type="http://schemas.openxmlformats.org/officeDocument/2006/relationships/hyperlink" Target="https://docs.google.com/spreadsheets/d/1ruClxDVuxELIssYmyDqs69MeIAB3RInbiwrXUmx4nJo/edit?gid=706137097" TargetMode="External"/><Relationship Id="rId3"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rive.google.com/drive/folders/1Ibi9NN07LPd4LIesF0xdlLIGX-yX8lRB"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1" Type="http://schemas.openxmlformats.org/officeDocument/2006/relationships/hyperlink" Target="https://docs.google.com/spreadsheets/d/16C0DK8hCqOGeHYxFQDXSJPD7HFMtIHaiy9nkLz0jRx0/edit?gid=978158948" TargetMode="External"/><Relationship Id="rId10" Type="http://schemas.openxmlformats.org/officeDocument/2006/relationships/hyperlink" Target="https://docs.google.com/spreadsheets/d/1eDCOCS53NK9rfp5z02JF-lgQB6Xwt2qkVJDr2zBBiWg/edit" TargetMode="External"/><Relationship Id="rId13" Type="http://schemas.openxmlformats.org/officeDocument/2006/relationships/vmlDrawing" Target="../drawings/vmlDrawing1.vml"/><Relationship Id="rId12" Type="http://schemas.openxmlformats.org/officeDocument/2006/relationships/drawing" Target="../drawings/drawing3.xml"/><Relationship Id="rId1" Type="http://schemas.openxmlformats.org/officeDocument/2006/relationships/comments" Target="../comments1.xml"/><Relationship Id="rId2" Type="http://schemas.openxmlformats.org/officeDocument/2006/relationships/hyperlink" Target="https://docs.google.com/spreadsheets/d/1DNnQMO3LFyUW-Eajsx2NZnTcURZ4YCTdPbv_1_7TlUI/edit" TargetMode="External"/><Relationship Id="rId3" Type="http://schemas.openxmlformats.org/officeDocument/2006/relationships/hyperlink" Target="https://docs.google.com/spreadsheets/d/1DNnQMO3LFyUW-Eajsx2NZnTcURZ4YCTdPbv_1_7TlUI/edit" TargetMode="External"/><Relationship Id="rId4" Type="http://schemas.openxmlformats.org/officeDocument/2006/relationships/hyperlink" Target="https://docs.google.com/spreadsheets/d/1ruClxDVuxELIssYmyDqs69MeIAB3RInbiwrXUmx4nJo/edit?gid=706137097" TargetMode="External"/><Relationship Id="rId9" Type="http://schemas.openxmlformats.org/officeDocument/2006/relationships/hyperlink" Target="https://docs.google.com/spreadsheets/d/1Jg5q2bKPROVlVnejz7_v2QTKDEs1pF1fTySWX2F_KAM/edit?gid=1770793079" TargetMode="External"/><Relationship Id="rId5" Type="http://schemas.openxmlformats.org/officeDocument/2006/relationships/hyperlink" Target="https://docs.google.com/spreadsheets/d/16C0DK8hCqOGeHYxFQDXSJPD7HFMtIHaiy9nkLz0jRx0/edit?gid=978158948" TargetMode="External"/><Relationship Id="rId6" Type="http://schemas.openxmlformats.org/officeDocument/2006/relationships/hyperlink" Target="https://docs.google.com/spreadsheets/d/1ruClxDVuxELIssYmyDqs69MeIAB3RInbiwrXUmx4nJo/edit?gid=137635336" TargetMode="External"/><Relationship Id="rId7" Type="http://schemas.openxmlformats.org/officeDocument/2006/relationships/hyperlink" Target="https://docs.google.com/spreadsheets/d/1eDCOCS53NK9rfp5z02JF-lgQB6Xwt2qkVJDr2zBBiWg/edit" TargetMode="External"/><Relationship Id="rId8" Type="http://schemas.openxmlformats.org/officeDocument/2006/relationships/hyperlink" Target="https://docs.google.com/spreadsheets/d/1ruClxDVuxELIssYmyDqs69MeIAB3RInbiwrXUmx4nJo/edit?gid=706137097"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fszGGEJyWvmZAMIrpfRDmmd4XGZbqVOhpcOlyYBOINQ/edit" TargetMode="External"/><Relationship Id="rId3" Type="http://schemas.openxmlformats.org/officeDocument/2006/relationships/hyperlink" Target="https://docs.google.com/spreadsheets/d/1fszGGEJyWvmZAMIrpfRDmmd4XGZbqVOhpcOlyYBOINQ/edit" TargetMode="External"/><Relationship Id="rId4" Type="http://schemas.openxmlformats.org/officeDocument/2006/relationships/hyperlink" Target="https://docs.google.com/spreadsheets/d/1fszGGEJyWvmZAMIrpfRDmmd4XGZbqVOhpcOlyYBOINQ/edit" TargetMode="External"/><Relationship Id="rId9" Type="http://schemas.openxmlformats.org/officeDocument/2006/relationships/vmlDrawing" Target="../drawings/vmlDrawing2.vml"/><Relationship Id="rId5" Type="http://schemas.openxmlformats.org/officeDocument/2006/relationships/hyperlink" Target="https://docs.google.com/spreadsheets/d/1fszGGEJyWvmZAMIrpfRDmmd4XGZbqVOhpcOlyYBOINQ/edit" TargetMode="External"/><Relationship Id="rId6" Type="http://schemas.openxmlformats.org/officeDocument/2006/relationships/hyperlink" Target="https://docs.google.com/spreadsheets/d/1fszGGEJyWvmZAMIrpfRDmmd4XGZbqVOhpcOlyYBOINQ/edit" TargetMode="External"/><Relationship Id="rId7" Type="http://schemas.openxmlformats.org/officeDocument/2006/relationships/hyperlink" Target="https://docs.google.com/spreadsheets/d/1fszGGEJyWvmZAMIrpfRDmmd4XGZbqVOhpcOlyYBOINQ/edit"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oman-type.jp/job-condition/46/3317/f/" TargetMode="External"/><Relationship Id="rId3" Type="http://schemas.openxmlformats.org/officeDocument/2006/relationships/drawing" Target="../drawings/drawing5.xml"/><Relationship Id="rId4"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6.xml"/><Relationship Id="rId3"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hyperlink" Target="https://woman-type.jp/sales/?waad=3Qc98CpN" TargetMode="External"/><Relationship Id="rId42" Type="http://schemas.openxmlformats.org/officeDocument/2006/relationships/hyperlink" Target="https://woman-type.jp/s/itweb/?utm_source=adm&amp;utm_medium=email&amp;utm_campaign=adm_pr_2" TargetMode="External"/><Relationship Id="rId41" Type="http://schemas.openxmlformats.org/officeDocument/2006/relationships/hyperlink" Target="https://woman-type.jp/s/event/?utm_source=fair_woman-type&amp;utm_medium=email&amp;utm_campaign=inner_wr_mail_boss_pr_241019" TargetMode="External"/><Relationship Id="rId44" Type="http://schemas.openxmlformats.org/officeDocument/2006/relationships/hyperlink" Target="https://woman-type.jp/s/salessp/?utm_source=inside&amp;utm_medium=direct&amp;utm_campaign=cmp22" TargetMode="External"/><Relationship Id="rId43" Type="http://schemas.openxmlformats.org/officeDocument/2006/relationships/hyperlink" Target="https://woman-type.jp/s/event/osaka/?utm_source=fair_woman-type&amp;utm_medium=email&amp;utm_campaign=inner_wr_mail_boss_pr_241214" TargetMode="External"/><Relationship Id="rId46" Type="http://schemas.openxmlformats.org/officeDocument/2006/relationships/hyperlink" Target="https://woman-type.jp/s/event/?utm_source=fair_woman-type&amp;utm_medium=email&amp;utm_campaign=inner_wr_mail_boss_pr_241019" TargetMode="External"/><Relationship Id="rId45" Type="http://schemas.openxmlformats.org/officeDocument/2006/relationships/hyperlink" Target="https://woman-type.jp/s/kansai/?utm_source=inside&amp;utm_medium=direct&amp;utm_campaign=cmp23" TargetMode="External"/><Relationship Id="rId1" Type="http://schemas.openxmlformats.org/officeDocument/2006/relationships/hyperlink" Target="https://woman-type.jp/s/salessp/?waad=waw0yO0y" TargetMode="External"/><Relationship Id="rId2" Type="http://schemas.openxmlformats.org/officeDocument/2006/relationships/hyperlink" Target="https://woman-type.jp/s/event/?waad=lkN7G63y" TargetMode="External"/><Relationship Id="rId3" Type="http://schemas.openxmlformats.org/officeDocument/2006/relationships/hyperlink" Target="https://woman-type.jp/seminar/detail/31381/?waad=JINeYWkh" TargetMode="External"/><Relationship Id="rId4" Type="http://schemas.openxmlformats.org/officeDocument/2006/relationships/hyperlink" Target="https://woman-type.jp/s/event/?waad=lkN7G63y" TargetMode="External"/><Relationship Id="rId9" Type="http://schemas.openxmlformats.org/officeDocument/2006/relationships/hyperlink" Target="https://woman-type.jp/seminar/detail/31423/?waad=mXrxgtrn" TargetMode="External"/><Relationship Id="rId48" Type="http://schemas.openxmlformats.org/officeDocument/2006/relationships/hyperlink" Target="https://woman-type.jp/s/fashion/sp20160927/?utm_source=inside&amp;utm_medium=direct&amp;utm_campaign=cmp24" TargetMode="External"/><Relationship Id="rId47" Type="http://schemas.openxmlformats.org/officeDocument/2006/relationships/hyperlink" Target="https://woman-type.jp/s/itweb/?utm_source=adm&amp;utm_medium=email&amp;utm_campaign=adm_pr_2" TargetMode="External"/><Relationship Id="rId49" Type="http://schemas.openxmlformats.org/officeDocument/2006/relationships/hyperlink" Target="https://woman-type.jp/s/officework/?utm_source=adm&amp;utm_medium=email&amp;utm_campaign=adm_pr_8" TargetMode="External"/><Relationship Id="rId5" Type="http://schemas.openxmlformats.org/officeDocument/2006/relationships/hyperlink" Target="https://woman-type.jp/wt/feature/19021/?waad=U9zwwTuu" TargetMode="External"/><Relationship Id="rId6" Type="http://schemas.openxmlformats.org/officeDocument/2006/relationships/hyperlink" Target="https://type.jp/et/feature/14439/?waad=U9zwwTuu" TargetMode="External"/><Relationship Id="rId7" Type="http://schemas.openxmlformats.org/officeDocument/2006/relationships/hyperlink" Target="https://woman-type.jp/mypage/skill/?waad=DxEnPVRi" TargetMode="External"/><Relationship Id="rId8" Type="http://schemas.openxmlformats.org/officeDocument/2006/relationships/hyperlink" Target="https://woman-type.jp/academia/newsrelease/2021y/post-20/?waad=Hu9UIZGT" TargetMode="External"/><Relationship Id="rId31" Type="http://schemas.openxmlformats.org/officeDocument/2006/relationships/hyperlink" Target="https://woman-type.jp/s/kansai/?waad=PtjnBstP" TargetMode="External"/><Relationship Id="rId30" Type="http://schemas.openxmlformats.org/officeDocument/2006/relationships/hyperlink" Target="https://woman-type.jp/s/kansai/?waad=PtjnBstP" TargetMode="External"/><Relationship Id="rId33" Type="http://schemas.openxmlformats.org/officeDocument/2006/relationships/hyperlink" Target="https://woman-type.jp/wt/feature/30346/" TargetMode="External"/><Relationship Id="rId32" Type="http://schemas.openxmlformats.org/officeDocument/2006/relationships/hyperlink" Target="http://woman.type.jp/s/itc-labo?waad=cAs8N8ig" TargetMode="External"/><Relationship Id="rId35" Type="http://schemas.openxmlformats.org/officeDocument/2006/relationships/hyperlink" Target="https://woman-type.jp/s/kansai/?waad=PtjnBstP" TargetMode="External"/><Relationship Id="rId34" Type="http://schemas.openxmlformats.org/officeDocument/2006/relationships/hyperlink" Target="https://type.jp/et/feature/ecdw/" TargetMode="External"/><Relationship Id="rId37" Type="http://schemas.openxmlformats.org/officeDocument/2006/relationships/hyperlink" Target="http://woman.type.jp/s/engineer/?waad=GjG9MSYz" TargetMode="External"/><Relationship Id="rId36" Type="http://schemas.openxmlformats.org/officeDocument/2006/relationships/hyperlink" Target="https://woman-type.jp/s/careertype/?utm_source=adm&amp;utm_medium=email&amp;utm_campaign=adm_pr_1" TargetMode="External"/><Relationship Id="rId39" Type="http://schemas.openxmlformats.org/officeDocument/2006/relationships/hyperlink" Target="https://woman-type.jp/s/itengineer/?utm_source=adm&amp;utm_medium=email&amp;utm_campaign=adm_pr_12" TargetMode="External"/><Relationship Id="rId38" Type="http://schemas.openxmlformats.org/officeDocument/2006/relationships/hyperlink" Target="https://woman-type.jp/s/itengineer/?utm_source=adm&amp;utm_medium=email&amp;utm_campaign=adm_pr_12" TargetMode="External"/><Relationship Id="rId62" Type="http://schemas.openxmlformats.org/officeDocument/2006/relationships/drawing" Target="../drawings/drawing8.xml"/><Relationship Id="rId61" Type="http://schemas.openxmlformats.org/officeDocument/2006/relationships/hyperlink" Target="https://woman-type.jp/s/officework/?utm_source=adm&amp;utm_medium=email&amp;utm_campaign=adm_pr_8" TargetMode="External"/><Relationship Id="rId20" Type="http://schemas.openxmlformats.org/officeDocument/2006/relationships/hyperlink" Target="https://woman-type.jp/s/service/?waad=fjHIdBUn" TargetMode="External"/><Relationship Id="rId22" Type="http://schemas.openxmlformats.org/officeDocument/2006/relationships/hyperlink" Target="https://woman-type.jp/s/kanagawa/?waad=0wLFOZsX" TargetMode="External"/><Relationship Id="rId21" Type="http://schemas.openxmlformats.org/officeDocument/2006/relationships/hyperlink" Target="http://type.jp/et/feature/lp/ecdw2022/?waad=WJQEgzul" TargetMode="External"/><Relationship Id="rId24" Type="http://schemas.openxmlformats.org/officeDocument/2006/relationships/hyperlink" Target="https://woman-type.jp/s/event/online-engineer/?waad=Vi8ikdfU" TargetMode="External"/><Relationship Id="rId23" Type="http://schemas.openxmlformats.org/officeDocument/2006/relationships/hyperlink" Target="https://woman-type.jp/s/careertype/?waad=Whzxo6Kw" TargetMode="External"/><Relationship Id="rId60" Type="http://schemas.openxmlformats.org/officeDocument/2006/relationships/hyperlink" Target="https://woman-type.jp/s/fashion/sp20160927/?utm_source=adm&amp;utm_medium=email&amp;utm_campaign=adm_pr_6" TargetMode="External"/><Relationship Id="rId26" Type="http://schemas.openxmlformats.org/officeDocument/2006/relationships/hyperlink" Target="https://woman-type.jp/s/salessp/?waad=waw0yO0y" TargetMode="External"/><Relationship Id="rId25" Type="http://schemas.openxmlformats.org/officeDocument/2006/relationships/hyperlink" Target="https://woman-type.jp/s/websp/?waad=SUBUNnw7" TargetMode="External"/><Relationship Id="rId28" Type="http://schemas.openxmlformats.org/officeDocument/2006/relationships/hyperlink" Target="https://woman-type.jp/s/kanagawa/?waad=0wLFOZsX" TargetMode="External"/><Relationship Id="rId27" Type="http://schemas.openxmlformats.org/officeDocument/2006/relationships/hyperlink" Target="https://woman-type.jp/wt/feature/28435/?waad=x2brFVcz&amp;routeway=91" TargetMode="External"/><Relationship Id="rId29" Type="http://schemas.openxmlformats.org/officeDocument/2006/relationships/hyperlink" Target="https://woman-type.jp/s/event/?waad=lkN7G63y" TargetMode="External"/><Relationship Id="rId51" Type="http://schemas.openxmlformats.org/officeDocument/2006/relationships/hyperlink" Target="https://woman-type.jp/s/itweb/?utm_source=adm&amp;utm_medium=email&amp;utm_campaign=adm_pr_2" TargetMode="External"/><Relationship Id="rId50" Type="http://schemas.openxmlformats.org/officeDocument/2006/relationships/hyperlink" Target="https://woman-type.jp/s/event/?utm_source=fair_woman-type&amp;utm_medium=email&amp;utm_campaign=inner_wr_mail_boss_pr_250419" TargetMode="External"/><Relationship Id="rId53" Type="http://schemas.openxmlformats.org/officeDocument/2006/relationships/hyperlink" Target="https://woman-type.jp/s/event/?utm_source=fair_woman-type&amp;utm_medium=email&amp;utm_campaign=inner_wr_mail_boss_pr_250705" TargetMode="External"/><Relationship Id="rId52" Type="http://schemas.openxmlformats.org/officeDocument/2006/relationships/hyperlink" Target="https://woman-type.jp/job-job-keyword/25036/f/?utm_source=inside&amp;utm_medium=referral&amp;utm_campaign=cmp97" TargetMode="External"/><Relationship Id="rId11" Type="http://schemas.openxmlformats.org/officeDocument/2006/relationships/hyperlink" Target="https://type.jp/s/fair/yokohama/index2.html?waad=O1PnwDjr" TargetMode="External"/><Relationship Id="rId55" Type="http://schemas.openxmlformats.org/officeDocument/2006/relationships/hyperlink" Target="https://woman-type.jp/s/event/?utm_source=fair_woman-type&amp;utm_medium=email&amp;utm_campaign=inner_wr_mail_boss_pr_251018" TargetMode="External"/><Relationship Id="rId10" Type="http://schemas.openxmlformats.org/officeDocument/2006/relationships/hyperlink" Target="https://woman-type.jp/wt/feature/19685/?waad=PTsI4tlR&amp;routeway=85" TargetMode="External"/><Relationship Id="rId54" Type="http://schemas.openxmlformats.org/officeDocument/2006/relationships/hyperlink" Target="https://docs.google.com/document/d/1z-SXtyLNhkCE8yr7E5CTzC-lqz3jsAyxXY6jH_tYLSY/edit?tab=t.0" TargetMode="External"/><Relationship Id="rId13" Type="http://schemas.openxmlformats.org/officeDocument/2006/relationships/hyperlink" Target="https://woman-type.jp/academia/newsrelease/2021y/post-20/?waad=Hu9UIZGT" TargetMode="External"/><Relationship Id="rId57" Type="http://schemas.openxmlformats.org/officeDocument/2006/relationships/hyperlink" Target="https://woman-type.jp/s/event/osaka/?utm_source=fair_woman-type&amp;utm_medium=email&amp;utm_campaign=inner_wr_mail_boss_pr_251129" TargetMode="External"/><Relationship Id="rId12" Type="http://schemas.openxmlformats.org/officeDocument/2006/relationships/hyperlink" Target="https://type.jp/et/feature/ecdw2021/?waad=mkQiadNr" TargetMode="External"/><Relationship Id="rId56" Type="http://schemas.openxmlformats.org/officeDocument/2006/relationships/hyperlink" Target="https://woman-type.jp/s/kaigosp/?utm_source=adm&amp;utm_medium=email&amp;utm_campaign=adm_pr_10" TargetMode="External"/><Relationship Id="rId15" Type="http://schemas.openxmlformats.org/officeDocument/2006/relationships/hyperlink" Target="https://woman-type.jp/mypage/?waad=bSztBO5J&amp;routeway=85" TargetMode="External"/><Relationship Id="rId59" Type="http://schemas.openxmlformats.org/officeDocument/2006/relationships/hyperlink" Target="https://woman-type.jp/s/itweb/?utm_source=adm&amp;utm_medium=email&amp;utm_campaign=adm_pr_2" TargetMode="External"/><Relationship Id="rId14" Type="http://schemas.openxmlformats.org/officeDocument/2006/relationships/hyperlink" Target="https://woman-type.jp/s/event/online/index2.html?waad=Vi8ikdfU" TargetMode="External"/><Relationship Id="rId58" Type="http://schemas.openxmlformats.org/officeDocument/2006/relationships/hyperlink" Target="https://woman-type.jp/s/event/?utm_source=fair_woman-type&amp;utm_medium=email&amp;utm_campaign=inner_wr_mail_boss_pr_260131" TargetMode="External"/><Relationship Id="rId17" Type="http://schemas.openxmlformats.org/officeDocument/2006/relationships/hyperlink" Target="https://woman-type.jp/s/itengineer/?waad=VVvspZ7A" TargetMode="External"/><Relationship Id="rId16" Type="http://schemas.openxmlformats.org/officeDocument/2006/relationships/hyperlink" Target="https://woman-type.jp/s/careertype/?waad=Whzxo6Kw" TargetMode="External"/><Relationship Id="rId19" Type="http://schemas.openxmlformats.org/officeDocument/2006/relationships/hyperlink" Target="https://woman-type.jp/s/campaign36/?waad=7kLaLdLk" TargetMode="External"/><Relationship Id="rId18" Type="http://schemas.openxmlformats.org/officeDocument/2006/relationships/hyperlink" Target="https://woman-type.jp/wt/feature/24127?waad=x2brFVcz&amp;routeway=91"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10az.online.tableau.com/" TargetMode="External"/><Relationship Id="rId3" Type="http://schemas.openxmlformats.org/officeDocument/2006/relationships/hyperlink" Target="https://woman-type.jp/job-condition/46/3317/f/" TargetMode="External"/><Relationship Id="rId4" Type="http://schemas.openxmlformats.org/officeDocument/2006/relationships/hyperlink" Target="https://woman-type.jp/job-area/district3/24436/f/" TargetMode="External"/><Relationship Id="rId9" Type="http://schemas.openxmlformats.org/officeDocument/2006/relationships/hyperlink" Target="https://woman-type.jp/job-engineer/24876/f/" TargetMode="External"/><Relationship Id="rId5" Type="http://schemas.openxmlformats.org/officeDocument/2006/relationships/hyperlink" Target="https://woman-type.jp/job-office/24376/f/" TargetMode="External"/><Relationship Id="rId6" Type="http://schemas.openxmlformats.org/officeDocument/2006/relationships/hyperlink" Target="https://woman-type.jp/job-condition/10/24298/f/" TargetMode="External"/><Relationship Id="rId7" Type="http://schemas.openxmlformats.org/officeDocument/2006/relationships/hyperlink" Target="https://woman-type.jp/job-office/24336/f/" TargetMode="External"/><Relationship Id="rId8" Type="http://schemas.openxmlformats.org/officeDocument/2006/relationships/hyperlink" Target="https://woman-type.jp/job-sales/24356/f/" TargetMode="External"/><Relationship Id="rId11" Type="http://schemas.openxmlformats.org/officeDocument/2006/relationships/hyperlink" Target="https://woman-type.jp/job-condition/10/12077/f/" TargetMode="External"/><Relationship Id="rId10" Type="http://schemas.openxmlformats.org/officeDocument/2006/relationships/hyperlink" Target="https://woman-type.jp/job-service/24358/f/" TargetMode="External"/><Relationship Id="rId13" Type="http://schemas.openxmlformats.org/officeDocument/2006/relationships/drawing" Target="../drawings/drawing9.xml"/><Relationship Id="rId12" Type="http://schemas.openxmlformats.org/officeDocument/2006/relationships/hyperlink" Target="https://woman-type.jp/job-area/24936/f/" TargetMode="External"/><Relationship Id="rId1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ruClxDVuxELIssYmyDqs69MeIAB3RInbiwrXUmx4nJo/edit" TargetMode="External"/><Relationship Id="rId42" Type="http://schemas.openxmlformats.org/officeDocument/2006/relationships/hyperlink" Target="https://docs.google.com/spreadsheets/d/1ruClxDVuxELIssYmyDqs69MeIAB3RInbiwrXUmx4nJo/edit" TargetMode="External"/><Relationship Id="rId41" Type="http://schemas.openxmlformats.org/officeDocument/2006/relationships/hyperlink" Target="https://docs.google.com/spreadsheets/d/16C0DK8hCqOGeHYxFQDXSJPD7HFMtIHaiy9nkLz0jRx0/edit" TargetMode="External"/><Relationship Id="rId44" Type="http://schemas.openxmlformats.org/officeDocument/2006/relationships/hyperlink" Target="https://docs.google.com/spreadsheets/d/16C0DK8hCqOGeHYxFQDXSJPD7HFMtIHaiy9nkLz0jRx0/edit" TargetMode="External"/><Relationship Id="rId43" Type="http://schemas.openxmlformats.org/officeDocument/2006/relationships/hyperlink" Target="https://docs.google.com/spreadsheets/d/1eDCOCS53NK9rfp5z02JF-lgQB6Xwt2qkVJDr2zBBiWg/edit" TargetMode="External"/><Relationship Id="rId46" Type="http://schemas.openxmlformats.org/officeDocument/2006/relationships/hyperlink" Target="https://docs.google.com/spreadsheets/d/1fszGGEJyWvmZAMIrpfRDmmd4XGZbqVOhpcOlyYBOINQ/edit" TargetMode="External"/><Relationship Id="rId45" Type="http://schemas.openxmlformats.org/officeDocument/2006/relationships/hyperlink" Target="https://docs.google.com/spreadsheets/d/1eDCOCS53NK9rfp5z02JF-lgQB6Xwt2qkVJDr2zBBiWg/edit" TargetMode="External"/><Relationship Id="rId107" Type="http://schemas.openxmlformats.org/officeDocument/2006/relationships/hyperlink" Target="https://docs.google.com/spreadsheets/d/1eDCOCS53NK9rfp5z02JF-lgQB6Xwt2qkVJDr2zBBiWg/edit" TargetMode="External"/><Relationship Id="rId106" Type="http://schemas.openxmlformats.org/officeDocument/2006/relationships/hyperlink" Target="https://docs.google.com/spreadsheets/d/16C0DK8hCqOGeHYxFQDXSJPD7HFMtIHaiy9nkLz0jRx0/edit?gid=978158948" TargetMode="External"/><Relationship Id="rId105" Type="http://schemas.openxmlformats.org/officeDocument/2006/relationships/hyperlink" Target="https://docs.google.com/spreadsheets/d/1eDCOCS53NK9rfp5z02JF-lgQB6Xwt2qkVJDr2zBBiWg/edit" TargetMode="External"/><Relationship Id="rId104" Type="http://schemas.openxmlformats.org/officeDocument/2006/relationships/hyperlink" Target="https://docs.google.com/spreadsheets/d/16C0DK8hCqOGeHYxFQDXSJPD7HFMtIHaiy9nkLz0jRx0/edit?gid=978158948" TargetMode="External"/><Relationship Id="rId109" Type="http://schemas.openxmlformats.org/officeDocument/2006/relationships/hyperlink" Target="https://docs.google.com/spreadsheets/d/1eDCOCS53NK9rfp5z02JF-lgQB6Xwt2qkVJDr2zBBiWg/edit" TargetMode="External"/><Relationship Id="rId108" Type="http://schemas.openxmlformats.org/officeDocument/2006/relationships/hyperlink" Target="https://docs.google.com/spreadsheets/d/16C0DK8hCqOGeHYxFQDXSJPD7HFMtIHaiy9nkLz0jRx0/edit?gid=978158948" TargetMode="External"/><Relationship Id="rId48" Type="http://schemas.openxmlformats.org/officeDocument/2006/relationships/hyperlink" Target="https://docs.google.com/spreadsheets/d/1ruClxDVuxELIssYmyDqs69MeIAB3RInbiwrXUmx4nJo/edit" TargetMode="External"/><Relationship Id="rId187" Type="http://schemas.openxmlformats.org/officeDocument/2006/relationships/vmlDrawing" Target="../drawings/vmlDrawing6.vml"/><Relationship Id="rId47" Type="http://schemas.openxmlformats.org/officeDocument/2006/relationships/hyperlink" Target="https://sites.google.com/type.jp/medimap/%E5%90%84%E7%A8%AE%E8%B3%87%E6%96%99/%E5%85%A5%E7%A8%BF%E3%82%B9%E3%82%B1%E3%82%B8%E3%83%A5%E3%83%BC%E3%83%AB?authuser=0" TargetMode="External"/><Relationship Id="rId186" Type="http://schemas.openxmlformats.org/officeDocument/2006/relationships/drawing" Target="../drawings/drawing10.xml"/><Relationship Id="rId185" Type="http://schemas.openxmlformats.org/officeDocument/2006/relationships/hyperlink" Target="https://docs.google.com/spreadsheets/d/1fszGGEJyWvmZAMIrpfRDmmd4XGZbqVOhpcOlyYBOINQ/edit" TargetMode="External"/><Relationship Id="rId49" Type="http://schemas.openxmlformats.org/officeDocument/2006/relationships/hyperlink" Target="https://sites.google.com/type.jp/medimap/%E5%90%84%E7%A8%AE%E8%B3%87%E6%96%99/%E5%85%A5%E7%A8%BF%E3%82%B9%E3%82%B1%E3%82%B8%E3%83%A5%E3%83%BC%E3%83%AB?authuser=0" TargetMode="External"/><Relationship Id="rId184" Type="http://schemas.openxmlformats.org/officeDocument/2006/relationships/hyperlink" Target="https://docs.google.com/spreadsheets/d/1eDCOCS53NK9rfp5z02JF-lgQB6Xwt2qkVJDr2zBBiWg/edit" TargetMode="External"/><Relationship Id="rId103" Type="http://schemas.openxmlformats.org/officeDocument/2006/relationships/hyperlink" Target="https://docs.google.com/spreadsheets/d/1Jg5q2bKPROVlVnejz7_v2QTKDEs1pF1fTySWX2F_KAM/edit" TargetMode="External"/><Relationship Id="rId102" Type="http://schemas.openxmlformats.org/officeDocument/2006/relationships/hyperlink" Target="https://docs.google.com/spreadsheets/d/1xrfsiAjLwPhBlveDsLSsUUfMnNpOidnkNLqHJabwWYo/edit" TargetMode="External"/><Relationship Id="rId101" Type="http://schemas.openxmlformats.org/officeDocument/2006/relationships/hyperlink" Target="https://docs.google.com/spreadsheets/d/1v3B9E8Jeqx3_JGvRHJ2cXJ5OAGLvZiOXZru0niKH-QQ/edit" TargetMode="External"/><Relationship Id="rId100" Type="http://schemas.openxmlformats.org/officeDocument/2006/relationships/hyperlink" Target="https://docs.google.com/spreadsheets/d/1eDCOCS53NK9rfp5z02JF-lgQB6Xwt2qkVJDr2zBBiWg/edit" TargetMode="External"/><Relationship Id="rId31" Type="http://schemas.openxmlformats.org/officeDocument/2006/relationships/hyperlink" Target="https://docs.google.com/spreadsheets/d/1v3B9E8Jeqx3_JGvRHJ2cXJ5OAGLvZiOXZru0niKH-QQ/edit" TargetMode="External"/><Relationship Id="rId30" Type="http://schemas.openxmlformats.org/officeDocument/2006/relationships/hyperlink" Target="https://docs.google.com/spreadsheets/d/1xrfsiAjLwPhBlveDsLSsUUfMnNpOidnkNLqHJabwWYo/edit" TargetMode="External"/><Relationship Id="rId33" Type="http://schemas.openxmlformats.org/officeDocument/2006/relationships/hyperlink" Target="https://docs.google.com/spreadsheets/d/1xrfsiAjLwPhBlveDsLSsUUfMnNpOidnkNLqHJabwWYo/edit" TargetMode="External"/><Relationship Id="rId183" Type="http://schemas.openxmlformats.org/officeDocument/2006/relationships/hyperlink" Target="https://docs.google.com/spreadsheets/d/16C0DK8hCqOGeHYxFQDXSJPD7HFMtIHaiy9nkLz0jRx0/edit?gid=978158948" TargetMode="External"/><Relationship Id="rId32" Type="http://schemas.openxmlformats.org/officeDocument/2006/relationships/hyperlink" Target="https://docs.google.com/spreadsheets/d/1xrfsiAjLwPhBlveDsLSsUUfMnNpOidnkNLqHJabwWYo/edit" TargetMode="External"/><Relationship Id="rId182" Type="http://schemas.openxmlformats.org/officeDocument/2006/relationships/hyperlink" Target="https://docs.google.com/spreadsheets/d/1Jg5q2bKPROVlVnejz7_v2QTKDEs1pF1fTySWX2F_KAM/edit?gid=1774338877" TargetMode="External"/><Relationship Id="rId35" Type="http://schemas.openxmlformats.org/officeDocument/2006/relationships/hyperlink" Target="https://docs.google.com/spreadsheets/d/1xrfsiAjLwPhBlveDsLSsUUfMnNpOidnkNLqHJabwWYo/edit" TargetMode="External"/><Relationship Id="rId181" Type="http://schemas.openxmlformats.org/officeDocument/2006/relationships/hyperlink" Target="https://docs.google.com/spreadsheets/d/1fszGGEJyWvmZAMIrpfRDmmd4XGZbqVOhpcOlyYBOINQ/edit" TargetMode="External"/><Relationship Id="rId34" Type="http://schemas.openxmlformats.org/officeDocument/2006/relationships/hyperlink" Target="https://docs.google.com/spreadsheets/d/1v3B9E8Jeqx3_JGvRHJ2cXJ5OAGLvZiOXZru0niKH-QQ/edit" TargetMode="External"/><Relationship Id="rId180" Type="http://schemas.openxmlformats.org/officeDocument/2006/relationships/hyperlink" Target="https://docs.google.com/spreadsheets/d/1eDCOCS53NK9rfp5z02JF-lgQB6Xwt2qkVJDr2zBBiWg/edit" TargetMode="External"/><Relationship Id="rId37" Type="http://schemas.openxmlformats.org/officeDocument/2006/relationships/hyperlink" Target="https://docs.google.com/spreadsheets/d/1xrfsiAjLwPhBlveDsLSsUUfMnNpOidnkNLqHJabwWYo/edit" TargetMode="External"/><Relationship Id="rId176" Type="http://schemas.openxmlformats.org/officeDocument/2006/relationships/hyperlink" Target="https://docs.google.com/spreadsheets/d/16C0DK8hCqOGeHYxFQDXSJPD7HFMtIHaiy9nkLz0jRx0/edit?gid=978158948" TargetMode="External"/><Relationship Id="rId36" Type="http://schemas.openxmlformats.org/officeDocument/2006/relationships/hyperlink" Target="https://docs.google.com/spreadsheets/d/1v3B9E8Jeqx3_JGvRHJ2cXJ5OAGLvZiOXZru0niKH-QQ/edit" TargetMode="External"/><Relationship Id="rId175" Type="http://schemas.openxmlformats.org/officeDocument/2006/relationships/hyperlink" Target="https://docs.google.com/spreadsheets/d/1Jg5q2bKPROVlVnejz7_v2QTKDEs1pF1fTySWX2F_KAM/edit?gid=1774338877" TargetMode="External"/><Relationship Id="rId39" Type="http://schemas.openxmlformats.org/officeDocument/2006/relationships/hyperlink" Target="https://docs.google.com/spreadsheets/d/1xrfsiAjLwPhBlveDsLSsUUfMnNpOidnkNLqHJabwWYo/edit" TargetMode="External"/><Relationship Id="rId174" Type="http://schemas.openxmlformats.org/officeDocument/2006/relationships/hyperlink" Target="https://docs.google.com/spreadsheets/d/1fszGGEJyWvmZAMIrpfRDmmd4XGZbqVOhpcOlyYBOINQ/edit" TargetMode="External"/><Relationship Id="rId38" Type="http://schemas.openxmlformats.org/officeDocument/2006/relationships/hyperlink" Target="https://docs.google.com/spreadsheets/d/1v3B9E8Jeqx3_JGvRHJ2cXJ5OAGLvZiOXZru0niKH-QQ/edit" TargetMode="External"/><Relationship Id="rId173" Type="http://schemas.openxmlformats.org/officeDocument/2006/relationships/hyperlink" Target="https://docs.google.com/spreadsheets/d/1eDCOCS53NK9rfp5z02JF-lgQB6Xwt2qkVJDr2zBBiWg/edit" TargetMode="External"/><Relationship Id="rId179" Type="http://schemas.openxmlformats.org/officeDocument/2006/relationships/hyperlink" Target="https://docs.google.com/spreadsheets/d/16C0DK8hCqOGeHYxFQDXSJPD7HFMtIHaiy9nkLz0jRx0/edit?gid=978158948" TargetMode="External"/><Relationship Id="rId178" Type="http://schemas.openxmlformats.org/officeDocument/2006/relationships/hyperlink" Target="https://docs.google.com/spreadsheets/d/1fszGGEJyWvmZAMIrpfRDmmd4XGZbqVOhpcOlyYBOINQ/edit" TargetMode="External"/><Relationship Id="rId177" Type="http://schemas.openxmlformats.org/officeDocument/2006/relationships/hyperlink" Target="https://docs.google.com/spreadsheets/d/1eDCOCS53NK9rfp5z02JF-lgQB6Xwt2qkVJDr2zBBiWg/edit" TargetMode="External"/><Relationship Id="rId20" Type="http://schemas.openxmlformats.org/officeDocument/2006/relationships/hyperlink" Target="https://docs.google.com/spreadsheets/d/1ruClxDVuxELIssYmyDqs69MeIAB3RInbiwrXUmx4nJo/edit" TargetMode="External"/><Relationship Id="rId22" Type="http://schemas.openxmlformats.org/officeDocument/2006/relationships/hyperlink" Target="https://docs.google.com/spreadsheets/d/1xrfsiAjLwPhBlveDsLSsUUfMnNpOidnkNLqHJabwWYo/edit" TargetMode="External"/><Relationship Id="rId21" Type="http://schemas.openxmlformats.org/officeDocument/2006/relationships/hyperlink" Target="https://docs.google.com/spreadsheets/d/1v3B9E8Jeqx3_JGvRHJ2cXJ5OAGLvZiOXZru0niKH-QQ/edit" TargetMode="External"/><Relationship Id="rId24" Type="http://schemas.openxmlformats.org/officeDocument/2006/relationships/hyperlink" Target="https://docs.google.com/spreadsheets/d/1xrfsiAjLwPhBlveDsLSsUUfMnNpOidnkNLqHJabwWYo/edit" TargetMode="External"/><Relationship Id="rId23" Type="http://schemas.openxmlformats.org/officeDocument/2006/relationships/hyperlink" Target="https://docs.google.com/spreadsheets/d/1v3B9E8Jeqx3_JGvRHJ2cXJ5OAGLvZiOXZru0niKH-QQ/edit" TargetMode="External"/><Relationship Id="rId129" Type="http://schemas.openxmlformats.org/officeDocument/2006/relationships/hyperlink" Target="https://docs.google.com/spreadsheets/d/1fszGGEJyWvmZAMIrpfRDmmd4XGZbqVOhpcOlyYBOINQ/edit" TargetMode="External"/><Relationship Id="rId128" Type="http://schemas.openxmlformats.org/officeDocument/2006/relationships/hyperlink" Target="https://docs.google.com/spreadsheets/d/1eDCOCS53NK9rfp5z02JF-lgQB6Xwt2qkVJDr2zBBiWg/edit" TargetMode="External"/><Relationship Id="rId127" Type="http://schemas.openxmlformats.org/officeDocument/2006/relationships/hyperlink" Target="https://docs.google.com/spreadsheets/d/16C0DK8hCqOGeHYxFQDXSJPD7HFMtIHaiy9nkLz0jRx0/edit" TargetMode="External"/><Relationship Id="rId126" Type="http://schemas.openxmlformats.org/officeDocument/2006/relationships/hyperlink" Target="https://docs.google.com/spreadsheets/d/1ruClxDVuxELIssYmyDqs69MeIAB3RInbiwrXUmx4nJo/edit" TargetMode="External"/><Relationship Id="rId26" Type="http://schemas.openxmlformats.org/officeDocument/2006/relationships/hyperlink" Target="https://docs.google.com/spreadsheets/d/1xrfsiAjLwPhBlveDsLSsUUfMnNpOidnkNLqHJabwWYo/edit" TargetMode="External"/><Relationship Id="rId121" Type="http://schemas.openxmlformats.org/officeDocument/2006/relationships/hyperlink" Target="https://docs.google.com/spreadsheets/d/1fszGGEJyWvmZAMIrpfRDmmd4XGZbqVOhpcOlyYBOINQ/edit" TargetMode="External"/><Relationship Id="rId25" Type="http://schemas.openxmlformats.org/officeDocument/2006/relationships/hyperlink" Target="https://docs.google.com/spreadsheets/d/1v3B9E8Jeqx3_JGvRHJ2cXJ5OAGLvZiOXZru0niKH-QQ/edit" TargetMode="External"/><Relationship Id="rId120" Type="http://schemas.openxmlformats.org/officeDocument/2006/relationships/hyperlink" Target="https://docs.google.com/spreadsheets/d/1eDCOCS53NK9rfp5z02JF-lgQB6Xwt2qkVJDr2zBBiWg/edit" TargetMode="External"/><Relationship Id="rId28" Type="http://schemas.openxmlformats.org/officeDocument/2006/relationships/hyperlink" Target="https://docs.google.com/spreadsheets/d/1xrfsiAjLwPhBlveDsLSsUUfMnNpOidnkNLqHJabwWYo/edit" TargetMode="External"/><Relationship Id="rId27" Type="http://schemas.openxmlformats.org/officeDocument/2006/relationships/hyperlink" Target="https://docs.google.com/spreadsheets/d/1v3B9E8Jeqx3_JGvRHJ2cXJ5OAGLvZiOXZru0niKH-QQ/edit" TargetMode="External"/><Relationship Id="rId125" Type="http://schemas.openxmlformats.org/officeDocument/2006/relationships/hyperlink" Target="https://sites.google.com/type.jp/medimap/%E5%90%84%E7%A8%AE%E8%B3%87%E6%96%99/%E5%85%A5%E7%A8%BF%E3%82%B9%E3%82%B1%E3%82%B8%E3%83%A5%E3%83%BC%E3%83%AB?authuser=0" TargetMode="External"/><Relationship Id="rId29" Type="http://schemas.openxmlformats.org/officeDocument/2006/relationships/hyperlink" Target="https://docs.google.com/spreadsheets/d/1v3B9E8Jeqx3_JGvRHJ2cXJ5OAGLvZiOXZru0niKH-QQ/edit" TargetMode="External"/><Relationship Id="rId124" Type="http://schemas.openxmlformats.org/officeDocument/2006/relationships/hyperlink" Target="https://docs.google.com/spreadsheets/d/1fszGGEJyWvmZAMIrpfRDmmd4XGZbqVOhpcOlyYBOINQ/edit" TargetMode="External"/><Relationship Id="rId123" Type="http://schemas.openxmlformats.org/officeDocument/2006/relationships/hyperlink" Target="https://docs.google.com/spreadsheets/d/1eDCOCS53NK9rfp5z02JF-lgQB6Xwt2qkVJDr2zBBiWg/edit" TargetMode="External"/><Relationship Id="rId122" Type="http://schemas.openxmlformats.org/officeDocument/2006/relationships/hyperlink" Target="https://docs.google.com/spreadsheets/d/16C0DK8hCqOGeHYxFQDXSJPD7HFMtIHaiy9nkLz0jRx0/edit" TargetMode="External"/><Relationship Id="rId95" Type="http://schemas.openxmlformats.org/officeDocument/2006/relationships/hyperlink" Target="https://docs.google.com/spreadsheets/d/1xrfsiAjLwPhBlveDsLSsUUfMnNpOidnkNLqHJabwWYo/edit" TargetMode="External"/><Relationship Id="rId94" Type="http://schemas.openxmlformats.org/officeDocument/2006/relationships/hyperlink" Target="https://docs.google.com/spreadsheets/d/1v3B9E8Jeqx3_JGvRHJ2cXJ5OAGLvZiOXZru0niKH-QQ/edit" TargetMode="External"/><Relationship Id="rId97" Type="http://schemas.openxmlformats.org/officeDocument/2006/relationships/hyperlink" Target="https://docs.google.com/spreadsheets/d/16C0DK8hCqOGeHYxFQDXSJPD7HFMtIHaiy9nkLz0jRx0/edit?gid=978158948" TargetMode="External"/><Relationship Id="rId96" Type="http://schemas.openxmlformats.org/officeDocument/2006/relationships/hyperlink" Target="https://docs.google.com/spreadsheets/d/1Jg5q2bKPROVlVnejz7_v2QTKDEs1pF1fTySWX2F_KAM/edit" TargetMode="External"/><Relationship Id="rId11" Type="http://schemas.openxmlformats.org/officeDocument/2006/relationships/hyperlink" Target="https://docs.google.com/spreadsheets/d/14VRt1DzygoL3ldywdTGi4p4-5N6W0OO9Ugf6GEHXv1k/edit" TargetMode="External"/><Relationship Id="rId99" Type="http://schemas.openxmlformats.org/officeDocument/2006/relationships/hyperlink" Target="https://docs.google.com/spreadsheets/d/16C0DK8hCqOGeHYxFQDXSJPD7HFMtIHaiy9nkLz0jRx0/edit?gid=978158948" TargetMode="External"/><Relationship Id="rId10" Type="http://schemas.openxmlformats.org/officeDocument/2006/relationships/hyperlink" Target="https://docs.google.com/spreadsheets/d/1Jg5q2bKPROVlVnejz7_v2QTKDEs1pF1fTySWX2F_KAM/edit" TargetMode="External"/><Relationship Id="rId98" Type="http://schemas.openxmlformats.org/officeDocument/2006/relationships/hyperlink" Target="https://docs.google.com/spreadsheets/d/1eDCOCS53NK9rfp5z02JF-lgQB6Xwt2qkVJDr2zBBiWg/edit" TargetMode="External"/><Relationship Id="rId13" Type="http://schemas.openxmlformats.org/officeDocument/2006/relationships/hyperlink" Target="https://docs.google.com/spreadsheets/d/16C0DK8hCqOGeHYxFQDXSJPD7HFMtIHaiy9nkLz0jRx0/edit" TargetMode="External"/><Relationship Id="rId12" Type="http://schemas.openxmlformats.org/officeDocument/2006/relationships/hyperlink" Target="https://docs.google.com/spreadsheets/d/16C0DK8hCqOGeHYxFQDXSJPD7HFMtIHaiy9nkLz0jRx0/edit" TargetMode="External"/><Relationship Id="rId91" Type="http://schemas.openxmlformats.org/officeDocument/2006/relationships/hyperlink" Target="https://docs.google.com/spreadsheets/d/1eDCOCS53NK9rfp5z02JF-lgQB6Xwt2qkVJDr2zBBiWg/edit" TargetMode="External"/><Relationship Id="rId90" Type="http://schemas.openxmlformats.org/officeDocument/2006/relationships/hyperlink" Target="https://docs.google.com/spreadsheets/d/16C0DK8hCqOGeHYxFQDXSJPD7HFMtIHaiy9nkLz0jRx0/edit?gid=978158948" TargetMode="External"/><Relationship Id="rId93" Type="http://schemas.openxmlformats.org/officeDocument/2006/relationships/hyperlink" Target="https://docs.google.com/spreadsheets/d/1DNnQMO3LFyUW-Eajsx2NZnTcURZ4YCTdPbv_1_7TlUI/edit" TargetMode="External"/><Relationship Id="rId92" Type="http://schemas.openxmlformats.org/officeDocument/2006/relationships/hyperlink" Target="https://docs.google.com/spreadsheets/d/1DNnQMO3LFyUW-Eajsx2NZnTcURZ4YCTdPbv_1_7TlUI/edit" TargetMode="External"/><Relationship Id="rId118" Type="http://schemas.openxmlformats.org/officeDocument/2006/relationships/hyperlink" Target="https://docs.google.com/spreadsheets/d/1Jg5q2bKPROVlVnejz7_v2QTKDEs1pF1fTySWX2F_KAM/edit?gid=1774338877" TargetMode="External"/><Relationship Id="rId117" Type="http://schemas.openxmlformats.org/officeDocument/2006/relationships/hyperlink" Target="https://docs.google.com/spreadsheets/d/1fszGGEJyWvmZAMIrpfRDmmd4XGZbqVOhpcOlyYBOINQ/edit" TargetMode="External"/><Relationship Id="rId116" Type="http://schemas.openxmlformats.org/officeDocument/2006/relationships/hyperlink" Target="https://docs.google.com/spreadsheets/d/1eDCOCS53NK9rfp5z02JF-lgQB6Xwt2qkVJDr2zBBiWg/edit" TargetMode="External"/><Relationship Id="rId115" Type="http://schemas.openxmlformats.org/officeDocument/2006/relationships/hyperlink" Target="https://docs.google.com/spreadsheets/d/16C0DK8hCqOGeHYxFQDXSJPD7HFMtIHaiy9nkLz0jRx0/edit?gid=978158948" TargetMode="External"/><Relationship Id="rId119" Type="http://schemas.openxmlformats.org/officeDocument/2006/relationships/hyperlink" Target="https://docs.google.com/spreadsheets/d/16C0DK8hCqOGeHYxFQDXSJPD7HFMtIHaiy9nkLz0jRx0/edit?gid=978158948" TargetMode="External"/><Relationship Id="rId15" Type="http://schemas.openxmlformats.org/officeDocument/2006/relationships/hyperlink" Target="https://docs.google.com/spreadsheets/d/1xrfsiAjLwPhBlveDsLSsUUfMnNpOidnkNLqHJabwWYo/edit" TargetMode="External"/><Relationship Id="rId110" Type="http://schemas.openxmlformats.org/officeDocument/2006/relationships/hyperlink" Target="https://docs.google.com/spreadsheets/d/1fszGGEJyWvmZAMIrpfRDmmd4XGZbqVOhpcOlyYBOINQ/edit" TargetMode="External"/><Relationship Id="rId14" Type="http://schemas.openxmlformats.org/officeDocument/2006/relationships/hyperlink" Target="https://docs.google.com/spreadsheets/d/1v3B9E8Jeqx3_JGvRHJ2cXJ5OAGLvZiOXZru0niKH-QQ/edit" TargetMode="External"/><Relationship Id="rId17" Type="http://schemas.openxmlformats.org/officeDocument/2006/relationships/hyperlink" Target="https://docs.google.com/spreadsheets/d/1Jg5q2bKPROVlVnejz7_v2QTKDEs1pF1fTySWX2F_KAM/edit" TargetMode="External"/><Relationship Id="rId16" Type="http://schemas.openxmlformats.org/officeDocument/2006/relationships/hyperlink" Target="https://drive.google.com/drive/folders/1Ibi9NN07LPd4LIesF0xdlLIGX-yX8lRB" TargetMode="External"/><Relationship Id="rId19" Type="http://schemas.openxmlformats.org/officeDocument/2006/relationships/hyperlink" Target="https://docs.google.com/spreadsheets/d/16C0DK8hCqOGeHYxFQDXSJPD7HFMtIHaiy9nkLz0jRx0/edit" TargetMode="External"/><Relationship Id="rId114" Type="http://schemas.openxmlformats.org/officeDocument/2006/relationships/hyperlink" Target="https://docs.google.com/spreadsheets/d/1fszGGEJyWvmZAMIrpfRDmmd4XGZbqVOhpcOlyYBOINQ/edit" TargetMode="External"/><Relationship Id="rId18" Type="http://schemas.openxmlformats.org/officeDocument/2006/relationships/hyperlink" Target="https://docs.google.com/spreadsheets/d/14VRt1DzygoL3ldywdTGi4p4-5N6W0OO9Ugf6GEHXv1k/edit" TargetMode="External"/><Relationship Id="rId113" Type="http://schemas.openxmlformats.org/officeDocument/2006/relationships/hyperlink" Target="https://docs.google.com/spreadsheets/d/1eDCOCS53NK9rfp5z02JF-lgQB6Xwt2qkVJDr2zBBiWg/edit" TargetMode="External"/><Relationship Id="rId112" Type="http://schemas.openxmlformats.org/officeDocument/2006/relationships/hyperlink" Target="https://docs.google.com/spreadsheets/d/16C0DK8hCqOGeHYxFQDXSJPD7HFMtIHaiy9nkLz0jRx0/edit?gid=978158948" TargetMode="External"/><Relationship Id="rId111" Type="http://schemas.openxmlformats.org/officeDocument/2006/relationships/hyperlink" Target="https://docs.google.com/spreadsheets/d/1Jg5q2bKPROVlVnejz7_v2QTKDEs1pF1fTySWX2F_KAM/edit?gid=1774338877" TargetMode="External"/><Relationship Id="rId84" Type="http://schemas.openxmlformats.org/officeDocument/2006/relationships/hyperlink" Target="https://docs.google.com/spreadsheets/d/1eDCOCS53NK9rfp5z02JF-lgQB6Xwt2qkVJDr2zBBiWg/edit" TargetMode="External"/><Relationship Id="rId83" Type="http://schemas.openxmlformats.org/officeDocument/2006/relationships/hyperlink" Target="https://docs.google.com/spreadsheets/d/16C0DK8hCqOGeHYxFQDXSJPD7HFMtIHaiy9nkLz0jRx0/edit?gid=978158948" TargetMode="External"/><Relationship Id="rId86" Type="http://schemas.openxmlformats.org/officeDocument/2006/relationships/hyperlink" Target="https://docs.google.com/spreadsheets/d/1DNnQMO3LFyUW-Eajsx2NZnTcURZ4YCTdPbv_1_7TlUI/edit" TargetMode="External"/><Relationship Id="rId85" Type="http://schemas.openxmlformats.org/officeDocument/2006/relationships/hyperlink" Target="https://docs.google.com/spreadsheets/d/1DNnQMO3LFyUW-Eajsx2NZnTcURZ4YCTdPbv_1_7TlUI/edit" TargetMode="External"/><Relationship Id="rId88" Type="http://schemas.openxmlformats.org/officeDocument/2006/relationships/hyperlink" Target="https://docs.google.com/spreadsheets/d/1xrfsiAjLwPhBlveDsLSsUUfMnNpOidnkNLqHJabwWYo/edit" TargetMode="External"/><Relationship Id="rId150" Type="http://schemas.openxmlformats.org/officeDocument/2006/relationships/hyperlink" Target="https://docs.google.com/spreadsheets/d/1Jg5q2bKPROVlVnejz7_v2QTKDEs1pF1fTySWX2F_KAM/edit?gid=1774338877" TargetMode="External"/><Relationship Id="rId87" Type="http://schemas.openxmlformats.org/officeDocument/2006/relationships/hyperlink" Target="https://docs.google.com/spreadsheets/d/1v3B9E8Jeqx3_JGvRHJ2cXJ5OAGLvZiOXZru0niKH-QQ/edit" TargetMode="External"/><Relationship Id="rId89" Type="http://schemas.openxmlformats.org/officeDocument/2006/relationships/hyperlink" Target="https://docs.google.com/spreadsheets/d/1Jg5q2bKPROVlVnejz7_v2QTKDEs1pF1fTySWX2F_KAM/edit" TargetMode="External"/><Relationship Id="rId80" Type="http://schemas.openxmlformats.org/officeDocument/2006/relationships/hyperlink" Target="https://docs.google.com/spreadsheets/d/1Jg5q2bKPROVlVnejz7_v2QTKDEs1pF1fTySWX2F_KAM/edit" TargetMode="External"/><Relationship Id="rId82" Type="http://schemas.openxmlformats.org/officeDocument/2006/relationships/hyperlink" Target="https://docs.google.com/spreadsheets/d/1eDCOCS53NK9rfp5z02JF-lgQB6Xwt2qkVJDr2zBBiWg/edit" TargetMode="External"/><Relationship Id="rId81" Type="http://schemas.openxmlformats.org/officeDocument/2006/relationships/hyperlink" Target="https://docs.google.com/spreadsheets/d/16C0DK8hCqOGeHYxFQDXSJPD7HFMtIHaiy9nkLz0jRx0/edit?gid=978158948" TargetMode="External"/><Relationship Id="rId1" Type="http://schemas.openxmlformats.org/officeDocument/2006/relationships/comments" Target="../comments6.xml"/><Relationship Id="rId2" Type="http://schemas.openxmlformats.org/officeDocument/2006/relationships/hyperlink" Target="https://docs.google.com/spreadsheets/d/1xrfsiAjLwPhBlveDsLSsUUfMnNpOidnkNLqHJabwWYo/edit" TargetMode="External"/><Relationship Id="rId3" Type="http://schemas.openxmlformats.org/officeDocument/2006/relationships/hyperlink" Target="https://drive.google.com/drive/folders/1Ibi9NN07LPd4LIesF0xdlLIGX-yX8lRB" TargetMode="External"/><Relationship Id="rId149" Type="http://schemas.openxmlformats.org/officeDocument/2006/relationships/hyperlink" Target="https://docs.google.com/spreadsheets/d/1fszGGEJyWvmZAMIrpfRDmmd4XGZbqVOhpcOlyYBOINQ/edit" TargetMode="External"/><Relationship Id="rId4" Type="http://schemas.openxmlformats.org/officeDocument/2006/relationships/hyperlink" Target="https://docs.google.com/spreadsheets/d/14VRt1DzygoL3ldywdTGi4p4-5N6W0OO9Ugf6GEHXv1k/edit" TargetMode="External"/><Relationship Id="rId148" Type="http://schemas.openxmlformats.org/officeDocument/2006/relationships/hyperlink" Target="https://docs.google.com/spreadsheets/d/1eDCOCS53NK9rfp5z02JF-lgQB6Xwt2qkVJDr2zBBiWg/edit" TargetMode="External"/><Relationship Id="rId9" Type="http://schemas.openxmlformats.org/officeDocument/2006/relationships/hyperlink" Target="https://drive.google.com/drive/folders/1Ibi9NN07LPd4LIesF0xdlLIGX-yX8lRB" TargetMode="External"/><Relationship Id="rId143" Type="http://schemas.openxmlformats.org/officeDocument/2006/relationships/hyperlink" Target="https://docs.google.com/spreadsheets/d/1Jg5q2bKPROVlVnejz7_v2QTKDEs1pF1fTySWX2F_KAM/edit?gid=1774338877" TargetMode="External"/><Relationship Id="rId142" Type="http://schemas.openxmlformats.org/officeDocument/2006/relationships/hyperlink" Target="https://docs.google.com/spreadsheets/d/1fszGGEJyWvmZAMIrpfRDmmd4XGZbqVOhpcOlyYBOINQ/edit" TargetMode="External"/><Relationship Id="rId141" Type="http://schemas.openxmlformats.org/officeDocument/2006/relationships/hyperlink" Target="https://docs.google.com/spreadsheets/d/1ruClxDVuxELIssYmyDqs69MeIAB3RInbiwrXUmx4nJo/edit" TargetMode="External"/><Relationship Id="rId140" Type="http://schemas.openxmlformats.org/officeDocument/2006/relationships/hyperlink" Target="https://sites.google.com/type.jp/medimap/%E5%90%84%E7%A8%AE%E8%B3%87%E6%96%99/%E5%85%A5%E7%A8%BF%E3%82%B9%E3%82%B1%E3%82%B8%E3%83%A5%E3%83%BC%E3%83%AB?authuser=0" TargetMode="External"/><Relationship Id="rId5" Type="http://schemas.openxmlformats.org/officeDocument/2006/relationships/hyperlink" Target="https://docs.google.com/spreadsheets/d/16C0DK8hCqOGeHYxFQDXSJPD7HFMtIHaiy9nkLz0jRx0/edit" TargetMode="External"/><Relationship Id="rId147" Type="http://schemas.openxmlformats.org/officeDocument/2006/relationships/hyperlink" Target="https://docs.google.com/spreadsheets/d/16C0DK8hCqOGeHYxFQDXSJPD7HFMtIHaiy9nkLz0jRx0/edit?gid=978158948" TargetMode="External"/><Relationship Id="rId6" Type="http://schemas.openxmlformats.org/officeDocument/2006/relationships/hyperlink" Target="https://docs.google.com/spreadsheets/d/1ruClxDVuxELIssYmyDqs69MeIAB3RInbiwrXUmx4nJo/edit" TargetMode="External"/><Relationship Id="rId146" Type="http://schemas.openxmlformats.org/officeDocument/2006/relationships/hyperlink" Target="https://docs.google.com/spreadsheets/d/1fszGGEJyWvmZAMIrpfRDmmd4XGZbqVOhpcOlyYBOINQ/edit" TargetMode="External"/><Relationship Id="rId7" Type="http://schemas.openxmlformats.org/officeDocument/2006/relationships/hyperlink" Target="https://docs.google.com/spreadsheets/d/1v3B9E8Jeqx3_JGvRHJ2cXJ5OAGLvZiOXZru0niKH-QQ/edit" TargetMode="External"/><Relationship Id="rId145" Type="http://schemas.openxmlformats.org/officeDocument/2006/relationships/hyperlink" Target="https://docs.google.com/spreadsheets/d/1eDCOCS53NK9rfp5z02JF-lgQB6Xwt2qkVJDr2zBBiWg/edit" TargetMode="External"/><Relationship Id="rId8" Type="http://schemas.openxmlformats.org/officeDocument/2006/relationships/hyperlink" Target="https://docs.google.com/spreadsheets/d/1xrfsiAjLwPhBlveDsLSsUUfMnNpOidnkNLqHJabwWYo/edit" TargetMode="External"/><Relationship Id="rId144" Type="http://schemas.openxmlformats.org/officeDocument/2006/relationships/hyperlink" Target="https://docs.google.com/spreadsheets/d/16C0DK8hCqOGeHYxFQDXSJPD7HFMtIHaiy9nkLz0jRx0/edit?gid=978158948" TargetMode="External"/><Relationship Id="rId73" Type="http://schemas.openxmlformats.org/officeDocument/2006/relationships/hyperlink" Target="https://docs.google.com/spreadsheets/d/1fszGGEJyWvmZAMIrpfRDmmd4XGZbqVOhpcOlyYBOINQ/edit" TargetMode="External"/><Relationship Id="rId72" Type="http://schemas.openxmlformats.org/officeDocument/2006/relationships/hyperlink" Target="https://docs.google.com/spreadsheets/d/1eDCOCS53NK9rfp5z02JF-lgQB6Xwt2qkVJDr2zBBiWg/edit" TargetMode="External"/><Relationship Id="rId75" Type="http://schemas.openxmlformats.org/officeDocument/2006/relationships/hyperlink" Target="https://docs.google.com/spreadsheets/d/1ruClxDVuxELIssYmyDqs69MeIAB3RInbiwrXUmx4nJo/edit" TargetMode="External"/><Relationship Id="rId74" Type="http://schemas.openxmlformats.org/officeDocument/2006/relationships/hyperlink" Target="https://sites.google.com/type.jp/medimap/%E5%90%84%E7%A8%AE%E8%B3%87%E6%96%99/%E5%85%A5%E7%A8%BF%E3%82%B9%E3%82%B1%E3%82%B8%E3%83%A5%E3%83%BC%E3%83%AB?authuser=0" TargetMode="External"/><Relationship Id="rId77" Type="http://schemas.openxmlformats.org/officeDocument/2006/relationships/hyperlink" Target="https://docs.google.com/spreadsheets/d/1DNnQMO3LFyUW-Eajsx2NZnTcURZ4YCTdPbv_1_7TlUI/edit" TargetMode="External"/><Relationship Id="rId76" Type="http://schemas.openxmlformats.org/officeDocument/2006/relationships/hyperlink" Target="https://docs.google.com/spreadsheets/d/1DNnQMO3LFyUW-Eajsx2NZnTcURZ4YCTdPbv_1_7TlUI/edit" TargetMode="External"/><Relationship Id="rId79" Type="http://schemas.openxmlformats.org/officeDocument/2006/relationships/hyperlink" Target="https://docs.google.com/spreadsheets/d/1xrfsiAjLwPhBlveDsLSsUUfMnNpOidnkNLqHJabwWYo/edit" TargetMode="External"/><Relationship Id="rId78" Type="http://schemas.openxmlformats.org/officeDocument/2006/relationships/hyperlink" Target="https://docs.google.com/spreadsheets/d/1v3B9E8Jeqx3_JGvRHJ2cXJ5OAGLvZiOXZru0niKH-QQ/edit" TargetMode="External"/><Relationship Id="rId71" Type="http://schemas.openxmlformats.org/officeDocument/2006/relationships/hyperlink" Target="https://docs.google.com/spreadsheets/d/16C0DK8hCqOGeHYxFQDXSJPD7HFMtIHaiy9nkLz0jRx0/edit" TargetMode="External"/><Relationship Id="rId70" Type="http://schemas.openxmlformats.org/officeDocument/2006/relationships/hyperlink" Target="https://docs.google.com/spreadsheets/d/1ruClxDVuxELIssYmyDqs69MeIAB3RInbiwrXUmx4nJo/edit" TargetMode="External"/><Relationship Id="rId139" Type="http://schemas.openxmlformats.org/officeDocument/2006/relationships/hyperlink" Target="https://docs.google.com/spreadsheets/d/1fszGGEJyWvmZAMIrpfRDmmd4XGZbqVOhpcOlyYBOINQ/edit" TargetMode="External"/><Relationship Id="rId138" Type="http://schemas.openxmlformats.org/officeDocument/2006/relationships/hyperlink" Target="https://docs.google.com/spreadsheets/d/1eDCOCS53NK9rfp5z02JF-lgQB6Xwt2qkVJDr2zBBiWg/edit" TargetMode="External"/><Relationship Id="rId137" Type="http://schemas.openxmlformats.org/officeDocument/2006/relationships/hyperlink" Target="https://docs.google.com/spreadsheets/d/16C0DK8hCqOGeHYxFQDXSJPD7HFMtIHaiy9nkLz0jRx0/edit" TargetMode="External"/><Relationship Id="rId132" Type="http://schemas.openxmlformats.org/officeDocument/2006/relationships/hyperlink" Target="https://docs.google.com/spreadsheets/d/16C0DK8hCqOGeHYxFQDXSJPD7HFMtIHaiy9nkLz0jRx0/edit" TargetMode="External"/><Relationship Id="rId131" Type="http://schemas.openxmlformats.org/officeDocument/2006/relationships/hyperlink" Target="https://docs.google.com/spreadsheets/d/1ruClxDVuxELIssYmyDqs69MeIAB3RInbiwrXUmx4nJo/edit" TargetMode="External"/><Relationship Id="rId130" Type="http://schemas.openxmlformats.org/officeDocument/2006/relationships/hyperlink" Target="https://sites.google.com/type.jp/medimap/%E5%90%84%E7%A8%AE%E8%B3%87%E6%96%99/%E5%85%A5%E7%A8%BF%E3%82%B9%E3%82%B1%E3%82%B8%E3%83%A5%E3%83%BC%E3%83%AB?authuser=0" TargetMode="External"/><Relationship Id="rId136" Type="http://schemas.openxmlformats.org/officeDocument/2006/relationships/hyperlink" Target="https://docs.google.com/spreadsheets/d/1ruClxDVuxELIssYmyDqs69MeIAB3RInbiwrXUmx4nJo/edit" TargetMode="External"/><Relationship Id="rId135" Type="http://schemas.openxmlformats.org/officeDocument/2006/relationships/hyperlink" Target="https://sites.google.com/type.jp/medimap/%E5%90%84%E7%A8%AE%E8%B3%87%E6%96%99/%E5%85%A5%E7%A8%BF%E3%82%B9%E3%82%B1%E3%82%B8%E3%83%A5%E3%83%BC%E3%83%AB?authuser=0" TargetMode="External"/><Relationship Id="rId134" Type="http://schemas.openxmlformats.org/officeDocument/2006/relationships/hyperlink" Target="https://docs.google.com/spreadsheets/d/1fszGGEJyWvmZAMIrpfRDmmd4XGZbqVOhpcOlyYBOINQ/edit" TargetMode="External"/><Relationship Id="rId133" Type="http://schemas.openxmlformats.org/officeDocument/2006/relationships/hyperlink" Target="https://docs.google.com/spreadsheets/d/1eDCOCS53NK9rfp5z02JF-lgQB6Xwt2qkVJDr2zBBiWg/edit" TargetMode="External"/><Relationship Id="rId62" Type="http://schemas.openxmlformats.org/officeDocument/2006/relationships/hyperlink" Target="https://docs.google.com/spreadsheets/d/1v3B9E8Jeqx3_JGvRHJ2cXJ5OAGLvZiOXZru0niKH-QQ/edit" TargetMode="External"/><Relationship Id="rId61" Type="http://schemas.openxmlformats.org/officeDocument/2006/relationships/hyperlink" Target="https://docs.google.com/spreadsheets/d/1ruClxDVuxELIssYmyDqs69MeIAB3RInbiwrXUmx4nJo/edit" TargetMode="External"/><Relationship Id="rId64" Type="http://schemas.openxmlformats.org/officeDocument/2006/relationships/hyperlink" Target="https://docs.google.com/spreadsheets/d/1v3B9E8Jeqx3_JGvRHJ2cXJ5OAGLvZiOXZru0niKH-QQ/edit" TargetMode="External"/><Relationship Id="rId63" Type="http://schemas.openxmlformats.org/officeDocument/2006/relationships/hyperlink" Target="https://docs.google.com/spreadsheets/d/1xrfsiAjLwPhBlveDsLSsUUfMnNpOidnkNLqHJabwWYo/edit" TargetMode="External"/><Relationship Id="rId66" Type="http://schemas.openxmlformats.org/officeDocument/2006/relationships/hyperlink" Target="https://docs.google.com/spreadsheets/d/16C0DK8hCqOGeHYxFQDXSJPD7HFMtIHaiy9nkLz0jRx0/edit" TargetMode="External"/><Relationship Id="rId172" Type="http://schemas.openxmlformats.org/officeDocument/2006/relationships/hyperlink" Target="https://docs.google.com/spreadsheets/d/16C0DK8hCqOGeHYxFQDXSJPD7HFMtIHaiy9nkLz0jRx0/edit?gid=978158948" TargetMode="External"/><Relationship Id="rId65" Type="http://schemas.openxmlformats.org/officeDocument/2006/relationships/hyperlink" Target="https://docs.google.com/spreadsheets/d/1xrfsiAjLwPhBlveDsLSsUUfMnNpOidnkNLqHJabwWYo/edit" TargetMode="External"/><Relationship Id="rId171" Type="http://schemas.openxmlformats.org/officeDocument/2006/relationships/hyperlink" Target="https://docs.google.com/spreadsheets/d/1eDCOCS53NK9rfp5z02JF-lgQB6Xwt2qkVJDr2zBBiWg/edit" TargetMode="External"/><Relationship Id="rId68" Type="http://schemas.openxmlformats.org/officeDocument/2006/relationships/hyperlink" Target="https://docs.google.com/spreadsheets/d/1fszGGEJyWvmZAMIrpfRDmmd4XGZbqVOhpcOlyYBOINQ/edit" TargetMode="External"/><Relationship Id="rId170" Type="http://schemas.openxmlformats.org/officeDocument/2006/relationships/hyperlink" Target="https://docs.google.com/spreadsheets/d/16C0DK8hCqOGeHYxFQDXSJPD7HFMtIHaiy9nkLz0jRx0/edit?gid=978158948" TargetMode="External"/><Relationship Id="rId67" Type="http://schemas.openxmlformats.org/officeDocument/2006/relationships/hyperlink" Target="https://docs.google.com/spreadsheets/d/1eDCOCS53NK9rfp5z02JF-lgQB6Xwt2qkVJDr2zBBiWg/edit" TargetMode="External"/><Relationship Id="rId60" Type="http://schemas.openxmlformats.org/officeDocument/2006/relationships/hyperlink" Target="https://sites.google.com/type.jp/medimap/%E5%90%84%E7%A8%AE%E8%B3%87%E6%96%99/%E5%85%A5%E7%A8%BF%E3%82%B9%E3%82%B1%E3%82%B8%E3%83%A5%E3%83%BC%E3%83%AB?authuser=0" TargetMode="External"/><Relationship Id="rId165" Type="http://schemas.openxmlformats.org/officeDocument/2006/relationships/hyperlink" Target="https://sites.google.com/type.jp/medimap/%E5%90%84%E7%A8%AE%E8%B3%87%E6%96%99/%E5%85%A5%E7%A8%BF%E3%82%B9%E3%82%B1%E3%82%B8%E3%83%A5%E3%83%BC%E3%83%AB?authuser=0" TargetMode="External"/><Relationship Id="rId69" Type="http://schemas.openxmlformats.org/officeDocument/2006/relationships/hyperlink" Target="https://sites.google.com/type.jp/medimap/%E5%90%84%E7%A8%AE%E8%B3%87%E6%96%99/%E5%85%A5%E7%A8%BF%E3%82%B9%E3%82%B1%E3%82%B8%E3%83%A5%E3%83%BC%E3%83%AB?authuser=0" TargetMode="External"/><Relationship Id="rId164" Type="http://schemas.openxmlformats.org/officeDocument/2006/relationships/hyperlink" Target="https://docs.google.com/spreadsheets/d/1fszGGEJyWvmZAMIrpfRDmmd4XGZbqVOhpcOlyYBOINQ/edit" TargetMode="External"/><Relationship Id="rId163" Type="http://schemas.openxmlformats.org/officeDocument/2006/relationships/hyperlink" Target="https://docs.google.com/spreadsheets/d/1eDCOCS53NK9rfp5z02JF-lgQB6Xwt2qkVJDr2zBBiWg/edit" TargetMode="External"/><Relationship Id="rId162" Type="http://schemas.openxmlformats.org/officeDocument/2006/relationships/hyperlink" Target="https://docs.google.com/spreadsheets/d/16C0DK8hCqOGeHYxFQDXSJPD7HFMtIHaiy9nkLz0jRx0/edit" TargetMode="External"/><Relationship Id="rId169" Type="http://schemas.openxmlformats.org/officeDocument/2006/relationships/hyperlink" Target="https://docs.google.com/spreadsheets/d/1xrfsiAjLwPhBlveDsLSsUUfMnNpOidnkNLqHJabwWYo/edit" TargetMode="External"/><Relationship Id="rId168" Type="http://schemas.openxmlformats.org/officeDocument/2006/relationships/hyperlink" Target="https://docs.google.com/spreadsheets/d/1v3B9E8Jeqx3_JGvRHJ2cXJ5OAGLvZiOXZru0niKH-QQ/edit" TargetMode="External"/><Relationship Id="rId167" Type="http://schemas.openxmlformats.org/officeDocument/2006/relationships/hyperlink" Target="https://docs.google.com/spreadsheets/d/1fszGGEJyWvmZAMIrpfRDmmd4XGZbqVOhpcOlyYBOINQ/edit" TargetMode="External"/><Relationship Id="rId166" Type="http://schemas.openxmlformats.org/officeDocument/2006/relationships/hyperlink" Target="https://docs.google.com/spreadsheets/d/1ruClxDVuxELIssYmyDqs69MeIAB3RInbiwrXUmx4nJo/edit" TargetMode="External"/><Relationship Id="rId51" Type="http://schemas.openxmlformats.org/officeDocument/2006/relationships/hyperlink" Target="https://docs.google.com/spreadsheets/d/1xrfsiAjLwPhBlveDsLSsUUfMnNpOidnkNLqHJabwWYo/edit" TargetMode="External"/><Relationship Id="rId50" Type="http://schemas.openxmlformats.org/officeDocument/2006/relationships/hyperlink" Target="https://docs.google.com/spreadsheets/d/1v3B9E8Jeqx3_JGvRHJ2cXJ5OAGLvZiOXZru0niKH-QQ/edit" TargetMode="External"/><Relationship Id="rId53" Type="http://schemas.openxmlformats.org/officeDocument/2006/relationships/hyperlink" Target="https://docs.google.com/spreadsheets/d/1fszGGEJyWvmZAMIrpfRDmmd4XGZbqVOhpcOlyYBOINQ/edit" TargetMode="External"/><Relationship Id="rId52" Type="http://schemas.openxmlformats.org/officeDocument/2006/relationships/hyperlink" Target="https://docs.google.com/spreadsheets/d/1eDCOCS53NK9rfp5z02JF-lgQB6Xwt2qkVJDr2zBBiWg/edit" TargetMode="External"/><Relationship Id="rId55" Type="http://schemas.openxmlformats.org/officeDocument/2006/relationships/hyperlink" Target="https://docs.google.com/spreadsheets/d/1ruClxDVuxELIssYmyDqs69MeIAB3RInbiwrXUmx4nJo/edit" TargetMode="External"/><Relationship Id="rId161" Type="http://schemas.openxmlformats.org/officeDocument/2006/relationships/hyperlink" Target="https://docs.google.com/spreadsheets/d/1fszGGEJyWvmZAMIrpfRDmmd4XGZbqVOhpcOlyYBOINQ/edit" TargetMode="External"/><Relationship Id="rId54" Type="http://schemas.openxmlformats.org/officeDocument/2006/relationships/hyperlink" Target="https://sites.google.com/type.jp/medimap/%E5%90%84%E7%A8%AE%E8%B3%87%E6%96%99/%E5%85%A5%E7%A8%BF%E3%82%B9%E3%82%B1%E3%82%B8%E3%83%A5%E3%83%BC%E3%83%AB?authuser=0" TargetMode="External"/><Relationship Id="rId160" Type="http://schemas.openxmlformats.org/officeDocument/2006/relationships/hyperlink" Target="https://docs.google.com/spreadsheets/d/1eDCOCS53NK9rfp5z02JF-lgQB6Xwt2qkVJDr2zBBiWg/edit" TargetMode="External"/><Relationship Id="rId57" Type="http://schemas.openxmlformats.org/officeDocument/2006/relationships/hyperlink" Target="https://docs.google.com/spreadsheets/d/16C0DK8hCqOGeHYxFQDXSJPD7HFMtIHaiy9nkLz0jRx0/edit" TargetMode="External"/><Relationship Id="rId56" Type="http://schemas.openxmlformats.org/officeDocument/2006/relationships/hyperlink" Target="https://docs.google.com/spreadsheets/d/1eDCOCS53NK9rfp5z02JF-lgQB6Xwt2qkVJDr2zBBiWg/edit" TargetMode="External"/><Relationship Id="rId159" Type="http://schemas.openxmlformats.org/officeDocument/2006/relationships/hyperlink" Target="https://docs.google.com/spreadsheets/d/16C0DK8hCqOGeHYxFQDXSJPD7HFMtIHaiy9nkLz0jRx0/edit?gid=978158948" TargetMode="External"/><Relationship Id="rId59" Type="http://schemas.openxmlformats.org/officeDocument/2006/relationships/hyperlink" Target="https://docs.google.com/spreadsheets/d/1fszGGEJyWvmZAMIrpfRDmmd4XGZbqVOhpcOlyYBOINQ/edit" TargetMode="External"/><Relationship Id="rId154" Type="http://schemas.openxmlformats.org/officeDocument/2006/relationships/hyperlink" Target="https://docs.google.com/spreadsheets/d/16C0DK8hCqOGeHYxFQDXSJPD7HFMtIHaiy9nkLz0jRx0/edit" TargetMode="External"/><Relationship Id="rId58" Type="http://schemas.openxmlformats.org/officeDocument/2006/relationships/hyperlink" Target="https://docs.google.com/spreadsheets/d/1eDCOCS53NK9rfp5z02JF-lgQB6Xwt2qkVJDr2zBBiWg/edit" TargetMode="External"/><Relationship Id="rId153" Type="http://schemas.openxmlformats.org/officeDocument/2006/relationships/hyperlink" Target="https://docs.google.com/spreadsheets/d/1fszGGEJyWvmZAMIrpfRDmmd4XGZbqVOhpcOlyYBOINQ/edit" TargetMode="External"/><Relationship Id="rId152" Type="http://schemas.openxmlformats.org/officeDocument/2006/relationships/hyperlink" Target="https://docs.google.com/spreadsheets/d/1eDCOCS53NK9rfp5z02JF-lgQB6Xwt2qkVJDr2zBBiWg/edit" TargetMode="External"/><Relationship Id="rId151" Type="http://schemas.openxmlformats.org/officeDocument/2006/relationships/hyperlink" Target="https://docs.google.com/spreadsheets/d/16C0DK8hCqOGeHYxFQDXSJPD7HFMtIHaiy9nkLz0jRx0/edit?gid=978158948" TargetMode="External"/><Relationship Id="rId158" Type="http://schemas.openxmlformats.org/officeDocument/2006/relationships/hyperlink" Target="https://docs.google.com/spreadsheets/d/1ruClxDVuxELIssYmyDqs69MeIAB3RInbiwrXUmx4nJo/edit" TargetMode="External"/><Relationship Id="rId157" Type="http://schemas.openxmlformats.org/officeDocument/2006/relationships/hyperlink" Target="https://sites.google.com/type.jp/medimap/%E5%90%84%E7%A8%AE%E8%B3%87%E6%96%99/%E5%85%A5%E7%A8%BF%E3%82%B9%E3%82%B1%E3%82%B8%E3%83%A5%E3%83%BC%E3%83%AB?authuser=0" TargetMode="External"/><Relationship Id="rId156" Type="http://schemas.openxmlformats.org/officeDocument/2006/relationships/hyperlink" Target="https://docs.google.com/spreadsheets/d/1fszGGEJyWvmZAMIrpfRDmmd4XGZbqVOhpcOlyYBOINQ/edit" TargetMode="External"/><Relationship Id="rId155" Type="http://schemas.openxmlformats.org/officeDocument/2006/relationships/hyperlink" Target="https://docs.google.com/spreadsheets/d/1eDCOCS53NK9rfp5z02JF-lgQB6Xwt2qkVJDr2zBBiWg/edit" TargetMode="External"/></Relationships>
</file>

<file path=xl/worksheets/_rels/sheet1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2m0L3b4UiMYVHXx-GjzkWE7LRQmKZJpAcNwMpPKG-Vw/edit?gid=0" TargetMode="External"/><Relationship Id="rId3" Type="http://schemas.openxmlformats.org/officeDocument/2006/relationships/hyperlink" Target="https://docs.google.com/spreadsheets/d/17AK9knGldR84IrFgGP0Q4LdxWGkXdyrGS3YtzPF_yuY/edit?gid=1441980861" TargetMode="External"/><Relationship Id="rId4" Type="http://schemas.openxmlformats.org/officeDocument/2006/relationships/hyperlink" Target="https://docs.google.com/spreadsheets/d/1_zL1zhn7dgc0QlwI1zlrpAAt-u0fs_2-NiCBqstvYak/edit?gid=421846303" TargetMode="External"/><Relationship Id="rId9" Type="http://schemas.openxmlformats.org/officeDocument/2006/relationships/vmlDrawing" Target="../drawings/vmlDrawing7.vml"/><Relationship Id="rId5" Type="http://schemas.openxmlformats.org/officeDocument/2006/relationships/hyperlink" Target="https://docs.google.com/spreadsheets/d/16wJJDyYTGHtmNDudewhn5FOOD7L6IpyHWdsxQD3dmfM/edit?gid=970900620" TargetMode="External"/><Relationship Id="rId6" Type="http://schemas.openxmlformats.org/officeDocument/2006/relationships/hyperlink" Target="https://docs.google.com/spreadsheets/d/16wJJDyYTGHtmNDudewhn5FOOD7L6IpyHWdsxQD3dmfM/edit?gid=970900620" TargetMode="External"/><Relationship Id="rId7" Type="http://schemas.openxmlformats.org/officeDocument/2006/relationships/hyperlink" Target="https://docs.google.com/spreadsheets/d/17AK9knGldR84IrFgGP0Q4LdxWGkXdyrGS3YtzPF_yuY/edit?gid=1441980861" TargetMode="External"/><Relationship Id="rId8"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drive.google.com/drive/folders/1xCE0OLYDmi25JpGRmLxNm5hjiFvriGKJ" TargetMode="External"/><Relationship Id="rId2" Type="http://schemas.openxmlformats.org/officeDocument/2006/relationships/hyperlink" Target="https://f.hubspotusercontent30.net/hubfs/6324080/00-pamphlet/woman/womantype-planguide-booklet-01.pdf" TargetMode="External"/><Relationship Id="rId3" Type="http://schemas.openxmlformats.org/officeDocument/2006/relationships/hyperlink" Target="https://docs.google.com/spreadsheets/d/16xGmrj4EBxZTHMVN-c2ydDDdMCW_s04mJYApUP3wRSY/edit" TargetMode="External"/><Relationship Id="rId4" Type="http://schemas.openxmlformats.org/officeDocument/2006/relationships/hyperlink" Target="https://f.hubspotusercontent30.net/hubfs/6324080/00-pamphlet/woman/womantype-planguide-booklet-01.pdf" TargetMode="External"/><Relationship Id="rId5" Type="http://schemas.openxmlformats.org/officeDocument/2006/relationships/hyperlink" Target="https://docs.google.com/spreadsheets/d/16xGmrj4EBxZTHMVN-c2ydDDdMCW_s04mJYApUP3wRSY/edit" TargetMode="External"/><Relationship Id="rId6" Type="http://schemas.openxmlformats.org/officeDocument/2006/relationships/hyperlink" Target="https://docs.google.com/spreadsheets/d/16xGmrj4EBxZTHMVN-c2ydDDdMCW_s04mJYApUP3wRSY/edit" TargetMode="External"/><Relationship Id="rId7"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2" width="2.5"/>
    <col customWidth="1" min="3" max="3" width="24.25"/>
    <col customWidth="1" min="4" max="7" width="3.25"/>
    <col customWidth="1" min="8" max="8" width="24.25"/>
    <col customWidth="1" min="9" max="12" width="3.25"/>
    <col customWidth="1" min="13" max="13" width="24.25"/>
    <col customWidth="1" min="14" max="17" width="3.25"/>
    <col customWidth="1" min="18" max="18" width="24.25"/>
    <col customWidth="1" min="19" max="22" width="3.25"/>
    <col customWidth="1" min="23" max="23" width="24.25"/>
    <col customWidth="1" min="24" max="27" width="3.25"/>
    <col customWidth="1" min="28" max="28" width="24.25"/>
    <col customWidth="1" min="29" max="32" width="3.25"/>
    <col customWidth="1" min="33" max="33" width="24.25"/>
    <col customWidth="1" min="34" max="37" width="3.25"/>
  </cols>
  <sheetData>
    <row r="1" ht="17.25" customHeight="1">
      <c r="A1" s="1"/>
      <c r="B1" s="2"/>
      <c r="C1" s="3">
        <v>46126.0</v>
      </c>
      <c r="D1" s="2"/>
      <c r="E1" s="4"/>
      <c r="F1" s="5"/>
      <c r="G1" s="6"/>
      <c r="H1" s="2">
        <f>C1+1</f>
        <v>46127</v>
      </c>
      <c r="I1" s="2"/>
      <c r="J1" s="4"/>
      <c r="K1" s="5"/>
      <c r="L1" s="6"/>
      <c r="M1" s="2">
        <f>H1+1</f>
        <v>46128</v>
      </c>
      <c r="N1" s="2"/>
      <c r="O1" s="4"/>
      <c r="P1" s="5"/>
      <c r="Q1" s="6"/>
      <c r="R1" s="2">
        <f>M1+1</f>
        <v>46129</v>
      </c>
      <c r="S1" s="2"/>
      <c r="T1" s="4"/>
      <c r="U1" s="5"/>
      <c r="V1" s="6"/>
      <c r="W1" s="2">
        <f>R1+1</f>
        <v>46130</v>
      </c>
      <c r="X1" s="2"/>
      <c r="Y1" s="4"/>
      <c r="Z1" s="5"/>
      <c r="AA1" s="6"/>
      <c r="AB1" s="2">
        <f>W1+1</f>
        <v>46131</v>
      </c>
      <c r="AC1" s="2"/>
      <c r="AD1" s="4"/>
      <c r="AE1" s="5"/>
      <c r="AF1" s="6"/>
      <c r="AG1" s="2">
        <f>AB1+1</f>
        <v>46132</v>
      </c>
      <c r="AH1" s="2"/>
      <c r="AI1" s="4"/>
      <c r="AJ1" s="5"/>
      <c r="AK1" s="6"/>
    </row>
    <row r="2">
      <c r="A2" s="7"/>
      <c r="B2" s="7"/>
      <c r="C2" s="7" t="s">
        <v>0</v>
      </c>
      <c r="D2" s="7" t="s">
        <v>1</v>
      </c>
      <c r="E2" s="7" t="s">
        <v>2</v>
      </c>
      <c r="F2" s="7" t="s">
        <v>3</v>
      </c>
      <c r="G2" s="7" t="s">
        <v>4</v>
      </c>
      <c r="H2" s="7" t="s">
        <v>0</v>
      </c>
      <c r="I2" s="7" t="s">
        <v>1</v>
      </c>
      <c r="J2" s="7" t="s">
        <v>2</v>
      </c>
      <c r="K2" s="7" t="s">
        <v>3</v>
      </c>
      <c r="L2" s="7" t="s">
        <v>4</v>
      </c>
      <c r="M2" s="7" t="s">
        <v>0</v>
      </c>
      <c r="N2" s="7" t="s">
        <v>1</v>
      </c>
      <c r="O2" s="7" t="s">
        <v>2</v>
      </c>
      <c r="P2" s="7" t="s">
        <v>3</v>
      </c>
      <c r="Q2" s="7" t="s">
        <v>4</v>
      </c>
      <c r="R2" s="7" t="s">
        <v>0</v>
      </c>
      <c r="S2" s="7" t="s">
        <v>1</v>
      </c>
      <c r="T2" s="7" t="s">
        <v>2</v>
      </c>
      <c r="U2" s="7" t="s">
        <v>3</v>
      </c>
      <c r="V2" s="7" t="s">
        <v>4</v>
      </c>
      <c r="W2" s="7" t="s">
        <v>0</v>
      </c>
      <c r="X2" s="7" t="s">
        <v>1</v>
      </c>
      <c r="Y2" s="7" t="s">
        <v>2</v>
      </c>
      <c r="Z2" s="7" t="s">
        <v>3</v>
      </c>
      <c r="AA2" s="7" t="s">
        <v>4</v>
      </c>
      <c r="AB2" s="7" t="s">
        <v>0</v>
      </c>
      <c r="AC2" s="7" t="s">
        <v>1</v>
      </c>
      <c r="AD2" s="7" t="s">
        <v>2</v>
      </c>
      <c r="AE2" s="7" t="s">
        <v>3</v>
      </c>
      <c r="AF2" s="7" t="s">
        <v>4</v>
      </c>
      <c r="AG2" s="7" t="s">
        <v>0</v>
      </c>
      <c r="AH2" s="7" t="s">
        <v>1</v>
      </c>
      <c r="AI2" s="7" t="s">
        <v>2</v>
      </c>
      <c r="AJ2" s="7" t="s">
        <v>3</v>
      </c>
      <c r="AK2" s="7" t="s">
        <v>4</v>
      </c>
    </row>
    <row r="3" ht="17.25" customHeight="1">
      <c r="A3" s="8">
        <v>8.0</v>
      </c>
      <c r="B3" s="9" t="s">
        <v>5</v>
      </c>
      <c r="C3" s="10" t="str">
        <f>IFERROR(__xludf.DUMMYFUNCTION("IFERROR(FILTER('リスト'!$C$2:$C$400, ('リスト'!$A$2:$A$400 = CHOOSE(WEEKDAY(C$1), ""日"", ""月"", ""火"", ""水"", ""木"", ""金"", ""土"")) * ('リスト'!$B$2:$B$400 = $A3) * ('リスト'!$E$2:$E$400 = ""毎週配信"") * ('リスト'!$O$2:$O$400 = FALSE)), """")"),"応募から1日_好条件営業ランキング")</f>
        <v>応募から1日_好条件営業ランキング</v>
      </c>
      <c r="D3" s="11" t="str">
        <f>IFERROR(__xludf.DUMMYFUNCTION("iferror(FILTER('リスト'!$D:$D, ('リスト'!$A:$A = C$1) * ('リスト'!$B:$B = $A3)))"),"")</f>
        <v/>
      </c>
      <c r="E3" s="7">
        <f>SUM(D3:D16)</f>
        <v>2.5</v>
      </c>
      <c r="F3" s="7" t="str">
        <f t="array" ref="F3">IFERROR(XLOOKUP(C3, 'リスト'!$C:$C, 'リスト'!$M:$M, ""), "")</f>
        <v>R</v>
      </c>
      <c r="G3" s="7" t="str">
        <f t="array" ref="G3">IFERROR(XLOOKUP(C3, 'リスト'!$C:$C, 'リスト'!$N:$N, ""), "")</f>
        <v/>
      </c>
      <c r="H3" s="10" t="str">
        <f>IFERROR(__xludf.DUMMYFUNCTION("IFERROR(FILTER('リスト'!$C$2:$C$400, ('リスト'!$A$2:$A$400 = CHOOSE(WEEKDAY(H$1), ""日"", ""月"", ""火"", ""水"", ""木"", ""金"", ""土"")) * ('リスト'!$B$2:$B$400 = $A3) * ('リスト'!$E$2:$E$400 = ""毎週配信"") * ('リスト'!$O$2:$O$400 = FALSE)), """")"),"★求人特集(35歳未満) A")</f>
        <v>★求人特集(35歳未満) A</v>
      </c>
      <c r="I3" s="11" t="str">
        <f>IFERROR(__xludf.DUMMYFUNCTION("iferror(FILTER('リスト'!$D:$D, ('リスト'!$A:$A = H$1) * ('リスト'!$B:$B = $A3)))"),"")</f>
        <v/>
      </c>
      <c r="J3" s="7">
        <f>SUM(I3:I16)</f>
        <v>0</v>
      </c>
      <c r="K3" s="7" t="str">
        <f t="array" ref="K3">IFERROR(XLOOKUP(H3, 'リスト'!$C:$C, 'リスト'!$M:$M, ""), "")</f>
        <v>平</v>
      </c>
      <c r="L3" s="7" t="str">
        <f t="array" ref="L3">IFERROR(XLOOKUP(H3, 'リスト'!$C:$C, 'リスト'!$N:$N, ""), "")</f>
        <v>荒</v>
      </c>
      <c r="M3" s="10" t="str">
        <f>IFERROR(__xludf.DUMMYFUNCTION("IFERROR(FILTER('リスト'!$C$2:$C$400, ('リスト'!$A$2:$A$400 = CHOOSE(WEEKDAY(M$1), ""日"", ""月"", ""火"", ""水"", ""木"", ""金"", ""土"")) * ('リスト'!$B$2:$B$400 = $A3) * ('リスト'!$E$2:$E$400 = ""毎週配信"") * ('リスト'!$O$2:$O$400 = FALSE)), """")"),"応募から1日_好条件営業ランキング")</f>
        <v>応募から1日_好条件営業ランキング</v>
      </c>
      <c r="N3" s="11" t="str">
        <f>IFERROR(__xludf.DUMMYFUNCTION("iferror(FILTER('リスト'!$D:$D, ('リスト'!$A:$A = M$1) * ('リスト'!$B:$B = $A3)))"),"")</f>
        <v/>
      </c>
      <c r="O3" s="7">
        <f>SUM(N3:N16)</f>
        <v>0</v>
      </c>
      <c r="P3" s="7" t="str">
        <f t="array" ref="P3">IFERROR(XLOOKUP(M3, 'リスト'!$C:$C, 'リスト'!$M:$M, ""), "")</f>
        <v>R</v>
      </c>
      <c r="Q3" s="7" t="str">
        <f t="array" ref="Q3">IFERROR(XLOOKUP(M3, 'リスト'!$C:$C, 'リスト'!$N:$N, ""), "")</f>
        <v/>
      </c>
      <c r="R3" s="10" t="str">
        <f>IFERROR(__xludf.DUMMYFUNCTION("IFERROR(FILTER('リスト'!$C$2:$C$400, ('リスト'!$A$2:$A$400 = CHOOSE(WEEKDAY(R$1), ""日"", ""月"", ""火"", ""水"", ""木"", ""金"", ""土"")) * ('リスト'!$B$2:$B$400 = $A3) * ('リスト'!$E$2:$E$400 = ""毎週配信"") * ('リスト'!$O$2:$O$400 = FALSE)), """")"),"データ入力×リモートOK")</f>
        <v>データ入力×リモートOK</v>
      </c>
      <c r="S3" s="11" t="str">
        <f>IFERROR(__xludf.DUMMYFUNCTION("iferror(FILTER('リスト'!$D:$D, ('リスト'!$A:$A = R$1) * ('リスト'!$B:$B = $A3)))"),"")</f>
        <v/>
      </c>
      <c r="T3" s="7">
        <f>SUM(S3:S16)</f>
        <v>0</v>
      </c>
      <c r="U3" s="7" t="str">
        <f t="array" ref="U3">IFERROR(XLOOKUP(R3, 'リスト'!$C:$C, 'リスト'!$M:$M, ""), "")</f>
        <v>R</v>
      </c>
      <c r="V3" s="7" t="str">
        <f t="array" ref="V3">IFERROR(XLOOKUP(R3, 'リスト'!$C:$C, 'リスト'!$N:$N, ""), "")</f>
        <v/>
      </c>
      <c r="W3" s="10" t="str">
        <f>IFERROR(__xludf.DUMMYFUNCTION("IFERROR(FILTER('リスト'!$C$2:$C$400, ('リスト'!$A$2:$A$400 = CHOOSE(WEEKDAY(W$1), ""日"", ""月"", ""火"", ""水"", ""木"", ""金"", ""土"")) * ('リスト'!$B$2:$B$400 = $A3) * ('リスト'!$E$2:$E$400 = ""毎週配信"") * ('リスト'!$O$2:$O$400 = FALSE)), """")"),"★求人特集(35歳未満） B")</f>
        <v>★求人特集(35歳未満） B</v>
      </c>
      <c r="X3" s="11" t="str">
        <f>IFERROR(__xludf.DUMMYFUNCTION("iferror(FILTER('リスト'!$D:$D, ('リスト'!$A:$A = W$1) * ('リスト'!$B:$B = $A3)))"),"")</f>
        <v/>
      </c>
      <c r="Y3" s="7">
        <f>SUM(X3:X16)</f>
        <v>0</v>
      </c>
      <c r="Z3" s="7" t="str">
        <f t="array" ref="Z3">IFERROR(XLOOKUP(W3, 'リスト'!$C:$C, 'リスト'!$M:$M, ""), "")</f>
        <v>平</v>
      </c>
      <c r="AA3" s="7" t="str">
        <f t="array" ref="AA3">IFERROR(XLOOKUP(W3, 'リスト'!$C:$C, 'リスト'!$N:$N, ""), "")</f>
        <v>荒</v>
      </c>
      <c r="AB3" s="10" t="str">
        <f>IFERROR(__xludf.DUMMYFUNCTION("IFERROR(FILTER('リスト'!$C$2:$C$400, ('リスト'!$A$2:$A$400 = CHOOSE(WEEKDAY(AB$1), ""日"", ""月"", ""火"", ""水"", ""木"", ""金"", ""土"")) * ('リスト'!$B$2:$B$400 = $A3) * ('リスト'!$E$2:$E$400 = ""毎週配信"") * ('リスト'!$O$2:$O$400 = FALSE)), """")"),"40代再就職")</f>
        <v>40代再就職</v>
      </c>
      <c r="AC3" s="11" t="str">
        <f>IFERROR(__xludf.DUMMYFUNCTION("iferror(FILTER('リスト'!$D:$D, ('リスト'!$A:$A = AB$1) * ('リスト'!$B:$B = $A3)))"),"")</f>
        <v/>
      </c>
      <c r="AD3" s="7">
        <f>SUM(AC3:AC16)</f>
        <v>0</v>
      </c>
      <c r="AE3" s="7" t="str">
        <f t="array" ref="AE3">IFERROR(XLOOKUP(AB3, 'リスト'!$C:$C, 'リスト'!$M:$M, ""), "")</f>
        <v>R</v>
      </c>
      <c r="AF3" s="7" t="str">
        <f t="array" ref="AF3">IFERROR(XLOOKUP(AB3, 'リスト'!$C:$C, 'リスト'!$N:$N, ""), "")</f>
        <v/>
      </c>
      <c r="AG3" s="10" t="str">
        <f>IFERROR(__xludf.DUMMYFUNCTION("IFERROR(FILTER('リスト'!$C$2:$C$400, ('リスト'!$A$2:$A$400 = CHOOSE(WEEKDAY(AG$1), ""日"", ""月"", ""火"", ""水"", ""木"", ""金"", ""土"")) * ('リスト'!$B$2:$B$400 = $A3) * ('リスト'!$E$2:$E$400 = ""毎週配信"") * ('リスト'!$O$2:$O$400 = FALSE)), """")"),"◇掲載終了前+UP_35歳以上 B")</f>
        <v>◇掲載終了前+UP_35歳以上 B</v>
      </c>
      <c r="AH3" s="11" t="str">
        <f>IFERROR(__xludf.DUMMYFUNCTION("iferror(FILTER('リスト'!$D:$D, ('リスト'!$A:$A = AG$1) * ('リスト'!$B:$B = $A3)))"),"")</f>
        <v/>
      </c>
      <c r="AI3" s="7">
        <f>SUM(AH3:AH16)</f>
        <v>0</v>
      </c>
      <c r="AJ3" s="7" t="str">
        <f t="array" ref="AJ3">IFERROR(XLOOKUP(AG3, 'リスト'!$C:$C, 'リスト'!$M:$M, ""), "")</f>
        <v>内</v>
      </c>
      <c r="AK3" s="7" t="str">
        <f t="array" ref="AK3">IFERROR(XLOOKUP(AG3, 'リスト'!$C:$C, 'リスト'!$N:$N, ""), "")</f>
        <v>荒</v>
      </c>
    </row>
    <row r="4" ht="17.25" customHeight="1">
      <c r="A4" s="8"/>
      <c r="B4" s="9"/>
      <c r="C4" s="12" t="str">
        <f>IFERROR(__xludf.DUMMYFUNCTION("""COMPUTED_VALUE"""),"快適な在宅ワーク")</f>
        <v>快適な在宅ワーク</v>
      </c>
      <c r="D4" s="7"/>
      <c r="E4" s="7"/>
      <c r="F4" s="7" t="str">
        <f t="array" ref="F4">IFERROR(XLOOKUP(C4, 'リスト'!$C:$C, 'リスト'!$M:$M, ""), "")</f>
        <v>石</v>
      </c>
      <c r="G4" s="7" t="str">
        <f t="array" ref="G4">IFERROR(XLOOKUP(C4, 'リスト'!$C:$C, 'リスト'!$N:$N, ""), "")</f>
        <v>部</v>
      </c>
      <c r="H4" s="12" t="str">
        <f>IFERROR(__xludf.DUMMYFUNCTION("""COMPUTED_VALUE"""),"50代事務")</f>
        <v>50代事務</v>
      </c>
      <c r="I4" s="7"/>
      <c r="J4" s="7"/>
      <c r="K4" s="7" t="str">
        <f t="array" ref="K4">IFERROR(XLOOKUP(H4, 'リスト'!$C:$C, 'リスト'!$M:$M, ""), "")</f>
        <v>部</v>
      </c>
      <c r="L4" s="7" t="str">
        <f t="array" ref="L4">IFERROR(XLOOKUP(H4, 'リスト'!$C:$C, 'リスト'!$N:$N, ""), "")</f>
        <v>石</v>
      </c>
      <c r="M4" s="12" t="str">
        <f>IFERROR(__xludf.DUMMYFUNCTION("""COMPUTED_VALUE"""),"新着_クリエイティブ")</f>
        <v>新着_クリエイティブ</v>
      </c>
      <c r="N4" s="7"/>
      <c r="O4" s="7"/>
      <c r="P4" s="7" t="str">
        <f t="array" ref="P4">IFERROR(XLOOKUP(M4, 'リスト'!$C:$C, 'リスト'!$M:$M, ""), "")</f>
        <v>R</v>
      </c>
      <c r="Q4" s="7" t="str">
        <f t="array" ref="Q4">IFERROR(XLOOKUP(M4, 'リスト'!$C:$C, 'リスト'!$N:$N, ""), "")</f>
        <v/>
      </c>
      <c r="R4" s="12" t="str">
        <f>IFERROR(__xludf.DUMMYFUNCTION("""COMPUTED_VALUE"""),"フルリモート×好条件")</f>
        <v>フルリモート×好条件</v>
      </c>
      <c r="S4" s="7"/>
      <c r="T4" s="7"/>
      <c r="U4" s="7" t="str">
        <f t="array" ref="U4">IFERROR(XLOOKUP(R4, 'リスト'!$C:$C, 'リスト'!$M:$M, ""), "")</f>
        <v>部</v>
      </c>
      <c r="V4" s="7" t="str">
        <f t="array" ref="V4">IFERROR(XLOOKUP(R4, 'リスト'!$C:$C, 'リスト'!$N:$N, ""), "")</f>
        <v>石</v>
      </c>
      <c r="W4" s="12" t="str">
        <f>IFERROR(__xludf.DUMMYFUNCTION("""COMPUTED_VALUE"""),"応募から1日_好条件営業ランキング")</f>
        <v>応募から1日_好条件営業ランキング</v>
      </c>
      <c r="X4" s="7"/>
      <c r="Y4" s="7"/>
      <c r="Z4" s="7" t="str">
        <f t="array" ref="Z4">IFERROR(XLOOKUP(W4, 'リスト'!$C:$C, 'リスト'!$M:$M, ""), "")</f>
        <v>R</v>
      </c>
      <c r="AA4" s="7" t="str">
        <f t="array" ref="AA4">IFERROR(XLOOKUP(W4, 'リスト'!$C:$C, 'リスト'!$N:$N, ""), "")</f>
        <v/>
      </c>
      <c r="AB4" s="12" t="str">
        <f>IFERROR(__xludf.DUMMYFUNCTION("""COMPUTED_VALUE"""),"40代再就職_関西")</f>
        <v>40代再就職_関西</v>
      </c>
      <c r="AC4" s="7"/>
      <c r="AD4" s="7"/>
      <c r="AE4" s="7" t="str">
        <f t="array" ref="AE4">IFERROR(XLOOKUP(AB4, 'リスト'!$C:$C, 'リスト'!$M:$M, ""), "")</f>
        <v>R</v>
      </c>
      <c r="AF4" s="7" t="str">
        <f t="array" ref="AF4">IFERROR(XLOOKUP(AB4, 'リスト'!$C:$C, 'リスト'!$N:$N, ""), "")</f>
        <v/>
      </c>
      <c r="AG4" s="12" t="str">
        <f>IFERROR(__xludf.DUMMYFUNCTION("""COMPUTED_VALUE"""),"◇掲載終了前+UP_関西 B")</f>
        <v>◇掲載終了前+UP_関西 B</v>
      </c>
      <c r="AH4" s="7"/>
      <c r="AI4" s="7"/>
      <c r="AJ4" s="7" t="str">
        <f t="array" ref="AJ4">IFERROR(XLOOKUP(AG4, 'リスト'!$C:$C, 'リスト'!$M:$M, ""), "")</f>
        <v>内</v>
      </c>
      <c r="AK4" s="7" t="str">
        <f t="array" ref="AK4">IFERROR(XLOOKUP(AG4, 'リスト'!$C:$C, 'リスト'!$N:$N, ""), "")</f>
        <v>荒</v>
      </c>
    </row>
    <row r="5" ht="17.25" customHeight="1">
      <c r="A5" s="8"/>
      <c r="B5" s="9"/>
      <c r="C5" s="10" t="str">
        <f>IFERROR(__xludf.DUMMYFUNCTION("""COMPUTED_VALUE"""),"関西_自己PR不要_リモート未経験_事務")</f>
        <v>関西_自己PR不要_リモート未経験_事務</v>
      </c>
      <c r="D5" s="13"/>
      <c r="E5" s="7"/>
      <c r="F5" s="7" t="str">
        <f t="array" ref="F5">IFERROR(XLOOKUP(C5, 'リスト'!$C:$C, 'リスト'!$M:$M, ""), "")</f>
        <v>R</v>
      </c>
      <c r="G5" s="7" t="str">
        <f t="array" ref="G5">IFERROR(XLOOKUP(C5, 'リスト'!$C:$C, 'リスト'!$N:$N, ""), "")</f>
        <v/>
      </c>
      <c r="H5" s="10" t="str">
        <f>IFERROR(__xludf.DUMMYFUNCTION("""COMPUTED_VALUE"""),"応募から1日_好条件営業ランキング")</f>
        <v>応募から1日_好条件営業ランキング</v>
      </c>
      <c r="I5" s="13"/>
      <c r="J5" s="7"/>
      <c r="K5" s="7" t="str">
        <f t="array" ref="K5">IFERROR(XLOOKUP(H5, 'リスト'!$C:$C, 'リスト'!$M:$M, ""), "")</f>
        <v>R</v>
      </c>
      <c r="L5" s="7" t="str">
        <f t="array" ref="L5">IFERROR(XLOOKUP(H5, 'リスト'!$C:$C, 'リスト'!$N:$N, ""), "")</f>
        <v/>
      </c>
      <c r="M5" s="10" t="str">
        <f>IFERROR(__xludf.DUMMYFUNCTION("""COMPUTED_VALUE"""),"新着_企画営業")</f>
        <v>新着_企画営業</v>
      </c>
      <c r="N5" s="13"/>
      <c r="O5" s="7"/>
      <c r="P5" s="7" t="str">
        <f t="array" ref="P5">IFERROR(XLOOKUP(M5, 'リスト'!$C:$C, 'リスト'!$M:$M, ""), "")</f>
        <v>R</v>
      </c>
      <c r="Q5" s="7" t="str">
        <f t="array" ref="Q5">IFERROR(XLOOKUP(M5, 'リスト'!$C:$C, 'リスト'!$N:$N, ""), "")</f>
        <v/>
      </c>
      <c r="R5" s="10" t="str">
        <f>IFERROR(__xludf.DUMMYFUNCTION("""COMPUTED_VALUE"""),"応募から1日_好条件営業ランキング")</f>
        <v>応募から1日_好条件営業ランキング</v>
      </c>
      <c r="S5" s="13"/>
      <c r="T5" s="7"/>
      <c r="U5" s="7" t="str">
        <f t="array" ref="U5">IFERROR(XLOOKUP(R5, 'リスト'!$C:$C, 'リスト'!$M:$M, ""), "")</f>
        <v>R</v>
      </c>
      <c r="V5" s="7" t="str">
        <f t="array" ref="V5">IFERROR(XLOOKUP(R5, 'リスト'!$C:$C, 'リスト'!$N:$N, ""), "")</f>
        <v/>
      </c>
      <c r="W5" s="10"/>
      <c r="X5" s="13"/>
      <c r="Y5" s="7"/>
      <c r="Z5" s="7" t="str">
        <f t="array" ref="Z5">IFERROR(XLOOKUP(W5, 'リスト'!$C:$C, 'リスト'!$M:$M, ""), "")</f>
        <v/>
      </c>
      <c r="AA5" s="7" t="str">
        <f t="array" ref="AA5">IFERROR(XLOOKUP(W5, 'リスト'!$C:$C, 'リスト'!$N:$N, ""), "")</f>
        <v/>
      </c>
      <c r="AB5" s="10" t="str">
        <f>IFERROR(__xludf.DUMMYFUNCTION("""COMPUTED_VALUE"""),"応募から1日_好条件営業ランキング")</f>
        <v>応募から1日_好条件営業ランキング</v>
      </c>
      <c r="AC5" s="13"/>
      <c r="AD5" s="7"/>
      <c r="AE5" s="7" t="str">
        <f t="array" ref="AE5">IFERROR(XLOOKUP(AB5, 'リスト'!$C:$C, 'リスト'!$M:$M, ""), "")</f>
        <v>R</v>
      </c>
      <c r="AF5" s="7" t="str">
        <f t="array" ref="AF5">IFERROR(XLOOKUP(AB5, 'リスト'!$C:$C, 'リスト'!$N:$N, ""), "")</f>
        <v/>
      </c>
      <c r="AG5" s="10" t="str">
        <f>IFERROR(__xludf.DUMMYFUNCTION("""COMPUTED_VALUE"""),"webデザイナー×未経験歓迎_希望")</f>
        <v>webデザイナー×未経験歓迎_希望</v>
      </c>
      <c r="AH5" s="13"/>
      <c r="AI5" s="7"/>
      <c r="AJ5" s="7" t="str">
        <f t="array" ref="AJ5">IFERROR(XLOOKUP(AG5, 'リスト'!$C:$C, 'リスト'!$M:$M, ""), "")</f>
        <v>R</v>
      </c>
      <c r="AK5" s="7" t="str">
        <f t="array" ref="AK5">IFERROR(XLOOKUP(AG5, 'リスト'!$C:$C, 'リスト'!$N:$N, ""), "")</f>
        <v/>
      </c>
    </row>
    <row r="6" ht="17.25" customHeight="1">
      <c r="A6" s="8"/>
      <c r="B6" s="9"/>
      <c r="C6" s="14" t="str">
        <f>IFERROR(__xludf.DUMMYFUNCTION("""COMPUTED_VALUE"""),"推し活_残業なし_休日120日以上_月給30万以上")</f>
        <v>推し活_残業なし_休日120日以上_月給30万以上</v>
      </c>
      <c r="D6" s="15"/>
      <c r="E6" s="7"/>
      <c r="F6" s="7" t="str">
        <f t="array" ref="F6">IFERROR(XLOOKUP(C6, 'リスト'!$C:$C, 'リスト'!$M:$M, ""), "")</f>
        <v>R</v>
      </c>
      <c r="G6" s="7" t="str">
        <f t="array" ref="G6">IFERROR(XLOOKUP(C6, 'リスト'!$C:$C, 'リスト'!$N:$N, ""), "")</f>
        <v/>
      </c>
      <c r="H6" s="14"/>
      <c r="I6" s="15"/>
      <c r="J6" s="7"/>
      <c r="K6" s="7" t="str">
        <f t="array" ref="K6">IFERROR(XLOOKUP(H6, 'リスト'!$C:$C, 'リスト'!$M:$M, ""), "")</f>
        <v/>
      </c>
      <c r="L6" s="7" t="str">
        <f t="array" ref="L6">IFERROR(XLOOKUP(H6, 'リスト'!$C:$C, 'リスト'!$N:$N, ""), "")</f>
        <v/>
      </c>
      <c r="M6" s="14" t="str">
        <f>IFERROR(__xludf.DUMMYFUNCTION("""COMPUTED_VALUE"""),"新着_経理")</f>
        <v>新着_経理</v>
      </c>
      <c r="N6" s="15"/>
      <c r="O6" s="7"/>
      <c r="P6" s="7" t="str">
        <f t="array" ref="P6">IFERROR(XLOOKUP(M6, 'リスト'!$C:$C, 'リスト'!$M:$M, ""), "")</f>
        <v>R</v>
      </c>
      <c r="Q6" s="7" t="str">
        <f t="array" ref="Q6">IFERROR(XLOOKUP(M6, 'リスト'!$C:$C, 'リスト'!$N:$N, ""), "")</f>
        <v/>
      </c>
      <c r="R6" s="14" t="str">
        <f>IFERROR(__xludf.DUMMYFUNCTION("""COMPUTED_VALUE"""),"既婚者")</f>
        <v>既婚者</v>
      </c>
      <c r="S6" s="15"/>
      <c r="T6" s="7"/>
      <c r="U6" s="7" t="str">
        <f t="array" ref="U6">IFERROR(XLOOKUP(R6, 'リスト'!$C:$C, 'リスト'!$M:$M, ""), "")</f>
        <v>R</v>
      </c>
      <c r="V6" s="7" t="str">
        <f t="array" ref="V6">IFERROR(XLOOKUP(R6, 'リスト'!$C:$C, 'リスト'!$N:$N, ""), "")</f>
        <v/>
      </c>
      <c r="W6" s="14"/>
      <c r="X6" s="15"/>
      <c r="Y6" s="7"/>
      <c r="Z6" s="7" t="str">
        <f t="array" ref="Z6">IFERROR(XLOOKUP(W6, 'リスト'!$C:$C, 'リスト'!$M:$M, ""), "")</f>
        <v/>
      </c>
      <c r="AA6" s="7" t="str">
        <f t="array" ref="AA6">IFERROR(XLOOKUP(W6, 'リスト'!$C:$C, 'リスト'!$N:$N, ""), "")</f>
        <v/>
      </c>
      <c r="AB6" s="14" t="str">
        <f>IFERROR(__xludf.DUMMYFUNCTION("""COMPUTED_VALUE"""),"人気検索KW_事務系希望")</f>
        <v>人気検索KW_事務系希望</v>
      </c>
      <c r="AC6" s="15"/>
      <c r="AD6" s="7"/>
      <c r="AE6" s="7" t="str">
        <f t="array" ref="AE6">IFERROR(XLOOKUP(AB6, 'リスト'!$C:$C, 'リスト'!$M:$M, ""), "")</f>
        <v>R</v>
      </c>
      <c r="AF6" s="7" t="str">
        <f t="array" ref="AF6">IFERROR(XLOOKUP(AB6, 'リスト'!$C:$C, 'リスト'!$N:$N, ""), "")</f>
        <v/>
      </c>
      <c r="AG6" s="14" t="str">
        <f>IFERROR(__xludf.DUMMYFUNCTION("""COMPUTED_VALUE"""),"応募から1日_好条件営業ランキング")</f>
        <v>応募から1日_好条件営業ランキング</v>
      </c>
      <c r="AH6" s="15"/>
      <c r="AI6" s="7"/>
      <c r="AJ6" s="7" t="str">
        <f t="array" ref="AJ6">IFERROR(XLOOKUP(AG6, 'リスト'!$C:$C, 'リスト'!$M:$M, ""), "")</f>
        <v>R</v>
      </c>
      <c r="AK6" s="7" t="str">
        <f t="array" ref="AK6">IFERROR(XLOOKUP(AG6, 'リスト'!$C:$C, 'リスト'!$N:$N, ""), "")</f>
        <v/>
      </c>
    </row>
    <row r="7" ht="17.25" customHeight="1">
      <c r="A7" s="8"/>
      <c r="B7" s="9"/>
      <c r="C7" s="14"/>
      <c r="D7" s="13"/>
      <c r="E7" s="7"/>
      <c r="F7" s="7"/>
      <c r="G7" s="7"/>
      <c r="H7" s="14"/>
      <c r="I7" s="13"/>
      <c r="J7" s="7"/>
      <c r="K7" s="7"/>
      <c r="L7" s="7"/>
      <c r="M7" s="14" t="str">
        <f>IFERROR(__xludf.DUMMYFUNCTION("""COMPUTED_VALUE"""),"新着_事務")</f>
        <v>新着_事務</v>
      </c>
      <c r="N7" s="13"/>
      <c r="O7" s="7"/>
      <c r="P7" s="7"/>
      <c r="Q7" s="7"/>
      <c r="R7" s="14" t="str">
        <f>IFERROR(__xludf.DUMMYFUNCTION("""COMPUTED_VALUE"""),"梅田で働く")</f>
        <v>梅田で働く</v>
      </c>
      <c r="S7" s="13"/>
      <c r="T7" s="7"/>
      <c r="U7" s="7"/>
      <c r="V7" s="7"/>
      <c r="W7" s="14"/>
      <c r="X7" s="13"/>
      <c r="Y7" s="7"/>
      <c r="Z7" s="7"/>
      <c r="AA7" s="7"/>
      <c r="AB7" s="14"/>
      <c r="AC7" s="13"/>
      <c r="AD7" s="7"/>
      <c r="AE7" s="7"/>
      <c r="AF7" s="7"/>
      <c r="AG7" s="14" t="str">
        <f>IFERROR(__xludf.DUMMYFUNCTION("""COMPUTED_VALUE"""),"高収入_リモート_営業")</f>
        <v>高収入_リモート_営業</v>
      </c>
      <c r="AH7" s="13"/>
      <c r="AI7" s="7"/>
      <c r="AJ7" s="7"/>
      <c r="AK7" s="7"/>
    </row>
    <row r="8" ht="17.25" customHeight="1">
      <c r="A8" s="8"/>
      <c r="B8" s="9"/>
      <c r="C8" s="14"/>
      <c r="D8" s="13"/>
      <c r="E8" s="7"/>
      <c r="F8" s="7"/>
      <c r="G8" s="7"/>
      <c r="H8" s="14"/>
      <c r="I8" s="13"/>
      <c r="J8" s="7"/>
      <c r="K8" s="7"/>
      <c r="L8" s="7"/>
      <c r="M8" s="14" t="str">
        <f>IFERROR(__xludf.DUMMYFUNCTION("""COMPUTED_VALUE"""),"新着_人事")</f>
        <v>新着_人事</v>
      </c>
      <c r="N8" s="13"/>
      <c r="O8" s="7"/>
      <c r="P8" s="7"/>
      <c r="Q8" s="7"/>
      <c r="R8" s="14" t="str">
        <f>IFERROR(__xludf.DUMMYFUNCTION("""COMPUTED_VALUE"""),"未婚者")</f>
        <v>未婚者</v>
      </c>
      <c r="S8" s="13"/>
      <c r="T8" s="7"/>
      <c r="U8" s="7"/>
      <c r="V8" s="7"/>
      <c r="W8" s="14"/>
      <c r="X8" s="13"/>
      <c r="Y8" s="7"/>
      <c r="Z8" s="7"/>
      <c r="AA8" s="7"/>
      <c r="AB8" s="14"/>
      <c r="AC8" s="13"/>
      <c r="AD8" s="7"/>
      <c r="AE8" s="7"/>
      <c r="AF8" s="7"/>
      <c r="AG8" s="14" t="str">
        <f>IFERROR(__xludf.DUMMYFUNCTION("""COMPUTED_VALUE"""),"高収入_リモート_事務")</f>
        <v>高収入_リモート_事務</v>
      </c>
      <c r="AH8" s="13"/>
      <c r="AI8" s="7"/>
      <c r="AJ8" s="7"/>
      <c r="AK8" s="7"/>
    </row>
    <row r="9" ht="17.25" customHeight="1">
      <c r="A9" s="8"/>
      <c r="B9" s="9"/>
      <c r="C9" s="14"/>
      <c r="D9" s="13"/>
      <c r="E9" s="7"/>
      <c r="F9" s="7"/>
      <c r="G9" s="7"/>
      <c r="H9" s="14"/>
      <c r="I9" s="13"/>
      <c r="J9" s="7"/>
      <c r="K9" s="7"/>
      <c r="L9" s="7"/>
      <c r="M9" s="14" t="str">
        <f>IFERROR(__xludf.DUMMYFUNCTION("""COMPUTED_VALUE"""),"年収500万以上_未経験歓迎")</f>
        <v>年収500万以上_未経験歓迎</v>
      </c>
      <c r="N9" s="13"/>
      <c r="O9" s="7"/>
      <c r="P9" s="7"/>
      <c r="Q9" s="7"/>
      <c r="R9" s="14"/>
      <c r="S9" s="13"/>
      <c r="T9" s="7"/>
      <c r="U9" s="7"/>
      <c r="V9" s="7"/>
      <c r="W9" s="14"/>
      <c r="X9" s="13"/>
      <c r="Y9" s="7"/>
      <c r="Z9" s="7"/>
      <c r="AA9" s="7"/>
      <c r="AB9" s="14"/>
      <c r="AC9" s="13"/>
      <c r="AD9" s="7"/>
      <c r="AE9" s="7"/>
      <c r="AF9" s="7"/>
      <c r="AG9" s="16" t="str">
        <f>IFERROR(__xludf.DUMMYFUNCTION("""COMPUTED_VALUE"""),"◇掲載終了前+UP B")</f>
        <v>◇掲載終了前+UP B</v>
      </c>
      <c r="AH9" s="13"/>
      <c r="AI9" s="7"/>
      <c r="AJ9" s="7"/>
      <c r="AK9" s="7"/>
    </row>
    <row r="10" ht="17.25" customHeight="1">
      <c r="A10" s="8"/>
      <c r="B10" s="9"/>
      <c r="C10" s="14"/>
      <c r="D10" s="13"/>
      <c r="E10" s="7"/>
      <c r="F10" s="7"/>
      <c r="G10" s="7"/>
      <c r="H10" s="14"/>
      <c r="I10" s="13"/>
      <c r="J10" s="7"/>
      <c r="K10" s="7"/>
      <c r="L10" s="7"/>
      <c r="M10" s="14"/>
      <c r="N10" s="13"/>
      <c r="O10" s="7"/>
      <c r="P10" s="7"/>
      <c r="Q10" s="7"/>
      <c r="R10" s="14"/>
      <c r="S10" s="13"/>
      <c r="T10" s="7"/>
      <c r="U10" s="7"/>
      <c r="V10" s="7"/>
      <c r="W10" s="14"/>
      <c r="X10" s="13"/>
      <c r="Y10" s="7"/>
      <c r="Z10" s="7"/>
      <c r="AA10" s="7"/>
      <c r="AB10" s="14"/>
      <c r="AC10" s="13"/>
      <c r="AD10" s="7"/>
      <c r="AE10" s="7"/>
      <c r="AF10" s="7"/>
      <c r="AG10" s="14"/>
      <c r="AH10" s="13"/>
      <c r="AI10" s="7"/>
      <c r="AJ10" s="7"/>
      <c r="AK10" s="7"/>
    </row>
    <row r="11" ht="17.25" customHeight="1">
      <c r="A11" s="8"/>
      <c r="B11" s="9" t="s">
        <v>6</v>
      </c>
      <c r="C11" s="10" t="str">
        <f>IFERROR(__xludf.DUMMYFUNCTION("iferror(FILTER('新規'!$C:$C, ('新規'!$A:$A = C$1) * ('新規'!$B:$B = $A3)))"),"")</f>
        <v/>
      </c>
      <c r="D11" s="11" t="str">
        <f>IFERROR(__xludf.DUMMYFUNCTION("IFERROR(FILTER('新規'!$D$2:$D$400, ('新規'!$A$2:$A$400 = CHOOSE(WEEKDAY(C$1), ""日"", ""月"", ""火"", ""水"", ""木"", ""金"", ""土"")) * ('新規'!$B$2:$B$400 = $A$3) * ('新規'!$O$2:$O$400 = FALSE)), """")"),"")</f>
        <v/>
      </c>
      <c r="E11" s="7"/>
      <c r="F11" s="7" t="str">
        <f>IFERROR(__xludf.DUMMYFUNCTION("IFERROR(FILTER('新規'!$M$2:$M$400, ('新規'!$A$2:$A$400 = CHOOSE(WEEKDAY(C$1), ""日"", ""月"", ""火"", ""水"", ""木"", ""金"", ""土"")) * ('新規'!$B$2:$B$400 = $A$3) * ('新規'!$O$2:$O$400 = FALSE)), """")"),"")</f>
        <v/>
      </c>
      <c r="G11" s="7" t="str">
        <f>IFERROR(__xludf.DUMMYFUNCTION("IFERROR(FILTER('新規'!$N$2:$N$400, ('新規'!$A$2:$A$400 = CHOOSE(WEEKDAY(C$1), ""日"", ""月"", ""火"", ""水"", ""木"", ""金"", ""土"")) * ('新規'!$B$2:$B$400 = $A$3) * ('新規'!$O$2:$O$400 = FALSE)), """")"),"")</f>
        <v/>
      </c>
      <c r="H11" s="10" t="str">
        <f>IFERROR(__xludf.DUMMYFUNCTION("iferror(FILTER('新規'!$C:$C, ('新規'!$A:$A = H$1) * ('新規'!$B:$B = $A3)))"),"")</f>
        <v/>
      </c>
      <c r="I11" s="11" t="str">
        <f>IFERROR(__xludf.DUMMYFUNCTION("IFERROR(FILTER('新規'!$D$2:$D$400, ('新規'!$A$2:$A$400 = CHOOSE(WEEKDAY(H$1), ""日"", ""月"", ""火"", ""水"", ""木"", ""金"", ""土"")) * ('新規'!$B$2:$B$400 = $A$3) * ('新規'!$O$2:$O$400 = FALSE)), """")"),"")</f>
        <v/>
      </c>
      <c r="J11" s="7"/>
      <c r="K11" s="7" t="str">
        <f>IFERROR(__xludf.DUMMYFUNCTION("IFERROR(FILTER('新規'!$M$2:$M$400, ('新規'!$A$2:$A$400 = CHOOSE(WEEKDAY(H$1), ""日"", ""月"", ""火"", ""水"", ""木"", ""金"", ""土"")) * ('新規'!$B$2:$B$400 = $A$3) * ('新規'!$O$2:$O$400 = FALSE)), """")"),"")</f>
        <v/>
      </c>
      <c r="L11" s="7" t="str">
        <f>IFERROR(__xludf.DUMMYFUNCTION("IFERROR(FILTER('新規'!$N$2:$N$400, ('新規'!$A$2:$A$400 = CHOOSE(WEEKDAY(H$1), ""日"", ""月"", ""火"", ""水"", ""木"", ""金"", ""土"")) * ('新規'!$B$2:$B$400 = $A$3) * ('新規'!$O$2:$O$400 = FALSE)), """")"),"")</f>
        <v/>
      </c>
      <c r="M11" s="10" t="str">
        <f>IFERROR(__xludf.DUMMYFUNCTION("iferror(FILTER('新規'!$C:$C, ('新規'!$A:$A = M$1) * ('新規'!$B:$B = $A3)))"),"")</f>
        <v/>
      </c>
      <c r="N11" s="11" t="str">
        <f>IFERROR(__xludf.DUMMYFUNCTION("IFERROR(FILTER('新規'!$D$2:$D$400, ('新規'!$A$2:$A$400 = CHOOSE(WEEKDAY(M$1), ""日"", ""月"", ""火"", ""水"", ""木"", ""金"", ""土"")) * ('新規'!$B$2:$B$400 = $A$3) * ('新規'!$O$2:$O$400 = FALSE)), """")"),"")</f>
        <v/>
      </c>
      <c r="O11" s="7"/>
      <c r="P11" s="7" t="str">
        <f>IFERROR(__xludf.DUMMYFUNCTION("IFERROR(FILTER('新規'!$M$2:$M$400, ('新規'!$A$2:$A$400 = CHOOSE(WEEKDAY(M$1), ""日"", ""月"", ""火"", ""水"", ""木"", ""金"", ""土"")) * ('新規'!$B$2:$B$400 = $A$3) * ('新規'!$O$2:$O$400 = FALSE)), """")"),"")</f>
        <v/>
      </c>
      <c r="Q11" s="7" t="str">
        <f>IFERROR(__xludf.DUMMYFUNCTION("IFERROR(FILTER('新規'!$N$2:$N$400, ('新規'!$A$2:$A$400 = CHOOSE(WEEKDAY(M$1), ""日"", ""月"", ""火"", ""水"", ""木"", ""金"", ""土"")) * ('新規'!$B$2:$B$400 = $A$3) * ('新規'!$O$2:$O$400 = FALSE)), """")"),"")</f>
        <v/>
      </c>
      <c r="R11" s="10" t="str">
        <f>IFERROR(__xludf.DUMMYFUNCTION("iferror(FILTER('新規'!$C:$C, ('新規'!$A:$A = R$1) * ('新規'!$B:$B = $A3)))"),"自己PR不要×面接1回")</f>
        <v>自己PR不要×面接1回</v>
      </c>
      <c r="S11" s="11" t="str">
        <f>IFERROR(__xludf.DUMMYFUNCTION("IFERROR(FILTER('新規'!$D$2:$D$400, ('新規'!$A$2:$A$400 = CHOOSE(WEEKDAY(R$1), ""日"", ""月"", ""火"", ""水"", ""木"", ""金"", ""土"")) * ('新規'!$B$2:$B$400 = $A$3) * ('新規'!$O$2:$O$400 = FALSE)), """")"),"")</f>
        <v/>
      </c>
      <c r="T11" s="7"/>
      <c r="U11" s="7" t="str">
        <f>IFERROR(__xludf.DUMMYFUNCTION("IFERROR(FILTER('新規'!$M$2:$M$400, ('新規'!$A$2:$A$400 = CHOOSE(WEEKDAY(R$1), ""日"", ""月"", ""火"", ""水"", ""木"", ""金"", ""土"")) * ('新規'!$B$2:$B$400 = $A$3) * ('新規'!$O$2:$O$400 = FALSE)), """")"),"")</f>
        <v/>
      </c>
      <c r="V11" s="7" t="str">
        <f>IFERROR(__xludf.DUMMYFUNCTION("IFERROR(FILTER('新規'!$N$2:$N$400, ('新規'!$A$2:$A$400 = CHOOSE(WEEKDAY(R$1), ""日"", ""月"", ""火"", ""水"", ""木"", ""金"", ""土"")) * ('新規'!$B$2:$B$400 = $A$3) * ('新規'!$O$2:$O$400 = FALSE)), """")"),"")</f>
        <v/>
      </c>
      <c r="W11" s="10" t="str">
        <f>IFERROR(__xludf.DUMMYFUNCTION("iferror(FILTER('新規'!$C:$C, ('新規'!$A:$A = W$1) * ('新規'!$B:$B = $A3)))"),"")</f>
        <v/>
      </c>
      <c r="X11" s="11" t="str">
        <f>IFERROR(__xludf.DUMMYFUNCTION("IFERROR(FILTER('新規'!$D$2:$D$400, ('新規'!$A$2:$A$400 = CHOOSE(WEEKDAY(W$1), ""日"", ""月"", ""火"", ""水"", ""木"", ""金"", ""土"")) * ('新規'!$B$2:$B$400 = $A$3) * ('新規'!$O$2:$O$400 = FALSE)), """")"),"")</f>
        <v/>
      </c>
      <c r="Y11" s="7"/>
      <c r="Z11" s="7" t="str">
        <f>IFERROR(__xludf.DUMMYFUNCTION("IFERROR(FILTER('新規'!$M$2:$M$400, ('新規'!$A$2:$A$400 = CHOOSE(WEEKDAY(W$1), ""日"", ""月"", ""火"", ""水"", ""木"", ""金"", ""土"")) * ('新規'!$B$2:$B$400 = $A$3) * ('新規'!$O$2:$O$400 = FALSE)), """")"),"")</f>
        <v/>
      </c>
      <c r="AA11" s="7" t="str">
        <f>IFERROR(__xludf.DUMMYFUNCTION("IFERROR(FILTER('新規'!$N$2:$N$400, ('新規'!$A$2:$A$400 = CHOOSE(WEEKDAY(W$1), ""日"", ""月"", ""火"", ""水"", ""木"", ""金"", ""土"")) * ('新規'!$B$2:$B$400 = $A$3) * ('新規'!$O$2:$O$400 = FALSE)), """")"),"")</f>
        <v/>
      </c>
      <c r="AB11" s="10" t="str">
        <f>IFERROR(__xludf.DUMMYFUNCTION("iferror(FILTER('新規'!$C:$C, ('新規'!$A:$A = AB$1) * ('新規'!$B:$B = $A3)))"),"")</f>
        <v/>
      </c>
      <c r="AC11" s="11" t="str">
        <f>IFERROR(__xludf.DUMMYFUNCTION("IFERROR(FILTER('新規'!$D$2:$D$400, ('新規'!$A$2:$A$400 = CHOOSE(WEEKDAY(AB$1), ""日"", ""月"", ""火"", ""水"", ""木"", ""金"", ""土"")) * ('新規'!$B$2:$B$400 = $A$3) * ('新規'!$O$2:$O$400 = FALSE)), """")"),"")</f>
        <v/>
      </c>
      <c r="AD11" s="7"/>
      <c r="AE11" s="7" t="str">
        <f>IFERROR(__xludf.DUMMYFUNCTION("IFERROR(FILTER('新規'!$M$2:$M$400, ('新規'!$A$2:$A$400 = CHOOSE(WEEKDAY(AB$1), ""日"", ""月"", ""火"", ""水"", ""木"", ""金"", ""土"")) * ('新規'!$B$2:$B$400 = $A$3) * ('新規'!$O$2:$O$400 = FALSE)), """")"),"")</f>
        <v/>
      </c>
      <c r="AF11" s="7" t="str">
        <f>IFERROR(__xludf.DUMMYFUNCTION("IFERROR(FILTER('新規'!$N$2:$N$400, ('新規'!$A$2:$A$400 = CHOOSE(WEEKDAY(AB$1), ""日"", ""月"", ""火"", ""水"", ""木"", ""金"", ""土"")) * ('新規'!$B$2:$B$400 = $A$3) * ('新規'!$O$2:$O$400 = FALSE)), """")"),"")</f>
        <v/>
      </c>
      <c r="AG11" s="10" t="str">
        <f>IFERROR(__xludf.DUMMYFUNCTION("iferror(FILTER('新規'!$C:$C, ('新規'!$A:$A = AG$1) * ('新規'!$B:$B = $A3)))"),"")</f>
        <v/>
      </c>
      <c r="AH11" s="11" t="str">
        <f>IFERROR(__xludf.DUMMYFUNCTION("IFERROR(FILTER('新規'!$D$2:$D$400, ('新規'!$A$2:$A$400 = CHOOSE(WEEKDAY(AG$1), ""日"", ""月"", ""火"", ""水"", ""木"", ""金"", ""土"")) * ('新規'!$B$2:$B$400 = $A$3) * ('新規'!$O$2:$O$400 = FALSE)), """")"),"")</f>
        <v/>
      </c>
      <c r="AI11" s="7"/>
      <c r="AJ11" s="7" t="str">
        <f>IFERROR(__xludf.DUMMYFUNCTION("IFERROR(FILTER('新規'!$M$2:$M$400, ('新規'!$A$2:$A$400 = CHOOSE(WEEKDAY(AG$1), ""日"", ""月"", ""火"", ""水"", ""木"", ""金"", ""土"")) * ('新規'!$B$2:$B$400 = $A$3) * ('新規'!$O$2:$O$400 = FALSE)), """")"),"")</f>
        <v/>
      </c>
      <c r="AK11" s="7" t="str">
        <f>IFERROR(__xludf.DUMMYFUNCTION("IFERROR(FILTER('新規'!$N$2:$N$400, ('新規'!$A$2:$A$400 = CHOOSE(WEEKDAY(AG$1), ""日"", ""月"", ""火"", ""水"", ""木"", ""金"", ""土"")) * ('新規'!$B$2:$B$400 = $A$3) * ('新規'!$O$2:$O$400 = FALSE)), """")"),"")</f>
        <v/>
      </c>
    </row>
    <row r="12" ht="17.25" customHeight="1">
      <c r="A12" s="8"/>
      <c r="B12" s="9"/>
      <c r="C12" s="17"/>
      <c r="D12" s="7"/>
      <c r="E12" s="7"/>
      <c r="F12" s="7" t="str">
        <f t="array" ref="F12">IFERROR(XLOOKUP(C12, 'リスト'!$C:$C, 'リスト'!$M:$M, ""), "")</f>
        <v/>
      </c>
      <c r="G12" s="7" t="str">
        <f t="array" ref="G12">IFERROR(XLOOKUP(C12, 'リスト'!$C:$C, 'リスト'!$N:$N, ""), "")</f>
        <v/>
      </c>
      <c r="H12" s="17"/>
      <c r="I12" s="7"/>
      <c r="J12" s="7"/>
      <c r="K12" s="7" t="str">
        <f t="array" ref="K12">IFERROR(XLOOKUP(H12, 'リスト'!$C:$C, 'リスト'!$M:$M, ""), "")</f>
        <v/>
      </c>
      <c r="L12" s="7" t="str">
        <f t="array" ref="L12">IFERROR(XLOOKUP(H12, 'リスト'!$C:$C, 'リスト'!$N:$N, ""), "")</f>
        <v/>
      </c>
      <c r="M12" s="17"/>
      <c r="N12" s="7"/>
      <c r="O12" s="7"/>
      <c r="P12" s="7" t="str">
        <f t="array" ref="P12">IFERROR(XLOOKUP(M12, 'リスト'!$C:$C, 'リスト'!$M:$M, ""), "")</f>
        <v/>
      </c>
      <c r="Q12" s="7" t="str">
        <f t="array" ref="Q12">IFERROR(XLOOKUP(M12, 'リスト'!$C:$C, 'リスト'!$N:$N, ""), "")</f>
        <v/>
      </c>
      <c r="R12" s="17"/>
      <c r="S12" s="7"/>
      <c r="T12" s="7"/>
      <c r="U12" s="7" t="str">
        <f t="array" ref="U12">IFERROR(XLOOKUP(R12, 'リスト'!$C:$C, 'リスト'!$M:$M, ""), "")</f>
        <v/>
      </c>
      <c r="V12" s="7" t="str">
        <f t="array" ref="V12">IFERROR(XLOOKUP(R12, 'リスト'!$C:$C, 'リスト'!$N:$N, ""), "")</f>
        <v/>
      </c>
      <c r="W12" s="17"/>
      <c r="X12" s="7"/>
      <c r="Y12" s="7"/>
      <c r="Z12" s="7" t="str">
        <f t="array" ref="Z12">IFERROR(XLOOKUP(W12, 'リスト'!$C:$C, 'リスト'!$M:$M, ""), "")</f>
        <v/>
      </c>
      <c r="AA12" s="7" t="str">
        <f t="array" ref="AA12">IFERROR(XLOOKUP(W12, 'リスト'!$C:$C, 'リスト'!$N:$N, ""), "")</f>
        <v/>
      </c>
      <c r="AB12" s="17"/>
      <c r="AC12" s="7"/>
      <c r="AD12" s="7"/>
      <c r="AE12" s="7" t="str">
        <f t="array" ref="AE12">IFERROR(XLOOKUP(AB12, 'リスト'!$C:$C, 'リスト'!$M:$M, ""), "")</f>
        <v/>
      </c>
      <c r="AF12" s="7" t="str">
        <f t="array" ref="AF12">IFERROR(XLOOKUP(AB12, 'リスト'!$C:$C, 'リスト'!$N:$N, ""), "")</f>
        <v/>
      </c>
      <c r="AG12" s="17"/>
      <c r="AH12" s="7"/>
      <c r="AI12" s="7"/>
      <c r="AJ12" s="7" t="str">
        <f t="array" ref="AJ12">IFERROR(XLOOKUP(AG12, 'リスト'!$C:$C, 'リスト'!$M:$M, ""), "")</f>
        <v/>
      </c>
      <c r="AK12" s="7" t="str">
        <f t="array" ref="AK12">IFERROR(XLOOKUP(AG12, 'リスト'!$C:$C, 'リスト'!$N:$N, ""), "")</f>
        <v/>
      </c>
    </row>
    <row r="13" ht="17.25" customHeight="1">
      <c r="A13" s="8"/>
      <c r="B13" s="9"/>
      <c r="C13" s="17"/>
      <c r="D13" s="7"/>
      <c r="E13" s="7"/>
      <c r="F13" s="7" t="str">
        <f t="array" ref="F13">IFERROR(XLOOKUP(C13, 'リスト'!$C:$C, 'リスト'!$M:$M, ""), "")</f>
        <v/>
      </c>
      <c r="G13" s="7" t="str">
        <f t="array" ref="G13">IFERROR(XLOOKUP(C13, 'リスト'!$C:$C, 'リスト'!$N:$N, ""), "")</f>
        <v/>
      </c>
      <c r="H13" s="17"/>
      <c r="I13" s="7"/>
      <c r="J13" s="7"/>
      <c r="K13" s="7" t="str">
        <f t="array" ref="K13">IFERROR(XLOOKUP(H13, 'リスト'!$C:$C, 'リスト'!$M:$M, ""), "")</f>
        <v/>
      </c>
      <c r="L13" s="7" t="str">
        <f t="array" ref="L13">IFERROR(XLOOKUP(H13, 'リスト'!$C:$C, 'リスト'!$N:$N, ""), "")</f>
        <v/>
      </c>
      <c r="M13" s="17"/>
      <c r="N13" s="7"/>
      <c r="O13" s="7"/>
      <c r="P13" s="7" t="str">
        <f t="array" ref="P13">IFERROR(XLOOKUP(M13, 'リスト'!$C:$C, 'リスト'!$M:$M, ""), "")</f>
        <v/>
      </c>
      <c r="Q13" s="7" t="str">
        <f t="array" ref="Q13">IFERROR(XLOOKUP(M13, 'リスト'!$C:$C, 'リスト'!$N:$N, ""), "")</f>
        <v/>
      </c>
      <c r="R13" s="17"/>
      <c r="S13" s="7"/>
      <c r="T13" s="7"/>
      <c r="U13" s="7" t="str">
        <f t="array" ref="U13">IFERROR(XLOOKUP(R13, 'リスト'!$C:$C, 'リスト'!$M:$M, ""), "")</f>
        <v/>
      </c>
      <c r="V13" s="7" t="str">
        <f t="array" ref="V13">IFERROR(XLOOKUP(R13, 'リスト'!$C:$C, 'リスト'!$N:$N, ""), "")</f>
        <v/>
      </c>
      <c r="W13" s="17"/>
      <c r="X13" s="7"/>
      <c r="Y13" s="7"/>
      <c r="Z13" s="7" t="str">
        <f t="array" ref="Z13">IFERROR(XLOOKUP(W13, 'リスト'!$C:$C, 'リスト'!$M:$M, ""), "")</f>
        <v/>
      </c>
      <c r="AA13" s="7" t="str">
        <f t="array" ref="AA13">IFERROR(XLOOKUP(W13, 'リスト'!$C:$C, 'リスト'!$N:$N, ""), "")</f>
        <v/>
      </c>
      <c r="AB13" s="17"/>
      <c r="AC13" s="7"/>
      <c r="AD13" s="7"/>
      <c r="AE13" s="7" t="str">
        <f t="array" ref="AE13">IFERROR(XLOOKUP(AB13, 'リスト'!$C:$C, 'リスト'!$M:$M, ""), "")</f>
        <v/>
      </c>
      <c r="AF13" s="7" t="str">
        <f t="array" ref="AF13">IFERROR(XLOOKUP(AB13, 'リスト'!$C:$C, 'リスト'!$N:$N, ""), "")</f>
        <v/>
      </c>
      <c r="AG13" s="17"/>
      <c r="AH13" s="7"/>
      <c r="AI13" s="7"/>
      <c r="AJ13" s="7" t="str">
        <f t="array" ref="AJ13">IFERROR(XLOOKUP(AG13, 'リスト'!$C:$C, 'リスト'!$M:$M, ""), "")</f>
        <v/>
      </c>
      <c r="AK13" s="7" t="str">
        <f t="array" ref="AK13">IFERROR(XLOOKUP(AG13, 'リスト'!$C:$C, 'リスト'!$N:$N, ""), "")</f>
        <v/>
      </c>
    </row>
    <row r="14" ht="17.25" customHeight="1">
      <c r="A14" s="8"/>
      <c r="B14" s="9"/>
      <c r="C14" s="17"/>
      <c r="D14" s="7"/>
      <c r="E14" s="7"/>
      <c r="F14" s="7" t="str">
        <f t="array" ref="F14">IFERROR(XLOOKUP(C14, 'リスト'!$C:$C, 'リスト'!$M:$M, ""), "")</f>
        <v/>
      </c>
      <c r="G14" s="7" t="str">
        <f t="array" ref="G14">IFERROR(XLOOKUP(C14, 'リスト'!$C:$C, 'リスト'!$N:$N, ""), "")</f>
        <v/>
      </c>
      <c r="H14" s="17"/>
      <c r="I14" s="7"/>
      <c r="J14" s="7"/>
      <c r="K14" s="7" t="str">
        <f t="array" ref="K14">IFERROR(XLOOKUP(H14, 'リスト'!$C:$C, 'リスト'!$M:$M, ""), "")</f>
        <v/>
      </c>
      <c r="L14" s="7" t="str">
        <f t="array" ref="L14">IFERROR(XLOOKUP(H14, 'リスト'!$C:$C, 'リスト'!$N:$N, ""), "")</f>
        <v/>
      </c>
      <c r="M14" s="17"/>
      <c r="N14" s="7"/>
      <c r="O14" s="7"/>
      <c r="P14" s="7" t="str">
        <f t="array" ref="P14">IFERROR(XLOOKUP(M14, 'リスト'!$C:$C, 'リスト'!$M:$M, ""), "")</f>
        <v/>
      </c>
      <c r="Q14" s="7" t="str">
        <f t="array" ref="Q14">IFERROR(XLOOKUP(M14, 'リスト'!$C:$C, 'リスト'!$N:$N, ""), "")</f>
        <v/>
      </c>
      <c r="R14" s="17"/>
      <c r="S14" s="7"/>
      <c r="T14" s="7"/>
      <c r="U14" s="7" t="str">
        <f t="array" ref="U14">IFERROR(XLOOKUP(R14, 'リスト'!$C:$C, 'リスト'!$M:$M, ""), "")</f>
        <v/>
      </c>
      <c r="V14" s="7" t="str">
        <f t="array" ref="V14">IFERROR(XLOOKUP(R14, 'リスト'!$C:$C, 'リスト'!$N:$N, ""), "")</f>
        <v/>
      </c>
      <c r="W14" s="17"/>
      <c r="X14" s="7"/>
      <c r="Y14" s="7"/>
      <c r="Z14" s="7" t="str">
        <f t="array" ref="Z14">IFERROR(XLOOKUP(W14, 'リスト'!$C:$C, 'リスト'!$M:$M, ""), "")</f>
        <v/>
      </c>
      <c r="AA14" s="7" t="str">
        <f t="array" ref="AA14">IFERROR(XLOOKUP(W14, 'リスト'!$C:$C, 'リスト'!$N:$N, ""), "")</f>
        <v/>
      </c>
      <c r="AB14" s="17"/>
      <c r="AC14" s="7"/>
      <c r="AD14" s="7"/>
      <c r="AE14" s="7" t="str">
        <f t="array" ref="AE14">IFERROR(XLOOKUP(AB14, 'リスト'!$C:$C, 'リスト'!$M:$M, ""), "")</f>
        <v/>
      </c>
      <c r="AF14" s="7" t="str">
        <f t="array" ref="AF14">IFERROR(XLOOKUP(AB14, 'リスト'!$C:$C, 'リスト'!$N:$N, ""), "")</f>
        <v/>
      </c>
      <c r="AG14" s="17"/>
      <c r="AH14" s="7"/>
      <c r="AI14" s="7"/>
      <c r="AJ14" s="7" t="str">
        <f t="array" ref="AJ14">IFERROR(XLOOKUP(AG14, 'リスト'!$C:$C, 'リスト'!$M:$M, ""), "")</f>
        <v/>
      </c>
      <c r="AK14" s="7" t="str">
        <f t="array" ref="AK14">IFERROR(XLOOKUP(AG14, 'リスト'!$C:$C, 'リスト'!$N:$N, ""), "")</f>
        <v/>
      </c>
    </row>
    <row r="15" ht="17.25" customHeight="1">
      <c r="A15" s="8"/>
      <c r="B15" s="9"/>
      <c r="C15" s="17"/>
      <c r="D15" s="7"/>
      <c r="E15" s="7"/>
      <c r="F15" s="7" t="str">
        <f t="array" ref="F15">IFERROR(XLOOKUP(C15, 'リスト'!$C:$C, 'リスト'!$M:$M, ""), "")</f>
        <v/>
      </c>
      <c r="G15" s="7" t="str">
        <f t="array" ref="G15">IFERROR(XLOOKUP(C15, 'リスト'!$C:$C, 'リスト'!$N:$N, ""), "")</f>
        <v/>
      </c>
      <c r="H15" s="17"/>
      <c r="I15" s="7"/>
      <c r="J15" s="7"/>
      <c r="K15" s="7" t="str">
        <f t="array" ref="K15">IFERROR(XLOOKUP(H15, 'リスト'!$C:$C, 'リスト'!$M:$M, ""), "")</f>
        <v/>
      </c>
      <c r="L15" s="7" t="str">
        <f t="array" ref="L15">IFERROR(XLOOKUP(H15, 'リスト'!$C:$C, 'リスト'!$N:$N, ""), "")</f>
        <v/>
      </c>
      <c r="M15" s="17"/>
      <c r="N15" s="7"/>
      <c r="O15" s="7"/>
      <c r="P15" s="7" t="str">
        <f t="array" ref="P15">IFERROR(XLOOKUP(M15, 'リスト'!$C:$C, 'リスト'!$M:$M, ""), "")</f>
        <v/>
      </c>
      <c r="Q15" s="7" t="str">
        <f t="array" ref="Q15">IFERROR(XLOOKUP(M15, 'リスト'!$C:$C, 'リスト'!$N:$N, ""), "")</f>
        <v/>
      </c>
      <c r="R15" s="17"/>
      <c r="S15" s="7"/>
      <c r="T15" s="7"/>
      <c r="U15" s="7" t="str">
        <f t="array" ref="U15">IFERROR(XLOOKUP(R15, 'リスト'!$C:$C, 'リスト'!$M:$M, ""), "")</f>
        <v/>
      </c>
      <c r="V15" s="7" t="str">
        <f t="array" ref="V15">IFERROR(XLOOKUP(R15, 'リスト'!$C:$C, 'リスト'!$N:$N, ""), "")</f>
        <v/>
      </c>
      <c r="W15" s="17"/>
      <c r="X15" s="7"/>
      <c r="Y15" s="7"/>
      <c r="Z15" s="7" t="str">
        <f t="array" ref="Z15">IFERROR(XLOOKUP(W15, 'リスト'!$C:$C, 'リスト'!$M:$M, ""), "")</f>
        <v/>
      </c>
      <c r="AA15" s="7" t="str">
        <f t="array" ref="AA15">IFERROR(XLOOKUP(W15, 'リスト'!$C:$C, 'リスト'!$N:$N, ""), "")</f>
        <v/>
      </c>
      <c r="AB15" s="17"/>
      <c r="AC15" s="7"/>
      <c r="AD15" s="7"/>
      <c r="AE15" s="7" t="str">
        <f t="array" ref="AE15">IFERROR(XLOOKUP(AB15, 'リスト'!$C:$C, 'リスト'!$M:$M, ""), "")</f>
        <v/>
      </c>
      <c r="AF15" s="7" t="str">
        <f t="array" ref="AF15">IFERROR(XLOOKUP(AB15, 'リスト'!$C:$C, 'リスト'!$N:$N, ""), "")</f>
        <v/>
      </c>
      <c r="AG15" s="17"/>
      <c r="AH15" s="7"/>
      <c r="AI15" s="7"/>
      <c r="AJ15" s="7" t="str">
        <f t="array" ref="AJ15">IFERROR(XLOOKUP(AG15, 'リスト'!$C:$C, 'リスト'!$M:$M, ""), "")</f>
        <v/>
      </c>
      <c r="AK15" s="7" t="str">
        <f t="array" ref="AK15">IFERROR(XLOOKUP(AG15, 'リスト'!$C:$C, 'リスト'!$N:$N, ""), "")</f>
        <v/>
      </c>
    </row>
    <row r="16" ht="17.25" customHeight="1">
      <c r="A16" s="8"/>
      <c r="B16" s="9" t="s">
        <v>7</v>
      </c>
      <c r="C16" s="18" t="str">
        <f>IFERROR(__xludf.DUMMYFUNCTION("IFERROR(INDEX(FILTER('特殊配信マスタ'!$C$3:$C217, '特殊配信マスタ'!$A$3:$A217=INDEX({""日"",""月"",""火"",""水"",""木"",""金"",""土""}, WEEKDAY(C$1)), '特殊配信マスタ'!$B$3:$B217=$A$3, '特殊配信マスタ'!$O$3:$O217=FALSE), ROW()-ROW($C$15)), """")"),"◇ポジションマッチ A1")</f>
        <v>◇ポジションマッチ A1</v>
      </c>
      <c r="D16" s="11">
        <f>IFERROR(__xludf.DUMMYFUNCTION("IFERROR(FILTER('特殊配信マスタ'!$G$3:$G217, ('特殊配信マスタ'!$A$3:$A217 = CHOOSE(WEEKDAY(C$1), ""日"", ""月"", ""火"", ""水"", ""木"", ""金"", ""土"")) * ('特殊配信マスタ'!$B$3:$B217 = $A$3) * ('特殊配信マスタ'!$F$3:$F217 = MOD(WEEKNUM(C$1)-1, 3)+1) * ('特殊配信マスタ'!$O$3:$O217 = FALSE)), """""&amp;")"),2.5)</f>
        <v>2.5</v>
      </c>
      <c r="E16" s="7" t="str">
        <f>IFERROR(__xludf.DUMMYFUNCTION("IFERROR(TEXTJOIN(CHAR(10), TRUE, FILTER('特殊配信マスタ'!$C:$E, #REF!=E$1)), """")"),"")</f>
        <v/>
      </c>
      <c r="F16" s="7" t="str">
        <f>IFERROR(__xludf.DUMMYFUNCTION("IFERROR(FILTER('特殊配信マスタ'!$M$3:$M217, ('特殊配信マスタ'!$A$3:$A217 = CHOOSE(WEEKDAY(C$1), ""日"", ""月"", ""火"", ""水"", ""木"", ""金"", ""土"")) * ('特殊配信マスタ'!$B$3:$B217 = $A$3) * ('特殊配信マスタ'!$F$3:$F217 = MOD(WEEKNUM(C$1)-1, 3)+1) * ('特殊配信マスタ'!$O$3:$O217 = FALSE)), """""&amp;")"),"内")</f>
        <v>内</v>
      </c>
      <c r="G16" s="7" t="str">
        <f>IFERROR(__xludf.DUMMYFUNCTION("IFERROR(FILTER('特殊配信マスタ'!$N$3:$N217, ('特殊配信マスタ'!$A$3:$A217 = CHOOSE(WEEKDAY(C$1), ""日"", ""月"", ""火"", ""水"", ""木"", ""金"", ""土"")) * ('特殊配信マスタ'!$B$3:$B217 = $A$3) * ('特殊配信マスタ'!$F$3:$F217 = MOD(WEEKNUM(C$1)-1, 3)+1) * ('特殊配信マスタ'!$O$3:$O217 = FALSE)), """""&amp;")"),"平")</f>
        <v>平</v>
      </c>
      <c r="H16" s="10" t="str">
        <f>IFERROR(__xludf.DUMMYFUNCTION("IFERROR(FILTER('特殊配信マスタ'!$C$3:$C217, ('特殊配信マスタ'!$A$3:$A217 = CHOOSE(WEEKDAY(H$1), ""日"", ""月"", ""火"", ""水"", ""木"", ""金"", ""土"")) * ('特殊配信マスタ'!$B$3:$B217 = $A$3) * ('特殊配信マスタ'!$F$3:$F217 = MOD(WEEKNUM(H$1)-1, 3)+1) * ('特殊配信マスタ'!$O$3:$O217 = FALSE)), """""&amp;")"),"")</f>
        <v/>
      </c>
      <c r="I16" s="11" t="str">
        <f>IFERROR(__xludf.DUMMYFUNCTION("IFERROR(FILTER('特殊配信マスタ'!$G$3:$G217, ('特殊配信マスタ'!$A$3:$A217 = CHOOSE(WEEKDAY(H$1), ""日"", ""月"", ""火"", ""水"", ""木"", ""金"", ""土"")) * ('特殊配信マスタ'!$B$3:$B217 = $A$3) * ('特殊配信マスタ'!$F$3:$F217 = MOD(WEEKNUM(H$1)-1, 3)+1) * ('特殊配信マスタ'!$O$3:$O217 = FALSE)), """""&amp;")"),"")</f>
        <v/>
      </c>
      <c r="J16" s="7" t="str">
        <f>IFERROR(__xludf.DUMMYFUNCTION("IFERROR(TEXTJOIN(CHAR(10), TRUE, FILTER('特殊配信マスタ'!$C:$E, #REF!=J$1)), """")"),"")</f>
        <v/>
      </c>
      <c r="K16" s="7" t="str">
        <f>IFERROR(__xludf.DUMMYFUNCTION("IFERROR(FILTER('特殊配信マスタ'!$M$3:$M217, ('特殊配信マスタ'!$A$3:$A217 = CHOOSE(WEEKDAY(H$1), ""日"", ""月"", ""火"", ""水"", ""木"", ""金"", ""土"")) * ('特殊配信マスタ'!$B$3:$B217 = $A$3) * ('特殊配信マスタ'!$F$3:$F217 = MOD(WEEKNUM(H$1)-1, 3)+1) * ('特殊配信マスタ'!$O$3:$O217 = FALSE)), """""&amp;")"),"")</f>
        <v/>
      </c>
      <c r="L16" s="7" t="str">
        <f>IFERROR(__xludf.DUMMYFUNCTION("IFERROR(FILTER('特殊配信マスタ'!$N$3:$N217, ('特殊配信マスタ'!$A$3:$A217 = CHOOSE(WEEKDAY(H$1), ""日"", ""月"", ""火"", ""水"", ""木"", ""金"", ""土"")) * ('特殊配信マスタ'!$B$3:$B217 = $A$3) * ('特殊配信マスタ'!$F$3:$F217 = MOD(WEEKNUM(H$1)-1, 3)+1) * ('特殊配信マスタ'!$O$3:$O217 = FALSE)), """""&amp;")"),"")</f>
        <v/>
      </c>
      <c r="M16" s="10" t="str">
        <f>IFERROR(__xludf.DUMMYFUNCTION("IFERROR(FILTER('特殊配信マスタ'!$C$3:$C217, ('特殊配信マスタ'!$A$3:$A217 = CHOOSE(WEEKDAY(M$1), ""日"", ""月"", ""火"", ""水"", ""木"", ""金"", ""土"")) * ('特殊配信マスタ'!$B$3:$B217 = $A$3) * ('特殊配信マスタ'!$F$3:$F217 = MOD(WEEKNUM(M$1)-1, 3)+1) * ('特殊配信マスタ'!$O$3:$O217 = FALSE)), """""&amp;")"),"")</f>
        <v/>
      </c>
      <c r="N16" s="11" t="str">
        <f>IFERROR(__xludf.DUMMYFUNCTION("IFERROR(FILTER('特殊配信マスタ'!$G$3:$G217, ('特殊配信マスタ'!$A$3:$A217 = CHOOSE(WEEKDAY(M$1), ""日"", ""月"", ""火"", ""水"", ""木"", ""金"", ""土"")) * ('特殊配信マスタ'!$B$3:$B217 = $A$3) * ('特殊配信マスタ'!$F$3:$F217 = MOD(WEEKNUM(M$1)-1, 3)+1) * ('特殊配信マスタ'!$O$3:$O217 = FALSE)), """""&amp;")"),"")</f>
        <v/>
      </c>
      <c r="O16" s="7" t="str">
        <f>IFERROR(__xludf.DUMMYFUNCTION("IFERROR(TEXTJOIN(CHAR(10), TRUE, FILTER('特殊配信マスタ'!$C:$E, #REF!=O$1)), """")"),"")</f>
        <v/>
      </c>
      <c r="P16" s="7" t="str">
        <f>IFERROR(__xludf.DUMMYFUNCTION("IFERROR(FILTER('特殊配信マスタ'!$M$3:$M217, ('特殊配信マスタ'!$A$3:$A217 = CHOOSE(WEEKDAY(M$1), ""日"", ""月"", ""火"", ""水"", ""木"", ""金"", ""土"")) * ('特殊配信マスタ'!$B$3:$B217 = $A$3) * ('特殊配信マスタ'!$F$3:$F217 = MOD(WEEKNUM(M$1)-1, 3)+1) * ('特殊配信マスタ'!$O$3:$O217 = FALSE)), """""&amp;")"),"")</f>
        <v/>
      </c>
      <c r="Q16" s="7" t="str">
        <f>IFERROR(__xludf.DUMMYFUNCTION("IFERROR(FILTER('特殊配信マスタ'!$N$3:$N217, ('特殊配信マスタ'!$A$3:$A217 = CHOOSE(WEEKDAY(M$1), ""日"", ""月"", ""火"", ""水"", ""木"", ""金"", ""土"")) * ('特殊配信マスタ'!$B$3:$B217 = $A$3) * ('特殊配信マスタ'!$F$3:$F217 = MOD(WEEKNUM(M$1)-1, 3)+1) * ('特殊配信マスタ'!$O$3:$O217 = FALSE)), """""&amp;")"),"")</f>
        <v/>
      </c>
      <c r="R16" s="10" t="str">
        <f>IFERROR(__xludf.DUMMYFUNCTION("IFERROR(FILTER('特殊配信マスタ'!$C$3:$C217, ('特殊配信マスタ'!$A$3:$A217 = CHOOSE(WEEKDAY(R$1), ""日"", ""月"", ""火"", ""水"", ""木"", ""金"", ""土"")) * ('特殊配信マスタ'!$B$3:$B217 = $A$3) * ('特殊配信マスタ'!$F$3:$F217 = MOD(WEEKNUM(R$1)-1, 3)+1) * ('特殊配信マスタ'!$O$3:$O217 = FALSE)), """""&amp;")"),"")</f>
        <v/>
      </c>
      <c r="S16" s="11" t="str">
        <f>IFERROR(__xludf.DUMMYFUNCTION("IFERROR(FILTER('特殊配信マスタ'!$G$3:$G217, ('特殊配信マスタ'!$A$3:$A217 = CHOOSE(WEEKDAY(R$1), ""日"", ""月"", ""火"", ""水"", ""木"", ""金"", ""土"")) * ('特殊配信マスタ'!$B$3:$B217 = $A$3) * ('特殊配信マスタ'!$F$3:$F217 = MOD(WEEKNUM(R$1)-1, 3)+1) * ('特殊配信マスタ'!$O$3:$O217 = FALSE)), """""&amp;")"),"")</f>
        <v/>
      </c>
      <c r="T16" s="7" t="str">
        <f>IFERROR(__xludf.DUMMYFUNCTION("IFERROR(TEXTJOIN(CHAR(10), TRUE, FILTER('特殊配信マスタ'!$C:$E, #REF!=T$1)), """")"),"")</f>
        <v/>
      </c>
      <c r="U16" s="7" t="str">
        <f>IFERROR(__xludf.DUMMYFUNCTION("IFERROR(FILTER('特殊配信マスタ'!$M$3:$M217, ('特殊配信マスタ'!$A$3:$A217 = CHOOSE(WEEKDAY(R$1), ""日"", ""月"", ""火"", ""水"", ""木"", ""金"", ""土"")) * ('特殊配信マスタ'!$B$3:$B217 = $A$3) * ('特殊配信マスタ'!$F$3:$F217 = MOD(WEEKNUM(R$1)-1, 3)+1) * ('特殊配信マスタ'!$O$3:$O217 = FALSE)), """""&amp;")"),"")</f>
        <v/>
      </c>
      <c r="V16" s="7" t="str">
        <f>IFERROR(__xludf.DUMMYFUNCTION("IFERROR(FILTER('特殊配信マスタ'!$N$3:$N217, ('特殊配信マスタ'!$A$3:$A217 = CHOOSE(WEEKDAY(R$1), ""日"", ""月"", ""火"", ""水"", ""木"", ""金"", ""土"")) * ('特殊配信マスタ'!$B$3:$B217 = $A$3) * ('特殊配信マスタ'!$F$3:$F217 = MOD(WEEKNUM(R$1)-1, 3)+1) * ('特殊配信マスタ'!$O$3:$O217 = FALSE)), """""&amp;")"),"")</f>
        <v/>
      </c>
      <c r="W16" s="10" t="str">
        <f>IFERROR(__xludf.DUMMYFUNCTION("IFERROR(FILTER('特殊配信マスタ'!$C$3:$C217, ('特殊配信マスタ'!$A$3:$A217 = CHOOSE(WEEKDAY(W$1), ""日"", ""月"", ""火"", ""水"", ""木"", ""金"", ""土"")) * ('特殊配信マスタ'!$B$3:$B217 = $A$3) * ('特殊配信マスタ'!$F$3:$F217 = MOD(WEEKNUM(W$1)-1, 3)+1) * ('特殊配信マスタ'!$O$3:$O217 = FALSE)), """""&amp;")"),"")</f>
        <v/>
      </c>
      <c r="X16" s="11" t="str">
        <f>IFERROR(__xludf.DUMMYFUNCTION("IFERROR(FILTER('特殊配信マスタ'!$G$3:$G217, ('特殊配信マスタ'!$A$3:$A217 = CHOOSE(WEEKDAY(W$1), ""日"", ""月"", ""火"", ""水"", ""木"", ""金"", ""土"")) * ('特殊配信マスタ'!$B$3:$B217 = $A$3) * ('特殊配信マスタ'!$F$3:$F217 = MOD(WEEKNUM(W$1)-1, 3)+1) * ('特殊配信マスタ'!$O$3:$O217 = FALSE)), """""&amp;")"),"")</f>
        <v/>
      </c>
      <c r="Y16" s="7" t="str">
        <f>IFERROR(__xludf.DUMMYFUNCTION("IFERROR(TEXTJOIN(CHAR(10), TRUE, FILTER('特殊配信マスタ'!$C:$E, #REF!=Y$1)), """")"),"")</f>
        <v/>
      </c>
      <c r="Z16" s="7" t="str">
        <f>IFERROR(__xludf.DUMMYFUNCTION("IFERROR(FILTER('特殊配信マスタ'!$M$3:$M217, ('特殊配信マスタ'!$A$3:$A217 = CHOOSE(WEEKDAY(W$1), ""日"", ""月"", ""火"", ""水"", ""木"", ""金"", ""土"")) * ('特殊配信マスタ'!$B$3:$B217 = $A$3) * ('特殊配信マスタ'!$F$3:$F217 = MOD(WEEKNUM(W$1)-1, 3)+1) * ('特殊配信マスタ'!$O$3:$O217 = FALSE)), """""&amp;")"),"")</f>
        <v/>
      </c>
      <c r="AA16" s="7" t="str">
        <f>IFERROR(__xludf.DUMMYFUNCTION("IFERROR(FILTER('特殊配信マスタ'!$N$3:$N217, ('特殊配信マスタ'!$A$3:$A217 = CHOOSE(WEEKDAY(W$1), ""日"", ""月"", ""火"", ""水"", ""木"", ""金"", ""土"")) * ('特殊配信マスタ'!$B$3:$B217 = $A$3) * ('特殊配信マスタ'!$F$3:$F217 = MOD(WEEKNUM(W$1)-1, 3)+1) * ('特殊配信マスタ'!$O$3:$O217 = FALSE)), """""&amp;")"),"")</f>
        <v/>
      </c>
      <c r="AB16" s="10" t="str">
        <f>IFERROR(__xludf.DUMMYFUNCTION("IFERROR(FILTER('特殊配信マスタ'!$C$3:$C217, ('特殊配信マスタ'!$A$3:$A217 = CHOOSE(WEEKDAY(AB$1), ""日"", ""月"", ""火"", ""水"", ""木"", ""金"", ""土"")) * ('特殊配信マスタ'!$B$3:$B217 = $A$3) * ('特殊配信マスタ'!$F$3:$F217 = MOD(WEEKNUM(AB$1)-1, 3)+1) * ('特殊配信マスタ'!$O$3:$O217 = FALSE)), """&amp;""")"),"")</f>
        <v/>
      </c>
      <c r="AC16" s="11" t="str">
        <f>IFERROR(__xludf.DUMMYFUNCTION("IFERROR(FILTER('特殊配信マスタ'!$G$3:$G217, ('特殊配信マスタ'!$A$3:$A217 = CHOOSE(WEEKDAY(AB$1), ""日"", ""月"", ""火"", ""水"", ""木"", ""金"", ""土"")) * ('特殊配信マスタ'!$B$3:$B217 = $A$3) * ('特殊配信マスタ'!$F$3:$F217 = MOD(WEEKNUM(AB$1)-1, 3)+1) * ('特殊配信マスタ'!$O$3:$O217 = FALSE)), """&amp;""")"),"")</f>
        <v/>
      </c>
      <c r="AD16" s="7" t="str">
        <f>IFERROR(__xludf.DUMMYFUNCTION("IFERROR(TEXTJOIN(CHAR(10), TRUE, FILTER('特殊配信マスタ'!$C:$E, #REF!=AD$1)), """")"),"")</f>
        <v/>
      </c>
      <c r="AE16" s="7" t="str">
        <f>IFERROR(__xludf.DUMMYFUNCTION("IFERROR(FILTER('特殊配信マスタ'!$M$3:$M217, ('特殊配信マスタ'!$A$3:$A217 = CHOOSE(WEEKDAY(AB$1), ""日"", ""月"", ""火"", ""水"", ""木"", ""金"", ""土"")) * ('特殊配信マスタ'!$B$3:$B217 = $A$3) * ('特殊配信マスタ'!$F$3:$F217 = MOD(WEEKNUM(AB$1)-1, 3)+1) * ('特殊配信マスタ'!$O$3:$O217 = FALSE)), """&amp;""")"),"")</f>
        <v/>
      </c>
      <c r="AF16" s="7" t="str">
        <f>IFERROR(__xludf.DUMMYFUNCTION("IFERROR(FILTER('特殊配信マスタ'!$N$3:$N217, ('特殊配信マスタ'!$A$3:$A217 = CHOOSE(WEEKDAY(AB$1), ""日"", ""月"", ""火"", ""水"", ""木"", ""金"", ""土"")) * ('特殊配信マスタ'!$B$3:$B217 = $A$3) * ('特殊配信マスタ'!$F$3:$F217 = MOD(WEEKNUM(AB$1)-1, 3)+1) * ('特殊配信マスタ'!$O$3:$O217 = FALSE)), """&amp;""")"),"")</f>
        <v/>
      </c>
      <c r="AG16" s="10" t="str">
        <f>IFERROR(__xludf.DUMMYFUNCTION("IFERROR(FILTER('特殊配信マスタ'!$C$3:$C217, ('特殊配信マスタ'!$A$3:$A217 = CHOOSE(WEEKDAY(AG$1), ""日"", ""月"", ""火"", ""水"", ""木"", ""金"", ""土"")) * ('特殊配信マスタ'!$B$3:$B217 = $A$3) * ('特殊配信マスタ'!$F$3:$F217 = MOD(WEEKNUM(AG$1)-1, 3)+1) * ('特殊配信マスタ'!$O$3:$O217 = FALSE)), """&amp;""")"),"")</f>
        <v/>
      </c>
      <c r="AH16" s="11" t="str">
        <f>IFERROR(__xludf.DUMMYFUNCTION("IFERROR(FILTER('特殊配信マスタ'!$G$3:$G217, ('特殊配信マスタ'!$A$3:$A217 = CHOOSE(WEEKDAY(AG$1), ""日"", ""月"", ""火"", ""水"", ""木"", ""金"", ""土"")) * ('特殊配信マスタ'!$B$3:$B217 = $A$3) * ('特殊配信マスタ'!$F$3:$F217 = MOD(WEEKNUM(AG$1)-1, 3)+1) * ('特殊配信マスタ'!$O$3:$O217 = FALSE)), """&amp;""")"),"")</f>
        <v/>
      </c>
      <c r="AI16" s="7" t="str">
        <f>IFERROR(__xludf.DUMMYFUNCTION("IFERROR(TEXTJOIN(CHAR(10), TRUE, FILTER('特殊配信マスタ'!$C:$E, #REF!=AI$1)), """")"),"")</f>
        <v/>
      </c>
      <c r="AJ16" s="7" t="str">
        <f>IFERROR(__xludf.DUMMYFUNCTION("IFERROR(FILTER('特殊配信マスタ'!$M$3:$M217, ('特殊配信マスタ'!$A$3:$A217 = CHOOSE(WEEKDAY(AG$1), ""日"", ""月"", ""火"", ""水"", ""木"", ""金"", ""土"")) * ('特殊配信マスタ'!$B$3:$B217 = $A$3) * ('特殊配信マスタ'!$F$3:$F217 = MOD(WEEKNUM(AG$1)-1, 3)+1) * ('特殊配信マスタ'!$O$3:$O217 = FALSE)), """&amp;""")"),"")</f>
        <v/>
      </c>
      <c r="AK16" s="7" t="str">
        <f>IFERROR(__xludf.DUMMYFUNCTION("IFERROR(FILTER('特殊配信マスタ'!$N$3:$N217, ('特殊配信マスタ'!$A$3:$A217 = CHOOSE(WEEKDAY(AG$1), ""日"", ""月"", ""火"", ""水"", ""木"", ""金"", ""土"")) * ('特殊配信マスタ'!$B$3:$B217 = $A$3) * ('特殊配信マスタ'!$F$3:$F217 = MOD(WEEKNUM(AG$1)-1, 3)+1) * ('特殊配信マスタ'!$O$3:$O217 = FALSE)), """&amp;""")"),"")</f>
        <v/>
      </c>
    </row>
    <row r="17" ht="17.25" customHeight="1">
      <c r="A17" s="8"/>
      <c r="B17" s="9"/>
      <c r="C17" s="18" t="str">
        <f>IFERROR(__xludf.DUMMYFUNCTION("IFERROR(INDEX(FILTER('特殊配信マスタ'!$C$3:$C217, '特殊配信マスタ'!$A$3:$A217=INDEX({""日"",""月"",""火"",""水"",""木"",""金"",""土""}, WEEKDAY(C$1)), '特殊配信マスタ'!$B$3:$B217=$A$3, '特殊配信マスタ'!$O$3:$O217=FALSE), ROW()-ROW($C$15)), """")"),"◇ポジションマッチ A2")</f>
        <v>◇ポジションマッチ A2</v>
      </c>
      <c r="D17" s="11"/>
      <c r="E17" s="7"/>
      <c r="F17" s="7"/>
      <c r="G17" s="7"/>
      <c r="H17" s="10" t="str">
        <f>IFERROR(__xludf.DUMMYFUNCTION("IFERROR(FILTER('特殊配信マスタ'!$C$3:$C217, ('特殊配信マスタ'!$A$3:$A217 = CHOOSE(WEEKDAY(H$1), ""日"", ""月"", ""火"", ""水"", ""木"", ""金"", ""土"")) * ('特殊配信マスタ'!$B$3:$B217 = $A$3) * ('特殊配信マスタ'!$F$3:$F217 = MOD(WEEKNUM(H$1)-1, 3)+1) * ('特殊配信マスタ'!$O$3:$O217 = FALSE)), """""&amp;")"),"")</f>
        <v/>
      </c>
      <c r="I17" s="11" t="str">
        <f>IFERROR(__xludf.DUMMYFUNCTION("IFERROR(FILTER('特殊配信マスタ'!$G$3:$G217, ('特殊配信マスタ'!$A$3:$A217 = CHOOSE(WEEKDAY(H$1), ""日"", ""月"", ""火"", ""水"", ""木"", ""金"", ""土"")) * ('特殊配信マスタ'!$B$3:$B217 = $A$3) * ('特殊配信マスタ'!$F$3:$F217 = MOD(WEEKNUM(H$1)-1, 3)+1) * ('特殊配信マスタ'!$O$3:$O217 = FALSE)), """""&amp;")"),"")</f>
        <v/>
      </c>
      <c r="J17" s="7" t="str">
        <f>IFERROR(__xludf.DUMMYFUNCTION("IFERROR(TEXTJOIN(CHAR(10), TRUE, FILTER('特殊配信マスタ'!$C:$E, #REF!=J$1)), """")"),"")</f>
        <v/>
      </c>
      <c r="K17" s="7" t="str">
        <f>IFERROR(__xludf.DUMMYFUNCTION("IFERROR(FILTER('特殊配信マスタ'!$M$3:$M217, ('特殊配信マスタ'!$A$3:$A217 = CHOOSE(WEEKDAY(H$1), ""日"", ""月"", ""火"", ""水"", ""木"", ""金"", ""土"")) * ('特殊配信マスタ'!$B$3:$B217 = $A$3) * ('特殊配信マスタ'!$F$3:$F217 = MOD(WEEKNUM(H$1)-1, 3)+1) * ('特殊配信マスタ'!$O$3:$O217 = FALSE)), """""&amp;")"),"")</f>
        <v/>
      </c>
      <c r="L17" s="7" t="str">
        <f>IFERROR(__xludf.DUMMYFUNCTION("IFERROR(FILTER('特殊配信マスタ'!$N$3:$N217, ('特殊配信マスタ'!$A$3:$A217 = CHOOSE(WEEKDAY(H$1), ""日"", ""月"", ""火"", ""水"", ""木"", ""金"", ""土"")) * ('特殊配信マスタ'!$B$3:$B217 = $A$3) * ('特殊配信マスタ'!$F$3:$F217 = MOD(WEEKNUM(H$1)-1, 3)+1) * ('特殊配信マスタ'!$O$3:$O217 = FALSE)), """""&amp;")"),"")</f>
        <v/>
      </c>
      <c r="M17" s="10" t="str">
        <f>IFERROR(__xludf.DUMMYFUNCTION("IFERROR(FILTER('特殊配信マスタ'!$C$3:$C217, ('特殊配信マスタ'!$A$3:$A217 = CHOOSE(WEEKDAY(M$1), ""日"", ""月"", ""火"", ""水"", ""木"", ""金"", ""土"")) * ('特殊配信マスタ'!$B$3:$B217 = $A$3) * ('特殊配信マスタ'!$F$3:$F217 = MOD(WEEKNUM(M$1)-1, 3)+1) * ('特殊配信マスタ'!$O$3:$O217 = FALSE)), """""&amp;")"),"")</f>
        <v/>
      </c>
      <c r="N17" s="11" t="str">
        <f>IFERROR(__xludf.DUMMYFUNCTION("IFERROR(FILTER('特殊配信マスタ'!$G$3:$G217, ('特殊配信マスタ'!$A$3:$A217 = CHOOSE(WEEKDAY(M$1), ""日"", ""月"", ""火"", ""水"", ""木"", ""金"", ""土"")) * ('特殊配信マスタ'!$B$3:$B217 = $A$3) * ('特殊配信マスタ'!$F$3:$F217 = MOD(WEEKNUM(M$1)-1, 3)+1) * ('特殊配信マスタ'!$O$3:$O217 = FALSE)), """""&amp;")"),"")</f>
        <v/>
      </c>
      <c r="O17" s="7" t="str">
        <f>IFERROR(__xludf.DUMMYFUNCTION("IFERROR(TEXTJOIN(CHAR(10), TRUE, FILTER('特殊配信マスタ'!$C:$E, #REF!=O$1)), """")"),"")</f>
        <v/>
      </c>
      <c r="P17" s="7" t="str">
        <f>IFERROR(__xludf.DUMMYFUNCTION("IFERROR(FILTER('特殊配信マスタ'!$M$3:$M217, ('特殊配信マスタ'!$A$3:$A217 = CHOOSE(WEEKDAY(M$1), ""日"", ""月"", ""火"", ""水"", ""木"", ""金"", ""土"")) * ('特殊配信マスタ'!$B$3:$B217 = $A$3) * ('特殊配信マスタ'!$F$3:$F217 = MOD(WEEKNUM(M$1)-1, 3)+1) * ('特殊配信マスタ'!$O$3:$O217 = FALSE)), """""&amp;")"),"")</f>
        <v/>
      </c>
      <c r="Q17" s="7" t="str">
        <f>IFERROR(__xludf.DUMMYFUNCTION("IFERROR(FILTER('特殊配信マスタ'!$N$3:$N217, ('特殊配信マスタ'!$A$3:$A217 = CHOOSE(WEEKDAY(M$1), ""日"", ""月"", ""火"", ""水"", ""木"", ""金"", ""土"")) * ('特殊配信マスタ'!$B$3:$B217 = $A$3) * ('特殊配信マスタ'!$F$3:$F217 = MOD(WEEKNUM(M$1)-1, 3)+1) * ('特殊配信マスタ'!$O$3:$O217 = FALSE)), """""&amp;")"),"")</f>
        <v/>
      </c>
      <c r="R17" s="10" t="str">
        <f>IFERROR(__xludf.DUMMYFUNCTION("IFERROR(FILTER('特殊配信マスタ'!$C$3:$C217, ('特殊配信マスタ'!$A$3:$A217 = CHOOSE(WEEKDAY(R$1), ""日"", ""月"", ""火"", ""水"", ""木"", ""金"", ""土"")) * ('特殊配信マスタ'!$B$3:$B217 = $A$3) * ('特殊配信マスタ'!$F$3:$F217 = MOD(WEEKNUM(R$1)-1, 3)+1) * ('特殊配信マスタ'!$O$3:$O217 = FALSE)), """""&amp;")"),"")</f>
        <v/>
      </c>
      <c r="S17" s="11" t="str">
        <f>IFERROR(__xludf.DUMMYFUNCTION("IFERROR(FILTER('特殊配信マスタ'!$G$3:$G217, ('特殊配信マスタ'!$A$3:$A217 = CHOOSE(WEEKDAY(R$1), ""日"", ""月"", ""火"", ""水"", ""木"", ""金"", ""土"")) * ('特殊配信マスタ'!$B$3:$B217 = $A$3) * ('特殊配信マスタ'!$F$3:$F217 = MOD(WEEKNUM(R$1)-1, 3)+1) * ('特殊配信マスタ'!$O$3:$O217 = FALSE)), """""&amp;")"),"")</f>
        <v/>
      </c>
      <c r="T17" s="7" t="str">
        <f>IFERROR(__xludf.DUMMYFUNCTION("IFERROR(TEXTJOIN(CHAR(10), TRUE, FILTER('特殊配信マスタ'!$C:$E, #REF!=T$1)), """")"),"")</f>
        <v/>
      </c>
      <c r="U17" s="7" t="str">
        <f>IFERROR(__xludf.DUMMYFUNCTION("IFERROR(FILTER('特殊配信マスタ'!$M$3:$M217, ('特殊配信マスタ'!$A$3:$A217 = CHOOSE(WEEKDAY(R$1), ""日"", ""月"", ""火"", ""水"", ""木"", ""金"", ""土"")) * ('特殊配信マスタ'!$B$3:$B217 = $A$3) * ('特殊配信マスタ'!$F$3:$F217 = MOD(WEEKNUM(R$1)-1, 3)+1) * ('特殊配信マスタ'!$O$3:$O217 = FALSE)), """""&amp;")"),"")</f>
        <v/>
      </c>
      <c r="V17" s="7" t="str">
        <f>IFERROR(__xludf.DUMMYFUNCTION("IFERROR(FILTER('特殊配信マスタ'!$N$3:$N217, ('特殊配信マスタ'!$A$3:$A217 = CHOOSE(WEEKDAY(R$1), ""日"", ""月"", ""火"", ""水"", ""木"", ""金"", ""土"")) * ('特殊配信マスタ'!$B$3:$B217 = $A$3) * ('特殊配信マスタ'!$F$3:$F217 = MOD(WEEKNUM(R$1)-1, 3)+1) * ('特殊配信マスタ'!$O$3:$O217 = FALSE)), """""&amp;")"),"")</f>
        <v/>
      </c>
      <c r="W17" s="10" t="str">
        <f>IFERROR(__xludf.DUMMYFUNCTION("IFERROR(FILTER('特殊配信マスタ'!$C$3:$C217, ('特殊配信マスタ'!$A$3:$A217 = CHOOSE(WEEKDAY(W$1), ""日"", ""月"", ""火"", ""水"", ""木"", ""金"", ""土"")) * ('特殊配信マスタ'!$B$3:$B217 = $A$3) * ('特殊配信マスタ'!$F$3:$F217 = MOD(WEEKNUM(W$1)-1, 3)+1) * ('特殊配信マスタ'!$O$3:$O217 = FALSE)), """""&amp;")"),"")</f>
        <v/>
      </c>
      <c r="X17" s="11" t="str">
        <f>IFERROR(__xludf.DUMMYFUNCTION("IFERROR(FILTER('特殊配信マスタ'!$G$3:$G217, ('特殊配信マスタ'!$A$3:$A217 = CHOOSE(WEEKDAY(W$1), ""日"", ""月"", ""火"", ""水"", ""木"", ""金"", ""土"")) * ('特殊配信マスタ'!$B$3:$B217 = $A$3) * ('特殊配信マスタ'!$F$3:$F217 = MOD(WEEKNUM(W$1)-1, 3)+1) * ('特殊配信マスタ'!$O$3:$O217 = FALSE)), """""&amp;")"),"")</f>
        <v/>
      </c>
      <c r="Y17" s="7" t="str">
        <f>IFERROR(__xludf.DUMMYFUNCTION("IFERROR(TEXTJOIN(CHAR(10), TRUE, FILTER('特殊配信マスタ'!$C:$E, #REF!=Y$1)), """")"),"")</f>
        <v/>
      </c>
      <c r="Z17" s="7" t="str">
        <f>IFERROR(__xludf.DUMMYFUNCTION("IFERROR(FILTER('特殊配信マスタ'!$M$3:$M217, ('特殊配信マスタ'!$A$3:$A217 = CHOOSE(WEEKDAY(W$1), ""日"", ""月"", ""火"", ""水"", ""木"", ""金"", ""土"")) * ('特殊配信マスタ'!$B$3:$B217 = $A$3) * ('特殊配信マスタ'!$F$3:$F217 = MOD(WEEKNUM(W$1)-1, 3)+1) * ('特殊配信マスタ'!$O$3:$O217 = FALSE)), """""&amp;")"),"")</f>
        <v/>
      </c>
      <c r="AA17" s="7" t="str">
        <f>IFERROR(__xludf.DUMMYFUNCTION("IFERROR(FILTER('特殊配信マスタ'!$N$3:$N217, ('特殊配信マスタ'!$A$3:$A217 = CHOOSE(WEEKDAY(W$1), ""日"", ""月"", ""火"", ""水"", ""木"", ""金"", ""土"")) * ('特殊配信マスタ'!$B$3:$B217 = $A$3) * ('特殊配信マスタ'!$F$3:$F217 = MOD(WEEKNUM(W$1)-1, 3)+1) * ('特殊配信マスタ'!$O$3:$O217 = FALSE)), """""&amp;")"),"")</f>
        <v/>
      </c>
      <c r="AB17" s="10" t="str">
        <f>IFERROR(__xludf.DUMMYFUNCTION("IFERROR(FILTER('特殊配信マスタ'!$C$3:$C217, ('特殊配信マスタ'!$A$3:$A217 = CHOOSE(WEEKDAY(AB$1), ""日"", ""月"", ""火"", ""水"", ""木"", ""金"", ""土"")) * ('特殊配信マスタ'!$B$3:$B217 = $A$3) * ('特殊配信マスタ'!$F$3:$F217 = MOD(WEEKNUM(AB$1)-1, 3)+1) * ('特殊配信マスタ'!$O$3:$O217 = FALSE)), """&amp;""")"),"")</f>
        <v/>
      </c>
      <c r="AC17" s="11" t="str">
        <f>IFERROR(__xludf.DUMMYFUNCTION("IFERROR(FILTER('特殊配信マスタ'!$G$3:$G217, ('特殊配信マスタ'!$A$3:$A217 = CHOOSE(WEEKDAY(AB$1), ""日"", ""月"", ""火"", ""水"", ""木"", ""金"", ""土"")) * ('特殊配信マスタ'!$B$3:$B217 = $A$3) * ('特殊配信マスタ'!$F$3:$F217 = MOD(WEEKNUM(AB$1)-1, 3)+1) * ('特殊配信マスタ'!$O$3:$O217 = FALSE)), """&amp;""")"),"")</f>
        <v/>
      </c>
      <c r="AD17" s="7" t="str">
        <f>IFERROR(__xludf.DUMMYFUNCTION("IFERROR(TEXTJOIN(CHAR(10), TRUE, FILTER('特殊配信マスタ'!$C:$E, #REF!=AD$1)), """")"),"")</f>
        <v/>
      </c>
      <c r="AE17" s="7" t="str">
        <f>IFERROR(__xludf.DUMMYFUNCTION("IFERROR(FILTER('特殊配信マスタ'!$M$3:$M217, ('特殊配信マスタ'!$A$3:$A217 = CHOOSE(WEEKDAY(AB$1), ""日"", ""月"", ""火"", ""水"", ""木"", ""金"", ""土"")) * ('特殊配信マスタ'!$B$3:$B217 = $A$3) * ('特殊配信マスタ'!$F$3:$F217 = MOD(WEEKNUM(AB$1)-1, 3)+1) * ('特殊配信マスタ'!$O$3:$O217 = FALSE)), """&amp;""")"),"")</f>
        <v/>
      </c>
      <c r="AF17" s="7" t="str">
        <f>IFERROR(__xludf.DUMMYFUNCTION("IFERROR(FILTER('特殊配信マスタ'!$N$3:$N217, ('特殊配信マスタ'!$A$3:$A217 = CHOOSE(WEEKDAY(AB$1), ""日"", ""月"", ""火"", ""水"", ""木"", ""金"", ""土"")) * ('特殊配信マスタ'!$B$3:$B217 = $A$3) * ('特殊配信マスタ'!$F$3:$F217 = MOD(WEEKNUM(AB$1)-1, 3)+1) * ('特殊配信マスタ'!$O$3:$O217 = FALSE)), """&amp;""")"),"")</f>
        <v/>
      </c>
      <c r="AG17" s="10" t="str">
        <f>IFERROR(__xludf.DUMMYFUNCTION("IFERROR(FILTER('特殊配信マスタ'!$C$3:$C217, ('特殊配信マスタ'!$A$3:$A217 = CHOOSE(WEEKDAY(AG$1), ""日"", ""月"", ""火"", ""水"", ""木"", ""金"", ""土"")) * ('特殊配信マスタ'!$B$3:$B217 = $A$3) * ('特殊配信マスタ'!$F$3:$F217 = MOD(WEEKNUM(AG$1)-1, 3)+1) * ('特殊配信マスタ'!$O$3:$O217 = FALSE)), """&amp;""")"),"")</f>
        <v/>
      </c>
      <c r="AH17" s="11" t="str">
        <f>IFERROR(__xludf.DUMMYFUNCTION("IFERROR(FILTER('特殊配信マスタ'!$G$3:$G217, ('特殊配信マスタ'!$A$3:$A217 = CHOOSE(WEEKDAY(AG$1), ""日"", ""月"", ""火"", ""水"", ""木"", ""金"", ""土"")) * ('特殊配信マスタ'!$B$3:$B217 = $A$3) * ('特殊配信マスタ'!$F$3:$F217 = MOD(WEEKNUM(AG$1)-1, 3)+1) * ('特殊配信マスタ'!$O$3:$O217 = FALSE)), """&amp;""")"),"")</f>
        <v/>
      </c>
      <c r="AI17" s="7" t="str">
        <f>IFERROR(__xludf.DUMMYFUNCTION("IFERROR(TEXTJOIN(CHAR(10), TRUE, FILTER('特殊配信マスタ'!$C:$E, #REF!=AI$1)), """")"),"")</f>
        <v/>
      </c>
      <c r="AJ17" s="7" t="str">
        <f>IFERROR(__xludf.DUMMYFUNCTION("IFERROR(FILTER('特殊配信マスタ'!$M$3:$M217, ('特殊配信マスタ'!$A$3:$A217 = CHOOSE(WEEKDAY(AG$1), ""日"", ""月"", ""火"", ""水"", ""木"", ""金"", ""土"")) * ('特殊配信マスタ'!$B$3:$B217 = $A$3) * ('特殊配信マスタ'!$F$3:$F217 = MOD(WEEKNUM(AG$1)-1, 3)+1) * ('特殊配信マスタ'!$O$3:$O217 = FALSE)), """&amp;""")"),"")</f>
        <v/>
      </c>
      <c r="AK17" s="7" t="str">
        <f>IFERROR(__xludf.DUMMYFUNCTION("IFERROR(FILTER('特殊配信マスタ'!$N$3:$N217, ('特殊配信マスタ'!$A$3:$A217 = CHOOSE(WEEKDAY(AG$1), ""日"", ""月"", ""火"", ""水"", ""木"", ""金"", ""土"")) * ('特殊配信マスタ'!$B$3:$B217 = $A$3) * ('特殊配信マスタ'!$F$3:$F217 = MOD(WEEKNUM(AG$1)-1, 3)+1) * ('特殊配信マスタ'!$O$3:$O217 = FALSE)), """&amp;""")"),"")</f>
        <v/>
      </c>
    </row>
    <row r="18" ht="17.25" customHeight="1">
      <c r="A18" s="8"/>
      <c r="B18" s="9"/>
      <c r="C18" s="10" t="str">
        <f>IFERROR(__xludf.DUMMYFUNCTION("IFERROR(INDEX(FILTER('特殊配信マスタ'!$C$3:$C217, '特殊配信マスタ'!$A$3:$A217=INDEX({""日"",""月"",""火"",""水"",""木"",""金"",""土""}, WEEKDAY(C$1)), '特殊配信マスタ'!$B$3:$B217=$A$3, '特殊配信マスタ'!$O$3:$O217=FALSE), ROW()-ROW($C$15)), """")"),"◇ポジションマッチ A3")</f>
        <v>◇ポジションマッチ A3</v>
      </c>
      <c r="D18" s="10"/>
      <c r="E18" s="10"/>
      <c r="F18" s="10"/>
      <c r="G18" s="10"/>
      <c r="H18" s="10" t="str">
        <f>IFERROR(__xludf.DUMMYFUNCTION("IFERROR(FILTER('特殊配信マスタ'!$C$3:$C217, ('特殊配信マスタ'!$A$3:$A217 = CHOOSE(WEEKDAY(H$1), ""日"", ""月"", ""火"", ""水"", ""木"", ""金"", ""土"")) * ('特殊配信マスタ'!$B$3:$B217 = $A$3) * ('特殊配信マスタ'!$F$3:$F217 = MOD(WEEKNUM(H$1)-1, 3)+1) * ('特殊配信マスタ'!$O$3:$O217 = FALSE)), """""&amp;")"),"")</f>
        <v/>
      </c>
      <c r="I18" s="11" t="str">
        <f>IFERROR(__xludf.DUMMYFUNCTION("IFERROR(FILTER('特殊配信マスタ'!$G$3:$G217, ('特殊配信マスタ'!$A$3:$A217 = CHOOSE(WEEKDAY(H$1), ""日"", ""月"", ""火"", ""水"", ""木"", ""金"", ""土"")) * ('特殊配信マスタ'!$B$3:$B217 = $A$3) * ('特殊配信マスタ'!$F$3:$F217 = MOD(WEEKNUM(H$1)-1, 3)+1) * ('特殊配信マスタ'!$O$3:$O217 = FALSE)), """""&amp;")"),"")</f>
        <v/>
      </c>
      <c r="J18" s="7" t="str">
        <f>IFERROR(__xludf.DUMMYFUNCTION("IFERROR(TEXTJOIN(CHAR(10), TRUE, FILTER('特殊配信マスタ'!$C:$E, #REF!=J$1)), """")"),"")</f>
        <v/>
      </c>
      <c r="K18" s="7" t="str">
        <f>IFERROR(__xludf.DUMMYFUNCTION("IFERROR(FILTER('特殊配信マスタ'!$M$3:$M217, ('特殊配信マスタ'!$A$3:$A217 = CHOOSE(WEEKDAY(H$1), ""日"", ""月"", ""火"", ""水"", ""木"", ""金"", ""土"")) * ('特殊配信マスタ'!$B$3:$B217 = $A$3) * ('特殊配信マスタ'!$F$3:$F217 = MOD(WEEKNUM(H$1)-1, 3)+1) * ('特殊配信マスタ'!$O$3:$O217 = FALSE)), """""&amp;")"),"")</f>
        <v/>
      </c>
      <c r="L18" s="7" t="str">
        <f>IFERROR(__xludf.DUMMYFUNCTION("IFERROR(FILTER('特殊配信マスタ'!$N$3:$N217, ('特殊配信マスタ'!$A$3:$A217 = CHOOSE(WEEKDAY(H$1), ""日"", ""月"", ""火"", ""水"", ""木"", ""金"", ""土"")) * ('特殊配信マスタ'!$B$3:$B217 = $A$3) * ('特殊配信マスタ'!$F$3:$F217 = MOD(WEEKNUM(H$1)-1, 3)+1) * ('特殊配信マスタ'!$O$3:$O217 = FALSE)), """""&amp;")"),"")</f>
        <v/>
      </c>
      <c r="M18" s="10" t="str">
        <f>IFERROR(__xludf.DUMMYFUNCTION("IFERROR(FILTER('特殊配信マスタ'!$C$3:$C217, ('特殊配信マスタ'!$A$3:$A217 = CHOOSE(WEEKDAY(M$1), ""日"", ""月"", ""火"", ""水"", ""木"", ""金"", ""土"")) * ('特殊配信マスタ'!$B$3:$B217 = $A$3) * ('特殊配信マスタ'!$F$3:$F217 = MOD(WEEKNUM(M$1)-1, 3)+1) * ('特殊配信マスタ'!$O$3:$O217 = FALSE)), """""&amp;")"),"")</f>
        <v/>
      </c>
      <c r="N18" s="11" t="str">
        <f>IFERROR(__xludf.DUMMYFUNCTION("IFERROR(FILTER('特殊配信マスタ'!$G$3:$G217, ('特殊配信マスタ'!$A$3:$A217 = CHOOSE(WEEKDAY(M$1), ""日"", ""月"", ""火"", ""水"", ""木"", ""金"", ""土"")) * ('特殊配信マスタ'!$B$3:$B217 = $A$3) * ('特殊配信マスタ'!$F$3:$F217 = MOD(WEEKNUM(M$1)-1, 3)+1) * ('特殊配信マスタ'!$O$3:$O217 = FALSE)), """""&amp;")"),"")</f>
        <v/>
      </c>
      <c r="O18" s="7" t="str">
        <f>IFERROR(__xludf.DUMMYFUNCTION("IFERROR(TEXTJOIN(CHAR(10), TRUE, FILTER('特殊配信マスタ'!$C:$E, #REF!=O$1)), """")"),"")</f>
        <v/>
      </c>
      <c r="P18" s="7" t="str">
        <f>IFERROR(__xludf.DUMMYFUNCTION("IFERROR(FILTER('特殊配信マスタ'!$M$3:$M217, ('特殊配信マスタ'!$A$3:$A217 = CHOOSE(WEEKDAY(M$1), ""日"", ""月"", ""火"", ""水"", ""木"", ""金"", ""土"")) * ('特殊配信マスタ'!$B$3:$B217 = $A$3) * ('特殊配信マスタ'!$F$3:$F217 = MOD(WEEKNUM(M$1)-1, 3)+1) * ('特殊配信マスタ'!$O$3:$O217 = FALSE)), """""&amp;")"),"")</f>
        <v/>
      </c>
      <c r="Q18" s="7" t="str">
        <f>IFERROR(__xludf.DUMMYFUNCTION("IFERROR(FILTER('特殊配信マスタ'!$N$3:$N217, ('特殊配信マスタ'!$A$3:$A217 = CHOOSE(WEEKDAY(M$1), ""日"", ""月"", ""火"", ""水"", ""木"", ""金"", ""土"")) * ('特殊配信マスタ'!$B$3:$B217 = $A$3) * ('特殊配信マスタ'!$F$3:$F217 = MOD(WEEKNUM(M$1)-1, 3)+1) * ('特殊配信マスタ'!$O$3:$O217 = FALSE)), """""&amp;")"),"")</f>
        <v/>
      </c>
      <c r="R18" s="10" t="str">
        <f>IFERROR(__xludf.DUMMYFUNCTION("IFERROR(FILTER('特殊配信マスタ'!$C$3:$C217, ('特殊配信マスタ'!$A$3:$A217 = CHOOSE(WEEKDAY(R$1), ""日"", ""月"", ""火"", ""水"", ""木"", ""金"", ""土"")) * ('特殊配信マスタ'!$B$3:$B217 = $A$3) * ('特殊配信マスタ'!$F$3:$F217 = MOD(WEEKNUM(R$1)-1, 3)+1) * ('特殊配信マスタ'!$O$3:$O217 = FALSE)), """""&amp;")"),"")</f>
        <v/>
      </c>
      <c r="S18" s="11" t="str">
        <f>IFERROR(__xludf.DUMMYFUNCTION("IFERROR(FILTER('特殊配信マスタ'!$G$3:$G217, ('特殊配信マスタ'!$A$3:$A217 = CHOOSE(WEEKDAY(R$1), ""日"", ""月"", ""火"", ""水"", ""木"", ""金"", ""土"")) * ('特殊配信マスタ'!$B$3:$B217 = $A$3) * ('特殊配信マスタ'!$F$3:$F217 = MOD(WEEKNUM(R$1)-1, 3)+1) * ('特殊配信マスタ'!$O$3:$O217 = FALSE)), """""&amp;")"),"")</f>
        <v/>
      </c>
      <c r="T18" s="7" t="str">
        <f>IFERROR(__xludf.DUMMYFUNCTION("IFERROR(TEXTJOIN(CHAR(10), TRUE, FILTER('特殊配信マスタ'!$C:$E, #REF!=T$1)), """")"),"")</f>
        <v/>
      </c>
      <c r="U18" s="7" t="str">
        <f>IFERROR(__xludf.DUMMYFUNCTION("IFERROR(FILTER('特殊配信マスタ'!$M$3:$M217, ('特殊配信マスタ'!$A$3:$A217 = CHOOSE(WEEKDAY(R$1), ""日"", ""月"", ""火"", ""水"", ""木"", ""金"", ""土"")) * ('特殊配信マスタ'!$B$3:$B217 = $A$3) * ('特殊配信マスタ'!$F$3:$F217 = MOD(WEEKNUM(R$1)-1, 3)+1) * ('特殊配信マスタ'!$O$3:$O217 = FALSE)), """""&amp;")"),"")</f>
        <v/>
      </c>
      <c r="V18" s="7" t="str">
        <f>IFERROR(__xludf.DUMMYFUNCTION("IFERROR(FILTER('特殊配信マスタ'!$N$3:$N217, ('特殊配信マスタ'!$A$3:$A217 = CHOOSE(WEEKDAY(R$1), ""日"", ""月"", ""火"", ""水"", ""木"", ""金"", ""土"")) * ('特殊配信マスタ'!$B$3:$B217 = $A$3) * ('特殊配信マスタ'!$F$3:$F217 = MOD(WEEKNUM(R$1)-1, 3)+1) * ('特殊配信マスタ'!$O$3:$O217 = FALSE)), """""&amp;")"),"")</f>
        <v/>
      </c>
      <c r="W18" s="10" t="str">
        <f>IFERROR(__xludf.DUMMYFUNCTION("IFERROR(FILTER('特殊配信マスタ'!$C$3:$C217, ('特殊配信マスタ'!$A$3:$A217 = CHOOSE(WEEKDAY(W$1), ""日"", ""月"", ""火"", ""水"", ""木"", ""金"", ""土"")) * ('特殊配信マスタ'!$B$3:$B217 = $A$3) * ('特殊配信マスタ'!$F$3:$F217 = MOD(WEEKNUM(W$1)-1, 3)+1) * ('特殊配信マスタ'!$O$3:$O217 = FALSE)), """""&amp;")"),"")</f>
        <v/>
      </c>
      <c r="X18" s="11" t="str">
        <f>IFERROR(__xludf.DUMMYFUNCTION("IFERROR(FILTER('特殊配信マスタ'!$G$3:$G217, ('特殊配信マスタ'!$A$3:$A217 = CHOOSE(WEEKDAY(W$1), ""日"", ""月"", ""火"", ""水"", ""木"", ""金"", ""土"")) * ('特殊配信マスタ'!$B$3:$B217 = $A$3) * ('特殊配信マスタ'!$F$3:$F217 = MOD(WEEKNUM(W$1)-1, 3)+1) * ('特殊配信マスタ'!$O$3:$O217 = FALSE)), """""&amp;")"),"")</f>
        <v/>
      </c>
      <c r="Y18" s="7" t="str">
        <f>IFERROR(__xludf.DUMMYFUNCTION("IFERROR(TEXTJOIN(CHAR(10), TRUE, FILTER('特殊配信マスタ'!$C:$E, #REF!=Y$1)), """")"),"")</f>
        <v/>
      </c>
      <c r="Z18" s="7" t="str">
        <f>IFERROR(__xludf.DUMMYFUNCTION("IFERROR(FILTER('特殊配信マスタ'!$M$3:$M217, ('特殊配信マスタ'!$A$3:$A217 = CHOOSE(WEEKDAY(W$1), ""日"", ""月"", ""火"", ""水"", ""木"", ""金"", ""土"")) * ('特殊配信マスタ'!$B$3:$B217 = $A$3) * ('特殊配信マスタ'!$F$3:$F217 = MOD(WEEKNUM(W$1)-1, 3)+1) * ('特殊配信マスタ'!$O$3:$O217 = FALSE)), """""&amp;")"),"")</f>
        <v/>
      </c>
      <c r="AA18" s="7" t="str">
        <f>IFERROR(__xludf.DUMMYFUNCTION("IFERROR(FILTER('特殊配信マスタ'!$N$3:$N217, ('特殊配信マスタ'!$A$3:$A217 = CHOOSE(WEEKDAY(W$1), ""日"", ""月"", ""火"", ""水"", ""木"", ""金"", ""土"")) * ('特殊配信マスタ'!$B$3:$B217 = $A$3) * ('特殊配信マスタ'!$F$3:$F217 = MOD(WEEKNUM(W$1)-1, 3)+1) * ('特殊配信マスタ'!$O$3:$O217 = FALSE)), """""&amp;")"),"")</f>
        <v/>
      </c>
      <c r="AB18" s="10" t="str">
        <f>IFERROR(__xludf.DUMMYFUNCTION("IFERROR(FILTER('特殊配信マスタ'!$C$3:$C217, ('特殊配信マスタ'!$A$3:$A217 = CHOOSE(WEEKDAY(AB$1), ""日"", ""月"", ""火"", ""水"", ""木"", ""金"", ""土"")) * ('特殊配信マスタ'!$B$3:$B217 = $A$3) * ('特殊配信マスタ'!$F$3:$F217 = MOD(WEEKNUM(AB$1)-1, 3)+1) * ('特殊配信マスタ'!$O$3:$O217 = FALSE)), """&amp;""")"),"")</f>
        <v/>
      </c>
      <c r="AC18" s="11" t="str">
        <f>IFERROR(__xludf.DUMMYFUNCTION("IFERROR(FILTER('特殊配信マスタ'!$G$3:$G217, ('特殊配信マスタ'!$A$3:$A217 = CHOOSE(WEEKDAY(AB$1), ""日"", ""月"", ""火"", ""水"", ""木"", ""金"", ""土"")) * ('特殊配信マスタ'!$B$3:$B217 = $A$3) * ('特殊配信マスタ'!$F$3:$F217 = MOD(WEEKNUM(AB$1)-1, 3)+1) * ('特殊配信マスタ'!$O$3:$O217 = FALSE)), """&amp;""")"),"")</f>
        <v/>
      </c>
      <c r="AD18" s="7" t="str">
        <f>IFERROR(__xludf.DUMMYFUNCTION("IFERROR(TEXTJOIN(CHAR(10), TRUE, FILTER('特殊配信マスタ'!$C:$E, #REF!=AD$1)), """")"),"")</f>
        <v/>
      </c>
      <c r="AE18" s="7" t="str">
        <f>IFERROR(__xludf.DUMMYFUNCTION("IFERROR(FILTER('特殊配信マスタ'!$M$3:$M217, ('特殊配信マスタ'!$A$3:$A217 = CHOOSE(WEEKDAY(AB$1), ""日"", ""月"", ""火"", ""水"", ""木"", ""金"", ""土"")) * ('特殊配信マスタ'!$B$3:$B217 = $A$3) * ('特殊配信マスタ'!$F$3:$F217 = MOD(WEEKNUM(AB$1)-1, 3)+1) * ('特殊配信マスタ'!$O$3:$O217 = FALSE)), """&amp;""")"),"")</f>
        <v/>
      </c>
      <c r="AF18" s="7" t="str">
        <f>IFERROR(__xludf.DUMMYFUNCTION("IFERROR(FILTER('特殊配信マスタ'!$N$3:$N217, ('特殊配信マスタ'!$A$3:$A217 = CHOOSE(WEEKDAY(AB$1), ""日"", ""月"", ""火"", ""水"", ""木"", ""金"", ""土"")) * ('特殊配信マスタ'!$B$3:$B217 = $A$3) * ('特殊配信マスタ'!$F$3:$F217 = MOD(WEEKNUM(AB$1)-1, 3)+1) * ('特殊配信マスタ'!$O$3:$O217 = FALSE)), """&amp;""")"),"")</f>
        <v/>
      </c>
      <c r="AG18" s="10" t="str">
        <f>IFERROR(__xludf.DUMMYFUNCTION("IFERROR(FILTER('特殊配信マスタ'!$C$3:$C217, ('特殊配信マスタ'!$A$3:$A217 = CHOOSE(WEEKDAY(AG$1), ""日"", ""月"", ""火"", ""水"", ""木"", ""金"", ""土"")) * ('特殊配信マスタ'!$B$3:$B217 = $A$3) * ('特殊配信マスタ'!$F$3:$F217 = MOD(WEEKNUM(AG$1)-1, 3)+1) * ('特殊配信マスタ'!$O$3:$O217 = FALSE)), """&amp;""")"),"")</f>
        <v/>
      </c>
      <c r="AH18" s="11" t="str">
        <f>IFERROR(__xludf.DUMMYFUNCTION("IFERROR(FILTER('特殊配信マスタ'!$G$3:$G217, ('特殊配信マスタ'!$A$3:$A217 = CHOOSE(WEEKDAY(AG$1), ""日"", ""月"", ""火"", ""水"", ""木"", ""金"", ""土"")) * ('特殊配信マスタ'!$B$3:$B217 = $A$3) * ('特殊配信マスタ'!$F$3:$F217 = MOD(WEEKNUM(AG$1)-1, 3)+1) * ('特殊配信マスタ'!$O$3:$O217 = FALSE)), """&amp;""")"),"")</f>
        <v/>
      </c>
      <c r="AI18" s="7" t="str">
        <f>IFERROR(__xludf.DUMMYFUNCTION("IFERROR(TEXTJOIN(CHAR(10), TRUE, FILTER('特殊配信マスタ'!$C:$E, #REF!=AI$1)), """")"),"")</f>
        <v/>
      </c>
      <c r="AJ18" s="7" t="str">
        <f>IFERROR(__xludf.DUMMYFUNCTION("IFERROR(FILTER('特殊配信マスタ'!$M$3:$M217, ('特殊配信マスタ'!$A$3:$A217 = CHOOSE(WEEKDAY(AG$1), ""日"", ""月"", ""火"", ""水"", ""木"", ""金"", ""土"")) * ('特殊配信マスタ'!$B$3:$B217 = $A$3) * ('特殊配信マスタ'!$F$3:$F217 = MOD(WEEKNUM(AG$1)-1, 3)+1) * ('特殊配信マスタ'!$O$3:$O217 = FALSE)), """&amp;""")"),"")</f>
        <v/>
      </c>
      <c r="AK18" s="7" t="str">
        <f>IFERROR(__xludf.DUMMYFUNCTION("IFERROR(FILTER('特殊配信マスタ'!$N$3:$N217, ('特殊配信マスタ'!$A$3:$A217 = CHOOSE(WEEKDAY(AG$1), ""日"", ""月"", ""火"", ""水"", ""木"", ""金"", ""土"")) * ('特殊配信マスタ'!$B$3:$B217 = $A$3) * ('特殊配信マスタ'!$F$3:$F217 = MOD(WEEKNUM(AG$1)-1, 3)+1) * ('特殊配信マスタ'!$O$3:$O217 = FALSE)), """&amp;""")"),"")</f>
        <v/>
      </c>
    </row>
    <row r="19" ht="17.25" customHeight="1">
      <c r="A19" s="8"/>
      <c r="B19" s="9"/>
      <c r="C19" s="10" t="str">
        <f>IFERROR(__xludf.DUMMYFUNCTION("IFERROR(INDEX(FILTER('特殊配信マスタ'!$C$3:$C217, '特殊配信マスタ'!$A$3:$A217=INDEX({""日"",""月"",""火"",""水"",""木"",""金"",""土""}, WEEKDAY(C$1)), '特殊配信マスタ'!$B$3:$B217=$A$3, '特殊配信マスタ'!$O$3:$O217=FALSE), ROW()-ROW($C$15)), """")"),"")</f>
        <v/>
      </c>
      <c r="D19" s="10"/>
      <c r="E19" s="10"/>
      <c r="F19" s="10"/>
      <c r="G19" s="10"/>
      <c r="H19" s="10" t="str">
        <f>IFERROR(__xludf.DUMMYFUNCTION("IFERROR(FILTER('特殊配信マスタ'!$C$3:$C217, ('特殊配信マスタ'!$A$3:$A217 = CHOOSE(WEEKDAY(H$1), ""日"", ""月"", ""火"", ""水"", ""木"", ""金"", ""土"")) * ('特殊配信マスタ'!$B$3:$B217 = $A$3) * ('特殊配信マスタ'!$F$3:$F217 = MOD(WEEKNUM(H$1)-1, 3)+1) * ('特殊配信マスタ'!$O$3:$O217 = FALSE)), """""&amp;")"),"")</f>
        <v/>
      </c>
      <c r="I19" s="11" t="str">
        <f>IFERROR(__xludf.DUMMYFUNCTION("IFERROR(FILTER('特殊配信マスタ'!$G$3:$G217, ('特殊配信マスタ'!$A$3:$A217 = CHOOSE(WEEKDAY(H$1), ""日"", ""月"", ""火"", ""水"", ""木"", ""金"", ""土"")) * ('特殊配信マスタ'!$B$3:$B217 = $A$3) * ('特殊配信マスタ'!$F$3:$F217 = MOD(WEEKNUM(H$1)-1, 3)+1) * ('特殊配信マスタ'!$O$3:$O217 = FALSE)), """""&amp;")"),"")</f>
        <v/>
      </c>
      <c r="J19" s="7" t="str">
        <f>IFERROR(__xludf.DUMMYFUNCTION("IFERROR(TEXTJOIN(CHAR(10), TRUE, FILTER('特殊配信マスタ'!$C:$E, #REF!=J$1)), """")"),"")</f>
        <v/>
      </c>
      <c r="K19" s="7" t="str">
        <f>IFERROR(__xludf.DUMMYFUNCTION("IFERROR(FILTER('特殊配信マスタ'!$M$3:$M217, ('特殊配信マスタ'!$A$3:$A217 = CHOOSE(WEEKDAY(H$1), ""日"", ""月"", ""火"", ""水"", ""木"", ""金"", ""土"")) * ('特殊配信マスタ'!$B$3:$B217 = $A$3) * ('特殊配信マスタ'!$F$3:$F217 = MOD(WEEKNUM(H$1)-1, 3)+1) * ('特殊配信マスタ'!$O$3:$O217 = FALSE)), """""&amp;")"),"")</f>
        <v/>
      </c>
      <c r="L19" s="7" t="str">
        <f>IFERROR(__xludf.DUMMYFUNCTION("IFERROR(FILTER('特殊配信マスタ'!$N$3:$N217, ('特殊配信マスタ'!$A$3:$A217 = CHOOSE(WEEKDAY(H$1), ""日"", ""月"", ""火"", ""水"", ""木"", ""金"", ""土"")) * ('特殊配信マスタ'!$B$3:$B217 = $A$3) * ('特殊配信マスタ'!$F$3:$F217 = MOD(WEEKNUM(H$1)-1, 3)+1) * ('特殊配信マスタ'!$O$3:$O217 = FALSE)), """""&amp;")"),"")</f>
        <v/>
      </c>
      <c r="M19" s="10" t="str">
        <f>IFERROR(__xludf.DUMMYFUNCTION("IFERROR(FILTER('特殊配信マスタ'!$C$3:$C217, ('特殊配信マスタ'!$A$3:$A217 = CHOOSE(WEEKDAY(M$1), ""日"", ""月"", ""火"", ""水"", ""木"", ""金"", ""土"")) * ('特殊配信マスタ'!$B$3:$B217 = $A$3) * ('特殊配信マスタ'!$F$3:$F217 = MOD(WEEKNUM(M$1)-1, 3)+1) * ('特殊配信マスタ'!$O$3:$O217 = FALSE)), """""&amp;")"),"")</f>
        <v/>
      </c>
      <c r="N19" s="11" t="str">
        <f>IFERROR(__xludf.DUMMYFUNCTION("IFERROR(FILTER('特殊配信マスタ'!$G$3:$G217, ('特殊配信マスタ'!$A$3:$A217 = CHOOSE(WEEKDAY(M$1), ""日"", ""月"", ""火"", ""水"", ""木"", ""金"", ""土"")) * ('特殊配信マスタ'!$B$3:$B217 = $A$3) * ('特殊配信マスタ'!$F$3:$F217 = MOD(WEEKNUM(M$1)-1, 3)+1) * ('特殊配信マスタ'!$O$3:$O217 = FALSE)), """""&amp;")"),"")</f>
        <v/>
      </c>
      <c r="O19" s="7" t="str">
        <f>IFERROR(__xludf.DUMMYFUNCTION("IFERROR(TEXTJOIN(CHAR(10), TRUE, FILTER('特殊配信マスタ'!$C:$E, #REF!=O$1)), """")"),"")</f>
        <v/>
      </c>
      <c r="P19" s="7" t="str">
        <f>IFERROR(__xludf.DUMMYFUNCTION("IFERROR(FILTER('特殊配信マスタ'!$M$3:$M217, ('特殊配信マスタ'!$A$3:$A217 = CHOOSE(WEEKDAY(M$1), ""日"", ""月"", ""火"", ""水"", ""木"", ""金"", ""土"")) * ('特殊配信マスタ'!$B$3:$B217 = $A$3) * ('特殊配信マスタ'!$F$3:$F217 = MOD(WEEKNUM(M$1)-1, 3)+1) * ('特殊配信マスタ'!$O$3:$O217 = FALSE)), """""&amp;")"),"")</f>
        <v/>
      </c>
      <c r="Q19" s="7" t="str">
        <f>IFERROR(__xludf.DUMMYFUNCTION("IFERROR(FILTER('特殊配信マスタ'!$N$3:$N217, ('特殊配信マスタ'!$A$3:$A217 = CHOOSE(WEEKDAY(M$1), ""日"", ""月"", ""火"", ""水"", ""木"", ""金"", ""土"")) * ('特殊配信マスタ'!$B$3:$B217 = $A$3) * ('特殊配信マスタ'!$F$3:$F217 = MOD(WEEKNUM(M$1)-1, 3)+1) * ('特殊配信マスタ'!$O$3:$O217 = FALSE)), """""&amp;")"),"")</f>
        <v/>
      </c>
      <c r="R19" s="10" t="str">
        <f>IFERROR(__xludf.DUMMYFUNCTION("IFERROR(FILTER('特殊配信マスタ'!$C$3:$C217, ('特殊配信マスタ'!$A$3:$A217 = CHOOSE(WEEKDAY(R$1), ""日"", ""月"", ""火"", ""水"", ""木"", ""金"", ""土"")) * ('特殊配信マスタ'!$B$3:$B217 = $A$3) * ('特殊配信マスタ'!$F$3:$F217 = MOD(WEEKNUM(R$1)-1, 3)+1) * ('特殊配信マスタ'!$O$3:$O217 = FALSE)), """""&amp;")"),"")</f>
        <v/>
      </c>
      <c r="S19" s="11" t="str">
        <f>IFERROR(__xludf.DUMMYFUNCTION("IFERROR(FILTER('特殊配信マスタ'!$G$3:$G217, ('特殊配信マスタ'!$A$3:$A217 = CHOOSE(WEEKDAY(R$1), ""日"", ""月"", ""火"", ""水"", ""木"", ""金"", ""土"")) * ('特殊配信マスタ'!$B$3:$B217 = $A$3) * ('特殊配信マスタ'!$F$3:$F217 = MOD(WEEKNUM(R$1)-1, 3)+1) * ('特殊配信マスタ'!$O$3:$O217 = FALSE)), """""&amp;")"),"")</f>
        <v/>
      </c>
      <c r="T19" s="7" t="str">
        <f>IFERROR(__xludf.DUMMYFUNCTION("IFERROR(TEXTJOIN(CHAR(10), TRUE, FILTER('特殊配信マスタ'!$C:$E, #REF!=T$1)), """")"),"")</f>
        <v/>
      </c>
      <c r="U19" s="7" t="str">
        <f>IFERROR(__xludf.DUMMYFUNCTION("IFERROR(FILTER('特殊配信マスタ'!$M$3:$M217, ('特殊配信マスタ'!$A$3:$A217 = CHOOSE(WEEKDAY(R$1), ""日"", ""月"", ""火"", ""水"", ""木"", ""金"", ""土"")) * ('特殊配信マスタ'!$B$3:$B217 = $A$3) * ('特殊配信マスタ'!$F$3:$F217 = MOD(WEEKNUM(R$1)-1, 3)+1) * ('特殊配信マスタ'!$O$3:$O217 = FALSE)), """""&amp;")"),"")</f>
        <v/>
      </c>
      <c r="V19" s="7" t="str">
        <f>IFERROR(__xludf.DUMMYFUNCTION("IFERROR(FILTER('特殊配信マスタ'!$N$3:$N217, ('特殊配信マスタ'!$A$3:$A217 = CHOOSE(WEEKDAY(R$1), ""日"", ""月"", ""火"", ""水"", ""木"", ""金"", ""土"")) * ('特殊配信マスタ'!$B$3:$B217 = $A$3) * ('特殊配信マスタ'!$F$3:$F217 = MOD(WEEKNUM(R$1)-1, 3)+1) * ('特殊配信マスタ'!$O$3:$O217 = FALSE)), """""&amp;")"),"")</f>
        <v/>
      </c>
      <c r="W19" s="10" t="str">
        <f>IFERROR(__xludf.DUMMYFUNCTION("IFERROR(FILTER('特殊配信マスタ'!$C$3:$C217, ('特殊配信マスタ'!$A$3:$A217 = CHOOSE(WEEKDAY(W$1), ""日"", ""月"", ""火"", ""水"", ""木"", ""金"", ""土"")) * ('特殊配信マスタ'!$B$3:$B217 = $A$3) * ('特殊配信マスタ'!$F$3:$F217 = MOD(WEEKNUM(W$1)-1, 3)+1) * ('特殊配信マスタ'!$O$3:$O217 = FALSE)), """""&amp;")"),"")</f>
        <v/>
      </c>
      <c r="X19" s="11" t="str">
        <f>IFERROR(__xludf.DUMMYFUNCTION("IFERROR(FILTER('特殊配信マスタ'!$G$3:$G217, ('特殊配信マスタ'!$A$3:$A217 = CHOOSE(WEEKDAY(W$1), ""日"", ""月"", ""火"", ""水"", ""木"", ""金"", ""土"")) * ('特殊配信マスタ'!$B$3:$B217 = $A$3) * ('特殊配信マスタ'!$F$3:$F217 = MOD(WEEKNUM(W$1)-1, 3)+1) * ('特殊配信マスタ'!$O$3:$O217 = FALSE)), """""&amp;")"),"")</f>
        <v/>
      </c>
      <c r="Y19" s="7" t="str">
        <f>IFERROR(__xludf.DUMMYFUNCTION("IFERROR(TEXTJOIN(CHAR(10), TRUE, FILTER('特殊配信マスタ'!$C:$E, #REF!=Y$1)), """")"),"")</f>
        <v/>
      </c>
      <c r="Z19" s="7" t="str">
        <f>IFERROR(__xludf.DUMMYFUNCTION("IFERROR(FILTER('特殊配信マスタ'!$M$3:$M217, ('特殊配信マスタ'!$A$3:$A217 = CHOOSE(WEEKDAY(W$1), ""日"", ""月"", ""火"", ""水"", ""木"", ""金"", ""土"")) * ('特殊配信マスタ'!$B$3:$B217 = $A$3) * ('特殊配信マスタ'!$F$3:$F217 = MOD(WEEKNUM(W$1)-1, 3)+1) * ('特殊配信マスタ'!$O$3:$O217 = FALSE)), """""&amp;")"),"")</f>
        <v/>
      </c>
      <c r="AA19" s="7" t="str">
        <f>IFERROR(__xludf.DUMMYFUNCTION("IFERROR(FILTER('特殊配信マスタ'!$N$3:$N217, ('特殊配信マスタ'!$A$3:$A217 = CHOOSE(WEEKDAY(W$1), ""日"", ""月"", ""火"", ""水"", ""木"", ""金"", ""土"")) * ('特殊配信マスタ'!$B$3:$B217 = $A$3) * ('特殊配信マスタ'!$F$3:$F217 = MOD(WEEKNUM(W$1)-1, 3)+1) * ('特殊配信マスタ'!$O$3:$O217 = FALSE)), """""&amp;")"),"")</f>
        <v/>
      </c>
      <c r="AB19" s="10" t="str">
        <f>IFERROR(__xludf.DUMMYFUNCTION("IFERROR(FILTER('特殊配信マスタ'!$C$3:$C217, ('特殊配信マスタ'!$A$3:$A217 = CHOOSE(WEEKDAY(AB$1), ""日"", ""月"", ""火"", ""水"", ""木"", ""金"", ""土"")) * ('特殊配信マスタ'!$B$3:$B217 = $A$3) * ('特殊配信マスタ'!$F$3:$F217 = MOD(WEEKNUM(AB$1)-1, 3)+1) * ('特殊配信マスタ'!$O$3:$O217 = FALSE)), """&amp;""")"),"")</f>
        <v/>
      </c>
      <c r="AC19" s="11" t="str">
        <f>IFERROR(__xludf.DUMMYFUNCTION("IFERROR(FILTER('特殊配信マスタ'!$G$3:$G217, ('特殊配信マスタ'!$A$3:$A217 = CHOOSE(WEEKDAY(AB$1), ""日"", ""月"", ""火"", ""水"", ""木"", ""金"", ""土"")) * ('特殊配信マスタ'!$B$3:$B217 = $A$3) * ('特殊配信マスタ'!$F$3:$F217 = MOD(WEEKNUM(AB$1)-1, 3)+1) * ('特殊配信マスタ'!$O$3:$O217 = FALSE)), """&amp;""")"),"")</f>
        <v/>
      </c>
      <c r="AD19" s="7" t="str">
        <f>IFERROR(__xludf.DUMMYFUNCTION("IFERROR(TEXTJOIN(CHAR(10), TRUE, FILTER('特殊配信マスタ'!$C:$E, #REF!=AD$1)), """")"),"")</f>
        <v/>
      </c>
      <c r="AE19" s="7" t="str">
        <f>IFERROR(__xludf.DUMMYFUNCTION("IFERROR(FILTER('特殊配信マスタ'!$M$3:$M217, ('特殊配信マスタ'!$A$3:$A217 = CHOOSE(WEEKDAY(AB$1), ""日"", ""月"", ""火"", ""水"", ""木"", ""金"", ""土"")) * ('特殊配信マスタ'!$B$3:$B217 = $A$3) * ('特殊配信マスタ'!$F$3:$F217 = MOD(WEEKNUM(AB$1)-1, 3)+1) * ('特殊配信マスタ'!$O$3:$O217 = FALSE)), """&amp;""")"),"")</f>
        <v/>
      </c>
      <c r="AF19" s="7" t="str">
        <f>IFERROR(__xludf.DUMMYFUNCTION("IFERROR(FILTER('特殊配信マスタ'!$N$3:$N217, ('特殊配信マスタ'!$A$3:$A217 = CHOOSE(WEEKDAY(AB$1), ""日"", ""月"", ""火"", ""水"", ""木"", ""金"", ""土"")) * ('特殊配信マスタ'!$B$3:$B217 = $A$3) * ('特殊配信マスタ'!$F$3:$F217 = MOD(WEEKNUM(AB$1)-1, 3)+1) * ('特殊配信マスタ'!$O$3:$O217 = FALSE)), """&amp;""")"),"")</f>
        <v/>
      </c>
      <c r="AG19" s="10" t="str">
        <f>IFERROR(__xludf.DUMMYFUNCTION("IFERROR(FILTER('特殊配信マスタ'!$C$3:$C217, ('特殊配信マスタ'!$A$3:$A217 = CHOOSE(WEEKDAY(AG$1), ""日"", ""月"", ""火"", ""水"", ""木"", ""金"", ""土"")) * ('特殊配信マスタ'!$B$3:$B217 = $A$3) * ('特殊配信マスタ'!$F$3:$F217 = MOD(WEEKNUM(AG$1)-1, 3)+1) * ('特殊配信マスタ'!$O$3:$O217 = FALSE)), """&amp;""")"),"")</f>
        <v/>
      </c>
      <c r="AH19" s="11" t="str">
        <f>IFERROR(__xludf.DUMMYFUNCTION("IFERROR(FILTER('特殊配信マスタ'!$G$3:$G217, ('特殊配信マスタ'!$A$3:$A217 = CHOOSE(WEEKDAY(AG$1), ""日"", ""月"", ""火"", ""水"", ""木"", ""金"", ""土"")) * ('特殊配信マスタ'!$B$3:$B217 = $A$3) * ('特殊配信マスタ'!$F$3:$F217 = MOD(WEEKNUM(AG$1)-1, 3)+1) * ('特殊配信マスタ'!$O$3:$O217 = FALSE)), """&amp;""")"),"")</f>
        <v/>
      </c>
      <c r="AI19" s="7" t="str">
        <f>IFERROR(__xludf.DUMMYFUNCTION("IFERROR(TEXTJOIN(CHAR(10), TRUE, FILTER('特殊配信マスタ'!$C:$E, #REF!=AI$1)), """")"),"")</f>
        <v/>
      </c>
      <c r="AJ19" s="7" t="str">
        <f>IFERROR(__xludf.DUMMYFUNCTION("IFERROR(FILTER('特殊配信マスタ'!$M$3:$M217, ('特殊配信マスタ'!$A$3:$A217 = CHOOSE(WEEKDAY(AG$1), ""日"", ""月"", ""火"", ""水"", ""木"", ""金"", ""土"")) * ('特殊配信マスタ'!$B$3:$B217 = $A$3) * ('特殊配信マスタ'!$F$3:$F217 = MOD(WEEKNUM(AG$1)-1, 3)+1) * ('特殊配信マスタ'!$O$3:$O217 = FALSE)), """&amp;""")"),"")</f>
        <v/>
      </c>
      <c r="AK19" s="7" t="str">
        <f>IFERROR(__xludf.DUMMYFUNCTION("IFERROR(FILTER('特殊配信マスタ'!$N$3:$N217, ('特殊配信マスタ'!$A$3:$A217 = CHOOSE(WEEKDAY(AG$1), ""日"", ""月"", ""火"", ""水"", ""木"", ""金"", ""土"")) * ('特殊配信マスタ'!$B$3:$B217 = $A$3) * ('特殊配信マスタ'!$F$3:$F217 = MOD(WEEKNUM(AG$1)-1, 3)+1) * ('特殊配信マスタ'!$O$3:$O217 = FALSE)), """&amp;""")"),"")</f>
        <v/>
      </c>
    </row>
    <row r="20" ht="17.25" customHeight="1">
      <c r="A20" s="8"/>
      <c r="B20" s="9"/>
      <c r="C20" s="10" t="str">
        <f>IFERROR(__xludf.DUMMYFUNCTION("IFERROR(INDEX(FILTER('特殊配信マスタ'!$C$3:$C217, '特殊配信マスタ'!$A$3:$A217=INDEX({""日"",""月"",""火"",""水"",""木"",""金"",""土""}, WEEKDAY(C$1)), '特殊配信マスタ'!$B$3:$B217=$A$3, '特殊配信マスタ'!$O$3:$O217=FALSE), ROW()-ROW($C$15)), """")"),"")</f>
        <v/>
      </c>
      <c r="D20" s="10"/>
      <c r="E20" s="10"/>
      <c r="F20" s="10"/>
      <c r="G20" s="10"/>
      <c r="H20" s="10" t="str">
        <f>IFERROR(__xludf.DUMMYFUNCTION("IFERROR(FILTER('特殊配信マスタ'!$C$3:$C217, ('特殊配信マスタ'!$A$3:$A217 = CHOOSE(WEEKDAY(H$1), ""日"", ""月"", ""火"", ""水"", ""木"", ""金"", ""土"")) * ('特殊配信マスタ'!$B$3:$B217 = $A$3) * ('特殊配信マスタ'!$F$3:$F217 = MOD(WEEKNUM(H$1)-1, 3)+1) * ('特殊配信マスタ'!$O$3:$O217 = FALSE)), """""&amp;")"),"")</f>
        <v/>
      </c>
      <c r="I20" s="11" t="str">
        <f>IFERROR(__xludf.DUMMYFUNCTION("IFERROR(FILTER('特殊配信マスタ'!$G$3:$G217, ('特殊配信マスタ'!$A$3:$A217 = CHOOSE(WEEKDAY(H$1), ""日"", ""月"", ""火"", ""水"", ""木"", ""金"", ""土"")) * ('特殊配信マスタ'!$B$3:$B217 = $A$3) * ('特殊配信マスタ'!$F$3:$F217 = MOD(WEEKNUM(H$1)-1, 3)+1) * ('特殊配信マスタ'!$O$3:$O217 = FALSE)), """""&amp;")"),"")</f>
        <v/>
      </c>
      <c r="J20" s="7" t="str">
        <f>IFERROR(__xludf.DUMMYFUNCTION("IFERROR(TEXTJOIN(CHAR(10), TRUE, FILTER('特殊配信マスタ'!$C:$E, #REF!=J$1)), """")"),"")</f>
        <v/>
      </c>
      <c r="K20" s="7" t="str">
        <f>IFERROR(__xludf.DUMMYFUNCTION("IFERROR(FILTER('特殊配信マスタ'!$M$3:$M217, ('特殊配信マスタ'!$A$3:$A217 = CHOOSE(WEEKDAY(H$1), ""日"", ""月"", ""火"", ""水"", ""木"", ""金"", ""土"")) * ('特殊配信マスタ'!$B$3:$B217 = $A$3) * ('特殊配信マスタ'!$F$3:$F217 = MOD(WEEKNUM(H$1)-1, 3)+1) * ('特殊配信マスタ'!$O$3:$O217 = FALSE)), """""&amp;")"),"")</f>
        <v/>
      </c>
      <c r="L20" s="7" t="str">
        <f>IFERROR(__xludf.DUMMYFUNCTION("IFERROR(FILTER('特殊配信マスタ'!$N$3:$N217, ('特殊配信マスタ'!$A$3:$A217 = CHOOSE(WEEKDAY(H$1), ""日"", ""月"", ""火"", ""水"", ""木"", ""金"", ""土"")) * ('特殊配信マスタ'!$B$3:$B217 = $A$3) * ('特殊配信マスタ'!$F$3:$F217 = MOD(WEEKNUM(H$1)-1, 3)+1) * ('特殊配信マスタ'!$O$3:$O217 = FALSE)), """""&amp;")"),"")</f>
        <v/>
      </c>
      <c r="M20" s="10" t="str">
        <f>IFERROR(__xludf.DUMMYFUNCTION("IFERROR(FILTER('特殊配信マスタ'!$C$3:$C217, ('特殊配信マスタ'!$A$3:$A217 = CHOOSE(WEEKDAY(M$1), ""日"", ""月"", ""火"", ""水"", ""木"", ""金"", ""土"")) * ('特殊配信マスタ'!$B$3:$B217 = $A$3) * ('特殊配信マスタ'!$F$3:$F217 = MOD(WEEKNUM(M$1)-1, 3)+1) * ('特殊配信マスタ'!$O$3:$O217 = FALSE)), """""&amp;")"),"")</f>
        <v/>
      </c>
      <c r="N20" s="11" t="str">
        <f>IFERROR(__xludf.DUMMYFUNCTION("IFERROR(FILTER('特殊配信マスタ'!$G$3:$G217, ('特殊配信マスタ'!$A$3:$A217 = CHOOSE(WEEKDAY(M$1), ""日"", ""月"", ""火"", ""水"", ""木"", ""金"", ""土"")) * ('特殊配信マスタ'!$B$3:$B217 = $A$3) * ('特殊配信マスタ'!$F$3:$F217 = MOD(WEEKNUM(M$1)-1, 3)+1) * ('特殊配信マスタ'!$O$3:$O217 = FALSE)), """""&amp;")"),"")</f>
        <v/>
      </c>
      <c r="O20" s="7" t="str">
        <f>IFERROR(__xludf.DUMMYFUNCTION("IFERROR(TEXTJOIN(CHAR(10), TRUE, FILTER('特殊配信マスタ'!$C:$E, #REF!=O$1)), """")"),"")</f>
        <v/>
      </c>
      <c r="P20" s="7" t="str">
        <f>IFERROR(__xludf.DUMMYFUNCTION("IFERROR(FILTER('特殊配信マスタ'!$M$3:$M217, ('特殊配信マスタ'!$A$3:$A217 = CHOOSE(WEEKDAY(M$1), ""日"", ""月"", ""火"", ""水"", ""木"", ""金"", ""土"")) * ('特殊配信マスタ'!$B$3:$B217 = $A$3) * ('特殊配信マスタ'!$F$3:$F217 = MOD(WEEKNUM(M$1)-1, 3)+1) * ('特殊配信マスタ'!$O$3:$O217 = FALSE)), """""&amp;")"),"")</f>
        <v/>
      </c>
      <c r="Q20" s="7" t="str">
        <f>IFERROR(__xludf.DUMMYFUNCTION("IFERROR(FILTER('特殊配信マスタ'!$N$3:$N217, ('特殊配信マスタ'!$A$3:$A217 = CHOOSE(WEEKDAY(M$1), ""日"", ""月"", ""火"", ""水"", ""木"", ""金"", ""土"")) * ('特殊配信マスタ'!$B$3:$B217 = $A$3) * ('特殊配信マスタ'!$F$3:$F217 = MOD(WEEKNUM(M$1)-1, 3)+1) * ('特殊配信マスタ'!$O$3:$O217 = FALSE)), """""&amp;")"),"")</f>
        <v/>
      </c>
      <c r="R20" s="10" t="str">
        <f>IFERROR(__xludf.DUMMYFUNCTION("IFERROR(FILTER('特殊配信マスタ'!$C$3:$C217, ('特殊配信マスタ'!$A$3:$A217 = CHOOSE(WEEKDAY(R$1), ""日"", ""月"", ""火"", ""水"", ""木"", ""金"", ""土"")) * ('特殊配信マスタ'!$B$3:$B217 = $A$3) * ('特殊配信マスタ'!$F$3:$F217 = MOD(WEEKNUM(R$1)-1, 3)+1) * ('特殊配信マスタ'!$O$3:$O217 = FALSE)), """""&amp;")"),"")</f>
        <v/>
      </c>
      <c r="S20" s="11" t="str">
        <f>IFERROR(__xludf.DUMMYFUNCTION("IFERROR(FILTER('特殊配信マスタ'!$G$3:$G217, ('特殊配信マスタ'!$A$3:$A217 = CHOOSE(WEEKDAY(R$1), ""日"", ""月"", ""火"", ""水"", ""木"", ""金"", ""土"")) * ('特殊配信マスタ'!$B$3:$B217 = $A$3) * ('特殊配信マスタ'!$F$3:$F217 = MOD(WEEKNUM(R$1)-1, 3)+1) * ('特殊配信マスタ'!$O$3:$O217 = FALSE)), """""&amp;")"),"")</f>
        <v/>
      </c>
      <c r="T20" s="7" t="str">
        <f>IFERROR(__xludf.DUMMYFUNCTION("IFERROR(TEXTJOIN(CHAR(10), TRUE, FILTER('特殊配信マスタ'!$C:$E, #REF!=T$1)), """")"),"")</f>
        <v/>
      </c>
      <c r="U20" s="7" t="str">
        <f>IFERROR(__xludf.DUMMYFUNCTION("IFERROR(FILTER('特殊配信マスタ'!$M$3:$M217, ('特殊配信マスタ'!$A$3:$A217 = CHOOSE(WEEKDAY(R$1), ""日"", ""月"", ""火"", ""水"", ""木"", ""金"", ""土"")) * ('特殊配信マスタ'!$B$3:$B217 = $A$3) * ('特殊配信マスタ'!$F$3:$F217 = MOD(WEEKNUM(R$1)-1, 3)+1) * ('特殊配信マスタ'!$O$3:$O217 = FALSE)), """""&amp;")"),"")</f>
        <v/>
      </c>
      <c r="V20" s="7" t="str">
        <f>IFERROR(__xludf.DUMMYFUNCTION("IFERROR(FILTER('特殊配信マスタ'!$N$3:$N217, ('特殊配信マスタ'!$A$3:$A217 = CHOOSE(WEEKDAY(R$1), ""日"", ""月"", ""火"", ""水"", ""木"", ""金"", ""土"")) * ('特殊配信マスタ'!$B$3:$B217 = $A$3) * ('特殊配信マスタ'!$F$3:$F217 = MOD(WEEKNUM(R$1)-1, 3)+1) * ('特殊配信マスタ'!$O$3:$O217 = FALSE)), """""&amp;")"),"")</f>
        <v/>
      </c>
      <c r="W20" s="10" t="str">
        <f>IFERROR(__xludf.DUMMYFUNCTION("IFERROR(FILTER('特殊配信マスタ'!$C$3:$C217, ('特殊配信マスタ'!$A$3:$A217 = CHOOSE(WEEKDAY(W$1), ""日"", ""月"", ""火"", ""水"", ""木"", ""金"", ""土"")) * ('特殊配信マスタ'!$B$3:$B217 = $A$3) * ('特殊配信マスタ'!$F$3:$F217 = MOD(WEEKNUM(W$1)-1, 3)+1) * ('特殊配信マスタ'!$O$3:$O217 = FALSE)), """""&amp;")"),"")</f>
        <v/>
      </c>
      <c r="X20" s="11" t="str">
        <f>IFERROR(__xludf.DUMMYFUNCTION("IFERROR(FILTER('特殊配信マスタ'!$G$3:$G217, ('特殊配信マスタ'!$A$3:$A217 = CHOOSE(WEEKDAY(W$1), ""日"", ""月"", ""火"", ""水"", ""木"", ""金"", ""土"")) * ('特殊配信マスタ'!$B$3:$B217 = $A$3) * ('特殊配信マスタ'!$F$3:$F217 = MOD(WEEKNUM(W$1)-1, 3)+1) * ('特殊配信マスタ'!$O$3:$O217 = FALSE)), """""&amp;")"),"")</f>
        <v/>
      </c>
      <c r="Y20" s="7" t="str">
        <f>IFERROR(__xludf.DUMMYFUNCTION("IFERROR(TEXTJOIN(CHAR(10), TRUE, FILTER('特殊配信マスタ'!$C:$E, #REF!=Y$1)), """")"),"")</f>
        <v/>
      </c>
      <c r="Z20" s="7" t="str">
        <f>IFERROR(__xludf.DUMMYFUNCTION("IFERROR(FILTER('特殊配信マスタ'!$M$3:$M217, ('特殊配信マスタ'!$A$3:$A217 = CHOOSE(WEEKDAY(W$1), ""日"", ""月"", ""火"", ""水"", ""木"", ""金"", ""土"")) * ('特殊配信マスタ'!$B$3:$B217 = $A$3) * ('特殊配信マスタ'!$F$3:$F217 = MOD(WEEKNUM(W$1)-1, 3)+1) * ('特殊配信マスタ'!$O$3:$O217 = FALSE)), """""&amp;")"),"")</f>
        <v/>
      </c>
      <c r="AA20" s="7" t="str">
        <f>IFERROR(__xludf.DUMMYFUNCTION("IFERROR(FILTER('特殊配信マスタ'!$N$3:$N217, ('特殊配信マスタ'!$A$3:$A217 = CHOOSE(WEEKDAY(W$1), ""日"", ""月"", ""火"", ""水"", ""木"", ""金"", ""土"")) * ('特殊配信マスタ'!$B$3:$B217 = $A$3) * ('特殊配信マスタ'!$F$3:$F217 = MOD(WEEKNUM(W$1)-1, 3)+1) * ('特殊配信マスタ'!$O$3:$O217 = FALSE)), """""&amp;")"),"")</f>
        <v/>
      </c>
      <c r="AB20" s="10" t="str">
        <f>IFERROR(__xludf.DUMMYFUNCTION("IFERROR(FILTER('特殊配信マスタ'!$C$3:$C217, ('特殊配信マスタ'!$A$3:$A217 = CHOOSE(WEEKDAY(AB$1), ""日"", ""月"", ""火"", ""水"", ""木"", ""金"", ""土"")) * ('特殊配信マスタ'!$B$3:$B217 = $A$3) * ('特殊配信マスタ'!$F$3:$F217 = MOD(WEEKNUM(AB$1)-1, 3)+1) * ('特殊配信マスタ'!$O$3:$O217 = FALSE)), """&amp;""")"),"")</f>
        <v/>
      </c>
      <c r="AC20" s="11" t="str">
        <f>IFERROR(__xludf.DUMMYFUNCTION("IFERROR(FILTER('特殊配信マスタ'!$G$3:$G217, ('特殊配信マスタ'!$A$3:$A217 = CHOOSE(WEEKDAY(AB$1), ""日"", ""月"", ""火"", ""水"", ""木"", ""金"", ""土"")) * ('特殊配信マスタ'!$B$3:$B217 = $A$3) * ('特殊配信マスタ'!$F$3:$F217 = MOD(WEEKNUM(AB$1)-1, 3)+1) * ('特殊配信マスタ'!$O$3:$O217 = FALSE)), """&amp;""")"),"")</f>
        <v/>
      </c>
      <c r="AD20" s="7" t="str">
        <f>IFERROR(__xludf.DUMMYFUNCTION("IFERROR(TEXTJOIN(CHAR(10), TRUE, FILTER('特殊配信マスタ'!$C:$E, #REF!=AD$1)), """")"),"")</f>
        <v/>
      </c>
      <c r="AE20" s="7" t="str">
        <f>IFERROR(__xludf.DUMMYFUNCTION("IFERROR(FILTER('特殊配信マスタ'!$M$3:$M217, ('特殊配信マスタ'!$A$3:$A217 = CHOOSE(WEEKDAY(AB$1), ""日"", ""月"", ""火"", ""水"", ""木"", ""金"", ""土"")) * ('特殊配信マスタ'!$B$3:$B217 = $A$3) * ('特殊配信マスタ'!$F$3:$F217 = MOD(WEEKNUM(AB$1)-1, 3)+1) * ('特殊配信マスタ'!$O$3:$O217 = FALSE)), """&amp;""")"),"")</f>
        <v/>
      </c>
      <c r="AF20" s="7" t="str">
        <f>IFERROR(__xludf.DUMMYFUNCTION("IFERROR(FILTER('特殊配信マスタ'!$N$3:$N217, ('特殊配信マスタ'!$A$3:$A217 = CHOOSE(WEEKDAY(AB$1), ""日"", ""月"", ""火"", ""水"", ""木"", ""金"", ""土"")) * ('特殊配信マスタ'!$B$3:$B217 = $A$3) * ('特殊配信マスタ'!$F$3:$F217 = MOD(WEEKNUM(AB$1)-1, 3)+1) * ('特殊配信マスタ'!$O$3:$O217 = FALSE)), """&amp;""")"),"")</f>
        <v/>
      </c>
      <c r="AG20" s="10" t="str">
        <f>IFERROR(__xludf.DUMMYFUNCTION("IFERROR(FILTER('特殊配信マスタ'!$C$3:$C217, ('特殊配信マスタ'!$A$3:$A217 = CHOOSE(WEEKDAY(AG$1), ""日"", ""月"", ""火"", ""水"", ""木"", ""金"", ""土"")) * ('特殊配信マスタ'!$B$3:$B217 = $A$3) * ('特殊配信マスタ'!$F$3:$F217 = MOD(WEEKNUM(AG$1)-1, 3)+1) * ('特殊配信マスタ'!$O$3:$O217 = FALSE)), """&amp;""")"),"")</f>
        <v/>
      </c>
      <c r="AH20" s="11" t="str">
        <f>IFERROR(__xludf.DUMMYFUNCTION("IFERROR(FILTER('特殊配信マスタ'!$G$3:$G217, ('特殊配信マスタ'!$A$3:$A217 = CHOOSE(WEEKDAY(AG$1), ""日"", ""月"", ""火"", ""水"", ""木"", ""金"", ""土"")) * ('特殊配信マスタ'!$B$3:$B217 = $A$3) * ('特殊配信マスタ'!$F$3:$F217 = MOD(WEEKNUM(AG$1)-1, 3)+1) * ('特殊配信マスタ'!$O$3:$O217 = FALSE)), """&amp;""")"),"")</f>
        <v/>
      </c>
      <c r="AI20" s="7" t="str">
        <f>IFERROR(__xludf.DUMMYFUNCTION("IFERROR(TEXTJOIN(CHAR(10), TRUE, FILTER('特殊配信マスタ'!$C:$E, #REF!=AI$1)), """")"),"")</f>
        <v/>
      </c>
      <c r="AJ20" s="7" t="str">
        <f>IFERROR(__xludf.DUMMYFUNCTION("IFERROR(FILTER('特殊配信マスタ'!$M$3:$M217, ('特殊配信マスタ'!$A$3:$A217 = CHOOSE(WEEKDAY(AG$1), ""日"", ""月"", ""火"", ""水"", ""木"", ""金"", ""土"")) * ('特殊配信マスタ'!$B$3:$B217 = $A$3) * ('特殊配信マスタ'!$F$3:$F217 = MOD(WEEKNUM(AG$1)-1, 3)+1) * ('特殊配信マスタ'!$O$3:$O217 = FALSE)), """&amp;""")"),"")</f>
        <v/>
      </c>
      <c r="AK20" s="7" t="str">
        <f>IFERROR(__xludf.DUMMYFUNCTION("IFERROR(FILTER('特殊配信マスタ'!$N$3:$N217, ('特殊配信マスタ'!$A$3:$A217 = CHOOSE(WEEKDAY(AG$1), ""日"", ""月"", ""火"", ""水"", ""木"", ""金"", ""土"")) * ('特殊配信マスタ'!$B$3:$B217 = $A$3) * ('特殊配信マスタ'!$F$3:$F217 = MOD(WEEKNUM(AG$1)-1, 3)+1) * ('特殊配信マスタ'!$O$3:$O217 = FALSE)), """&amp;""")"),"")</f>
        <v/>
      </c>
    </row>
    <row r="21" ht="17.25" customHeight="1">
      <c r="A21" s="8">
        <f>A3+1</f>
        <v>9</v>
      </c>
      <c r="B21" s="9" t="s">
        <v>5</v>
      </c>
      <c r="C21" s="10" t="str">
        <f>IFERROR(__xludf.DUMMYFUNCTION("IFERROR(FILTER('リスト'!$C$2:$C$400, ('リスト'!$A$2:$A$400 = CHOOSE(WEEKDAY(C$1), ""日"", ""月"", ""火"", ""水"", ""木"", ""金"", ""土"")) * ('リスト'!$B$2:$B$400 = $A21) * ('リスト'!$E$2:$E$400 = ""毎週配信"") * ('リスト'!$O$2:$O$400 = FALSE)), """")"),"ランキング_クリエイティブ（Web）_希望")</f>
        <v>ランキング_クリエイティブ（Web）_希望</v>
      </c>
      <c r="D21" s="11" t="str">
        <f>IFERROR(__xludf.DUMMYFUNCTION("iferror(FILTER('リスト'!$D:$D, ('リスト'!$A:$A = C$1) * ('リスト'!$B:$B = $A21)))"),"")</f>
        <v/>
      </c>
      <c r="E21" s="7">
        <f>SUM(D21:D34)</f>
        <v>0</v>
      </c>
      <c r="F21" s="7" t="str">
        <f t="array" ref="F21">IFERROR(XLOOKUP(C21, 'リスト'!$C:$C, 'リスト'!$M:$M, ""), "")</f>
        <v>R</v>
      </c>
      <c r="G21" s="7" t="str">
        <f t="array" ref="G21">IFERROR(XLOOKUP(C21, 'リスト'!$C:$C, 'リスト'!$N:$N, ""), "")</f>
        <v/>
      </c>
      <c r="H21" s="10" t="str">
        <f>IFERROR(__xludf.DUMMYFUNCTION("IFERROR(FILTER('リスト'!$C$2:$C$400, ('リスト'!$A$2:$A$400 = CHOOSE(WEEKDAY(H$1), ""日"", ""月"", ""火"", ""水"", ""木"", ""金"", ""土"")) * ('リスト'!$B$2:$B$400 = $A21) * ('リスト'!$E$2:$E$400 = ""毎週配信"") * ('リスト'!$O$2:$O$400 = FALSE)), """")"),"ランキング_エンジニア（IT系）_希望")</f>
        <v>ランキング_エンジニア（IT系）_希望</v>
      </c>
      <c r="I21" s="11" t="str">
        <f>IFERROR(__xludf.DUMMYFUNCTION("iferror(FILTER('リスト'!$D:$D, ('リスト'!$A:$A = H$1) * ('リスト'!$B:$B = $A21)))"),"")</f>
        <v/>
      </c>
      <c r="J21" s="7">
        <f>SUM(I21:I34)</f>
        <v>0</v>
      </c>
      <c r="K21" s="7" t="str">
        <f t="array" ref="K21">IFERROR(XLOOKUP(H21, 'リスト'!$C:$C, 'リスト'!$M:$M, ""), "")</f>
        <v>R</v>
      </c>
      <c r="L21" s="7" t="str">
        <f t="array" ref="L21">IFERROR(XLOOKUP(H21, 'リスト'!$C:$C, 'リスト'!$N:$N, ""), "")</f>
        <v/>
      </c>
      <c r="M21" s="10" t="str">
        <f>IFERROR(__xludf.DUMMYFUNCTION("IFERROR(FILTER('リスト'!$C$2:$C$400, ('リスト'!$A$2:$A$400 = CHOOSE(WEEKDAY(M$1), ""日"", ""月"", ""火"", ""水"", ""木"", ""金"", ""土"")) * ('リスト'!$B$2:$B$400 = $A21) * ('リスト'!$E$2:$E$400 = ""毎週配信"") * ('リスト'!$O$2:$O$400 = FALSE)), """")"),"ランキング_営業（BtoB）_希望")</f>
        <v>ランキング_営業（BtoB）_希望</v>
      </c>
      <c r="N21" s="11" t="str">
        <f>IFERROR(__xludf.DUMMYFUNCTION("iferror(FILTER('リスト'!$D:$D, ('リスト'!$A:$A = M$1) * ('リスト'!$B:$B = $A21)))"),"")</f>
        <v/>
      </c>
      <c r="O21" s="7">
        <f>SUM(N21:N34)</f>
        <v>0</v>
      </c>
      <c r="P21" s="7" t="str">
        <f t="array" ref="P21">IFERROR(XLOOKUP(M21, 'リスト'!$C:$C, 'リスト'!$M:$M, ""), "")</f>
        <v>R</v>
      </c>
      <c r="Q21" s="7" t="str">
        <f t="array" ref="Q21">IFERROR(XLOOKUP(M21, 'リスト'!$C:$C, 'リスト'!$N:$N, ""), "")</f>
        <v/>
      </c>
      <c r="R21" s="10" t="str">
        <f>IFERROR(__xludf.DUMMYFUNCTION("IFERROR(FILTER('リスト'!$C$2:$C$400, ('リスト'!$A$2:$A$400 = CHOOSE(WEEKDAY(R$1), ""日"", ""月"", ""火"", ""水"", ""木"", ""金"", ""土"")) * ('リスト'!$B$2:$B$400 = $A21) * ('リスト'!$E$2:$E$400 = ""毎週配信"") * ('リスト'!$O$2:$O$400 = FALSE)), """")"),"40~60代活躍中")</f>
        <v>40~60代活躍中</v>
      </c>
      <c r="S21" s="11" t="str">
        <f>IFERROR(__xludf.DUMMYFUNCTION("iferror(FILTER('リスト'!$D:$D, ('リスト'!$A:$A = R$1) * ('リスト'!$B:$B = $A21)))"),"")</f>
        <v/>
      </c>
      <c r="T21" s="7">
        <f>SUM(S21:S34)</f>
        <v>0</v>
      </c>
      <c r="U21" s="7" t="str">
        <f t="array" ref="U21">IFERROR(XLOOKUP(R21, 'リスト'!$C:$C, 'リスト'!$M:$M, ""), "")</f>
        <v>石</v>
      </c>
      <c r="V21" s="7" t="str">
        <f t="array" ref="V21">IFERROR(XLOOKUP(R21, 'リスト'!$C:$C, 'リスト'!$N:$N, ""), "")</f>
        <v>武</v>
      </c>
      <c r="W21" s="10" t="str">
        <f>IFERROR(__xludf.DUMMYFUNCTION("IFERROR(FILTER('リスト'!$C$2:$C$400, ('リスト'!$A$2:$A$400 = CHOOSE(WEEKDAY(W$1), ""日"", ""月"", ""火"", ""水"", ""木"", ""金"", ""土"")) * ('リスト'!$B$2:$B$400 = $A21) * ('リスト'!$E$2:$E$400 = ""毎週配信"") * ('リスト'!$O$2:$O$400 = FALSE)), """")"),"NPS取得アンケート")</f>
        <v>NPS取得アンケート</v>
      </c>
      <c r="X21" s="11" t="str">
        <f>IFERROR(__xludf.DUMMYFUNCTION("iferror(FILTER('リスト'!$D:$D, ('リスト'!$A:$A = W$1) * ('リスト'!$B:$B = $A21)))"),"")</f>
        <v/>
      </c>
      <c r="Y21" s="7">
        <f>SUM(X21:X34)</f>
        <v>0</v>
      </c>
      <c r="Z21" s="7" t="str">
        <f t="array" ref="Z21">IFERROR(XLOOKUP(W21, 'リスト'!$C:$C, 'リスト'!$M:$M, ""), "")</f>
        <v>R</v>
      </c>
      <c r="AA21" s="7" t="str">
        <f t="array" ref="AA21">IFERROR(XLOOKUP(W21, 'リスト'!$C:$C, 'リスト'!$N:$N, ""), "")</f>
        <v/>
      </c>
      <c r="AB21" s="10" t="str">
        <f>IFERROR(__xludf.DUMMYFUNCTION("IFERROR(FILTER('リスト'!$C$2:$C$400, ('リスト'!$A$2:$A$400 = CHOOSE(WEEKDAY(AB$1), ""日"", ""月"", ""火"", ""水"", ""木"", ""金"", ""土"")) * ('リスト'!$B$2:$B$400 = $A21) * ('リスト'!$E$2:$E$400 = ""毎週配信"") * ('リスト'!$O$2:$O$400 = FALSE)), """")"),"これから人気×エンジニア")</f>
        <v>これから人気×エンジニア</v>
      </c>
      <c r="AC21" s="11" t="str">
        <f>IFERROR(__xludf.DUMMYFUNCTION("iferror(FILTER('リスト'!$D:$D, ('リスト'!$A:$A = AB$1) * ('リスト'!$B:$B = $A21)))"),"")</f>
        <v/>
      </c>
      <c r="AD21" s="7">
        <f>SUM(AC21:AC34)</f>
        <v>0</v>
      </c>
      <c r="AE21" s="7" t="str">
        <f t="array" ref="AE21">IFERROR(XLOOKUP(AB21, 'リスト'!$C:$C, 'リスト'!$M:$M, ""), "")</f>
        <v>R</v>
      </c>
      <c r="AF21" s="7" t="str">
        <f t="array" ref="AF21">IFERROR(XLOOKUP(AB21, 'リスト'!$C:$C, 'リスト'!$N:$N, ""), "")</f>
        <v/>
      </c>
      <c r="AG21" s="10" t="str">
        <f>IFERROR(__xludf.DUMMYFUNCTION("IFERROR(FILTER('リスト'!$C$2:$C$400, ('リスト'!$A$2:$A$400 = CHOOSE(WEEKDAY(AG$1), ""日"", ""月"", ""火"", ""水"", ""木"", ""金"", ""土"")) * ('リスト'!$B$2:$B$400 = $A21) * ('リスト'!$E$2:$E$400 = ""毎週配信"") * ('リスト'!$O$2:$O$400 = FALSE)), """")"),"ランキング_事務（広報）_希望")</f>
        <v>ランキング_事務（広報）_希望</v>
      </c>
      <c r="AH21" s="11" t="str">
        <f>IFERROR(__xludf.DUMMYFUNCTION("iferror(FILTER('リスト'!$D:$D, ('リスト'!$A:$A = AG$1) * ('リスト'!$B:$B = $A21)))"),"")</f>
        <v/>
      </c>
      <c r="AI21" s="7">
        <f>SUM(AH21:AH34)</f>
        <v>0</v>
      </c>
      <c r="AJ21" s="7" t="str">
        <f t="array" ref="AJ21">IFERROR(XLOOKUP(AG21, 'リスト'!$C:$C, 'リスト'!$M:$M, ""), "")</f>
        <v>R</v>
      </c>
      <c r="AK21" s="7" t="str">
        <f t="array" ref="AK21">IFERROR(XLOOKUP(AG21, 'リスト'!$C:$C, 'リスト'!$N:$N, ""), "")</f>
        <v/>
      </c>
    </row>
    <row r="22" ht="17.25" customHeight="1">
      <c r="A22" s="8"/>
      <c r="B22" s="9"/>
      <c r="C22" s="12" t="str">
        <f>IFERROR(__xludf.DUMMYFUNCTION("""COMPUTED_VALUE"""),"ランキング_営業（マーケ）_希望")</f>
        <v>ランキング_営業（マーケ）_希望</v>
      </c>
      <c r="D22" s="7"/>
      <c r="E22" s="7"/>
      <c r="F22" s="7" t="str">
        <f t="array" ref="F22">IFERROR(XLOOKUP(C22, 'リスト'!$C:$C, 'リスト'!$M:$M, ""), "")</f>
        <v>R</v>
      </c>
      <c r="G22" s="7" t="str">
        <f t="array" ref="G22">IFERROR(XLOOKUP(C22, 'リスト'!$C:$C, 'リスト'!$N:$N, ""), "")</f>
        <v/>
      </c>
      <c r="H22" s="12" t="str">
        <f>IFERROR(__xludf.DUMMYFUNCTION("""COMPUTED_VALUE"""),"ランキング_クリエイティブ（その他）_希望")</f>
        <v>ランキング_クリエイティブ（その他）_希望</v>
      </c>
      <c r="I22" s="7"/>
      <c r="J22" s="7"/>
      <c r="K22" s="7" t="str">
        <f t="array" ref="K22">IFERROR(XLOOKUP(H22, 'リスト'!$C:$C, 'リスト'!$M:$M, ""), "")</f>
        <v>R</v>
      </c>
      <c r="L22" s="7" t="str">
        <f t="array" ref="L22">IFERROR(XLOOKUP(H22, 'リスト'!$C:$C, 'リスト'!$N:$N, ""), "")</f>
        <v/>
      </c>
      <c r="M22" s="12" t="str">
        <f>IFERROR(__xludf.DUMMYFUNCTION("""COMPUTED_VALUE"""),"ランキング_事務（秘書）_希望")</f>
        <v>ランキング_事務（秘書）_希望</v>
      </c>
      <c r="N22" s="7"/>
      <c r="O22" s="7"/>
      <c r="P22" s="7" t="str">
        <f t="array" ref="P22">IFERROR(XLOOKUP(M22, 'リスト'!$C:$C, 'リスト'!$M:$M, ""), "")</f>
        <v>R</v>
      </c>
      <c r="Q22" s="7" t="str">
        <f t="array" ref="Q22">IFERROR(XLOOKUP(M22, 'リスト'!$C:$C, 'リスト'!$N:$N, ""), "")</f>
        <v/>
      </c>
      <c r="R22" s="12" t="str">
        <f>IFERROR(__xludf.DUMMYFUNCTION("""COMPUTED_VALUE"""),"ランキング_事務（経理）_希望")</f>
        <v>ランキング_事務（経理）_希望</v>
      </c>
      <c r="S22" s="7"/>
      <c r="T22" s="7"/>
      <c r="U22" s="7" t="str">
        <f t="array" ref="U22">IFERROR(XLOOKUP(R22, 'リスト'!$C:$C, 'リスト'!$M:$M, ""), "")</f>
        <v>R</v>
      </c>
      <c r="V22" s="7" t="str">
        <f t="array" ref="V22">IFERROR(XLOOKUP(R22, 'リスト'!$C:$C, 'リスト'!$N:$N, ""), "")</f>
        <v/>
      </c>
      <c r="W22" s="12" t="str">
        <f>IFERROR(__xludf.DUMMYFUNCTION("""COMPUTED_VALUE"""),"単独求人訴求メルマガ_A")</f>
        <v>単独求人訴求メルマガ_A</v>
      </c>
      <c r="X22" s="7"/>
      <c r="Y22" s="7"/>
      <c r="Z22" s="7" t="str">
        <f t="array" ref="Z22">IFERROR(XLOOKUP(W22, 'リスト'!$C:$C, 'リスト'!$M:$M, ""), "")</f>
        <v>武</v>
      </c>
      <c r="AA22" s="7" t="str">
        <f t="array" ref="AA22">IFERROR(XLOOKUP(W22, 'リスト'!$C:$C, 'リスト'!$N:$N, ""), "")</f>
        <v>部</v>
      </c>
      <c r="AB22" s="12" t="str">
        <f>IFERROR(__xludf.DUMMYFUNCTION("""COMPUTED_VALUE"""),"これから人気×リモート")</f>
        <v>これから人気×リモート</v>
      </c>
      <c r="AC22" s="7"/>
      <c r="AD22" s="7"/>
      <c r="AE22" s="7" t="str">
        <f t="array" ref="AE22">IFERROR(XLOOKUP(AB22, 'リスト'!$C:$C, 'リスト'!$M:$M, ""), "")</f>
        <v>R</v>
      </c>
      <c r="AF22" s="7" t="str">
        <f t="array" ref="AF22">IFERROR(XLOOKUP(AB22, 'リスト'!$C:$C, 'リスト'!$N:$N, ""), "")</f>
        <v/>
      </c>
      <c r="AG22" s="12" t="str">
        <f>IFERROR(__xludf.DUMMYFUNCTION("""COMPUTED_VALUE"""),"直近新規登録会員向け")</f>
        <v>直近新規登録会員向け</v>
      </c>
      <c r="AH22" s="7"/>
      <c r="AI22" s="7"/>
      <c r="AJ22" s="7" t="str">
        <f t="array" ref="AJ22">IFERROR(XLOOKUP(AG22, 'リスト'!$C:$C, 'リスト'!$M:$M, ""), "")</f>
        <v>R</v>
      </c>
      <c r="AK22" s="7" t="str">
        <f t="array" ref="AK22">IFERROR(XLOOKUP(AG22, 'リスト'!$C:$C, 'リスト'!$N:$N, ""), "")</f>
        <v/>
      </c>
    </row>
    <row r="23" ht="17.25" customHeight="1">
      <c r="A23" s="8"/>
      <c r="B23" s="9"/>
      <c r="C23" s="10" t="str">
        <f>IFERROR(__xludf.DUMMYFUNCTION("""COMPUTED_VALUE"""),"ランキング_事務（一般事務）_希望")</f>
        <v>ランキング_事務（一般事務）_希望</v>
      </c>
      <c r="D23" s="13"/>
      <c r="E23" s="7"/>
      <c r="F23" s="7" t="str">
        <f t="array" ref="F23">IFERROR(XLOOKUP(C23, 'リスト'!$C:$C, 'リスト'!$M:$M, ""), "")</f>
        <v>R</v>
      </c>
      <c r="G23" s="7" t="str">
        <f t="array" ref="G23">IFERROR(XLOOKUP(C23, 'リスト'!$C:$C, 'リスト'!$N:$N, ""), "")</f>
        <v/>
      </c>
      <c r="H23" s="10" t="str">
        <f>IFERROR(__xludf.DUMMYFUNCTION("""COMPUTED_VALUE"""),"ランキング_営業（その他）_希望")</f>
        <v>ランキング_営業（その他）_希望</v>
      </c>
      <c r="I23" s="13"/>
      <c r="J23" s="7"/>
      <c r="K23" s="7" t="str">
        <f t="array" ref="K23">IFERROR(XLOOKUP(H23, 'リスト'!$C:$C, 'リスト'!$M:$M, ""), "")</f>
        <v>R</v>
      </c>
      <c r="L23" s="7" t="str">
        <f t="array" ref="L23">IFERROR(XLOOKUP(H23, 'リスト'!$C:$C, 'リスト'!$N:$N, ""), "")</f>
        <v/>
      </c>
      <c r="M23" s="10" t="str">
        <f>IFERROR(__xludf.DUMMYFUNCTION("""COMPUTED_VALUE"""),"関西限定求人特集")</f>
        <v>関西限定求人特集</v>
      </c>
      <c r="N23" s="13"/>
      <c r="O23" s="7"/>
      <c r="P23" s="7" t="str">
        <f t="array" ref="P23">IFERROR(XLOOKUP(M23, 'リスト'!$C:$C, 'リスト'!$M:$M, ""), "")</f>
        <v>R</v>
      </c>
      <c r="Q23" s="7" t="str">
        <f t="array" ref="Q23">IFERROR(XLOOKUP(M23, 'リスト'!$C:$C, 'リスト'!$N:$N, ""), "")</f>
        <v/>
      </c>
      <c r="R23" s="10"/>
      <c r="S23" s="13"/>
      <c r="T23" s="7"/>
      <c r="U23" s="7" t="str">
        <f t="array" ref="U23">IFERROR(XLOOKUP(R23, 'リスト'!$C:$C, 'リスト'!$M:$M, ""), "")</f>
        <v/>
      </c>
      <c r="V23" s="7" t="str">
        <f t="array" ref="V23">IFERROR(XLOOKUP(R23, 'リスト'!$C:$C, 'リスト'!$N:$N, ""), "")</f>
        <v/>
      </c>
      <c r="W23" s="10"/>
      <c r="X23" s="13"/>
      <c r="Y23" s="7"/>
      <c r="Z23" s="7" t="str">
        <f t="array" ref="Z23">IFERROR(XLOOKUP(W23, 'リスト'!$C:$C, 'リスト'!$M:$M, ""), "")</f>
        <v/>
      </c>
      <c r="AA23" s="7" t="str">
        <f t="array" ref="AA23">IFERROR(XLOOKUP(W23, 'リスト'!$C:$C, 'リスト'!$N:$N, ""), "")</f>
        <v/>
      </c>
      <c r="AB23" s="10" t="str">
        <f>IFERROR(__xludf.DUMMYFUNCTION("""COMPUTED_VALUE"""),"これから人気×リモート×営業")</f>
        <v>これから人気×リモート×営業</v>
      </c>
      <c r="AC23" s="13"/>
      <c r="AD23" s="7"/>
      <c r="AE23" s="7" t="str">
        <f t="array" ref="AE23">IFERROR(XLOOKUP(AB23, 'リスト'!$C:$C, 'リスト'!$M:$M, ""), "")</f>
        <v>R</v>
      </c>
      <c r="AF23" s="7" t="str">
        <f t="array" ref="AF23">IFERROR(XLOOKUP(AB23, 'リスト'!$C:$C, 'リスト'!$N:$N, ""), "")</f>
        <v/>
      </c>
      <c r="AG23" s="10" t="str">
        <f>IFERROR(__xludf.DUMMYFUNCTION("""COMPUTED_VALUE"""),"年収600万円以上")</f>
        <v>年収600万円以上</v>
      </c>
      <c r="AH23" s="13"/>
      <c r="AI23" s="7"/>
      <c r="AJ23" s="7" t="str">
        <f t="array" ref="AJ23">IFERROR(XLOOKUP(AG23, 'リスト'!$C:$C, 'リスト'!$M:$M, ""), "")</f>
        <v>R</v>
      </c>
      <c r="AK23" s="7" t="str">
        <f t="array" ref="AK23">IFERROR(XLOOKUP(AG23, 'リスト'!$C:$C, 'リスト'!$N:$N, ""), "")</f>
        <v/>
      </c>
    </row>
    <row r="24" ht="17.25" customHeight="1">
      <c r="A24" s="8"/>
      <c r="B24" s="9"/>
      <c r="C24" s="14"/>
      <c r="D24" s="15"/>
      <c r="E24" s="7"/>
      <c r="F24" s="7" t="str">
        <f t="array" ref="F24">IFERROR(XLOOKUP(C24, 'リスト'!$C:$C, 'リスト'!$M:$M, ""), "")</f>
        <v/>
      </c>
      <c r="G24" s="7" t="str">
        <f t="array" ref="G24">IFERROR(XLOOKUP(C24, 'リスト'!$C:$C, 'リスト'!$N:$N, ""), "")</f>
        <v/>
      </c>
      <c r="H24" s="14" t="str">
        <f>IFERROR(__xludf.DUMMYFUNCTION("""COMPUTED_VALUE"""),"ランキング_事務（営業事務）_希望")</f>
        <v>ランキング_事務（営業事務）_希望</v>
      </c>
      <c r="I24" s="15"/>
      <c r="J24" s="7"/>
      <c r="K24" s="7" t="str">
        <f t="array" ref="K24">IFERROR(XLOOKUP(H24, 'リスト'!$C:$C, 'リスト'!$M:$M, ""), "")</f>
        <v>R</v>
      </c>
      <c r="L24" s="7" t="str">
        <f t="array" ref="L24">IFERROR(XLOOKUP(H24, 'リスト'!$C:$C, 'リスト'!$N:$N, ""), "")</f>
        <v/>
      </c>
      <c r="M24" s="14"/>
      <c r="N24" s="15"/>
      <c r="O24" s="7"/>
      <c r="P24" s="7" t="str">
        <f t="array" ref="P24">IFERROR(XLOOKUP(M24, 'リスト'!$C:$C, 'リスト'!$M:$M, ""), "")</f>
        <v/>
      </c>
      <c r="Q24" s="7" t="str">
        <f t="array" ref="Q24">IFERROR(XLOOKUP(M24, 'リスト'!$C:$C, 'リスト'!$N:$N, ""), "")</f>
        <v/>
      </c>
      <c r="R24" s="14"/>
      <c r="S24" s="15"/>
      <c r="T24" s="7"/>
      <c r="U24" s="7" t="str">
        <f t="array" ref="U24">IFERROR(XLOOKUP(R24, 'リスト'!$C:$C, 'リスト'!$M:$M, ""), "")</f>
        <v/>
      </c>
      <c r="V24" s="7" t="str">
        <f t="array" ref="V24">IFERROR(XLOOKUP(R24, 'リスト'!$C:$C, 'リスト'!$N:$N, ""), "")</f>
        <v/>
      </c>
      <c r="W24" s="14"/>
      <c r="X24" s="15"/>
      <c r="Y24" s="7"/>
      <c r="Z24" s="7" t="str">
        <f t="array" ref="Z24">IFERROR(XLOOKUP(W24, 'リスト'!$C:$C, 'リスト'!$M:$M, ""), "")</f>
        <v/>
      </c>
      <c r="AA24" s="7" t="str">
        <f t="array" ref="AA24">IFERROR(XLOOKUP(W24, 'リスト'!$C:$C, 'リスト'!$N:$N, ""), "")</f>
        <v/>
      </c>
      <c r="AB24" s="14" t="str">
        <f>IFERROR(__xludf.DUMMYFUNCTION("""COMPUTED_VALUE"""),"これから人気×販サ")</f>
        <v>これから人気×販サ</v>
      </c>
      <c r="AC24" s="15"/>
      <c r="AD24" s="7"/>
      <c r="AE24" s="7" t="str">
        <f t="array" ref="AE24">IFERROR(XLOOKUP(AB24, 'リスト'!$C:$C, 'リスト'!$M:$M, ""), "")</f>
        <v>R</v>
      </c>
      <c r="AF24" s="7" t="str">
        <f t="array" ref="AF24">IFERROR(XLOOKUP(AB24, 'リスト'!$C:$C, 'リスト'!$N:$N, ""), "")</f>
        <v/>
      </c>
      <c r="AG24" s="14"/>
      <c r="AH24" s="15"/>
      <c r="AI24" s="7"/>
      <c r="AJ24" s="7" t="str">
        <f t="array" ref="AJ24">IFERROR(XLOOKUP(AG24, 'リスト'!$C:$C, 'リスト'!$M:$M, ""), "")</f>
        <v/>
      </c>
      <c r="AK24" s="7" t="str">
        <f t="array" ref="AK24">IFERROR(XLOOKUP(AG24, 'リスト'!$C:$C, 'リスト'!$N:$N, ""), "")</f>
        <v/>
      </c>
    </row>
    <row r="25" ht="17.25" customHeight="1">
      <c r="A25" s="8"/>
      <c r="B25" s="9"/>
      <c r="C25" s="14"/>
      <c r="D25" s="13"/>
      <c r="E25" s="7"/>
      <c r="F25" s="7"/>
      <c r="G25" s="7"/>
      <c r="H25" s="14" t="str">
        <f>IFERROR(__xludf.DUMMYFUNCTION("""COMPUTED_VALUE"""),"裁量労働制")</f>
        <v>裁量労働制</v>
      </c>
      <c r="I25" s="13"/>
      <c r="J25" s="7"/>
      <c r="K25" s="7"/>
      <c r="L25" s="7"/>
      <c r="M25" s="14"/>
      <c r="N25" s="13"/>
      <c r="O25" s="7"/>
      <c r="P25" s="7"/>
      <c r="Q25" s="7"/>
      <c r="R25" s="14"/>
      <c r="S25" s="13"/>
      <c r="T25" s="7"/>
      <c r="U25" s="7"/>
      <c r="V25" s="7"/>
      <c r="W25" s="14"/>
      <c r="X25" s="13"/>
      <c r="Y25" s="7"/>
      <c r="Z25" s="7"/>
      <c r="AA25" s="7"/>
      <c r="AB25" s="14" t="str">
        <f>IFERROR(__xludf.DUMMYFUNCTION("""COMPUTED_VALUE"""),"応募ランキング C")</f>
        <v>応募ランキング C</v>
      </c>
      <c r="AC25" s="13"/>
      <c r="AD25" s="7"/>
      <c r="AE25" s="7"/>
      <c r="AF25" s="7"/>
      <c r="AG25" s="14"/>
      <c r="AH25" s="13"/>
      <c r="AI25" s="7"/>
      <c r="AJ25" s="7"/>
      <c r="AK25" s="7"/>
    </row>
    <row r="26" ht="17.25" customHeight="1">
      <c r="A26" s="8"/>
      <c r="B26" s="9"/>
      <c r="C26" s="14"/>
      <c r="D26" s="13"/>
      <c r="E26" s="7"/>
      <c r="F26" s="7"/>
      <c r="G26" s="7"/>
      <c r="H26" s="14" t="str">
        <f>IFERROR(__xludf.DUMMYFUNCTION("""COMPUTED_VALUE"""),"時短×リモート")</f>
        <v>時短×リモート</v>
      </c>
      <c r="I26" s="13"/>
      <c r="J26" s="7"/>
      <c r="K26" s="7"/>
      <c r="L26" s="7"/>
      <c r="M26" s="14"/>
      <c r="N26" s="13"/>
      <c r="O26" s="7"/>
      <c r="P26" s="7"/>
      <c r="Q26" s="7"/>
      <c r="R26" s="14"/>
      <c r="S26" s="13"/>
      <c r="T26" s="7"/>
      <c r="U26" s="7"/>
      <c r="V26" s="7"/>
      <c r="W26" s="14"/>
      <c r="X26" s="13"/>
      <c r="Y26" s="7"/>
      <c r="Z26" s="7"/>
      <c r="AA26" s="7"/>
      <c r="AB26" s="14"/>
      <c r="AC26" s="13"/>
      <c r="AD26" s="7"/>
      <c r="AE26" s="7"/>
      <c r="AF26" s="7"/>
      <c r="AG26" s="14"/>
      <c r="AH26" s="13"/>
      <c r="AI26" s="7"/>
      <c r="AJ26" s="7"/>
      <c r="AK26" s="7"/>
    </row>
    <row r="27" ht="17.25" customHeight="1">
      <c r="A27" s="8"/>
      <c r="B27" s="9"/>
      <c r="C27" s="14"/>
      <c r="D27" s="13"/>
      <c r="E27" s="7"/>
      <c r="F27" s="7"/>
      <c r="G27" s="7"/>
      <c r="H27" s="14"/>
      <c r="I27" s="13"/>
      <c r="J27" s="7"/>
      <c r="K27" s="7"/>
      <c r="L27" s="7"/>
      <c r="M27" s="14"/>
      <c r="N27" s="13"/>
      <c r="O27" s="7"/>
      <c r="P27" s="7"/>
      <c r="Q27" s="7"/>
      <c r="R27" s="14"/>
      <c r="S27" s="13"/>
      <c r="T27" s="7"/>
      <c r="U27" s="7"/>
      <c r="V27" s="7"/>
      <c r="W27" s="14"/>
      <c r="X27" s="13"/>
      <c r="Y27" s="7"/>
      <c r="Z27" s="7"/>
      <c r="AA27" s="7"/>
      <c r="AB27" s="14"/>
      <c r="AC27" s="13"/>
      <c r="AD27" s="7"/>
      <c r="AE27" s="7"/>
      <c r="AF27" s="7"/>
      <c r="AG27" s="14"/>
      <c r="AH27" s="13"/>
      <c r="AI27" s="7"/>
      <c r="AJ27" s="7"/>
      <c r="AK27" s="7"/>
    </row>
    <row r="28" ht="17.25" customHeight="1">
      <c r="A28" s="8"/>
      <c r="B28" s="9"/>
      <c r="C28" s="14"/>
      <c r="D28" s="13"/>
      <c r="E28" s="7"/>
      <c r="F28" s="7"/>
      <c r="G28" s="7"/>
      <c r="H28" s="14"/>
      <c r="I28" s="13"/>
      <c r="J28" s="7"/>
      <c r="K28" s="7"/>
      <c r="L28" s="7"/>
      <c r="M28" s="14"/>
      <c r="N28" s="13"/>
      <c r="O28" s="7"/>
      <c r="P28" s="7"/>
      <c r="Q28" s="7"/>
      <c r="R28" s="14"/>
      <c r="S28" s="13"/>
      <c r="T28" s="7"/>
      <c r="U28" s="7"/>
      <c r="V28" s="7"/>
      <c r="W28" s="14"/>
      <c r="X28" s="13"/>
      <c r="Y28" s="7"/>
      <c r="Z28" s="7"/>
      <c r="AA28" s="7"/>
      <c r="AB28" s="14"/>
      <c r="AC28" s="13"/>
      <c r="AD28" s="7"/>
      <c r="AE28" s="7"/>
      <c r="AF28" s="7"/>
      <c r="AG28" s="14"/>
      <c r="AH28" s="13"/>
      <c r="AI28" s="7"/>
      <c r="AJ28" s="7"/>
      <c r="AK28" s="7"/>
    </row>
    <row r="29" ht="17.25" customHeight="1">
      <c r="A29" s="8"/>
      <c r="B29" s="9" t="s">
        <v>6</v>
      </c>
      <c r="C29" s="10" t="str">
        <f>IFERROR(__xludf.DUMMYFUNCTION("iferror(FILTER('新規'!$C:$C, ('新規'!$A:$A = C$1) * ('新規'!$B:$B = $A21)))"),"")</f>
        <v/>
      </c>
      <c r="D29" s="11" t="str">
        <f>IFERROR(__xludf.DUMMYFUNCTION("IFERROR(FILTER('新規'!$D$2:$D$400, ('新規'!$A$2:$A$400 = CHOOSE(WEEKDAY(C$1), ""日"", ""月"", ""火"", ""水"", ""木"", ""金"", ""土"")) * ('新規'!$B$2:$B$400 = $A$3) * ('新規'!$O$2:$O$400 = FALSE)), """")"),"")</f>
        <v/>
      </c>
      <c r="E29" s="7"/>
      <c r="F29" s="7" t="str">
        <f>IFERROR(__xludf.DUMMYFUNCTION("IFERROR(FILTER('新規'!$M$2:$M$400, ('新規'!$A$2:$A$400 = CHOOSE(WEEKDAY(C$1), ""日"", ""月"", ""火"", ""水"", ""木"", ""金"", ""土"")) * ('新規'!$B$2:$B$400 = $A$3) * ('新規'!$O$2:$O$400 = FALSE)), """")"),"")</f>
        <v/>
      </c>
      <c r="G29" s="7" t="str">
        <f>IFERROR(__xludf.DUMMYFUNCTION("IFERROR(FILTER('新規'!$N$2:$N$400, ('新規'!$A$2:$A$400 = CHOOSE(WEEKDAY(C$1), ""日"", ""月"", ""火"", ""水"", ""木"", ""金"", ""土"")) * ('新規'!$B$2:$B$400 = $A$3) * ('新規'!$O$2:$O$400 = FALSE)), """")"),"")</f>
        <v/>
      </c>
      <c r="H29" s="10" t="str">
        <f>IFERROR(__xludf.DUMMYFUNCTION("iferror(FILTER('新規'!$C:$C, ('新規'!$A:$A = H$1) * ('新規'!$B:$B = $A21)))"),"時短×リモート_関西")</f>
        <v>時短×リモート_関西</v>
      </c>
      <c r="I29" s="11" t="str">
        <f>IFERROR(__xludf.DUMMYFUNCTION("IFERROR(FILTER('新規'!$D$2:$D$400, ('新規'!$A$2:$A$400 = CHOOSE(WEEKDAY(H$1), ""日"", ""月"", ""火"", ""水"", ""木"", ""金"", ""土"")) * ('新規'!$B$2:$B$400 = $A$3) * ('新規'!$O$2:$O$400 = FALSE)), """")"),"")</f>
        <v/>
      </c>
      <c r="J29" s="7"/>
      <c r="K29" s="7" t="str">
        <f>IFERROR(__xludf.DUMMYFUNCTION("IFERROR(FILTER('新規'!$M$2:$M$400, ('新規'!$A$2:$A$400 = CHOOSE(WEEKDAY(H$1), ""日"", ""月"", ""火"", ""水"", ""木"", ""金"", ""土"")) * ('新規'!$B$2:$B$400 = $A$3) * ('新規'!$O$2:$O$400 = FALSE)), """")"),"")</f>
        <v/>
      </c>
      <c r="L29" s="7" t="str">
        <f>IFERROR(__xludf.DUMMYFUNCTION("IFERROR(FILTER('新規'!$N$2:$N$400, ('新規'!$A$2:$A$400 = CHOOSE(WEEKDAY(H$1), ""日"", ""月"", ""火"", ""水"", ""木"", ""金"", ""土"")) * ('新規'!$B$2:$B$400 = $A$3) * ('新規'!$O$2:$O$400 = FALSE)), """")"),"")</f>
        <v/>
      </c>
      <c r="M29" s="10" t="str">
        <f>IFERROR(__xludf.DUMMYFUNCTION("iferror(FILTER('新規'!$C:$C, ('新規'!$A:$A = M$1) * ('新規'!$B:$B = $A21)))"),"")</f>
        <v/>
      </c>
      <c r="N29" s="11" t="str">
        <f>IFERROR(__xludf.DUMMYFUNCTION("IFERROR(FILTER('新規'!$D$2:$D$400, ('新規'!$A$2:$A$400 = CHOOSE(WEEKDAY(M$1), ""日"", ""月"", ""火"", ""水"", ""木"", ""金"", ""土"")) * ('新規'!$B$2:$B$400 = $A$3) * ('新規'!$O$2:$O$400 = FALSE)), """")"),"")</f>
        <v/>
      </c>
      <c r="O29" s="7"/>
      <c r="P29" s="7" t="str">
        <f>IFERROR(__xludf.DUMMYFUNCTION("IFERROR(FILTER('新規'!$M$2:$M$400, ('新規'!$A$2:$A$400 = CHOOSE(WEEKDAY(M$1), ""日"", ""月"", ""火"", ""水"", ""木"", ""金"", ""土"")) * ('新規'!$B$2:$B$400 = $A$3) * ('新規'!$O$2:$O$400 = FALSE)), """")"),"")</f>
        <v/>
      </c>
      <c r="Q29" s="7" t="str">
        <f>IFERROR(__xludf.DUMMYFUNCTION("IFERROR(FILTER('新規'!$N$2:$N$400, ('新規'!$A$2:$A$400 = CHOOSE(WEEKDAY(M$1), ""日"", ""月"", ""火"", ""水"", ""木"", ""金"", ""土"")) * ('新規'!$B$2:$B$400 = $A$3) * ('新規'!$O$2:$O$400 = FALSE)), """")"),"")</f>
        <v/>
      </c>
      <c r="R29" s="10" t="str">
        <f>IFERROR(__xludf.DUMMYFUNCTION("iferror(FILTER('新規'!$C:$C, ('新規'!$A:$A = R$1) * ('新規'!$B:$B = $A21)))"),"")</f>
        <v/>
      </c>
      <c r="S29" s="11" t="str">
        <f>IFERROR(__xludf.DUMMYFUNCTION("IFERROR(FILTER('新規'!$D$2:$D$400, ('新規'!$A$2:$A$400 = CHOOSE(WEEKDAY(R$1), ""日"", ""月"", ""火"", ""水"", ""木"", ""金"", ""土"")) * ('新規'!$B$2:$B$400 = $A$3) * ('新規'!$O$2:$O$400 = FALSE)), """")"),"")</f>
        <v/>
      </c>
      <c r="T29" s="7"/>
      <c r="U29" s="7" t="str">
        <f>IFERROR(__xludf.DUMMYFUNCTION("IFERROR(FILTER('新規'!$M$2:$M$400, ('新規'!$A$2:$A$400 = CHOOSE(WEEKDAY(R$1), ""日"", ""月"", ""火"", ""水"", ""木"", ""金"", ""土"")) * ('新規'!$B$2:$B$400 = $A$3) * ('新規'!$O$2:$O$400 = FALSE)), """")"),"")</f>
        <v/>
      </c>
      <c r="V29" s="7" t="str">
        <f>IFERROR(__xludf.DUMMYFUNCTION("IFERROR(FILTER('新規'!$N$2:$N$400, ('新規'!$A$2:$A$400 = CHOOSE(WEEKDAY(R$1), ""日"", ""月"", ""火"", ""水"", ""木"", ""金"", ""土"")) * ('新規'!$B$2:$B$400 = $A$3) * ('新規'!$O$2:$O$400 = FALSE)), """")"),"")</f>
        <v/>
      </c>
      <c r="W29" s="10" t="str">
        <f>IFERROR(__xludf.DUMMYFUNCTION("iferror(FILTER('新規'!$C:$C, ('新規'!$A:$A = W$1) * ('新規'!$B:$B = $A21)))"),"")</f>
        <v/>
      </c>
      <c r="X29" s="11" t="str">
        <f>IFERROR(__xludf.DUMMYFUNCTION("IFERROR(FILTER('新規'!$D$2:$D$400, ('新規'!$A$2:$A$400 = CHOOSE(WEEKDAY(W$1), ""日"", ""月"", ""火"", ""水"", ""木"", ""金"", ""土"")) * ('新規'!$B$2:$B$400 = $A$3) * ('新規'!$O$2:$O$400 = FALSE)), """")"),"")</f>
        <v/>
      </c>
      <c r="Y29" s="7"/>
      <c r="Z29" s="7" t="str">
        <f>IFERROR(__xludf.DUMMYFUNCTION("IFERROR(FILTER('新規'!$M$2:$M$400, ('新規'!$A$2:$A$400 = CHOOSE(WEEKDAY(W$1), ""日"", ""月"", ""火"", ""水"", ""木"", ""金"", ""土"")) * ('新規'!$B$2:$B$400 = $A$3) * ('新規'!$O$2:$O$400 = FALSE)), """")"),"")</f>
        <v/>
      </c>
      <c r="AA29" s="7" t="str">
        <f>IFERROR(__xludf.DUMMYFUNCTION("IFERROR(FILTER('新規'!$N$2:$N$400, ('新規'!$A$2:$A$400 = CHOOSE(WEEKDAY(W$1), ""日"", ""月"", ""火"", ""水"", ""木"", ""金"", ""土"")) * ('新規'!$B$2:$B$400 = $A$3) * ('新規'!$O$2:$O$400 = FALSE)), """")"),"")</f>
        <v/>
      </c>
      <c r="AB29" s="10" t="str">
        <f>IFERROR(__xludf.DUMMYFUNCTION("iferror(FILTER('新規'!$C:$C, ('新規'!$A:$A = AB$1) * ('新規'!$B:$B = $A21)))"),"")</f>
        <v/>
      </c>
      <c r="AC29" s="11" t="str">
        <f>IFERROR(__xludf.DUMMYFUNCTION("IFERROR(FILTER('新規'!$D$2:$D$400, ('新規'!$A$2:$A$400 = CHOOSE(WEEKDAY(AB$1), ""日"", ""月"", ""火"", ""水"", ""木"", ""金"", ""土"")) * ('新規'!$B$2:$B$400 = $A$3) * ('新規'!$O$2:$O$400 = FALSE)), """")"),"")</f>
        <v/>
      </c>
      <c r="AD29" s="7"/>
      <c r="AE29" s="7" t="str">
        <f>IFERROR(__xludf.DUMMYFUNCTION("IFERROR(FILTER('新規'!$M$2:$M$400, ('新規'!$A$2:$A$400 = CHOOSE(WEEKDAY(AB$1), ""日"", ""月"", ""火"", ""水"", ""木"", ""金"", ""土"")) * ('新規'!$B$2:$B$400 = $A$3) * ('新規'!$O$2:$O$400 = FALSE)), """")"),"")</f>
        <v/>
      </c>
      <c r="AF29" s="7" t="str">
        <f>IFERROR(__xludf.DUMMYFUNCTION("IFERROR(FILTER('新規'!$N$2:$N$400, ('新規'!$A$2:$A$400 = CHOOSE(WEEKDAY(AB$1), ""日"", ""月"", ""火"", ""水"", ""木"", ""金"", ""土"")) * ('新規'!$B$2:$B$400 = $A$3) * ('新規'!$O$2:$O$400 = FALSE)), """")"),"")</f>
        <v/>
      </c>
      <c r="AG29" s="10" t="str">
        <f>IFERROR(__xludf.DUMMYFUNCTION("iferror(FILTER('新規'!$C:$C, ('新規'!$A:$A = AG$1) * ('新規'!$B:$B = $A21)))"),"")</f>
        <v/>
      </c>
      <c r="AH29" s="11" t="str">
        <f>IFERROR(__xludf.DUMMYFUNCTION("IFERROR(FILTER('新規'!$D$2:$D$400, ('新規'!$A$2:$A$400 = CHOOSE(WEEKDAY(AG$1), ""日"", ""月"", ""火"", ""水"", ""木"", ""金"", ""土"")) * ('新規'!$B$2:$B$400 = $A$3) * ('新規'!$O$2:$O$400 = FALSE)), """")"),"")</f>
        <v/>
      </c>
      <c r="AI29" s="7"/>
      <c r="AJ29" s="7" t="str">
        <f>IFERROR(__xludf.DUMMYFUNCTION("IFERROR(FILTER('新規'!$M$2:$M$400, ('新規'!$A$2:$A$400 = CHOOSE(WEEKDAY(AG$1), ""日"", ""月"", ""火"", ""水"", ""木"", ""金"", ""土"")) * ('新規'!$B$2:$B$400 = $A$3) * ('新規'!$O$2:$O$400 = FALSE)), """")"),"")</f>
        <v/>
      </c>
      <c r="AK29" s="7" t="str">
        <f>IFERROR(__xludf.DUMMYFUNCTION("IFERROR(FILTER('新規'!$N$2:$N$400, ('新規'!$A$2:$A$400 = CHOOSE(WEEKDAY(AG$1), ""日"", ""月"", ""火"", ""水"", ""木"", ""金"", ""土"")) * ('新規'!$B$2:$B$400 = $A$3) * ('新規'!$O$2:$O$400 = FALSE)), """")"),"")</f>
        <v/>
      </c>
    </row>
    <row r="30" ht="17.25" customHeight="1">
      <c r="A30" s="8"/>
      <c r="B30" s="9"/>
      <c r="C30" s="17"/>
      <c r="D30" s="7"/>
      <c r="E30" s="7"/>
      <c r="F30" s="7" t="str">
        <f t="array" ref="F30">IFERROR(XLOOKUP(C30, 'リスト'!$C:$C, 'リスト'!$M:$M, ""), "")</f>
        <v/>
      </c>
      <c r="G30" s="7" t="str">
        <f t="array" ref="G30">IFERROR(XLOOKUP(C30, 'リスト'!$C:$C, 'リスト'!$N:$N, ""), "")</f>
        <v/>
      </c>
      <c r="H30" s="17"/>
      <c r="I30" s="7"/>
      <c r="J30" s="7"/>
      <c r="K30" s="7" t="str">
        <f t="array" ref="K30">IFERROR(XLOOKUP(H30, 'リスト'!$C:$C, 'リスト'!$M:$M, ""), "")</f>
        <v/>
      </c>
      <c r="L30" s="7" t="str">
        <f t="array" ref="L30">IFERROR(XLOOKUP(H30, 'リスト'!$C:$C, 'リスト'!$N:$N, ""), "")</f>
        <v/>
      </c>
      <c r="M30" s="17"/>
      <c r="N30" s="7"/>
      <c r="O30" s="7"/>
      <c r="P30" s="7" t="str">
        <f t="array" ref="P30">IFERROR(XLOOKUP(M30, 'リスト'!$C:$C, 'リスト'!$M:$M, ""), "")</f>
        <v/>
      </c>
      <c r="Q30" s="7" t="str">
        <f t="array" ref="Q30">IFERROR(XLOOKUP(M30, 'リスト'!$C:$C, 'リスト'!$N:$N, ""), "")</f>
        <v/>
      </c>
      <c r="R30" s="17"/>
      <c r="S30" s="7"/>
      <c r="T30" s="7"/>
      <c r="U30" s="7" t="str">
        <f t="array" ref="U30">IFERROR(XLOOKUP(R30, 'リスト'!$C:$C, 'リスト'!$M:$M, ""), "")</f>
        <v/>
      </c>
      <c r="V30" s="7" t="str">
        <f t="array" ref="V30">IFERROR(XLOOKUP(R30, 'リスト'!$C:$C, 'リスト'!$N:$N, ""), "")</f>
        <v/>
      </c>
      <c r="W30" s="17"/>
      <c r="X30" s="7"/>
      <c r="Y30" s="7"/>
      <c r="Z30" s="7" t="str">
        <f t="array" ref="Z30">IFERROR(XLOOKUP(W30, 'リスト'!$C:$C, 'リスト'!$M:$M, ""), "")</f>
        <v/>
      </c>
      <c r="AA30" s="7" t="str">
        <f t="array" ref="AA30">IFERROR(XLOOKUP(W30, 'リスト'!$C:$C, 'リスト'!$N:$N, ""), "")</f>
        <v/>
      </c>
      <c r="AB30" s="17"/>
      <c r="AC30" s="7"/>
      <c r="AD30" s="7"/>
      <c r="AE30" s="7" t="str">
        <f t="array" ref="AE30">IFERROR(XLOOKUP(AB30, 'リスト'!$C:$C, 'リスト'!$M:$M, ""), "")</f>
        <v/>
      </c>
      <c r="AF30" s="7" t="str">
        <f t="array" ref="AF30">IFERROR(XLOOKUP(AB30, 'リスト'!$C:$C, 'リスト'!$N:$N, ""), "")</f>
        <v/>
      </c>
      <c r="AG30" s="17"/>
      <c r="AH30" s="7"/>
      <c r="AI30" s="7"/>
      <c r="AJ30" s="7" t="str">
        <f t="array" ref="AJ30">IFERROR(XLOOKUP(AG30, 'リスト'!$C:$C, 'リスト'!$M:$M, ""), "")</f>
        <v/>
      </c>
      <c r="AK30" s="7" t="str">
        <f t="array" ref="AK30">IFERROR(XLOOKUP(AG30, 'リスト'!$C:$C, 'リスト'!$N:$N, ""), "")</f>
        <v/>
      </c>
    </row>
    <row r="31" ht="17.25" customHeight="1">
      <c r="A31" s="8"/>
      <c r="B31" s="9"/>
      <c r="C31" s="17"/>
      <c r="D31" s="7"/>
      <c r="E31" s="7"/>
      <c r="F31" s="7" t="str">
        <f t="array" ref="F31">IFERROR(XLOOKUP(C31, 'リスト'!$C:$C, 'リスト'!$M:$M, ""), "")</f>
        <v/>
      </c>
      <c r="G31" s="7" t="str">
        <f t="array" ref="G31">IFERROR(XLOOKUP(C31, 'リスト'!$C:$C, 'リスト'!$N:$N, ""), "")</f>
        <v/>
      </c>
      <c r="H31" s="17"/>
      <c r="I31" s="7"/>
      <c r="J31" s="7"/>
      <c r="K31" s="7" t="str">
        <f t="array" ref="K31">IFERROR(XLOOKUP(H31, 'リスト'!$C:$C, 'リスト'!$M:$M, ""), "")</f>
        <v/>
      </c>
      <c r="L31" s="7" t="str">
        <f t="array" ref="L31">IFERROR(XLOOKUP(H31, 'リスト'!$C:$C, 'リスト'!$N:$N, ""), "")</f>
        <v/>
      </c>
      <c r="M31" s="17"/>
      <c r="N31" s="7"/>
      <c r="O31" s="7"/>
      <c r="P31" s="7" t="str">
        <f t="array" ref="P31">IFERROR(XLOOKUP(M31, 'リスト'!$C:$C, 'リスト'!$M:$M, ""), "")</f>
        <v/>
      </c>
      <c r="Q31" s="7" t="str">
        <f t="array" ref="Q31">IFERROR(XLOOKUP(M31, 'リスト'!$C:$C, 'リスト'!$N:$N, ""), "")</f>
        <v/>
      </c>
      <c r="R31" s="17"/>
      <c r="S31" s="7"/>
      <c r="T31" s="7"/>
      <c r="U31" s="7" t="str">
        <f t="array" ref="U31">IFERROR(XLOOKUP(R31, 'リスト'!$C:$C, 'リスト'!$M:$M, ""), "")</f>
        <v/>
      </c>
      <c r="V31" s="7" t="str">
        <f t="array" ref="V31">IFERROR(XLOOKUP(R31, 'リスト'!$C:$C, 'リスト'!$N:$N, ""), "")</f>
        <v/>
      </c>
      <c r="W31" s="17"/>
      <c r="X31" s="7"/>
      <c r="Y31" s="7"/>
      <c r="Z31" s="7" t="str">
        <f t="array" ref="Z31">IFERROR(XLOOKUP(W31, 'リスト'!$C:$C, 'リスト'!$M:$M, ""), "")</f>
        <v/>
      </c>
      <c r="AA31" s="7" t="str">
        <f t="array" ref="AA31">IFERROR(XLOOKUP(W31, 'リスト'!$C:$C, 'リスト'!$N:$N, ""), "")</f>
        <v/>
      </c>
      <c r="AB31" s="17"/>
      <c r="AC31" s="7"/>
      <c r="AD31" s="7"/>
      <c r="AE31" s="7" t="str">
        <f t="array" ref="AE31">IFERROR(XLOOKUP(AB31, 'リスト'!$C:$C, 'リスト'!$M:$M, ""), "")</f>
        <v/>
      </c>
      <c r="AF31" s="7" t="str">
        <f t="array" ref="AF31">IFERROR(XLOOKUP(AB31, 'リスト'!$C:$C, 'リスト'!$N:$N, ""), "")</f>
        <v/>
      </c>
      <c r="AG31" s="17"/>
      <c r="AH31" s="7"/>
      <c r="AI31" s="7"/>
      <c r="AJ31" s="7" t="str">
        <f t="array" ref="AJ31">IFERROR(XLOOKUP(AG31, 'リスト'!$C:$C, 'リスト'!$M:$M, ""), "")</f>
        <v/>
      </c>
      <c r="AK31" s="7" t="str">
        <f t="array" ref="AK31">IFERROR(XLOOKUP(AG31, 'リスト'!$C:$C, 'リスト'!$N:$N, ""), "")</f>
        <v/>
      </c>
    </row>
    <row r="32" ht="17.25" customHeight="1">
      <c r="A32" s="8"/>
      <c r="B32" s="9"/>
      <c r="C32" s="17"/>
      <c r="D32" s="7"/>
      <c r="E32" s="7"/>
      <c r="F32" s="7" t="str">
        <f t="array" ref="F32">IFERROR(XLOOKUP(C32, 'リスト'!$C:$C, 'リスト'!$M:$M, ""), "")</f>
        <v/>
      </c>
      <c r="G32" s="7" t="str">
        <f t="array" ref="G32">IFERROR(XLOOKUP(C32, 'リスト'!$C:$C, 'リスト'!$N:$N, ""), "")</f>
        <v/>
      </c>
      <c r="H32" s="17"/>
      <c r="I32" s="7"/>
      <c r="J32" s="7"/>
      <c r="K32" s="7" t="str">
        <f t="array" ref="K32">IFERROR(XLOOKUP(H32, 'リスト'!$C:$C, 'リスト'!$M:$M, ""), "")</f>
        <v/>
      </c>
      <c r="L32" s="7" t="str">
        <f t="array" ref="L32">IFERROR(XLOOKUP(H32, 'リスト'!$C:$C, 'リスト'!$N:$N, ""), "")</f>
        <v/>
      </c>
      <c r="M32" s="17"/>
      <c r="N32" s="7"/>
      <c r="O32" s="7"/>
      <c r="P32" s="7" t="str">
        <f t="array" ref="P32">IFERROR(XLOOKUP(M32, 'リスト'!$C:$C, 'リスト'!$M:$M, ""), "")</f>
        <v/>
      </c>
      <c r="Q32" s="7" t="str">
        <f t="array" ref="Q32">IFERROR(XLOOKUP(M32, 'リスト'!$C:$C, 'リスト'!$N:$N, ""), "")</f>
        <v/>
      </c>
      <c r="R32" s="17"/>
      <c r="S32" s="7"/>
      <c r="T32" s="7"/>
      <c r="U32" s="7" t="str">
        <f t="array" ref="U32">IFERROR(XLOOKUP(R32, 'リスト'!$C:$C, 'リスト'!$M:$M, ""), "")</f>
        <v/>
      </c>
      <c r="V32" s="7" t="str">
        <f t="array" ref="V32">IFERROR(XLOOKUP(R32, 'リスト'!$C:$C, 'リスト'!$N:$N, ""), "")</f>
        <v/>
      </c>
      <c r="W32" s="17"/>
      <c r="X32" s="7"/>
      <c r="Y32" s="7"/>
      <c r="Z32" s="7" t="str">
        <f t="array" ref="Z32">IFERROR(XLOOKUP(W32, 'リスト'!$C:$C, 'リスト'!$M:$M, ""), "")</f>
        <v/>
      </c>
      <c r="AA32" s="7" t="str">
        <f t="array" ref="AA32">IFERROR(XLOOKUP(W32, 'リスト'!$C:$C, 'リスト'!$N:$N, ""), "")</f>
        <v/>
      </c>
      <c r="AB32" s="17"/>
      <c r="AC32" s="7"/>
      <c r="AD32" s="7"/>
      <c r="AE32" s="7" t="str">
        <f t="array" ref="AE32">IFERROR(XLOOKUP(AB32, 'リスト'!$C:$C, 'リスト'!$M:$M, ""), "")</f>
        <v/>
      </c>
      <c r="AF32" s="7" t="str">
        <f t="array" ref="AF32">IFERROR(XLOOKUP(AB32, 'リスト'!$C:$C, 'リスト'!$N:$N, ""), "")</f>
        <v/>
      </c>
      <c r="AG32" s="17"/>
      <c r="AH32" s="7"/>
      <c r="AI32" s="7"/>
      <c r="AJ32" s="7" t="str">
        <f t="array" ref="AJ32">IFERROR(XLOOKUP(AG32, 'リスト'!$C:$C, 'リスト'!$M:$M, ""), "")</f>
        <v/>
      </c>
      <c r="AK32" s="7" t="str">
        <f t="array" ref="AK32">IFERROR(XLOOKUP(AG32, 'リスト'!$C:$C, 'リスト'!$N:$N, ""), "")</f>
        <v/>
      </c>
    </row>
    <row r="33" ht="17.25" customHeight="1">
      <c r="A33" s="8"/>
      <c r="B33" s="9"/>
      <c r="C33" s="17"/>
      <c r="D33" s="7"/>
      <c r="E33" s="7"/>
      <c r="F33" s="7" t="str">
        <f t="array" ref="F33">IFERROR(XLOOKUP(C33, 'リスト'!$C:$C, 'リスト'!$M:$M, ""), "")</f>
        <v/>
      </c>
      <c r="G33" s="7" t="str">
        <f t="array" ref="G33">IFERROR(XLOOKUP(C33, 'リスト'!$C:$C, 'リスト'!$N:$N, ""), "")</f>
        <v/>
      </c>
      <c r="H33" s="17"/>
      <c r="I33" s="7"/>
      <c r="J33" s="7"/>
      <c r="K33" s="7" t="str">
        <f t="array" ref="K33">IFERROR(XLOOKUP(H33, 'リスト'!$C:$C, 'リスト'!$M:$M, ""), "")</f>
        <v/>
      </c>
      <c r="L33" s="7" t="str">
        <f t="array" ref="L33">IFERROR(XLOOKUP(H33, 'リスト'!$C:$C, 'リスト'!$N:$N, ""), "")</f>
        <v/>
      </c>
      <c r="M33" s="17"/>
      <c r="N33" s="7"/>
      <c r="O33" s="7"/>
      <c r="P33" s="7" t="str">
        <f t="array" ref="P33">IFERROR(XLOOKUP(M33, 'リスト'!$C:$C, 'リスト'!$M:$M, ""), "")</f>
        <v/>
      </c>
      <c r="Q33" s="7" t="str">
        <f t="array" ref="Q33">IFERROR(XLOOKUP(M33, 'リスト'!$C:$C, 'リスト'!$N:$N, ""), "")</f>
        <v/>
      </c>
      <c r="R33" s="17"/>
      <c r="S33" s="7"/>
      <c r="T33" s="7"/>
      <c r="U33" s="7" t="str">
        <f t="array" ref="U33">IFERROR(XLOOKUP(R33, 'リスト'!$C:$C, 'リスト'!$M:$M, ""), "")</f>
        <v/>
      </c>
      <c r="V33" s="7" t="str">
        <f t="array" ref="V33">IFERROR(XLOOKUP(R33, 'リスト'!$C:$C, 'リスト'!$N:$N, ""), "")</f>
        <v/>
      </c>
      <c r="W33" s="17"/>
      <c r="X33" s="7"/>
      <c r="Y33" s="7"/>
      <c r="Z33" s="7" t="str">
        <f t="array" ref="Z33">IFERROR(XLOOKUP(W33, 'リスト'!$C:$C, 'リスト'!$M:$M, ""), "")</f>
        <v/>
      </c>
      <c r="AA33" s="7" t="str">
        <f t="array" ref="AA33">IFERROR(XLOOKUP(W33, 'リスト'!$C:$C, 'リスト'!$N:$N, ""), "")</f>
        <v/>
      </c>
      <c r="AB33" s="17"/>
      <c r="AC33" s="7"/>
      <c r="AD33" s="7"/>
      <c r="AE33" s="7" t="str">
        <f t="array" ref="AE33">IFERROR(XLOOKUP(AB33, 'リスト'!$C:$C, 'リスト'!$M:$M, ""), "")</f>
        <v/>
      </c>
      <c r="AF33" s="7" t="str">
        <f t="array" ref="AF33">IFERROR(XLOOKUP(AB33, 'リスト'!$C:$C, 'リスト'!$N:$N, ""), "")</f>
        <v/>
      </c>
      <c r="AG33" s="17"/>
      <c r="AH33" s="7"/>
      <c r="AI33" s="7"/>
      <c r="AJ33" s="7" t="str">
        <f t="array" ref="AJ33">IFERROR(XLOOKUP(AG33, 'リスト'!$C:$C, 'リスト'!$M:$M, ""), "")</f>
        <v/>
      </c>
      <c r="AK33" s="7" t="str">
        <f t="array" ref="AK33">IFERROR(XLOOKUP(AG33, 'リスト'!$C:$C, 'リスト'!$N:$N, ""), "")</f>
        <v/>
      </c>
    </row>
    <row r="34" ht="17.25" customHeight="1">
      <c r="A34" s="8"/>
      <c r="B34" s="9" t="s">
        <v>7</v>
      </c>
      <c r="C34" s="10" t="str">
        <f>"◇ポジションマッチ A" &amp; MOD(INT(($C$1 - '特殊配信マスタ'!$A$1) / 7), 3) + 1</f>
        <v>◇ポジションマッチ A2</v>
      </c>
      <c r="D34" s="11" t="str">
        <f>IFERROR(__xludf.DUMMYFUNCTION("IFERROR(TEXTJOIN(CHAR(10), TRUE, FILTER('特殊配信マスタ'!$C:$E, #REF!=D$1)), """")"),"")</f>
        <v/>
      </c>
      <c r="E34" s="7" t="str">
        <f>IFERROR(__xludf.DUMMYFUNCTION("IFERROR(TEXTJOIN(CHAR(10), TRUE, FILTER('特殊配信マスタ'!$C:$E, #REF!=E$1)), """")"),"")</f>
        <v/>
      </c>
      <c r="F34" s="7" t="str">
        <f t="array" ref="F34">IFERROR(XLOOKUP(C34, INDEX('特殊配信マスタ'!$C$3:$E$8, 0, MAX(1, ROW()-14)), '特殊配信マスタ'!$M$3:$N$8, ""),"")</f>
        <v/>
      </c>
      <c r="G34" s="7"/>
      <c r="H34" s="10" t="str">
        <f>"◇ポジションマッチ A" &amp; MOD(INT(($C$1 - '特殊配信マスタ'!$A$1) / 7), 3) + 1</f>
        <v>◇ポジションマッチ A2</v>
      </c>
      <c r="I34" s="11" t="str">
        <f>IFERROR(__xludf.DUMMYFUNCTION("IFERROR(TEXTJOIN(CHAR(10), TRUE, FILTER('特殊配信マスタ'!$C:$E, #REF!=I$1)), """")"),"")</f>
        <v/>
      </c>
      <c r="J34" s="7" t="str">
        <f>IFERROR(__xludf.DUMMYFUNCTION("IFERROR(TEXTJOIN(CHAR(10), TRUE, FILTER('特殊配信マスタ'!$C:$E, #REF!=J$1)), """")"),"")</f>
        <v/>
      </c>
      <c r="K34" s="7" t="str">
        <f t="array" ref="K34">IFERROR(XLOOKUP(H34, INDEX('特殊配信マスタ'!$C$3:$E$8, 0, MAX(1, ROW()-14)), '特殊配信マスタ'!$M$3:$N$8, ""),"")</f>
        <v/>
      </c>
      <c r="L34" s="7"/>
      <c r="M34" s="10" t="str">
        <f>"◇ポジションマッチ A" &amp; MOD(INT(($C$1 - '特殊配信マスタ'!$A$1) / 7), 3) + 1</f>
        <v>◇ポジションマッチ A2</v>
      </c>
      <c r="N34" s="11" t="str">
        <f>IFERROR(__xludf.DUMMYFUNCTION("IFERROR(TEXTJOIN(CHAR(10), TRUE, FILTER('特殊配信マスタ'!$C:$E, #REF!=N$1)), """")"),"")</f>
        <v/>
      </c>
      <c r="O34" s="7" t="str">
        <f>IFERROR(__xludf.DUMMYFUNCTION("IFERROR(TEXTJOIN(CHAR(10), TRUE, FILTER('特殊配信マスタ'!$C:$E, #REF!=O$1)), """")"),"")</f>
        <v/>
      </c>
      <c r="P34" s="7" t="str">
        <f t="array" ref="P34">IFERROR(XLOOKUP(M34, INDEX('特殊配信マスタ'!$C$3:$E$8, 0, MAX(1, ROW()-14)), '特殊配信マスタ'!$M$3:$N$8, ""),"")</f>
        <v/>
      </c>
      <c r="Q34" s="7"/>
      <c r="R34" s="10" t="str">
        <f>"◇ポジションマッチ A" &amp; MOD(INT(($C$1 - '特殊配信マスタ'!$A$1) / 7), 3) + 1</f>
        <v>◇ポジションマッチ A2</v>
      </c>
      <c r="S34" s="11" t="str">
        <f>IFERROR(__xludf.DUMMYFUNCTION("IFERROR(TEXTJOIN(CHAR(10), TRUE, FILTER('特殊配信マスタ'!$C:$E, #REF!=S$1)), """")"),"")</f>
        <v/>
      </c>
      <c r="T34" s="7" t="str">
        <f>IFERROR(__xludf.DUMMYFUNCTION("IFERROR(TEXTJOIN(CHAR(10), TRUE, FILTER('特殊配信マスタ'!$C:$E, #REF!=T$1)), """")"),"")</f>
        <v/>
      </c>
      <c r="U34" s="7" t="str">
        <f t="array" ref="U34">IFERROR(XLOOKUP(R34, INDEX('特殊配信マスタ'!$C$3:$E$8, 0, MAX(1, ROW()-14)), '特殊配信マスタ'!$M$3:$N$8, ""),"")</f>
        <v/>
      </c>
      <c r="V34" s="7"/>
      <c r="W34" s="10" t="str">
        <f>"◇ポジションマッチ A" &amp; MOD(INT(($C$1 - '特殊配信マスタ'!$A$1) / 7), 3) + 1</f>
        <v>◇ポジションマッチ A2</v>
      </c>
      <c r="X34" s="11" t="str">
        <f>IFERROR(__xludf.DUMMYFUNCTION("IFERROR(TEXTJOIN(CHAR(10), TRUE, FILTER('特殊配信マスタ'!$C:$E, #REF!=X$1)), """")"),"")</f>
        <v/>
      </c>
      <c r="Y34" s="7" t="str">
        <f>IFERROR(__xludf.DUMMYFUNCTION("IFERROR(TEXTJOIN(CHAR(10), TRUE, FILTER('特殊配信マスタ'!$C:$E, #REF!=Y$1)), """")"),"")</f>
        <v/>
      </c>
      <c r="Z34" s="7" t="str">
        <f t="array" ref="Z34">IFERROR(XLOOKUP(W34, INDEX('特殊配信マスタ'!$C$3:$E$8, 0, MAX(1, ROW()-14)), '特殊配信マスタ'!$M$3:$N$8, ""),"")</f>
        <v/>
      </c>
      <c r="AA34" s="7"/>
      <c r="AB34" s="10" t="str">
        <f>"◇ポジションマッチ A" &amp; MOD(INT(($C$1 - '特殊配信マスタ'!$A$1) / 7), 3) + 1</f>
        <v>◇ポジションマッチ A2</v>
      </c>
      <c r="AC34" s="11" t="str">
        <f>IFERROR(__xludf.DUMMYFUNCTION("IFERROR(TEXTJOIN(CHAR(10), TRUE, FILTER('特殊配信マスタ'!$C:$E, #REF!=AC$1)), """")"),"")</f>
        <v/>
      </c>
      <c r="AD34" s="7" t="str">
        <f>IFERROR(__xludf.DUMMYFUNCTION("IFERROR(TEXTJOIN(CHAR(10), TRUE, FILTER('特殊配信マスタ'!$C:$E, #REF!=AD$1)), """")"),"")</f>
        <v/>
      </c>
      <c r="AE34" s="7" t="str">
        <f t="array" ref="AE34">IFERROR(XLOOKUP(AB34, INDEX('特殊配信マスタ'!$C$3:$E$8, 0, MAX(1, ROW()-14)), '特殊配信マスタ'!$M$3:$N$8, ""),"")</f>
        <v/>
      </c>
      <c r="AF34" s="7"/>
      <c r="AG34" s="10" t="str">
        <f>"◇ポジションマッチ A" &amp; MOD(INT(($C$1 - '特殊配信マスタ'!$A$1) / 7), 3) + 1</f>
        <v>◇ポジションマッチ A2</v>
      </c>
      <c r="AH34" s="11" t="str">
        <f>IFERROR(__xludf.DUMMYFUNCTION("IFERROR(TEXTJOIN(CHAR(10), TRUE, FILTER('特殊配信マスタ'!$C:$E, #REF!=AH$1)), """")"),"")</f>
        <v/>
      </c>
      <c r="AI34" s="7" t="str">
        <f>IFERROR(__xludf.DUMMYFUNCTION("IFERROR(TEXTJOIN(CHAR(10), TRUE, FILTER('特殊配信マスタ'!$C:$E, #REF!=AI$1)), """")"),"")</f>
        <v/>
      </c>
      <c r="AJ34" s="7" t="str">
        <f t="array" ref="AJ34">IFERROR(XLOOKUP(AG34, INDEX('特殊配信マスタ'!$C$3:$E$8, 0, MAX(1, ROW()-14)), '特殊配信マスタ'!$M$3:$N$8, ""),"")</f>
        <v/>
      </c>
      <c r="AK34" s="7"/>
    </row>
    <row r="35" ht="17.25" customHeight="1">
      <c r="A35" s="8"/>
      <c r="B35" s="9"/>
      <c r="C35" s="10" t="str">
        <f>"◇ポジションマッチ_36歳以上 A" &amp; MOD(INT(($C$1 - '特殊配信マスタ'!$A$1) / 7), 3) + 1</f>
        <v>◇ポジションマッチ_36歳以上 A2</v>
      </c>
      <c r="D35" s="11"/>
      <c r="E35" s="7"/>
      <c r="F35" s="7" t="str">
        <f t="array" ref="F35">IFERROR(XLOOKUP(C35, INDEX('特殊配信マスタ'!$C$3:$E$8, 0, MAX(1, ROW()-14)), '特殊配信マスタ'!$M$3:$N$8, ""),"")</f>
        <v/>
      </c>
      <c r="G35" s="7"/>
      <c r="H35" s="10" t="str">
        <f>"◇ポジションマッチ_36歳以上 A" &amp; MOD(INT(($C$1 - '特殊配信マスタ'!$A$1) / 7), 3) + 1</f>
        <v>◇ポジションマッチ_36歳以上 A2</v>
      </c>
      <c r="I35" s="11"/>
      <c r="J35" s="7"/>
      <c r="K35" s="7" t="str">
        <f t="array" ref="K35">IFERROR(XLOOKUP(H35, INDEX('特殊配信マスタ'!$C$3:$E$8, 0, MAX(1, ROW()-14)), '特殊配信マスタ'!$M$3:$N$8, ""),"")</f>
        <v/>
      </c>
      <c r="L35" s="7"/>
      <c r="M35" s="10" t="str">
        <f>"◇ポジションマッチ_36歳以上 A" &amp; MOD(INT(($C$1 - '特殊配信マスタ'!$A$1) / 7), 3) + 1</f>
        <v>◇ポジションマッチ_36歳以上 A2</v>
      </c>
      <c r="N35" s="11"/>
      <c r="O35" s="7"/>
      <c r="P35" s="7" t="str">
        <f t="array" ref="P35">IFERROR(XLOOKUP(M35, INDEX('特殊配信マスタ'!$C$3:$E$8, 0, MAX(1, ROW()-14)), '特殊配信マスタ'!$M$3:$N$8, ""),"")</f>
        <v/>
      </c>
      <c r="Q35" s="7"/>
      <c r="R35" s="10" t="str">
        <f>"◇ポジションマッチ_36歳以上 A" &amp; MOD(INT(($C$1 - '特殊配信マスタ'!$A$1) / 7), 3) + 1</f>
        <v>◇ポジションマッチ_36歳以上 A2</v>
      </c>
      <c r="S35" s="11"/>
      <c r="T35" s="7"/>
      <c r="U35" s="7" t="str">
        <f t="array" ref="U35">IFERROR(XLOOKUP(R35, INDEX('特殊配信マスタ'!$C$3:$E$8, 0, MAX(1, ROW()-14)), '特殊配信マスタ'!$M$3:$N$8, ""),"")</f>
        <v/>
      </c>
      <c r="V35" s="7"/>
      <c r="W35" s="10" t="str">
        <f>"◇ポジションマッチ_36歳以上 A" &amp; MOD(INT(($C$1 - '特殊配信マスタ'!$A$1) / 7), 3) + 1</f>
        <v>◇ポジションマッチ_36歳以上 A2</v>
      </c>
      <c r="X35" s="11"/>
      <c r="Y35" s="7"/>
      <c r="Z35" s="7" t="str">
        <f t="array" ref="Z35">IFERROR(XLOOKUP(W35, INDEX('特殊配信マスタ'!$C$3:$E$8, 0, MAX(1, ROW()-14)), '特殊配信マスタ'!$M$3:$N$8, ""),"")</f>
        <v/>
      </c>
      <c r="AA35" s="7"/>
      <c r="AB35" s="10" t="str">
        <f>"◇ポジションマッチ_36歳以上 A" &amp; MOD(INT(($C$1 - '特殊配信マスタ'!$A$1) / 7), 3) + 1</f>
        <v>◇ポジションマッチ_36歳以上 A2</v>
      </c>
      <c r="AC35" s="11"/>
      <c r="AD35" s="7"/>
      <c r="AE35" s="7" t="str">
        <f t="array" ref="AE35">IFERROR(XLOOKUP(AB35, INDEX('特殊配信マスタ'!$C$3:$E$8, 0, MAX(1, ROW()-14)), '特殊配信マスタ'!$M$3:$N$8, ""),"")</f>
        <v/>
      </c>
      <c r="AF35" s="7"/>
      <c r="AG35" s="10" t="str">
        <f>"◇ポジションマッチ_36歳以上 A" &amp; MOD(INT(($C$1 - '特殊配信マスタ'!$A$1) / 7), 3) + 1</f>
        <v>◇ポジションマッチ_36歳以上 A2</v>
      </c>
      <c r="AH35" s="11"/>
      <c r="AI35" s="7"/>
      <c r="AJ35" s="7" t="str">
        <f t="array" ref="AJ35">IFERROR(XLOOKUP(AG35, INDEX('特殊配信マスタ'!$C$3:$E$8, 0, MAX(1, ROW()-14)), '特殊配信マスタ'!$M$3:$N$8, ""),"")</f>
        <v/>
      </c>
      <c r="AK35" s="7"/>
    </row>
    <row r="36" ht="17.25" customHeight="1">
      <c r="A36" s="8"/>
      <c r="B36" s="9"/>
      <c r="C36" s="10"/>
      <c r="D36" s="11"/>
      <c r="E36" s="7"/>
      <c r="F36" s="7"/>
      <c r="G36" s="7"/>
      <c r="H36" s="10"/>
      <c r="I36" s="11"/>
      <c r="J36" s="7"/>
      <c r="K36" s="7"/>
      <c r="L36" s="7"/>
      <c r="M36" s="10"/>
      <c r="N36" s="11"/>
      <c r="O36" s="7"/>
      <c r="P36" s="7"/>
      <c r="Q36" s="7"/>
      <c r="R36" s="10"/>
      <c r="S36" s="11"/>
      <c r="T36" s="7"/>
      <c r="U36" s="7"/>
      <c r="V36" s="7"/>
      <c r="W36" s="10"/>
      <c r="X36" s="11"/>
      <c r="Y36" s="7"/>
      <c r="Z36" s="7"/>
      <c r="AA36" s="7"/>
      <c r="AB36" s="10"/>
      <c r="AC36" s="11"/>
      <c r="AD36" s="7"/>
      <c r="AE36" s="7"/>
      <c r="AF36" s="7"/>
      <c r="AG36" s="10"/>
      <c r="AH36" s="11"/>
      <c r="AI36" s="7"/>
      <c r="AJ36" s="7"/>
      <c r="AK36" s="7"/>
    </row>
    <row r="37" ht="17.25" customHeight="1">
      <c r="A37" s="8"/>
      <c r="B37" s="9"/>
      <c r="C37" s="10"/>
      <c r="D37" s="11"/>
      <c r="E37" s="7"/>
      <c r="F37" s="7"/>
      <c r="G37" s="7"/>
      <c r="H37" s="10"/>
      <c r="I37" s="11"/>
      <c r="J37" s="7"/>
      <c r="K37" s="7"/>
      <c r="L37" s="7"/>
      <c r="M37" s="10"/>
      <c r="N37" s="11"/>
      <c r="O37" s="7"/>
      <c r="P37" s="7"/>
      <c r="Q37" s="7"/>
      <c r="R37" s="10"/>
      <c r="S37" s="11"/>
      <c r="T37" s="7"/>
      <c r="U37" s="7"/>
      <c r="V37" s="7"/>
      <c r="W37" s="10"/>
      <c r="X37" s="11"/>
      <c r="Y37" s="7"/>
      <c r="Z37" s="7"/>
      <c r="AA37" s="7"/>
      <c r="AB37" s="10"/>
      <c r="AC37" s="11"/>
      <c r="AD37" s="7"/>
      <c r="AE37" s="7"/>
      <c r="AF37" s="7"/>
      <c r="AG37" s="10"/>
      <c r="AH37" s="11"/>
      <c r="AI37" s="7"/>
      <c r="AJ37" s="7"/>
      <c r="AK37" s="7"/>
    </row>
    <row r="38" ht="17.25" customHeight="1">
      <c r="A38" s="8">
        <f>A21+1</f>
        <v>10</v>
      </c>
      <c r="B38" s="9" t="s">
        <v>5</v>
      </c>
      <c r="C38" s="10" t="str">
        <f>IFERROR(__xludf.DUMMYFUNCTION("IFERROR(FILTER('リスト'!$C$2:$C$400, ('リスト'!$A$2:$A$400 = CHOOSE(WEEKDAY(C$1), ""日"", ""月"", ""火"", ""水"", ""木"", ""金"", ""土"")) * ('リスト'!$B$2:$B$400 = $A38) * ('リスト'!$E$2:$E$400 = ""毎週配信"") * ('リスト'!$O$2:$O$400 = FALSE)), """")"),"事務_販サ経験者向け_東京")</f>
        <v>事務_販サ経験者向け_東京</v>
      </c>
      <c r="D38" s="11" t="str">
        <f>IFERROR(__xludf.DUMMYFUNCTION("iferror(FILTER('リスト'!$D:$D, ('リスト'!$A:$A = C$1) * ('リスト'!$B:$B = $A38)))"),"")</f>
        <v/>
      </c>
      <c r="E38" s="7">
        <f>SUM(D38:D51)</f>
        <v>0</v>
      </c>
      <c r="F38" s="7" t="str">
        <f t="array" ref="F38">IFERROR(XLOOKUP(C38, 'リスト'!$C:$C, 'リスト'!$M:$M, ""), "")</f>
        <v>R</v>
      </c>
      <c r="G38" s="7" t="str">
        <f t="array" ref="G38">IFERROR(XLOOKUP(C38, 'リスト'!$C:$C, 'リスト'!$N:$N, ""), "")</f>
        <v/>
      </c>
      <c r="H38" s="10" t="str">
        <f>IFERROR(__xludf.DUMMYFUNCTION("IFERROR(FILTER('リスト'!$C$2:$C$400, ('リスト'!$A$2:$A$400 = CHOOSE(WEEKDAY(H$1), ""日"", ""月"", ""火"", ""水"", ""木"", ""金"", ""土"")) * ('リスト'!$B$2:$B$400 = $A38) * ('リスト'!$E$2:$E$400 = ""毎週配信"") * ('リスト'!$O$2:$O$400 = FALSE)), """")"),"40代未経験_正社員")</f>
        <v>40代未経験_正社員</v>
      </c>
      <c r="I38" s="11" t="str">
        <f>IFERROR(__xludf.DUMMYFUNCTION("iferror(FILTER('リスト'!$D:$D, ('リスト'!$A:$A = H$1) * ('リスト'!$B:$B = $A38)))"),"")</f>
        <v/>
      </c>
      <c r="J38" s="7">
        <f>SUM(I38:I51)</f>
        <v>0</v>
      </c>
      <c r="K38" s="7" t="str">
        <f t="array" ref="K38">IFERROR(XLOOKUP(H38, 'リスト'!$C:$C, 'リスト'!$M:$M, ""), "")</f>
        <v>R</v>
      </c>
      <c r="L38" s="7" t="str">
        <f t="array" ref="L38">IFERROR(XLOOKUP(H38, 'リスト'!$C:$C, 'リスト'!$N:$N, ""), "")</f>
        <v/>
      </c>
      <c r="M38" s="10" t="str">
        <f>IFERROR(__xludf.DUMMYFUNCTION("IFERROR(FILTER('リスト'!$C$2:$C$400, ('リスト'!$A$2:$A$400 = CHOOSE(WEEKDAY(M$1), ""日"", ""月"", ""火"", ""水"", ""木"", ""金"", ""土"")) * ('リスト'!$B$2:$B$400 = $A38) * ('リスト'!$E$2:$E$400 = ""毎週配信"") * ('リスト'!$O$2:$O$400 = FALSE)), """")"),"フルリモートランキング")</f>
        <v>フルリモートランキング</v>
      </c>
      <c r="N38" s="11" t="str">
        <f>IFERROR(__xludf.DUMMYFUNCTION("iferror(FILTER('リスト'!$D:$D, ('リスト'!$A:$A = M$1) * ('リスト'!$B:$B = $A38)))"),"")</f>
        <v/>
      </c>
      <c r="O38" s="7">
        <f>SUM(N38:N51)</f>
        <v>0</v>
      </c>
      <c r="P38" s="7" t="str">
        <f t="array" ref="P38">IFERROR(XLOOKUP(M38, 'リスト'!$C:$C, 'リスト'!$M:$M, ""), "")</f>
        <v>R</v>
      </c>
      <c r="Q38" s="7" t="str">
        <f t="array" ref="Q38">IFERROR(XLOOKUP(M38, 'リスト'!$C:$C, 'リスト'!$N:$N, ""), "")</f>
        <v/>
      </c>
      <c r="R38" s="10" t="str">
        <f>IFERROR(__xludf.DUMMYFUNCTION("IFERROR(FILTER('リスト'!$C$2:$C$400, ('リスト'!$A$2:$A$400 = CHOOSE(WEEKDAY(R$1), ""日"", ""月"", ""火"", ""水"", ""木"", ""金"", ""土"")) * ('リスト'!$B$2:$B$400 = $A38) * ('リスト'!$E$2:$E$400 = ""毎週配信"") * ('リスト'!$O$2:$O$400 = FALSE)), """")"),"子育手当")</f>
        <v>子育手当</v>
      </c>
      <c r="S38" s="11" t="str">
        <f>IFERROR(__xludf.DUMMYFUNCTION("iferror(FILTER('リスト'!$D:$D, ('リスト'!$A:$A = R$1) * ('リスト'!$B:$B = $A38)))"),"")</f>
        <v/>
      </c>
      <c r="T38" s="7">
        <f>SUM(S38:S51)</f>
        <v>0</v>
      </c>
      <c r="U38" s="7" t="str">
        <f t="array" ref="U38">IFERROR(XLOOKUP(R38, 'リスト'!$C:$C, 'リスト'!$M:$M, ""), "")</f>
        <v>R</v>
      </c>
      <c r="V38" s="7" t="str">
        <f t="array" ref="V38">IFERROR(XLOOKUP(R38, 'リスト'!$C:$C, 'リスト'!$N:$N, ""), "")</f>
        <v/>
      </c>
      <c r="W38" s="10" t="str">
        <f>IFERROR(__xludf.DUMMYFUNCTION("IFERROR(FILTER('リスト'!$C$2:$C$400, ('リスト'!$A$2:$A$400 = CHOOSE(WEEKDAY(W$1), ""日"", ""月"", ""火"", ""水"", ""木"", ""金"", ""土"")) * ('リスト'!$B$2:$B$400 = $A38) * ('リスト'!$E$2:$E$400 = ""毎週配信"") * ('リスト'!$O$2:$O$400 = FALSE)), """")"),"検討中ランキング_事務")</f>
        <v>検討中ランキング_事務</v>
      </c>
      <c r="X38" s="11" t="str">
        <f>IFERROR(__xludf.DUMMYFUNCTION("iferror(FILTER('リスト'!$D:$D, ('リスト'!$A:$A = W$1) * ('リスト'!$B:$B = $A38)))"),"")</f>
        <v/>
      </c>
      <c r="Y38" s="7">
        <f>SUM(X38:X51)</f>
        <v>0</v>
      </c>
      <c r="Z38" s="7" t="str">
        <f t="array" ref="Z38">IFERROR(XLOOKUP(W38, 'リスト'!$C:$C, 'リスト'!$M:$M, ""), "")</f>
        <v>R</v>
      </c>
      <c r="AA38" s="7" t="str">
        <f t="array" ref="AA38">IFERROR(XLOOKUP(W38, 'リスト'!$C:$C, 'リスト'!$N:$N, ""), "")</f>
        <v/>
      </c>
      <c r="AB38" s="10" t="str">
        <f>IFERROR(__xludf.DUMMYFUNCTION("IFERROR(FILTER('リスト'!$C$2:$C$400, ('リスト'!$A$2:$A$400 = CHOOSE(WEEKDAY(AB$1), ""日"", ""月"", ""火"", ""水"", ""木"", ""金"", ""土"")) * ('リスト'!$B$2:$B$400 = $A38) * ('リスト'!$E$2:$E$400 = ""毎週配信"") * ('リスト'!$O$2:$O$400 = FALSE)), """")"),"語学を活かせる")</f>
        <v>語学を活かせる</v>
      </c>
      <c r="AC38" s="11" t="str">
        <f>IFERROR(__xludf.DUMMYFUNCTION("iferror(FILTER('リスト'!$D:$D, ('リスト'!$A:$A = AB$1) * ('リスト'!$B:$B = $A38)))"),"")</f>
        <v/>
      </c>
      <c r="AD38" s="7">
        <f>SUM(AC38:AC51)</f>
        <v>0</v>
      </c>
      <c r="AE38" s="7" t="str">
        <f t="array" ref="AE38">IFERROR(XLOOKUP(AB38, 'リスト'!$C:$C, 'リスト'!$M:$M, ""), "")</f>
        <v>R</v>
      </c>
      <c r="AF38" s="7" t="str">
        <f t="array" ref="AF38">IFERROR(XLOOKUP(AB38, 'リスト'!$C:$C, 'リスト'!$N:$N, ""), "")</f>
        <v/>
      </c>
      <c r="AG38" s="18" t="str">
        <f>IFERROR(__xludf.DUMMYFUNCTION("IFERROR(FILTER('リスト'!$C$2:$C$400, ('リスト'!$A$2:$A$400 = CHOOSE(WEEKDAY(AG$1), ""日"", ""月"", ""火"", ""水"", ""木"", ""金"", ""土"")) * ('リスト'!$B$2:$B$400 = $A38) * ('リスト'!$E$2:$E$400 = ""毎週配信"") * ('リスト'!$O$2:$O$400 = FALSE)), """")"),"☆TP部_事務_希望地")</f>
        <v>☆TP部_事務_希望地</v>
      </c>
      <c r="AH38" s="11" t="str">
        <f>IFERROR(__xludf.DUMMYFUNCTION("iferror(FILTER('リスト'!$D:$D, ('リスト'!$A:$A = AG$1) * ('リスト'!$B:$B = $A38)))"),"")</f>
        <v/>
      </c>
      <c r="AI38" s="7">
        <f>SUM(AH38:AH51)</f>
        <v>0</v>
      </c>
      <c r="AJ38" s="7" t="str">
        <f t="array" ref="AJ38">IFERROR(XLOOKUP(AG38, 'リスト'!$C:$C, 'リスト'!$M:$M, ""), "")</f>
        <v>部</v>
      </c>
      <c r="AK38" s="7" t="str">
        <f t="array" ref="AK38">IFERROR(XLOOKUP(AG38, 'リスト'!$C:$C, 'リスト'!$N:$N, ""), "")</f>
        <v>石</v>
      </c>
    </row>
    <row r="39" ht="17.25" customHeight="1">
      <c r="A39" s="8"/>
      <c r="B39" s="9"/>
      <c r="C39" s="12" t="str">
        <f>IFERROR(__xludf.DUMMYFUNCTION("""COMPUTED_VALUE"""),"面接1回")</f>
        <v>面接1回</v>
      </c>
      <c r="D39" s="7"/>
      <c r="E39" s="7"/>
      <c r="F39" s="7" t="str">
        <f t="array" ref="F39">IFERROR(XLOOKUP(C39, 'リスト'!$C:$C, 'リスト'!$M:$M, ""), "")</f>
        <v>R</v>
      </c>
      <c r="G39" s="7" t="str">
        <f t="array" ref="G39">IFERROR(XLOOKUP(C39, 'リスト'!$C:$C, 'リスト'!$N:$N, ""), "")</f>
        <v/>
      </c>
      <c r="H39" s="12" t="str">
        <f>IFERROR(__xludf.DUMMYFUNCTION("""COMPUTED_VALUE"""),"子育て支援")</f>
        <v>子育て支援</v>
      </c>
      <c r="I39" s="7"/>
      <c r="J39" s="7"/>
      <c r="K39" s="7" t="str">
        <f t="array" ref="K39">IFERROR(XLOOKUP(H39, 'リスト'!$C:$C, 'リスト'!$M:$M, ""), "")</f>
        <v>R</v>
      </c>
      <c r="L39" s="7" t="str">
        <f t="array" ref="L39">IFERROR(XLOOKUP(H39, 'リスト'!$C:$C, 'リスト'!$N:$N, ""), "")</f>
        <v/>
      </c>
      <c r="M39" s="12" t="str">
        <f>IFERROR(__xludf.DUMMYFUNCTION("""COMPUTED_VALUE"""),"経験活かせる_営業")</f>
        <v>経験活かせる_営業</v>
      </c>
      <c r="N39" s="7"/>
      <c r="O39" s="7"/>
      <c r="P39" s="7" t="str">
        <f t="array" ref="P39">IFERROR(XLOOKUP(M39, 'リスト'!$C:$C, 'リスト'!$M:$M, ""), "")</f>
        <v>R</v>
      </c>
      <c r="Q39" s="7" t="str">
        <f t="array" ref="Q39">IFERROR(XLOOKUP(M39, 'リスト'!$C:$C, 'リスト'!$N:$N, ""), "")</f>
        <v/>
      </c>
      <c r="R39" s="12"/>
      <c r="S39" s="7"/>
      <c r="T39" s="7"/>
      <c r="U39" s="7" t="str">
        <f t="array" ref="U39">IFERROR(XLOOKUP(R39, 'リスト'!$C:$C, 'リスト'!$M:$M, ""), "")</f>
        <v/>
      </c>
      <c r="V39" s="7" t="str">
        <f t="array" ref="V39">IFERROR(XLOOKUP(R39, 'リスト'!$C:$C, 'リスト'!$N:$N, ""), "")</f>
        <v/>
      </c>
      <c r="W39" s="12"/>
      <c r="X39" s="7"/>
      <c r="Y39" s="7"/>
      <c r="Z39" s="7" t="str">
        <f t="array" ref="Z39">IFERROR(XLOOKUP(W39, 'リスト'!$C:$C, 'リスト'!$M:$M, ""), "")</f>
        <v/>
      </c>
      <c r="AA39" s="7" t="str">
        <f t="array" ref="AA39">IFERROR(XLOOKUP(W39, 'リスト'!$C:$C, 'リスト'!$N:$N, ""), "")</f>
        <v/>
      </c>
      <c r="AB39" s="12"/>
      <c r="AC39" s="7"/>
      <c r="AD39" s="7"/>
      <c r="AE39" s="7" t="str">
        <f t="array" ref="AE39">IFERROR(XLOOKUP(AB39, 'リスト'!$C:$C, 'リスト'!$M:$M, ""), "")</f>
        <v/>
      </c>
      <c r="AF39" s="7" t="str">
        <f t="array" ref="AF39">IFERROR(XLOOKUP(AB39, 'リスト'!$C:$C, 'リスト'!$N:$N, ""), "")</f>
        <v/>
      </c>
      <c r="AG39" s="12"/>
      <c r="AH39" s="7"/>
      <c r="AI39" s="7"/>
      <c r="AJ39" s="7" t="str">
        <f t="array" ref="AJ39">IFERROR(XLOOKUP(AG39, 'リスト'!$C:$C, 'リスト'!$M:$M, ""), "")</f>
        <v/>
      </c>
      <c r="AK39" s="7" t="str">
        <f t="array" ref="AK39">IFERROR(XLOOKUP(AG39, 'リスト'!$C:$C, 'リスト'!$N:$N, ""), "")</f>
        <v/>
      </c>
    </row>
    <row r="40" ht="17.25" customHeight="1">
      <c r="A40" s="8"/>
      <c r="B40" s="9"/>
      <c r="C40" s="10" t="str">
        <f>IFERROR(__xludf.DUMMYFUNCTION("""COMPUTED_VALUE"""),"面接1回_35歳以上")</f>
        <v>面接1回_35歳以上</v>
      </c>
      <c r="D40" s="13"/>
      <c r="E40" s="7"/>
      <c r="F40" s="7" t="str">
        <f t="array" ref="F40">IFERROR(XLOOKUP(C40, 'リスト'!$C:$C, 'リスト'!$M:$M, ""), "")</f>
        <v>R</v>
      </c>
      <c r="G40" s="7" t="str">
        <f t="array" ref="G40">IFERROR(XLOOKUP(C40, 'リスト'!$C:$C, 'リスト'!$N:$N, ""), "")</f>
        <v/>
      </c>
      <c r="H40" s="10" t="str">
        <f>IFERROR(__xludf.DUMMYFUNCTION("""COMPUTED_VALUE"""),"趣味・興味メルマガ_A")</f>
        <v>趣味・興味メルマガ_A</v>
      </c>
      <c r="I40" s="13"/>
      <c r="J40" s="7"/>
      <c r="K40" s="7" t="str">
        <f t="array" ref="K40">IFERROR(XLOOKUP(H40, 'リスト'!$C:$C, 'リスト'!$M:$M, ""), "")</f>
        <v>R</v>
      </c>
      <c r="L40" s="7" t="str">
        <f t="array" ref="L40">IFERROR(XLOOKUP(H40, 'リスト'!$C:$C, 'リスト'!$N:$N, ""), "")</f>
        <v/>
      </c>
      <c r="M40" s="10" t="str">
        <f>IFERROR(__xludf.DUMMYFUNCTION("""COMPUTED_VALUE"""),"経験活かせる_事務")</f>
        <v>経験活かせる_事務</v>
      </c>
      <c r="N40" s="13"/>
      <c r="O40" s="7"/>
      <c r="P40" s="7" t="str">
        <f t="array" ref="P40">IFERROR(XLOOKUP(M40, 'リスト'!$C:$C, 'リスト'!$M:$M, ""), "")</f>
        <v>R</v>
      </c>
      <c r="Q40" s="7" t="str">
        <f t="array" ref="Q40">IFERROR(XLOOKUP(M40, 'リスト'!$C:$C, 'リスト'!$N:$N, ""), "")</f>
        <v/>
      </c>
      <c r="R40" s="10"/>
      <c r="S40" s="13"/>
      <c r="T40" s="7"/>
      <c r="U40" s="7" t="str">
        <f t="array" ref="U40">IFERROR(XLOOKUP(R40, 'リスト'!$C:$C, 'リスト'!$M:$M, ""), "")</f>
        <v/>
      </c>
      <c r="V40" s="7" t="str">
        <f t="array" ref="V40">IFERROR(XLOOKUP(R40, 'リスト'!$C:$C, 'リスト'!$N:$N, ""), "")</f>
        <v/>
      </c>
      <c r="W40" s="10"/>
      <c r="X40" s="13"/>
      <c r="Y40" s="7"/>
      <c r="Z40" s="7" t="str">
        <f t="array" ref="Z40">IFERROR(XLOOKUP(W40, 'リスト'!$C:$C, 'リスト'!$M:$M, ""), "")</f>
        <v/>
      </c>
      <c r="AA40" s="7" t="str">
        <f t="array" ref="AA40">IFERROR(XLOOKUP(W40, 'リスト'!$C:$C, 'リスト'!$N:$N, ""), "")</f>
        <v/>
      </c>
      <c r="AB40" s="10"/>
      <c r="AC40" s="13"/>
      <c r="AD40" s="7"/>
      <c r="AE40" s="7" t="str">
        <f t="array" ref="AE40">IFERROR(XLOOKUP(AB40, 'リスト'!$C:$C, 'リスト'!$M:$M, ""), "")</f>
        <v/>
      </c>
      <c r="AF40" s="7" t="str">
        <f t="array" ref="AF40">IFERROR(XLOOKUP(AB40, 'リスト'!$C:$C, 'リスト'!$N:$N, ""), "")</f>
        <v/>
      </c>
      <c r="AG40" s="10"/>
      <c r="AH40" s="13"/>
      <c r="AI40" s="7"/>
      <c r="AJ40" s="7" t="str">
        <f t="array" ref="AJ40">IFERROR(XLOOKUP(AG40, 'リスト'!$C:$C, 'リスト'!$M:$M, ""), "")</f>
        <v/>
      </c>
      <c r="AK40" s="7" t="str">
        <f t="array" ref="AK40">IFERROR(XLOOKUP(AG40, 'リスト'!$C:$C, 'リスト'!$N:$N, ""), "")</f>
        <v/>
      </c>
    </row>
    <row r="41" ht="17.25" customHeight="1">
      <c r="A41" s="8"/>
      <c r="B41" s="9"/>
      <c r="C41" s="14"/>
      <c r="D41" s="15"/>
      <c r="E41" s="7"/>
      <c r="F41" s="7" t="str">
        <f t="array" ref="F41">IFERROR(XLOOKUP(C41, 'リスト'!$C:$C, 'リスト'!$M:$M, ""), "")</f>
        <v/>
      </c>
      <c r="G41" s="7" t="str">
        <f t="array" ref="G41">IFERROR(XLOOKUP(C41, 'リスト'!$C:$C, 'リスト'!$N:$N, ""), "")</f>
        <v/>
      </c>
      <c r="H41" s="14"/>
      <c r="I41" s="15"/>
      <c r="J41" s="7"/>
      <c r="K41" s="7" t="str">
        <f t="array" ref="K41">IFERROR(XLOOKUP(H41, 'リスト'!$C:$C, 'リスト'!$M:$M, ""), "")</f>
        <v/>
      </c>
      <c r="L41" s="7" t="str">
        <f t="array" ref="L41">IFERROR(XLOOKUP(H41, 'リスト'!$C:$C, 'リスト'!$N:$N, ""), "")</f>
        <v/>
      </c>
      <c r="M41" s="14" t="str">
        <f>IFERROR(__xludf.DUMMYFUNCTION("""COMPUTED_VALUE"""),"副業OK")</f>
        <v>副業OK</v>
      </c>
      <c r="N41" s="15"/>
      <c r="O41" s="7"/>
      <c r="P41" s="7" t="str">
        <f t="array" ref="P41">IFERROR(XLOOKUP(M41, 'リスト'!$C:$C, 'リスト'!$M:$M, ""), "")</f>
        <v>R</v>
      </c>
      <c r="Q41" s="7" t="str">
        <f t="array" ref="Q41">IFERROR(XLOOKUP(M41, 'リスト'!$C:$C, 'リスト'!$N:$N, ""), "")</f>
        <v/>
      </c>
      <c r="R41" s="14"/>
      <c r="S41" s="15"/>
      <c r="T41" s="7"/>
      <c r="U41" s="7" t="str">
        <f t="array" ref="U41">IFERROR(XLOOKUP(R41, 'リスト'!$C:$C, 'リスト'!$M:$M, ""), "")</f>
        <v/>
      </c>
      <c r="V41" s="7" t="str">
        <f t="array" ref="V41">IFERROR(XLOOKUP(R41, 'リスト'!$C:$C, 'リスト'!$N:$N, ""), "")</f>
        <v/>
      </c>
      <c r="W41" s="14"/>
      <c r="X41" s="15"/>
      <c r="Y41" s="7"/>
      <c r="Z41" s="7" t="str">
        <f t="array" ref="Z41">IFERROR(XLOOKUP(W41, 'リスト'!$C:$C, 'リスト'!$M:$M, ""), "")</f>
        <v/>
      </c>
      <c r="AA41" s="7" t="str">
        <f t="array" ref="AA41">IFERROR(XLOOKUP(W41, 'リスト'!$C:$C, 'リスト'!$N:$N, ""), "")</f>
        <v/>
      </c>
      <c r="AB41" s="14"/>
      <c r="AC41" s="15"/>
      <c r="AD41" s="7"/>
      <c r="AE41" s="7" t="str">
        <f t="array" ref="AE41">IFERROR(XLOOKUP(AB41, 'リスト'!$C:$C, 'リスト'!$M:$M, ""), "")</f>
        <v/>
      </c>
      <c r="AF41" s="7" t="str">
        <f t="array" ref="AF41">IFERROR(XLOOKUP(AB41, 'リスト'!$C:$C, 'リスト'!$N:$N, ""), "")</f>
        <v/>
      </c>
      <c r="AG41" s="14"/>
      <c r="AH41" s="15"/>
      <c r="AI41" s="7"/>
      <c r="AJ41" s="7" t="str">
        <f t="array" ref="AJ41">IFERROR(XLOOKUP(AG41, 'リスト'!$C:$C, 'リスト'!$M:$M, ""), "")</f>
        <v/>
      </c>
      <c r="AK41" s="7" t="str">
        <f t="array" ref="AK41">IFERROR(XLOOKUP(AG41, 'リスト'!$C:$C, 'リスト'!$N:$N, ""), "")</f>
        <v/>
      </c>
    </row>
    <row r="42" ht="17.25" customHeight="1">
      <c r="A42" s="8"/>
      <c r="B42" s="9"/>
      <c r="C42" s="14"/>
      <c r="D42" s="13"/>
      <c r="E42" s="7"/>
      <c r="F42" s="7"/>
      <c r="G42" s="7"/>
      <c r="H42" s="14"/>
      <c r="I42" s="13"/>
      <c r="J42" s="7"/>
      <c r="K42" s="7"/>
      <c r="L42" s="7"/>
      <c r="M42" s="14"/>
      <c r="N42" s="13"/>
      <c r="O42" s="7"/>
      <c r="P42" s="7"/>
      <c r="Q42" s="7"/>
      <c r="R42" s="14"/>
      <c r="S42" s="13"/>
      <c r="T42" s="7"/>
      <c r="U42" s="7"/>
      <c r="V42" s="7"/>
      <c r="W42" s="14"/>
      <c r="X42" s="13"/>
      <c r="Y42" s="7"/>
      <c r="Z42" s="7"/>
      <c r="AA42" s="7"/>
      <c r="AB42" s="14"/>
      <c r="AC42" s="13"/>
      <c r="AD42" s="7"/>
      <c r="AE42" s="7"/>
      <c r="AF42" s="7"/>
      <c r="AG42" s="14"/>
      <c r="AH42" s="13"/>
      <c r="AI42" s="7"/>
      <c r="AJ42" s="7"/>
      <c r="AK42" s="7"/>
    </row>
    <row r="43" ht="17.25" customHeight="1">
      <c r="A43" s="8"/>
      <c r="B43" s="9"/>
      <c r="C43" s="14"/>
      <c r="D43" s="13"/>
      <c r="E43" s="7"/>
      <c r="F43" s="7"/>
      <c r="G43" s="7"/>
      <c r="H43" s="14"/>
      <c r="I43" s="13"/>
      <c r="J43" s="7"/>
      <c r="K43" s="7"/>
      <c r="L43" s="7"/>
      <c r="M43" s="14"/>
      <c r="N43" s="13"/>
      <c r="O43" s="7"/>
      <c r="P43" s="7"/>
      <c r="Q43" s="7"/>
      <c r="R43" s="14"/>
      <c r="S43" s="13"/>
      <c r="T43" s="7"/>
      <c r="U43" s="7"/>
      <c r="V43" s="7"/>
      <c r="W43" s="14"/>
      <c r="X43" s="13"/>
      <c r="Y43" s="7"/>
      <c r="Z43" s="7"/>
      <c r="AA43" s="7"/>
      <c r="AB43" s="14"/>
      <c r="AC43" s="13"/>
      <c r="AD43" s="7"/>
      <c r="AE43" s="7"/>
      <c r="AF43" s="7"/>
      <c r="AG43" s="14"/>
      <c r="AH43" s="13"/>
      <c r="AI43" s="7"/>
      <c r="AJ43" s="7"/>
      <c r="AK43" s="7"/>
    </row>
    <row r="44" ht="17.25" customHeight="1">
      <c r="A44" s="8"/>
      <c r="B44" s="9"/>
      <c r="C44" s="14"/>
      <c r="D44" s="13"/>
      <c r="E44" s="7"/>
      <c r="F44" s="7"/>
      <c r="G44" s="7"/>
      <c r="H44" s="14"/>
      <c r="I44" s="13"/>
      <c r="J44" s="7"/>
      <c r="K44" s="7"/>
      <c r="L44" s="7"/>
      <c r="M44" s="14"/>
      <c r="N44" s="13"/>
      <c r="O44" s="7"/>
      <c r="P44" s="7"/>
      <c r="Q44" s="7"/>
      <c r="R44" s="14"/>
      <c r="S44" s="13"/>
      <c r="T44" s="7"/>
      <c r="U44" s="7"/>
      <c r="V44" s="7"/>
      <c r="W44" s="14"/>
      <c r="X44" s="13"/>
      <c r="Y44" s="7"/>
      <c r="Z44" s="7"/>
      <c r="AA44" s="7"/>
      <c r="AB44" s="14"/>
      <c r="AC44" s="13"/>
      <c r="AD44" s="7"/>
      <c r="AE44" s="7"/>
      <c r="AF44" s="7"/>
      <c r="AG44" s="14"/>
      <c r="AH44" s="13"/>
      <c r="AI44" s="7"/>
      <c r="AJ44" s="7"/>
      <c r="AK44" s="7"/>
    </row>
    <row r="45" ht="17.25" customHeight="1">
      <c r="A45" s="8"/>
      <c r="B45" s="9"/>
      <c r="C45" s="14"/>
      <c r="D45" s="13"/>
      <c r="E45" s="7"/>
      <c r="F45" s="7"/>
      <c r="G45" s="7"/>
      <c r="H45" s="14"/>
      <c r="I45" s="13"/>
      <c r="J45" s="7"/>
      <c r="K45" s="7"/>
      <c r="L45" s="7"/>
      <c r="M45" s="14"/>
      <c r="N45" s="13"/>
      <c r="O45" s="7"/>
      <c r="P45" s="7"/>
      <c r="Q45" s="7"/>
      <c r="R45" s="14"/>
      <c r="S45" s="13"/>
      <c r="T45" s="7"/>
      <c r="U45" s="7"/>
      <c r="V45" s="7"/>
      <c r="W45" s="14"/>
      <c r="X45" s="13"/>
      <c r="Y45" s="7"/>
      <c r="Z45" s="7"/>
      <c r="AA45" s="7"/>
      <c r="AB45" s="14"/>
      <c r="AC45" s="13"/>
      <c r="AD45" s="7"/>
      <c r="AE45" s="7"/>
      <c r="AF45" s="7"/>
      <c r="AG45" s="14"/>
      <c r="AH45" s="13"/>
      <c r="AI45" s="7"/>
      <c r="AJ45" s="7"/>
      <c r="AK45" s="7"/>
    </row>
    <row r="46" ht="17.25" customHeight="1">
      <c r="A46" s="8"/>
      <c r="B46" s="9" t="s">
        <v>6</v>
      </c>
      <c r="C46" s="10" t="str">
        <f>IFERROR(__xludf.DUMMYFUNCTION("iferror(FILTER('新規'!$C:$C, ('新規'!$A:$A = C$1) * ('新規'!$B:$B = $A38)))"),"カスタマーサクセス_リモート ")</f>
        <v>カスタマーサクセス_リモート </v>
      </c>
      <c r="D46" s="11" t="str">
        <f>IFERROR(__xludf.DUMMYFUNCTION("IFERROR(FILTER('新規'!$D$2:$D$400, ('新規'!$A$2:$A$400 = CHOOSE(WEEKDAY(C$1), ""日"", ""月"", ""火"", ""水"", ""木"", ""金"", ""土"")) * ('新規'!$B$2:$B$400 = $A$3) * ('新規'!$O$2:$O$400 = FALSE)), """")"),"")</f>
        <v/>
      </c>
      <c r="E46" s="7"/>
      <c r="F46" s="7" t="str">
        <f>IFERROR(__xludf.DUMMYFUNCTION("IFERROR(FILTER('新規'!$M$2:$M$400, ('新規'!$A$2:$A$400 = CHOOSE(WEEKDAY(C$1), ""日"", ""月"", ""火"", ""水"", ""木"", ""金"", ""土"")) * ('新規'!$B$2:$B$400 = $A$3) * ('新規'!$O$2:$O$400 = FALSE)), """")"),"")</f>
        <v/>
      </c>
      <c r="G46" s="7" t="str">
        <f>IFERROR(__xludf.DUMMYFUNCTION("IFERROR(FILTER('新規'!$N$2:$N$400, ('新規'!$A$2:$A$400 = CHOOSE(WEEKDAY(C$1), ""日"", ""月"", ""火"", ""水"", ""木"", ""金"", ""土"")) * ('新規'!$B$2:$B$400 = $A$3) * ('新規'!$O$2:$O$400 = FALSE)), """")"),"")</f>
        <v/>
      </c>
      <c r="H46" s="10" t="str">
        <f>IFERROR(__xludf.DUMMYFUNCTION("iferror(FILTER('新規'!$C:$C, ('新規'!$A:$A = H$1) * ('新規'!$B:$B = $A38)))"),"週休3日OK_ランキング")</f>
        <v>週休3日OK_ランキング</v>
      </c>
      <c r="I46" s="11" t="str">
        <f>IFERROR(__xludf.DUMMYFUNCTION("IFERROR(FILTER('新規'!$D$2:$D$400, ('新規'!$A$2:$A$400 = CHOOSE(WEEKDAY(H$1), ""日"", ""月"", ""火"", ""水"", ""木"", ""金"", ""土"")) * ('新規'!$B$2:$B$400 = $A$3) * ('新規'!$O$2:$O$400 = FALSE)), """")"),"")</f>
        <v/>
      </c>
      <c r="J46" s="7"/>
      <c r="K46" s="7" t="str">
        <f>IFERROR(__xludf.DUMMYFUNCTION("IFERROR(FILTER('新規'!$M$2:$M$400, ('新規'!$A$2:$A$400 = CHOOSE(WEEKDAY(H$1), ""日"", ""月"", ""火"", ""水"", ""木"", ""金"", ""土"")) * ('新規'!$B$2:$B$400 = $A$3) * ('新規'!$O$2:$O$400 = FALSE)), """")"),"")</f>
        <v/>
      </c>
      <c r="L46" s="7" t="str">
        <f>IFERROR(__xludf.DUMMYFUNCTION("IFERROR(FILTER('新規'!$N$2:$N$400, ('新規'!$A$2:$A$400 = CHOOSE(WEEKDAY(H$1), ""日"", ""月"", ""火"", ""水"", ""木"", ""金"", ""土"")) * ('新規'!$B$2:$B$400 = $A$3) * ('新規'!$O$2:$O$400 = FALSE)), """")"),"")</f>
        <v/>
      </c>
      <c r="M46" s="10" t="str">
        <f>IFERROR(__xludf.DUMMYFUNCTION("iferror(FILTER('新規'!$C:$C, ('新規'!$A:$A = M$1) * ('新規'!$B:$B = $A38)))"),"フルリモートランキング_新規8日から29日")</f>
        <v>フルリモートランキング_新規8日から29日</v>
      </c>
      <c r="N46" s="11" t="str">
        <f>IFERROR(__xludf.DUMMYFUNCTION("IFERROR(FILTER('新規'!$D$2:$D$400, ('新規'!$A$2:$A$400 = CHOOSE(WEEKDAY(M$1), ""日"", ""月"", ""火"", ""水"", ""木"", ""金"", ""土"")) * ('新規'!$B$2:$B$400 = $A$3) * ('新規'!$O$2:$O$400 = FALSE)), """")"),"")</f>
        <v/>
      </c>
      <c r="O46" s="7"/>
      <c r="P46" s="7" t="str">
        <f>IFERROR(__xludf.DUMMYFUNCTION("IFERROR(FILTER('新規'!$M$2:$M$400, ('新規'!$A$2:$A$400 = CHOOSE(WEEKDAY(M$1), ""日"", ""月"", ""火"", ""水"", ""木"", ""金"", ""土"")) * ('新規'!$B$2:$B$400 = $A$3) * ('新規'!$O$2:$O$400 = FALSE)), """")"),"")</f>
        <v/>
      </c>
      <c r="Q46" s="7" t="str">
        <f>IFERROR(__xludf.DUMMYFUNCTION("IFERROR(FILTER('新規'!$N$2:$N$400, ('新規'!$A$2:$A$400 = CHOOSE(WEEKDAY(M$1), ""日"", ""月"", ""火"", ""水"", ""木"", ""金"", ""土"")) * ('新規'!$B$2:$B$400 = $A$3) * ('新規'!$O$2:$O$400 = FALSE)), """")"),"")</f>
        <v/>
      </c>
      <c r="R46" s="10" t="str">
        <f>IFERROR(__xludf.DUMMYFUNCTION("iferror(FILTER('新規'!$C:$C, ('新規'!$A:$A = R$1) * ('新規'!$B:$B = $A38)))"),"")</f>
        <v/>
      </c>
      <c r="S46" s="11" t="str">
        <f>IFERROR(__xludf.DUMMYFUNCTION("IFERROR(FILTER('新規'!$D$2:$D$400, ('新規'!$A$2:$A$400 = CHOOSE(WEEKDAY(R$1), ""日"", ""月"", ""火"", ""水"", ""木"", ""金"", ""土"")) * ('新規'!$B$2:$B$400 = $A$3) * ('新規'!$O$2:$O$400 = FALSE)), """")"),"")</f>
        <v/>
      </c>
      <c r="T46" s="7"/>
      <c r="U46" s="7" t="str">
        <f>IFERROR(__xludf.DUMMYFUNCTION("IFERROR(FILTER('新規'!$M$2:$M$400, ('新規'!$A$2:$A$400 = CHOOSE(WEEKDAY(R$1), ""日"", ""月"", ""火"", ""水"", ""木"", ""金"", ""土"")) * ('新規'!$B$2:$B$400 = $A$3) * ('新規'!$O$2:$O$400 = FALSE)), """")"),"")</f>
        <v/>
      </c>
      <c r="V46" s="7" t="str">
        <f>IFERROR(__xludf.DUMMYFUNCTION("IFERROR(FILTER('新規'!$N$2:$N$400, ('新規'!$A$2:$A$400 = CHOOSE(WEEKDAY(R$1), ""日"", ""月"", ""火"", ""水"", ""木"", ""金"", ""土"")) * ('新規'!$B$2:$B$400 = $A$3) * ('新規'!$O$2:$O$400 = FALSE)), """")"),"")</f>
        <v/>
      </c>
      <c r="W46" s="10" t="str">
        <f>IFERROR(__xludf.DUMMYFUNCTION("iferror(FILTER('新規'!$C:$C, ('新規'!$A:$A = W$1) * ('新規'!$B:$B = $A38)))"),"JAD特集")</f>
        <v>JAD特集</v>
      </c>
      <c r="X46" s="11" t="str">
        <f>IFERROR(__xludf.DUMMYFUNCTION("IFERROR(FILTER('新規'!$D$2:$D$400, ('新規'!$A$2:$A$400 = CHOOSE(WEEKDAY(W$1), ""日"", ""月"", ""火"", ""水"", ""木"", ""金"", ""土"")) * ('新規'!$B$2:$B$400 = $A$3) * ('新規'!$O$2:$O$400 = FALSE)), """")"),"")</f>
        <v/>
      </c>
      <c r="Y46" s="7"/>
      <c r="Z46" s="7" t="str">
        <f>IFERROR(__xludf.DUMMYFUNCTION("IFERROR(FILTER('新規'!$M$2:$M$400, ('新規'!$A$2:$A$400 = CHOOSE(WEEKDAY(W$1), ""日"", ""月"", ""火"", ""水"", ""木"", ""金"", ""土"")) * ('新規'!$B$2:$B$400 = $A$3) * ('新規'!$O$2:$O$400 = FALSE)), """")"),"")</f>
        <v/>
      </c>
      <c r="AA46" s="7" t="str">
        <f>IFERROR(__xludf.DUMMYFUNCTION("IFERROR(FILTER('新規'!$N$2:$N$400, ('新規'!$A$2:$A$400 = CHOOSE(WEEKDAY(W$1), ""日"", ""月"", ""火"", ""水"", ""木"", ""金"", ""土"")) * ('新規'!$B$2:$B$400 = $A$3) * ('新規'!$O$2:$O$400 = FALSE)), """")"),"")</f>
        <v/>
      </c>
      <c r="AB46" s="10" t="str">
        <f>IFERROR(__xludf.DUMMYFUNCTION("iferror(FILTER('新規'!$C:$C, ('新規'!$A:$A = AB$1) * ('新規'!$B:$B = $A38)))"),"")</f>
        <v/>
      </c>
      <c r="AC46" s="11" t="str">
        <f>IFERROR(__xludf.DUMMYFUNCTION("IFERROR(FILTER('新規'!$D$2:$D$400, ('新規'!$A$2:$A$400 = CHOOSE(WEEKDAY(AB$1), ""日"", ""月"", ""火"", ""水"", ""木"", ""金"", ""土"")) * ('新規'!$B$2:$B$400 = $A$3) * ('新規'!$O$2:$O$400 = FALSE)), """")"),"")</f>
        <v/>
      </c>
      <c r="AD46" s="7"/>
      <c r="AE46" s="7" t="str">
        <f>IFERROR(__xludf.DUMMYFUNCTION("IFERROR(FILTER('新規'!$M$2:$M$400, ('新規'!$A$2:$A$400 = CHOOSE(WEEKDAY(AB$1), ""日"", ""月"", ""火"", ""水"", ""木"", ""金"", ""土"")) * ('新規'!$B$2:$B$400 = $A$3) * ('新規'!$O$2:$O$400 = FALSE)), """")"),"")</f>
        <v/>
      </c>
      <c r="AF46" s="7" t="str">
        <f>IFERROR(__xludf.DUMMYFUNCTION("IFERROR(FILTER('新規'!$N$2:$N$400, ('新規'!$A$2:$A$400 = CHOOSE(WEEKDAY(AB$1), ""日"", ""月"", ""火"", ""水"", ""木"", ""金"", ""土"")) * ('新規'!$B$2:$B$400 = $A$3) * ('新規'!$O$2:$O$400 = FALSE)), """")"),"")</f>
        <v/>
      </c>
      <c r="AG46" s="10" t="str">
        <f>IFERROR(__xludf.DUMMYFUNCTION("iferror(FILTER('新規'!$C:$C, ('新規'!$A:$A = AG$1) * ('新規'!$B:$B = $A38)))"),"")</f>
        <v/>
      </c>
      <c r="AH46" s="11" t="str">
        <f>IFERROR(__xludf.DUMMYFUNCTION("IFERROR(FILTER('新規'!$D$2:$D$400, ('新規'!$A$2:$A$400 = CHOOSE(WEEKDAY(AG$1), ""日"", ""月"", ""火"", ""水"", ""木"", ""金"", ""土"")) * ('新規'!$B$2:$B$400 = $A$3) * ('新規'!$O$2:$O$400 = FALSE)), """")"),"")</f>
        <v/>
      </c>
      <c r="AI46" s="7"/>
      <c r="AJ46" s="7" t="str">
        <f>IFERROR(__xludf.DUMMYFUNCTION("IFERROR(FILTER('新規'!$M$2:$M$400, ('新規'!$A$2:$A$400 = CHOOSE(WEEKDAY(AG$1), ""日"", ""月"", ""火"", ""水"", ""木"", ""金"", ""土"")) * ('新規'!$B$2:$B$400 = $A$3) * ('新規'!$O$2:$O$400 = FALSE)), """")"),"")</f>
        <v/>
      </c>
      <c r="AK46" s="7" t="str">
        <f>IFERROR(__xludf.DUMMYFUNCTION("IFERROR(FILTER('新規'!$N$2:$N$400, ('新規'!$A$2:$A$400 = CHOOSE(WEEKDAY(AG$1), ""日"", ""月"", ""火"", ""水"", ""木"", ""金"", ""土"")) * ('新規'!$B$2:$B$400 = $A$3) * ('新規'!$O$2:$O$400 = FALSE)), """")"),"")</f>
        <v/>
      </c>
    </row>
    <row r="47" ht="17.25" customHeight="1">
      <c r="A47" s="8"/>
      <c r="B47" s="9"/>
      <c r="C47" s="17"/>
      <c r="D47" s="7"/>
      <c r="E47" s="7"/>
      <c r="F47" s="7" t="str">
        <f t="array" ref="F47">IFERROR(XLOOKUP(C47, 'リスト'!$C:$C, 'リスト'!$M:$M, ""), "")</f>
        <v/>
      </c>
      <c r="G47" s="7" t="str">
        <f t="array" ref="G47">IFERROR(XLOOKUP(C47, 'リスト'!$C:$C, 'リスト'!$N:$N, ""), "")</f>
        <v/>
      </c>
      <c r="H47" s="17" t="str">
        <f>IFERROR(__xludf.DUMMYFUNCTION("""COMPUTED_VALUE"""),"全国募集")</f>
        <v>全国募集</v>
      </c>
      <c r="I47" s="7"/>
      <c r="J47" s="7"/>
      <c r="K47" s="7" t="str">
        <f t="array" ref="K47">IFERROR(XLOOKUP(H47, 'リスト'!$C:$C, 'リスト'!$M:$M, ""), "")</f>
        <v/>
      </c>
      <c r="L47" s="7" t="str">
        <f t="array" ref="L47">IFERROR(XLOOKUP(H47, 'リスト'!$C:$C, 'リスト'!$N:$N, ""), "")</f>
        <v/>
      </c>
      <c r="M47" s="17"/>
      <c r="N47" s="7"/>
      <c r="O47" s="7"/>
      <c r="P47" s="7" t="str">
        <f t="array" ref="P47">IFERROR(XLOOKUP(M47, 'リスト'!$C:$C, 'リスト'!$M:$M, ""), "")</f>
        <v/>
      </c>
      <c r="Q47" s="7" t="str">
        <f t="array" ref="Q47">IFERROR(XLOOKUP(M47, 'リスト'!$C:$C, 'リスト'!$N:$N, ""), "")</f>
        <v/>
      </c>
      <c r="R47" s="17"/>
      <c r="S47" s="7"/>
      <c r="T47" s="7"/>
      <c r="U47" s="7" t="str">
        <f t="array" ref="U47">IFERROR(XLOOKUP(R47, 'リスト'!$C:$C, 'リスト'!$M:$M, ""), "")</f>
        <v/>
      </c>
      <c r="V47" s="7" t="str">
        <f t="array" ref="V47">IFERROR(XLOOKUP(R47, 'リスト'!$C:$C, 'リスト'!$N:$N, ""), "")</f>
        <v/>
      </c>
      <c r="W47" s="17"/>
      <c r="X47" s="7"/>
      <c r="Y47" s="7"/>
      <c r="Z47" s="7" t="str">
        <f t="array" ref="Z47">IFERROR(XLOOKUP(W47, 'リスト'!$C:$C, 'リスト'!$M:$M, ""), "")</f>
        <v/>
      </c>
      <c r="AA47" s="7" t="str">
        <f t="array" ref="AA47">IFERROR(XLOOKUP(W47, 'リスト'!$C:$C, 'リスト'!$N:$N, ""), "")</f>
        <v/>
      </c>
      <c r="AB47" s="17"/>
      <c r="AC47" s="7"/>
      <c r="AD47" s="7"/>
      <c r="AE47" s="7" t="str">
        <f t="array" ref="AE47">IFERROR(XLOOKUP(AB47, 'リスト'!$C:$C, 'リスト'!$M:$M, ""), "")</f>
        <v/>
      </c>
      <c r="AF47" s="7" t="str">
        <f t="array" ref="AF47">IFERROR(XLOOKUP(AB47, 'リスト'!$C:$C, 'リスト'!$N:$N, ""), "")</f>
        <v/>
      </c>
      <c r="AG47" s="17"/>
      <c r="AH47" s="7"/>
      <c r="AI47" s="7"/>
      <c r="AJ47" s="7" t="str">
        <f t="array" ref="AJ47">IFERROR(XLOOKUP(AG47, 'リスト'!$C:$C, 'リスト'!$M:$M, ""), "")</f>
        <v/>
      </c>
      <c r="AK47" s="7" t="str">
        <f t="array" ref="AK47">IFERROR(XLOOKUP(AG47, 'リスト'!$C:$C, 'リスト'!$N:$N, ""), "")</f>
        <v/>
      </c>
    </row>
    <row r="48" ht="17.25" customHeight="1">
      <c r="A48" s="8"/>
      <c r="B48" s="9"/>
      <c r="C48" s="17"/>
      <c r="D48" s="7"/>
      <c r="E48" s="7"/>
      <c r="F48" s="7" t="str">
        <f t="array" ref="F48">IFERROR(XLOOKUP(C48, 'リスト'!$C:$C, 'リスト'!$M:$M, ""), "")</f>
        <v/>
      </c>
      <c r="G48" s="7" t="str">
        <f t="array" ref="G48">IFERROR(XLOOKUP(C48, 'リスト'!$C:$C, 'リスト'!$N:$N, ""), "")</f>
        <v/>
      </c>
      <c r="H48" s="17"/>
      <c r="I48" s="7"/>
      <c r="J48" s="7"/>
      <c r="K48" s="7" t="str">
        <f t="array" ref="K48">IFERROR(XLOOKUP(H48, 'リスト'!$C:$C, 'リスト'!$M:$M, ""), "")</f>
        <v/>
      </c>
      <c r="L48" s="7" t="str">
        <f t="array" ref="L48">IFERROR(XLOOKUP(H48, 'リスト'!$C:$C, 'リスト'!$N:$N, ""), "")</f>
        <v/>
      </c>
      <c r="M48" s="17"/>
      <c r="N48" s="7"/>
      <c r="O48" s="7"/>
      <c r="P48" s="7" t="str">
        <f t="array" ref="P48">IFERROR(XLOOKUP(M48, 'リスト'!$C:$C, 'リスト'!$M:$M, ""), "")</f>
        <v/>
      </c>
      <c r="Q48" s="7" t="str">
        <f t="array" ref="Q48">IFERROR(XLOOKUP(M48, 'リスト'!$C:$C, 'リスト'!$N:$N, ""), "")</f>
        <v/>
      </c>
      <c r="R48" s="17"/>
      <c r="S48" s="7"/>
      <c r="T48" s="7"/>
      <c r="U48" s="7" t="str">
        <f t="array" ref="U48">IFERROR(XLOOKUP(R48, 'リスト'!$C:$C, 'リスト'!$M:$M, ""), "")</f>
        <v/>
      </c>
      <c r="V48" s="7" t="str">
        <f t="array" ref="V48">IFERROR(XLOOKUP(R48, 'リスト'!$C:$C, 'リスト'!$N:$N, ""), "")</f>
        <v/>
      </c>
      <c r="W48" s="17"/>
      <c r="X48" s="7"/>
      <c r="Y48" s="7"/>
      <c r="Z48" s="7" t="str">
        <f t="array" ref="Z48">IFERROR(XLOOKUP(W48, 'リスト'!$C:$C, 'リスト'!$M:$M, ""), "")</f>
        <v/>
      </c>
      <c r="AA48" s="7" t="str">
        <f t="array" ref="AA48">IFERROR(XLOOKUP(W48, 'リスト'!$C:$C, 'リスト'!$N:$N, ""), "")</f>
        <v/>
      </c>
      <c r="AB48" s="17"/>
      <c r="AC48" s="7"/>
      <c r="AD48" s="7"/>
      <c r="AE48" s="7" t="str">
        <f t="array" ref="AE48">IFERROR(XLOOKUP(AB48, 'リスト'!$C:$C, 'リスト'!$M:$M, ""), "")</f>
        <v/>
      </c>
      <c r="AF48" s="7" t="str">
        <f t="array" ref="AF48">IFERROR(XLOOKUP(AB48, 'リスト'!$C:$C, 'リスト'!$N:$N, ""), "")</f>
        <v/>
      </c>
      <c r="AG48" s="17"/>
      <c r="AH48" s="7"/>
      <c r="AI48" s="7"/>
      <c r="AJ48" s="7" t="str">
        <f t="array" ref="AJ48">IFERROR(XLOOKUP(AG48, 'リスト'!$C:$C, 'リスト'!$M:$M, ""), "")</f>
        <v/>
      </c>
      <c r="AK48" s="7" t="str">
        <f t="array" ref="AK48">IFERROR(XLOOKUP(AG48, 'リスト'!$C:$C, 'リスト'!$N:$N, ""), "")</f>
        <v/>
      </c>
    </row>
    <row r="49" ht="17.25" customHeight="1">
      <c r="A49" s="8"/>
      <c r="B49" s="9"/>
      <c r="C49" s="17"/>
      <c r="D49" s="7"/>
      <c r="E49" s="7"/>
      <c r="F49" s="7" t="str">
        <f t="array" ref="F49">IFERROR(XLOOKUP(C49, 'リスト'!$C:$C, 'リスト'!$M:$M, ""), "")</f>
        <v/>
      </c>
      <c r="G49" s="7" t="str">
        <f t="array" ref="G49">IFERROR(XLOOKUP(C49, 'リスト'!$C:$C, 'リスト'!$N:$N, ""), "")</f>
        <v/>
      </c>
      <c r="H49" s="17"/>
      <c r="I49" s="7"/>
      <c r="J49" s="7"/>
      <c r="K49" s="7" t="str">
        <f t="array" ref="K49">IFERROR(XLOOKUP(H49, 'リスト'!$C:$C, 'リスト'!$M:$M, ""), "")</f>
        <v/>
      </c>
      <c r="L49" s="7" t="str">
        <f t="array" ref="L49">IFERROR(XLOOKUP(H49, 'リスト'!$C:$C, 'リスト'!$N:$N, ""), "")</f>
        <v/>
      </c>
      <c r="M49" s="17"/>
      <c r="N49" s="7"/>
      <c r="O49" s="7"/>
      <c r="P49" s="7" t="str">
        <f t="array" ref="P49">IFERROR(XLOOKUP(M49, 'リスト'!$C:$C, 'リスト'!$M:$M, ""), "")</f>
        <v/>
      </c>
      <c r="Q49" s="7" t="str">
        <f t="array" ref="Q49">IFERROR(XLOOKUP(M49, 'リスト'!$C:$C, 'リスト'!$N:$N, ""), "")</f>
        <v/>
      </c>
      <c r="R49" s="17"/>
      <c r="S49" s="7"/>
      <c r="T49" s="7"/>
      <c r="U49" s="7" t="str">
        <f t="array" ref="U49">IFERROR(XLOOKUP(R49, 'リスト'!$C:$C, 'リスト'!$M:$M, ""), "")</f>
        <v/>
      </c>
      <c r="V49" s="7" t="str">
        <f t="array" ref="V49">IFERROR(XLOOKUP(R49, 'リスト'!$C:$C, 'リスト'!$N:$N, ""), "")</f>
        <v/>
      </c>
      <c r="W49" s="17"/>
      <c r="X49" s="7"/>
      <c r="Y49" s="7"/>
      <c r="Z49" s="7" t="str">
        <f t="array" ref="Z49">IFERROR(XLOOKUP(W49, 'リスト'!$C:$C, 'リスト'!$M:$M, ""), "")</f>
        <v/>
      </c>
      <c r="AA49" s="7" t="str">
        <f t="array" ref="AA49">IFERROR(XLOOKUP(W49, 'リスト'!$C:$C, 'リスト'!$N:$N, ""), "")</f>
        <v/>
      </c>
      <c r="AB49" s="17"/>
      <c r="AC49" s="7"/>
      <c r="AD49" s="7"/>
      <c r="AE49" s="7" t="str">
        <f t="array" ref="AE49">IFERROR(XLOOKUP(AB49, 'リスト'!$C:$C, 'リスト'!$M:$M, ""), "")</f>
        <v/>
      </c>
      <c r="AF49" s="7" t="str">
        <f t="array" ref="AF49">IFERROR(XLOOKUP(AB49, 'リスト'!$C:$C, 'リスト'!$N:$N, ""), "")</f>
        <v/>
      </c>
      <c r="AG49" s="17"/>
      <c r="AH49" s="7"/>
      <c r="AI49" s="7"/>
      <c r="AJ49" s="7" t="str">
        <f t="array" ref="AJ49">IFERROR(XLOOKUP(AG49, 'リスト'!$C:$C, 'リスト'!$M:$M, ""), "")</f>
        <v/>
      </c>
      <c r="AK49" s="7" t="str">
        <f t="array" ref="AK49">IFERROR(XLOOKUP(AG49, 'リスト'!$C:$C, 'リスト'!$N:$N, ""), "")</f>
        <v/>
      </c>
    </row>
    <row r="50" ht="17.25" customHeight="1">
      <c r="A50" s="8"/>
      <c r="B50" s="9"/>
      <c r="C50" s="17"/>
      <c r="D50" s="7"/>
      <c r="E50" s="7"/>
      <c r="F50" s="7" t="str">
        <f t="array" ref="F50">IFERROR(XLOOKUP(C50, 'リスト'!$C:$C, 'リスト'!$M:$M, ""), "")</f>
        <v/>
      </c>
      <c r="G50" s="7" t="str">
        <f t="array" ref="G50">IFERROR(XLOOKUP(C50, 'リスト'!$C:$C, 'リスト'!$N:$N, ""), "")</f>
        <v/>
      </c>
      <c r="H50" s="17"/>
      <c r="I50" s="7"/>
      <c r="J50" s="7"/>
      <c r="K50" s="7" t="str">
        <f t="array" ref="K50">IFERROR(XLOOKUP(H50, 'リスト'!$C:$C, 'リスト'!$M:$M, ""), "")</f>
        <v/>
      </c>
      <c r="L50" s="7" t="str">
        <f t="array" ref="L50">IFERROR(XLOOKUP(H50, 'リスト'!$C:$C, 'リスト'!$N:$N, ""), "")</f>
        <v/>
      </c>
      <c r="M50" s="17"/>
      <c r="N50" s="7"/>
      <c r="O50" s="7"/>
      <c r="P50" s="7" t="str">
        <f t="array" ref="P50">IFERROR(XLOOKUP(M50, 'リスト'!$C:$C, 'リスト'!$M:$M, ""), "")</f>
        <v/>
      </c>
      <c r="Q50" s="7" t="str">
        <f t="array" ref="Q50">IFERROR(XLOOKUP(M50, 'リスト'!$C:$C, 'リスト'!$N:$N, ""), "")</f>
        <v/>
      </c>
      <c r="R50" s="17"/>
      <c r="S50" s="7"/>
      <c r="T50" s="7"/>
      <c r="U50" s="7" t="str">
        <f t="array" ref="U50">IFERROR(XLOOKUP(R50, 'リスト'!$C:$C, 'リスト'!$M:$M, ""), "")</f>
        <v/>
      </c>
      <c r="V50" s="7" t="str">
        <f t="array" ref="V50">IFERROR(XLOOKUP(R50, 'リスト'!$C:$C, 'リスト'!$N:$N, ""), "")</f>
        <v/>
      </c>
      <c r="W50" s="17"/>
      <c r="X50" s="7"/>
      <c r="Y50" s="7"/>
      <c r="Z50" s="7" t="str">
        <f t="array" ref="Z50">IFERROR(XLOOKUP(W50, 'リスト'!$C:$C, 'リスト'!$M:$M, ""), "")</f>
        <v/>
      </c>
      <c r="AA50" s="7" t="str">
        <f t="array" ref="AA50">IFERROR(XLOOKUP(W50, 'リスト'!$C:$C, 'リスト'!$N:$N, ""), "")</f>
        <v/>
      </c>
      <c r="AB50" s="17"/>
      <c r="AC50" s="7"/>
      <c r="AD50" s="7"/>
      <c r="AE50" s="7" t="str">
        <f t="array" ref="AE50">IFERROR(XLOOKUP(AB50, 'リスト'!$C:$C, 'リスト'!$M:$M, ""), "")</f>
        <v/>
      </c>
      <c r="AF50" s="7" t="str">
        <f t="array" ref="AF50">IFERROR(XLOOKUP(AB50, 'リスト'!$C:$C, 'リスト'!$N:$N, ""), "")</f>
        <v/>
      </c>
      <c r="AG50" s="17"/>
      <c r="AH50" s="7"/>
      <c r="AI50" s="7"/>
      <c r="AJ50" s="7" t="str">
        <f t="array" ref="AJ50">IFERROR(XLOOKUP(AG50, 'リスト'!$C:$C, 'リスト'!$M:$M, ""), "")</f>
        <v/>
      </c>
      <c r="AK50" s="7" t="str">
        <f t="array" ref="AK50">IFERROR(XLOOKUP(AG50, 'リスト'!$C:$C, 'リスト'!$N:$N, ""), "")</f>
        <v/>
      </c>
    </row>
    <row r="51" ht="17.25" customHeight="1">
      <c r="A51" s="8"/>
      <c r="B51" s="9" t="s">
        <v>7</v>
      </c>
      <c r="C51" s="10" t="str">
        <f>"◇ポジションマッチ A" &amp; MOD(INT(($C$1 - '特殊配信マスタ'!$A$1) / 7), 3) + 1</f>
        <v>◇ポジションマッチ A2</v>
      </c>
      <c r="D51" s="11" t="str">
        <f>IFERROR(__xludf.DUMMYFUNCTION("IFERROR(TEXTJOIN(CHAR(10), TRUE, FILTER('特殊配信マスタ'!$C:$E, #REF!=D$1)), """")"),"")</f>
        <v/>
      </c>
      <c r="E51" s="7" t="str">
        <f>IFERROR(__xludf.DUMMYFUNCTION("IFERROR(TEXTJOIN(CHAR(10), TRUE, FILTER('特殊配信マスタ'!$C:$E, #REF!=E$1)), """")"),"")</f>
        <v/>
      </c>
      <c r="F51" s="7" t="str">
        <f t="array" ref="F51">IFERROR(XLOOKUP(C51, INDEX('特殊配信マスタ'!$C$3:$E$8, 0, MAX(1, ROW()-14)), '特殊配信マスタ'!$M$3:$N$8, ""),"")</f>
        <v/>
      </c>
      <c r="G51" s="7"/>
      <c r="H51" s="10" t="str">
        <f>"◇ポジションマッチ A" &amp; MOD(INT(($C$1 - '特殊配信マスタ'!$A$1) / 7), 3) + 1</f>
        <v>◇ポジションマッチ A2</v>
      </c>
      <c r="I51" s="11" t="str">
        <f>IFERROR(__xludf.DUMMYFUNCTION("IFERROR(TEXTJOIN(CHAR(10), TRUE, FILTER('特殊配信マスタ'!$C:$E, #REF!=I$1)), """")"),"")</f>
        <v/>
      </c>
      <c r="J51" s="7" t="str">
        <f>IFERROR(__xludf.DUMMYFUNCTION("IFERROR(TEXTJOIN(CHAR(10), TRUE, FILTER('特殊配信マスタ'!$C:$E, #REF!=J$1)), """")"),"")</f>
        <v/>
      </c>
      <c r="K51" s="7" t="str">
        <f t="array" ref="K51">IFERROR(XLOOKUP(H51, INDEX('特殊配信マスタ'!$C$3:$E$8, 0, MAX(1, ROW()-14)), '特殊配信マスタ'!$M$3:$N$8, ""),"")</f>
        <v/>
      </c>
      <c r="L51" s="7"/>
      <c r="M51" s="10" t="str">
        <f>"◇ポジションマッチ A" &amp; MOD(INT(($C$1 - '特殊配信マスタ'!$A$1) / 7), 3) + 1</f>
        <v>◇ポジションマッチ A2</v>
      </c>
      <c r="N51" s="11" t="str">
        <f>IFERROR(__xludf.DUMMYFUNCTION("IFERROR(TEXTJOIN(CHAR(10), TRUE, FILTER('特殊配信マスタ'!$C:$E, #REF!=N$1)), """")"),"")</f>
        <v/>
      </c>
      <c r="O51" s="7" t="str">
        <f>IFERROR(__xludf.DUMMYFUNCTION("IFERROR(TEXTJOIN(CHAR(10), TRUE, FILTER('特殊配信マスタ'!$C:$E, #REF!=O$1)), """")"),"")</f>
        <v/>
      </c>
      <c r="P51" s="7" t="str">
        <f t="array" ref="P51">IFERROR(XLOOKUP(M51, INDEX('特殊配信マスタ'!$C$3:$E$8, 0, MAX(1, ROW()-14)), '特殊配信マスタ'!$M$3:$N$8, ""),"")</f>
        <v/>
      </c>
      <c r="Q51" s="7"/>
      <c r="R51" s="10" t="str">
        <f>"◇ポジションマッチ A" &amp; MOD(INT(($C$1 - '特殊配信マスタ'!$A$1) / 7), 3) + 1</f>
        <v>◇ポジションマッチ A2</v>
      </c>
      <c r="S51" s="11" t="str">
        <f>IFERROR(__xludf.DUMMYFUNCTION("IFERROR(TEXTJOIN(CHAR(10), TRUE, FILTER('特殊配信マスタ'!$C:$E, #REF!=S$1)), """")"),"")</f>
        <v/>
      </c>
      <c r="T51" s="7" t="str">
        <f>IFERROR(__xludf.DUMMYFUNCTION("IFERROR(TEXTJOIN(CHAR(10), TRUE, FILTER('特殊配信マスタ'!$C:$E, #REF!=T$1)), """")"),"")</f>
        <v/>
      </c>
      <c r="U51" s="7" t="str">
        <f t="array" ref="U51">IFERROR(XLOOKUP(R51, INDEX('特殊配信マスタ'!$C$3:$E$8, 0, MAX(1, ROW()-14)), '特殊配信マスタ'!$M$3:$N$8, ""),"")</f>
        <v/>
      </c>
      <c r="V51" s="7"/>
      <c r="W51" s="10" t="str">
        <f>"◇ポジションマッチ A" &amp; MOD(INT(($C$1 - '特殊配信マスタ'!$A$1) / 7), 3) + 1</f>
        <v>◇ポジションマッチ A2</v>
      </c>
      <c r="X51" s="11" t="str">
        <f>IFERROR(__xludf.DUMMYFUNCTION("IFERROR(TEXTJOIN(CHAR(10), TRUE, FILTER('特殊配信マスタ'!$C:$E, #REF!=X$1)), """")"),"")</f>
        <v/>
      </c>
      <c r="Y51" s="7" t="str">
        <f>IFERROR(__xludf.DUMMYFUNCTION("IFERROR(TEXTJOIN(CHAR(10), TRUE, FILTER('特殊配信マスタ'!$C:$E, #REF!=Y$1)), """")"),"")</f>
        <v/>
      </c>
      <c r="Z51" s="7" t="str">
        <f t="array" ref="Z51">IFERROR(XLOOKUP(W51, INDEX('特殊配信マスタ'!$C$3:$E$8, 0, MAX(1, ROW()-14)), '特殊配信マスタ'!$M$3:$N$8, ""),"")</f>
        <v/>
      </c>
      <c r="AA51" s="7"/>
      <c r="AB51" s="10" t="str">
        <f>"◇ポジションマッチ A" &amp; MOD(INT(($C$1 - '特殊配信マスタ'!$A$1) / 7), 3) + 1</f>
        <v>◇ポジションマッチ A2</v>
      </c>
      <c r="AC51" s="11" t="str">
        <f>IFERROR(__xludf.DUMMYFUNCTION("IFERROR(TEXTJOIN(CHAR(10), TRUE, FILTER('特殊配信マスタ'!$C:$E, #REF!=AC$1)), """")"),"")</f>
        <v/>
      </c>
      <c r="AD51" s="7" t="str">
        <f>IFERROR(__xludf.DUMMYFUNCTION("IFERROR(TEXTJOIN(CHAR(10), TRUE, FILTER('特殊配信マスタ'!$C:$E, #REF!=AD$1)), """")"),"")</f>
        <v/>
      </c>
      <c r="AE51" s="7" t="str">
        <f t="array" ref="AE51">IFERROR(XLOOKUP(AB51, INDEX('特殊配信マスタ'!$C$3:$E$8, 0, MAX(1, ROW()-14)), '特殊配信マスタ'!$M$3:$N$8, ""),"")</f>
        <v/>
      </c>
      <c r="AF51" s="7"/>
      <c r="AG51" s="10" t="str">
        <f>"◇ポジションマッチ A" &amp; MOD(INT(($C$1 - '特殊配信マスタ'!$A$1) / 7), 3) + 1</f>
        <v>◇ポジションマッチ A2</v>
      </c>
      <c r="AH51" s="11" t="str">
        <f>IFERROR(__xludf.DUMMYFUNCTION("IFERROR(TEXTJOIN(CHAR(10), TRUE, FILTER('特殊配信マスタ'!$C:$E, #REF!=AH$1)), """")"),"")</f>
        <v/>
      </c>
      <c r="AI51" s="7" t="str">
        <f>IFERROR(__xludf.DUMMYFUNCTION("IFERROR(TEXTJOIN(CHAR(10), TRUE, FILTER('特殊配信マスタ'!$C:$E, #REF!=AI$1)), """")"),"")</f>
        <v/>
      </c>
      <c r="AJ51" s="7" t="str">
        <f t="array" ref="AJ51">IFERROR(XLOOKUP(AG51, INDEX('特殊配信マスタ'!$C$3:$E$8, 0, MAX(1, ROW()-14)), '特殊配信マスタ'!$M$3:$N$8, ""),"")</f>
        <v/>
      </c>
      <c r="AK51" s="7"/>
    </row>
    <row r="52" ht="17.25" customHeight="1">
      <c r="A52" s="8"/>
      <c r="B52" s="9"/>
      <c r="C52" s="10" t="str">
        <f>"◇ポジションマッチ_36歳以上 A" &amp; MOD(INT(($C$1 - '特殊配信マスタ'!$A$1) / 7), 3) + 1</f>
        <v>◇ポジションマッチ_36歳以上 A2</v>
      </c>
      <c r="D52" s="11"/>
      <c r="E52" s="7"/>
      <c r="F52" s="7" t="str">
        <f t="array" ref="F52">IFERROR(XLOOKUP(C52, INDEX('特殊配信マスタ'!$C$3:$E$8, 0, MAX(1, ROW()-14)), '特殊配信マスタ'!$M$3:$N$8, ""),"")</f>
        <v/>
      </c>
      <c r="G52" s="7"/>
      <c r="H52" s="10" t="str">
        <f>"◇ポジションマッチ_36歳以上 A" &amp; MOD(INT(($C$1 - '特殊配信マスタ'!$A$1) / 7), 3) + 1</f>
        <v>◇ポジションマッチ_36歳以上 A2</v>
      </c>
      <c r="I52" s="11"/>
      <c r="J52" s="7"/>
      <c r="K52" s="7" t="str">
        <f t="array" ref="K52">IFERROR(XLOOKUP(H52, INDEX('特殊配信マスタ'!$C$3:$E$8, 0, MAX(1, ROW()-14)), '特殊配信マスタ'!$M$3:$N$8, ""),"")</f>
        <v/>
      </c>
      <c r="L52" s="7"/>
      <c r="M52" s="10" t="str">
        <f>"◇ポジションマッチ_36歳以上 A" &amp; MOD(INT(($C$1 - '特殊配信マスタ'!$A$1) / 7), 3) + 1</f>
        <v>◇ポジションマッチ_36歳以上 A2</v>
      </c>
      <c r="N52" s="11"/>
      <c r="O52" s="7"/>
      <c r="P52" s="7" t="str">
        <f t="array" ref="P52">IFERROR(XLOOKUP(M52, INDEX('特殊配信マスタ'!$C$3:$E$8, 0, MAX(1, ROW()-14)), '特殊配信マスタ'!$M$3:$N$8, ""),"")</f>
        <v/>
      </c>
      <c r="Q52" s="7"/>
      <c r="R52" s="10" t="str">
        <f>"◇ポジションマッチ_36歳以上 A" &amp; MOD(INT(($C$1 - '特殊配信マスタ'!$A$1) / 7), 3) + 1</f>
        <v>◇ポジションマッチ_36歳以上 A2</v>
      </c>
      <c r="S52" s="11"/>
      <c r="T52" s="7"/>
      <c r="U52" s="7" t="str">
        <f t="array" ref="U52">IFERROR(XLOOKUP(R52, INDEX('特殊配信マスタ'!$C$3:$E$8, 0, MAX(1, ROW()-14)), '特殊配信マスタ'!$M$3:$N$8, ""),"")</f>
        <v/>
      </c>
      <c r="V52" s="7"/>
      <c r="W52" s="10" t="str">
        <f>"◇ポジションマッチ_36歳以上 A" &amp; MOD(INT(($C$1 - '特殊配信マスタ'!$A$1) / 7), 3) + 1</f>
        <v>◇ポジションマッチ_36歳以上 A2</v>
      </c>
      <c r="X52" s="11"/>
      <c r="Y52" s="7"/>
      <c r="Z52" s="7" t="str">
        <f t="array" ref="Z52">IFERROR(XLOOKUP(W52, INDEX('特殊配信マスタ'!$C$3:$E$8, 0, MAX(1, ROW()-14)), '特殊配信マスタ'!$M$3:$N$8, ""),"")</f>
        <v/>
      </c>
      <c r="AA52" s="7"/>
      <c r="AB52" s="10" t="str">
        <f>"◇ポジションマッチ_36歳以上 A" &amp; MOD(INT(($C$1 - '特殊配信マスタ'!$A$1) / 7), 3) + 1</f>
        <v>◇ポジションマッチ_36歳以上 A2</v>
      </c>
      <c r="AC52" s="11"/>
      <c r="AD52" s="7"/>
      <c r="AE52" s="7" t="str">
        <f t="array" ref="AE52">IFERROR(XLOOKUP(AB52, INDEX('特殊配信マスタ'!$C$3:$E$8, 0, MAX(1, ROW()-14)), '特殊配信マスタ'!$M$3:$N$8, ""),"")</f>
        <v/>
      </c>
      <c r="AF52" s="7"/>
      <c r="AG52" s="10" t="str">
        <f>"◇ポジションマッチ_36歳以上 A" &amp; MOD(INT(($C$1 - '特殊配信マスタ'!$A$1) / 7), 3) + 1</f>
        <v>◇ポジションマッチ_36歳以上 A2</v>
      </c>
      <c r="AH52" s="11"/>
      <c r="AI52" s="7"/>
      <c r="AJ52" s="7" t="str">
        <f t="array" ref="AJ52">IFERROR(XLOOKUP(AG52, INDEX('特殊配信マスタ'!$C$3:$E$8, 0, MAX(1, ROW()-14)), '特殊配信マスタ'!$M$3:$N$8, ""),"")</f>
        <v/>
      </c>
      <c r="AK52" s="7"/>
    </row>
    <row r="53" ht="17.25" customHeight="1">
      <c r="A53" s="8">
        <f>A38+1</f>
        <v>11</v>
      </c>
      <c r="B53" s="9" t="s">
        <v>5</v>
      </c>
      <c r="C53" s="10" t="str">
        <f>IFERROR(__xludf.DUMMYFUNCTION("IFERROR(FILTER('リスト'!$C$2:$C$400, ('リスト'!$A$2:$A$400 = CHOOSE(WEEKDAY(C$1), ""日"", ""月"", ""火"", ""水"", ""木"", ""金"", ""土"")) * ('リスト'!$B$2:$B$400 = $A53) * ('リスト'!$E$2:$E$400 = ""毎週配信"") * ('リスト'!$O$2:$O$400 = FALSE)), """")"),"事務（経理）_希望")</f>
        <v>事務（経理）_希望</v>
      </c>
      <c r="D53" s="11" t="str">
        <f>IFERROR(__xludf.DUMMYFUNCTION("iferror(FILTER('リスト'!$D:$D, ('リスト'!$A:$A = C$1) * ('リスト'!$B:$B = $A53)))"),"")</f>
        <v/>
      </c>
      <c r="E53" s="7">
        <f>SUM(D53:D66)</f>
        <v>0</v>
      </c>
      <c r="F53" s="7" t="str">
        <f t="array" ref="F53">IFERROR(XLOOKUP(C53, 'リスト'!$C:$C, 'リスト'!$M:$M, ""), "")</f>
        <v>R</v>
      </c>
      <c r="G53" s="7" t="str">
        <f t="array" ref="G53">IFERROR(XLOOKUP(C53, 'リスト'!$C:$C, 'リスト'!$N:$N, ""), "")</f>
        <v/>
      </c>
      <c r="H53" s="10" t="str">
        <f>IFERROR(__xludf.DUMMYFUNCTION("IFERROR(FILTER('リスト'!$C$2:$C$400, ('リスト'!$A$2:$A$400 = CHOOSE(WEEKDAY(H$1), ""日"", ""月"", ""火"", ""水"", ""木"", ""金"", ""土"")) * ('リスト'!$B$2:$B$400 = $A53) * ('リスト'!$E$2:$E$400 = ""毎週配信"") * ('リスト'!$O$2:$O$400 = FALSE)), """")"),"事務（総務・人事）_希望")</f>
        <v>事務（総務・人事）_希望</v>
      </c>
      <c r="I53" s="11" t="str">
        <f>IFERROR(__xludf.DUMMYFUNCTION("iferror(FILTER('リスト'!$D:$D, ('リスト'!$A:$A = H$1) * ('リスト'!$B:$B = $A53)))"),"")</f>
        <v/>
      </c>
      <c r="J53" s="7">
        <f>SUM(I53:I66)</f>
        <v>0</v>
      </c>
      <c r="K53" s="7" t="str">
        <f t="array" ref="K53">IFERROR(XLOOKUP(H53, 'リスト'!$C:$C, 'リスト'!$M:$M, ""), "")</f>
        <v>R</v>
      </c>
      <c r="L53" s="7" t="str">
        <f t="array" ref="L53">IFERROR(XLOOKUP(H53, 'リスト'!$C:$C, 'リスト'!$N:$N, ""), "")</f>
        <v/>
      </c>
      <c r="M53" s="10" t="str">
        <f>IFERROR(__xludf.DUMMYFUNCTION("IFERROR(FILTER('リスト'!$C$2:$C$400, ('リスト'!$A$2:$A$400 = CHOOSE(WEEKDAY(M$1), ""日"", ""月"", ""火"", ""水"", ""木"", ""金"", ""土"")) * ('リスト'!$B$2:$B$400 = $A53) * ('リスト'!$E$2:$E$400 = ""毎週配信"") * ('リスト'!$O$2:$O$400 = FALSE)), """")"),"クリエイティブ（Web）_希望")</f>
        <v>クリエイティブ（Web）_希望</v>
      </c>
      <c r="N53" s="11" t="str">
        <f>IFERROR(__xludf.DUMMYFUNCTION("iferror(FILTER('リスト'!$D:$D, ('リスト'!$A:$A = M$1) * ('リスト'!$B:$B = $A53)))"),"")</f>
        <v/>
      </c>
      <c r="O53" s="7">
        <f>SUM(N53:N66)</f>
        <v>0</v>
      </c>
      <c r="P53" s="7" t="str">
        <f t="array" ref="P53">IFERROR(XLOOKUP(M53, 'リスト'!$C:$C, 'リスト'!$M:$M, ""), "")</f>
        <v>R</v>
      </c>
      <c r="Q53" s="7" t="str">
        <f t="array" ref="Q53">IFERROR(XLOOKUP(M53, 'リスト'!$C:$C, 'リスト'!$N:$N, ""), "")</f>
        <v/>
      </c>
      <c r="R53" s="10" t="str">
        <f>IFERROR(__xludf.DUMMYFUNCTION("IFERROR(FILTER('リスト'!$C$2:$C$400, ('リスト'!$A$2:$A$400 = CHOOSE(WEEKDAY(R$1), ""日"", ""月"", ""火"", ""水"", ""木"", ""金"", ""土"")) * ('リスト'!$B$2:$B$400 = $A53) * ('リスト'!$E$2:$E$400 = ""毎週配信"") * ('リスト'!$O$2:$O$400 = FALSE)), """")"),"クリエイティブ（その他）_希望")</f>
        <v>クリエイティブ（その他）_希望</v>
      </c>
      <c r="S53" s="11" t="str">
        <f>IFERROR(__xludf.DUMMYFUNCTION("iferror(FILTER('リスト'!$D:$D, ('リスト'!$A:$A = R$1) * ('リスト'!$B:$B = $A53)))"),"")</f>
        <v/>
      </c>
      <c r="T53" s="7">
        <f>SUM(S53:S66)</f>
        <v>0</v>
      </c>
      <c r="U53" s="7" t="str">
        <f t="array" ref="U53">IFERROR(XLOOKUP(R53, 'リスト'!$C:$C, 'リスト'!$M:$M, ""), "")</f>
        <v>R</v>
      </c>
      <c r="V53" s="7" t="str">
        <f t="array" ref="V53">IFERROR(XLOOKUP(R53, 'リスト'!$C:$C, 'リスト'!$N:$N, ""), "")</f>
        <v/>
      </c>
      <c r="W53" s="10" t="str">
        <f>IFERROR(__xludf.DUMMYFUNCTION("IFERROR(FILTER('リスト'!$C$2:$C$400, ('リスト'!$A$2:$A$400 = CHOOSE(WEEKDAY(W$1), ""日"", ""月"", ""火"", ""水"", ""木"", ""金"", ""土"")) * ('リスト'!$B$2:$B$400 = $A53) * ('リスト'!$E$2:$E$400 = ""毎週配信"") * ('リスト'!$O$2:$O$400 = FALSE)), """")"),"")</f>
        <v/>
      </c>
      <c r="X53" s="11" t="str">
        <f>IFERROR(__xludf.DUMMYFUNCTION("iferror(FILTER('リスト'!$D:$D, ('リスト'!$A:$A = W$1) * ('リスト'!$B:$B = $A53)))"),"")</f>
        <v/>
      </c>
      <c r="Y53" s="7">
        <f>SUM(X53:X66)</f>
        <v>0</v>
      </c>
      <c r="Z53" s="7" t="str">
        <f t="array" ref="Z53">IFERROR(XLOOKUP(W53, 'リスト'!$C:$C, 'リスト'!$M:$M, ""), "")</f>
        <v/>
      </c>
      <c r="AA53" s="7" t="str">
        <f t="array" ref="AA53">IFERROR(XLOOKUP(W53, 'リスト'!$C:$C, 'リスト'!$N:$N, ""), "")</f>
        <v/>
      </c>
      <c r="AB53" s="10" t="str">
        <f>IFERROR(__xludf.DUMMYFUNCTION("IFERROR(FILTER('リスト'!$C$2:$C$400, ('リスト'!$A$2:$A$400 = CHOOSE(WEEKDAY(AB$1), ""日"", ""月"", ""火"", ""水"", ""木"", ""金"", ""土"")) * ('リスト'!$B$2:$B$400 = $A53) * ('リスト'!$E$2:$E$400 = ""毎週配信"") * ('リスト'!$O$2:$O$400 = FALSE)), """")"),"関西単独求人メルマガ_B")</f>
        <v>関西単独求人メルマガ_B</v>
      </c>
      <c r="AC53" s="11" t="str">
        <f>IFERROR(__xludf.DUMMYFUNCTION("iferror(FILTER('リスト'!$D:$D, ('リスト'!$A:$A = AB$1) * ('リスト'!$B:$B = $A53)))"),"")</f>
        <v/>
      </c>
      <c r="AD53" s="7">
        <f>SUM(AC53:AC66)</f>
        <v>0</v>
      </c>
      <c r="AE53" s="7" t="str">
        <f t="array" ref="AE53">IFERROR(XLOOKUP(AB53, 'リスト'!$C:$C, 'リスト'!$M:$M, ""), "")</f>
        <v>武</v>
      </c>
      <c r="AF53" s="7" t="str">
        <f t="array" ref="AF53">IFERROR(XLOOKUP(AB53, 'リスト'!$C:$C, 'リスト'!$N:$N, ""), "")</f>
        <v>部</v>
      </c>
      <c r="AG53" s="10" t="str">
        <f>IFERROR(__xludf.DUMMYFUNCTION("IFERROR(FILTER('リスト'!$C$2:$C$400, ('リスト'!$A$2:$A$400 = CHOOSE(WEEKDAY(AG$1), ""日"", ""月"", ""火"", ""水"", ""木"", ""金"", ""土"")) * ('リスト'!$B$2:$B$400 = $A53) * ('リスト'!$E$2:$E$400 = ""毎週配信"") * ('リスト'!$O$2:$O$400 = FALSE)), """")"),"クリエイティブ総合ランキング")</f>
        <v>クリエイティブ総合ランキング</v>
      </c>
      <c r="AH53" s="11" t="str">
        <f>IFERROR(__xludf.DUMMYFUNCTION("iferror(FILTER('リスト'!$D:$D, ('リスト'!$A:$A = AG$1) * ('リスト'!$B:$B = $A53)))"),"")</f>
        <v/>
      </c>
      <c r="AI53" s="7">
        <f>SUM(AH53:AH66)</f>
        <v>0</v>
      </c>
      <c r="AJ53" s="7" t="str">
        <f t="array" ref="AJ53">IFERROR(XLOOKUP(AG53, 'リスト'!$C:$C, 'リスト'!$M:$M, ""), "")</f>
        <v>R</v>
      </c>
      <c r="AK53" s="7" t="str">
        <f t="array" ref="AK53">IFERROR(XLOOKUP(AG53, 'リスト'!$C:$C, 'リスト'!$N:$N, ""), "")</f>
        <v/>
      </c>
    </row>
    <row r="54" ht="17.25" customHeight="1">
      <c r="A54" s="8"/>
      <c r="B54" s="9"/>
      <c r="C54" s="12"/>
      <c r="D54" s="7"/>
      <c r="E54" s="7"/>
      <c r="F54" s="7" t="str">
        <f t="array" ref="F54">IFERROR(XLOOKUP(C54, 'リスト'!$C:$C, 'リスト'!$M:$M, ""), "")</f>
        <v/>
      </c>
      <c r="G54" s="7" t="str">
        <f t="array" ref="G54">IFERROR(XLOOKUP(C54, 'リスト'!$C:$C, 'リスト'!$N:$N, ""), "")</f>
        <v/>
      </c>
      <c r="H54" s="12"/>
      <c r="I54" s="7"/>
      <c r="J54" s="7"/>
      <c r="K54" s="7" t="str">
        <f t="array" ref="K54">IFERROR(XLOOKUP(H54, 'リスト'!$C:$C, 'リスト'!$M:$M, ""), "")</f>
        <v/>
      </c>
      <c r="L54" s="7" t="str">
        <f t="array" ref="L54">IFERROR(XLOOKUP(H54, 'リスト'!$C:$C, 'リスト'!$N:$N, ""), "")</f>
        <v/>
      </c>
      <c r="M54" s="12" t="str">
        <f>IFERROR(__xludf.DUMMYFUNCTION("""COMPUTED_VALUE"""),"コロナ禍_事務_首都圏")</f>
        <v>コロナ禍_事務_首都圏</v>
      </c>
      <c r="N54" s="7"/>
      <c r="O54" s="7"/>
      <c r="P54" s="7" t="str">
        <f t="array" ref="P54">IFERROR(XLOOKUP(M54, 'リスト'!$C:$C, 'リスト'!$M:$M, ""), "")</f>
        <v>R</v>
      </c>
      <c r="Q54" s="7" t="str">
        <f t="array" ref="Q54">IFERROR(XLOOKUP(M54, 'リスト'!$C:$C, 'リスト'!$N:$N, ""), "")</f>
        <v/>
      </c>
      <c r="R54" s="12" t="str">
        <f>IFERROR(__xludf.DUMMYFUNCTION("""COMPUTED_VALUE"""),"今週の人気求人ランキング")</f>
        <v>今週の人気求人ランキング</v>
      </c>
      <c r="S54" s="7"/>
      <c r="T54" s="7"/>
      <c r="U54" s="7" t="str">
        <f t="array" ref="U54">IFERROR(XLOOKUP(R54, 'リスト'!$C:$C, 'リスト'!$M:$M, ""), "")</f>
        <v>R</v>
      </c>
      <c r="V54" s="7" t="str">
        <f t="array" ref="V54">IFERROR(XLOOKUP(R54, 'リスト'!$C:$C, 'リスト'!$N:$N, ""), "")</f>
        <v/>
      </c>
      <c r="W54" s="12"/>
      <c r="X54" s="7"/>
      <c r="Y54" s="7"/>
      <c r="Z54" s="7" t="str">
        <f t="array" ref="Z54">IFERROR(XLOOKUP(W54, 'リスト'!$C:$C, 'リスト'!$M:$M, ""), "")</f>
        <v/>
      </c>
      <c r="AA54" s="7" t="str">
        <f t="array" ref="AA54">IFERROR(XLOOKUP(W54, 'リスト'!$C:$C, 'リスト'!$N:$N, ""), "")</f>
        <v/>
      </c>
      <c r="AB54" s="12" t="str">
        <f>IFERROR(__xludf.DUMMYFUNCTION("""COMPUTED_VALUE"""),"事務（営業事務）_希望")</f>
        <v>事務（営業事務）_希望</v>
      </c>
      <c r="AC54" s="7"/>
      <c r="AD54" s="7"/>
      <c r="AE54" s="7" t="str">
        <f t="array" ref="AE54">IFERROR(XLOOKUP(AB54, 'リスト'!$C:$C, 'リスト'!$M:$M, ""), "")</f>
        <v>R</v>
      </c>
      <c r="AF54" s="7" t="str">
        <f t="array" ref="AF54">IFERROR(XLOOKUP(AB54, 'リスト'!$C:$C, 'リスト'!$N:$N, ""), "")</f>
        <v/>
      </c>
      <c r="AG54" s="12" t="str">
        <f>IFERROR(__xludf.DUMMYFUNCTION("""COMPUTED_VALUE"""),"関西_未経験リモート_事務")</f>
        <v>関西_未経験リモート_事務</v>
      </c>
      <c r="AH54" s="7"/>
      <c r="AI54" s="7"/>
      <c r="AJ54" s="7" t="str">
        <f t="array" ref="AJ54">IFERROR(XLOOKUP(AG54, 'リスト'!$C:$C, 'リスト'!$M:$M, ""), "")</f>
        <v>R</v>
      </c>
      <c r="AK54" s="7" t="str">
        <f t="array" ref="AK54">IFERROR(XLOOKUP(AG54, 'リスト'!$C:$C, 'リスト'!$N:$N, ""), "")</f>
        <v/>
      </c>
    </row>
    <row r="55" ht="17.25" customHeight="1">
      <c r="A55" s="8"/>
      <c r="B55" s="9"/>
      <c r="C55" s="10"/>
      <c r="D55" s="13"/>
      <c r="E55" s="7"/>
      <c r="F55" s="7" t="str">
        <f t="array" ref="F55">IFERROR(XLOOKUP(C55, 'リスト'!$C:$C, 'リスト'!$M:$M, ""), "")</f>
        <v/>
      </c>
      <c r="G55" s="7" t="str">
        <f t="array" ref="G55">IFERROR(XLOOKUP(C55, 'リスト'!$C:$C, 'リスト'!$N:$N, ""), "")</f>
        <v/>
      </c>
      <c r="H55" s="10"/>
      <c r="I55" s="13"/>
      <c r="J55" s="7"/>
      <c r="K55" s="7" t="str">
        <f t="array" ref="K55">IFERROR(XLOOKUP(H55, 'リスト'!$C:$C, 'リスト'!$M:$M, ""), "")</f>
        <v/>
      </c>
      <c r="L55" s="7" t="str">
        <f t="array" ref="L55">IFERROR(XLOOKUP(H55, 'リスト'!$C:$C, 'リスト'!$N:$N, ""), "")</f>
        <v/>
      </c>
      <c r="M55" s="10"/>
      <c r="N55" s="13"/>
      <c r="O55" s="7"/>
      <c r="P55" s="7" t="str">
        <f t="array" ref="P55">IFERROR(XLOOKUP(M55, 'リスト'!$C:$C, 'リスト'!$M:$M, ""), "")</f>
        <v/>
      </c>
      <c r="Q55" s="7" t="str">
        <f t="array" ref="Q55">IFERROR(XLOOKUP(M55, 'リスト'!$C:$C, 'リスト'!$N:$N, ""), "")</f>
        <v/>
      </c>
      <c r="R55" s="10" t="str">
        <f>IFERROR(__xludf.DUMMYFUNCTION("""COMPUTED_VALUE"""),"事務（広報）_希望")</f>
        <v>事務（広報）_希望</v>
      </c>
      <c r="S55" s="13"/>
      <c r="T55" s="7"/>
      <c r="U55" s="7" t="str">
        <f t="array" ref="U55">IFERROR(XLOOKUP(R55, 'リスト'!$C:$C, 'リスト'!$M:$M, ""), "")</f>
        <v>R</v>
      </c>
      <c r="V55" s="7" t="str">
        <f t="array" ref="V55">IFERROR(XLOOKUP(R55, 'リスト'!$C:$C, 'リスト'!$N:$N, ""), "")</f>
        <v/>
      </c>
      <c r="W55" s="10"/>
      <c r="X55" s="13"/>
      <c r="Y55" s="7"/>
      <c r="Z55" s="7" t="str">
        <f t="array" ref="Z55">IFERROR(XLOOKUP(W55, 'リスト'!$C:$C, 'リスト'!$M:$M, ""), "")</f>
        <v/>
      </c>
      <c r="AA55" s="7" t="str">
        <f t="array" ref="AA55">IFERROR(XLOOKUP(W55, 'リスト'!$C:$C, 'リスト'!$N:$N, ""), "")</f>
        <v/>
      </c>
      <c r="AB55" s="10"/>
      <c r="AC55" s="13"/>
      <c r="AD55" s="7"/>
      <c r="AE55" s="7" t="str">
        <f t="array" ref="AE55">IFERROR(XLOOKUP(AB55, 'リスト'!$C:$C, 'リスト'!$M:$M, ""), "")</f>
        <v/>
      </c>
      <c r="AF55" s="7" t="str">
        <f t="array" ref="AF55">IFERROR(XLOOKUP(AB55, 'リスト'!$C:$C, 'リスト'!$N:$N, ""), "")</f>
        <v/>
      </c>
      <c r="AG55" s="10"/>
      <c r="AH55" s="13"/>
      <c r="AI55" s="7"/>
      <c r="AJ55" s="7" t="str">
        <f t="array" ref="AJ55">IFERROR(XLOOKUP(AG55, 'リスト'!$C:$C, 'リスト'!$M:$M, ""), "")</f>
        <v/>
      </c>
      <c r="AK55" s="7" t="str">
        <f t="array" ref="AK55">IFERROR(XLOOKUP(AG55, 'リスト'!$C:$C, 'リスト'!$N:$N, ""), "")</f>
        <v/>
      </c>
    </row>
    <row r="56" ht="17.25" customHeight="1">
      <c r="A56" s="8"/>
      <c r="B56" s="9"/>
      <c r="C56" s="14"/>
      <c r="D56" s="15"/>
      <c r="E56" s="7"/>
      <c r="F56" s="7" t="str">
        <f t="array" ref="F56">IFERROR(XLOOKUP(C56, 'リスト'!$C:$C, 'リスト'!$M:$M, ""), "")</f>
        <v/>
      </c>
      <c r="G56" s="7" t="str">
        <f t="array" ref="G56">IFERROR(XLOOKUP(C56, 'リスト'!$C:$C, 'リスト'!$N:$N, ""), "")</f>
        <v/>
      </c>
      <c r="H56" s="14"/>
      <c r="I56" s="15"/>
      <c r="J56" s="7"/>
      <c r="K56" s="7" t="str">
        <f t="array" ref="K56">IFERROR(XLOOKUP(H56, 'リスト'!$C:$C, 'リスト'!$M:$M, ""), "")</f>
        <v/>
      </c>
      <c r="L56" s="7" t="str">
        <f t="array" ref="L56">IFERROR(XLOOKUP(H56, 'リスト'!$C:$C, 'リスト'!$N:$N, ""), "")</f>
        <v/>
      </c>
      <c r="M56" s="14"/>
      <c r="N56" s="15"/>
      <c r="O56" s="7"/>
      <c r="P56" s="7" t="str">
        <f t="array" ref="P56">IFERROR(XLOOKUP(M56, 'リスト'!$C:$C, 'リスト'!$M:$M, ""), "")</f>
        <v/>
      </c>
      <c r="Q56" s="7" t="str">
        <f t="array" ref="Q56">IFERROR(XLOOKUP(M56, 'リスト'!$C:$C, 'リスト'!$N:$N, ""), "")</f>
        <v/>
      </c>
      <c r="R56" s="14"/>
      <c r="S56" s="15"/>
      <c r="T56" s="7"/>
      <c r="U56" s="7" t="str">
        <f t="array" ref="U56">IFERROR(XLOOKUP(R56, 'リスト'!$C:$C, 'リスト'!$M:$M, ""), "")</f>
        <v/>
      </c>
      <c r="V56" s="7" t="str">
        <f t="array" ref="V56">IFERROR(XLOOKUP(R56, 'リスト'!$C:$C, 'リスト'!$N:$N, ""), "")</f>
        <v/>
      </c>
      <c r="W56" s="14"/>
      <c r="X56" s="15"/>
      <c r="Y56" s="7"/>
      <c r="Z56" s="7" t="str">
        <f t="array" ref="Z56">IFERROR(XLOOKUP(W56, 'リスト'!$C:$C, 'リスト'!$M:$M, ""), "")</f>
        <v/>
      </c>
      <c r="AA56" s="7" t="str">
        <f t="array" ref="AA56">IFERROR(XLOOKUP(W56, 'リスト'!$C:$C, 'リスト'!$N:$N, ""), "")</f>
        <v/>
      </c>
      <c r="AB56" s="14"/>
      <c r="AC56" s="15"/>
      <c r="AD56" s="7"/>
      <c r="AE56" s="7" t="str">
        <f t="array" ref="AE56">IFERROR(XLOOKUP(AB56, 'リスト'!$C:$C, 'リスト'!$M:$M, ""), "")</f>
        <v/>
      </c>
      <c r="AF56" s="7" t="str">
        <f t="array" ref="AF56">IFERROR(XLOOKUP(AB56, 'リスト'!$C:$C, 'リスト'!$N:$N, ""), "")</f>
        <v/>
      </c>
      <c r="AG56" s="14"/>
      <c r="AH56" s="15"/>
      <c r="AI56" s="7"/>
      <c r="AJ56" s="7" t="str">
        <f t="array" ref="AJ56">IFERROR(XLOOKUP(AG56, 'リスト'!$C:$C, 'リスト'!$M:$M, ""), "")</f>
        <v/>
      </c>
      <c r="AK56" s="7" t="str">
        <f t="array" ref="AK56">IFERROR(XLOOKUP(AG56, 'リスト'!$C:$C, 'リスト'!$N:$N, ""), "")</f>
        <v/>
      </c>
    </row>
    <row r="57" ht="17.25" customHeight="1">
      <c r="A57" s="8"/>
      <c r="B57" s="9"/>
      <c r="C57" s="14"/>
      <c r="D57" s="13"/>
      <c r="E57" s="7"/>
      <c r="F57" s="7"/>
      <c r="G57" s="7"/>
      <c r="H57" s="14"/>
      <c r="I57" s="13"/>
      <c r="J57" s="7"/>
      <c r="K57" s="7"/>
      <c r="L57" s="7"/>
      <c r="M57" s="14"/>
      <c r="N57" s="13"/>
      <c r="O57" s="7"/>
      <c r="P57" s="7"/>
      <c r="Q57" s="7"/>
      <c r="R57" s="14"/>
      <c r="S57" s="13"/>
      <c r="T57" s="7"/>
      <c r="U57" s="7"/>
      <c r="V57" s="7"/>
      <c r="W57" s="14"/>
      <c r="X57" s="13"/>
      <c r="Y57" s="7"/>
      <c r="Z57" s="7"/>
      <c r="AA57" s="7"/>
      <c r="AB57" s="14"/>
      <c r="AC57" s="13"/>
      <c r="AD57" s="7"/>
      <c r="AE57" s="7"/>
      <c r="AF57" s="7"/>
      <c r="AG57" s="14"/>
      <c r="AH57" s="13"/>
      <c r="AI57" s="7"/>
      <c r="AJ57" s="7"/>
      <c r="AK57" s="7"/>
    </row>
    <row r="58" ht="17.25" customHeight="1">
      <c r="A58" s="8"/>
      <c r="B58" s="9"/>
      <c r="C58" s="14"/>
      <c r="D58" s="13"/>
      <c r="E58" s="7"/>
      <c r="F58" s="7"/>
      <c r="G58" s="7"/>
      <c r="H58" s="14"/>
      <c r="I58" s="13"/>
      <c r="J58" s="7"/>
      <c r="K58" s="7"/>
      <c r="L58" s="7"/>
      <c r="M58" s="14"/>
      <c r="N58" s="13"/>
      <c r="O58" s="7"/>
      <c r="P58" s="7"/>
      <c r="Q58" s="7"/>
      <c r="R58" s="14"/>
      <c r="S58" s="13"/>
      <c r="T58" s="7"/>
      <c r="U58" s="7"/>
      <c r="V58" s="7"/>
      <c r="W58" s="14"/>
      <c r="X58" s="13"/>
      <c r="Y58" s="7"/>
      <c r="Z58" s="7"/>
      <c r="AA58" s="7"/>
      <c r="AB58" s="14"/>
      <c r="AC58" s="13"/>
      <c r="AD58" s="7"/>
      <c r="AE58" s="7"/>
      <c r="AF58" s="7"/>
      <c r="AG58" s="14"/>
      <c r="AH58" s="13"/>
      <c r="AI58" s="7"/>
      <c r="AJ58" s="7"/>
      <c r="AK58" s="7"/>
    </row>
    <row r="59" ht="17.25" customHeight="1">
      <c r="A59" s="8"/>
      <c r="B59" s="9"/>
      <c r="C59" s="14"/>
      <c r="D59" s="13"/>
      <c r="E59" s="7"/>
      <c r="F59" s="7"/>
      <c r="G59" s="7"/>
      <c r="H59" s="14"/>
      <c r="I59" s="13"/>
      <c r="J59" s="7"/>
      <c r="K59" s="7"/>
      <c r="L59" s="7"/>
      <c r="M59" s="14"/>
      <c r="N59" s="13"/>
      <c r="O59" s="7"/>
      <c r="P59" s="7"/>
      <c r="Q59" s="7"/>
      <c r="R59" s="14"/>
      <c r="S59" s="13"/>
      <c r="T59" s="7"/>
      <c r="U59" s="7"/>
      <c r="V59" s="7"/>
      <c r="W59" s="14"/>
      <c r="X59" s="13"/>
      <c r="Y59" s="7"/>
      <c r="Z59" s="7"/>
      <c r="AA59" s="7"/>
      <c r="AB59" s="14"/>
      <c r="AC59" s="13"/>
      <c r="AD59" s="7"/>
      <c r="AE59" s="7"/>
      <c r="AF59" s="7"/>
      <c r="AG59" s="14"/>
      <c r="AH59" s="13"/>
      <c r="AI59" s="7"/>
      <c r="AJ59" s="7"/>
      <c r="AK59" s="7"/>
    </row>
    <row r="60" ht="17.25" customHeight="1">
      <c r="A60" s="8"/>
      <c r="B60" s="9"/>
      <c r="C60" s="14"/>
      <c r="D60" s="13"/>
      <c r="E60" s="7"/>
      <c r="F60" s="7"/>
      <c r="G60" s="7"/>
      <c r="H60" s="14"/>
      <c r="I60" s="13"/>
      <c r="J60" s="7"/>
      <c r="K60" s="7"/>
      <c r="L60" s="7"/>
      <c r="M60" s="14"/>
      <c r="N60" s="13"/>
      <c r="O60" s="7"/>
      <c r="P60" s="7"/>
      <c r="Q60" s="7"/>
      <c r="R60" s="14"/>
      <c r="S60" s="13"/>
      <c r="T60" s="7"/>
      <c r="U60" s="7"/>
      <c r="V60" s="7"/>
      <c r="W60" s="14"/>
      <c r="X60" s="13"/>
      <c r="Y60" s="7"/>
      <c r="Z60" s="7"/>
      <c r="AA60" s="7"/>
      <c r="AB60" s="14"/>
      <c r="AC60" s="13"/>
      <c r="AD60" s="7"/>
      <c r="AE60" s="7"/>
      <c r="AF60" s="7"/>
      <c r="AG60" s="14"/>
      <c r="AH60" s="13"/>
      <c r="AI60" s="7"/>
      <c r="AJ60" s="7"/>
      <c r="AK60" s="7"/>
    </row>
    <row r="61" ht="17.25" customHeight="1">
      <c r="A61" s="8"/>
      <c r="B61" s="9" t="s">
        <v>6</v>
      </c>
      <c r="C61" s="10" t="str">
        <f>IFERROR(__xludf.DUMMYFUNCTION("iferror(FILTER('新規'!$C:$C, ('新規'!$A:$A = C$1) * ('新規'!$B:$B = $A53)))"),"")</f>
        <v/>
      </c>
      <c r="D61" s="11" t="str">
        <f>IFERROR(__xludf.DUMMYFUNCTION("IFERROR(FILTER('新規'!$D$2:$D$400, ('新規'!$A$2:$A$400 = CHOOSE(WEEKDAY(C$1), ""日"", ""月"", ""火"", ""水"", ""木"", ""金"", ""土"")) * ('新規'!$B$2:$B$400 = $A$3) * ('新規'!$O$2:$O$400 = FALSE)), """")"),"")</f>
        <v/>
      </c>
      <c r="E61" s="7"/>
      <c r="F61" s="7" t="str">
        <f>IFERROR(__xludf.DUMMYFUNCTION("IFERROR(FILTER('新規'!$M$2:$M$400, ('新規'!$A$2:$A$400 = CHOOSE(WEEKDAY(C$1), ""日"", ""月"", ""火"", ""水"", ""木"", ""金"", ""土"")) * ('新規'!$B$2:$B$400 = $A$3) * ('新規'!$O$2:$O$400 = FALSE)), """")"),"")</f>
        <v/>
      </c>
      <c r="G61" s="7" t="str">
        <f>IFERROR(__xludf.DUMMYFUNCTION("IFERROR(FILTER('新規'!$N$2:$N$400, ('新規'!$A$2:$A$400 = CHOOSE(WEEKDAY(C$1), ""日"", ""月"", ""火"", ""水"", ""木"", ""金"", ""土"")) * ('新規'!$B$2:$B$400 = $A$3) * ('新規'!$O$2:$O$400 = FALSE)), """")"),"")</f>
        <v/>
      </c>
      <c r="H61" s="10" t="str">
        <f>IFERROR(__xludf.DUMMYFUNCTION("iferror(FILTER('新規'!$C:$C, ('新規'!$A:$A = H$1) * ('新規'!$B:$B = $A53)))"),"")</f>
        <v/>
      </c>
      <c r="I61" s="11" t="str">
        <f>IFERROR(__xludf.DUMMYFUNCTION("IFERROR(FILTER('新規'!$D$2:$D$400, ('新規'!$A$2:$A$400 = CHOOSE(WEEKDAY(H$1), ""日"", ""月"", ""火"", ""水"", ""木"", ""金"", ""土"")) * ('新規'!$B$2:$B$400 = $A$3) * ('新規'!$O$2:$O$400 = FALSE)), """")"),"")</f>
        <v/>
      </c>
      <c r="J61" s="7"/>
      <c r="K61" s="7" t="str">
        <f>IFERROR(__xludf.DUMMYFUNCTION("IFERROR(FILTER('新規'!$M$2:$M$400, ('新規'!$A$2:$A$400 = CHOOSE(WEEKDAY(H$1), ""日"", ""月"", ""火"", ""水"", ""木"", ""金"", ""土"")) * ('新規'!$B$2:$B$400 = $A$3) * ('新規'!$O$2:$O$400 = FALSE)), """")"),"")</f>
        <v/>
      </c>
      <c r="L61" s="7" t="str">
        <f>IFERROR(__xludf.DUMMYFUNCTION("IFERROR(FILTER('新規'!$N$2:$N$400, ('新規'!$A$2:$A$400 = CHOOSE(WEEKDAY(H$1), ""日"", ""月"", ""火"", ""水"", ""木"", ""金"", ""土"")) * ('新規'!$B$2:$B$400 = $A$3) * ('新規'!$O$2:$O$400 = FALSE)), """")"),"")</f>
        <v/>
      </c>
      <c r="M61" s="10" t="str">
        <f>IFERROR(__xludf.DUMMYFUNCTION("iferror(FILTER('新規'!$C:$C, ('新規'!$A:$A = M$1) * ('新規'!$B:$B = $A53)))"),"")</f>
        <v/>
      </c>
      <c r="N61" s="11" t="str">
        <f>IFERROR(__xludf.DUMMYFUNCTION("IFERROR(FILTER('新規'!$D$2:$D$400, ('新規'!$A$2:$A$400 = CHOOSE(WEEKDAY(M$1), ""日"", ""月"", ""火"", ""水"", ""木"", ""金"", ""土"")) * ('新規'!$B$2:$B$400 = $A$3) * ('新規'!$O$2:$O$400 = FALSE)), """")"),"")</f>
        <v/>
      </c>
      <c r="O61" s="7"/>
      <c r="P61" s="7" t="str">
        <f>IFERROR(__xludf.DUMMYFUNCTION("IFERROR(FILTER('新規'!$M$2:$M$400, ('新規'!$A$2:$A$400 = CHOOSE(WEEKDAY(M$1), ""日"", ""月"", ""火"", ""水"", ""木"", ""金"", ""土"")) * ('新規'!$B$2:$B$400 = $A$3) * ('新規'!$O$2:$O$400 = FALSE)), """")"),"")</f>
        <v/>
      </c>
      <c r="Q61" s="7" t="str">
        <f>IFERROR(__xludf.DUMMYFUNCTION("IFERROR(FILTER('新規'!$N$2:$N$400, ('新規'!$A$2:$A$400 = CHOOSE(WEEKDAY(M$1), ""日"", ""月"", ""火"", ""水"", ""木"", ""金"", ""土"")) * ('新規'!$B$2:$B$400 = $A$3) * ('新規'!$O$2:$O$400 = FALSE)), """")"),"")</f>
        <v/>
      </c>
      <c r="R61" s="10" t="str">
        <f>IFERROR(__xludf.DUMMYFUNCTION("iferror(FILTER('新規'!$C:$C, ('新規'!$A:$A = R$1) * ('新規'!$B:$B = $A53)))"),"")</f>
        <v/>
      </c>
      <c r="S61" s="11" t="str">
        <f>IFERROR(__xludf.DUMMYFUNCTION("IFERROR(FILTER('新規'!$D$2:$D$400, ('新規'!$A$2:$A$400 = CHOOSE(WEEKDAY(R$1), ""日"", ""月"", ""火"", ""水"", ""木"", ""金"", ""土"")) * ('新規'!$B$2:$B$400 = $A$3) * ('新規'!$O$2:$O$400 = FALSE)), """")"),"")</f>
        <v/>
      </c>
      <c r="T61" s="7"/>
      <c r="U61" s="7" t="str">
        <f>IFERROR(__xludf.DUMMYFUNCTION("IFERROR(FILTER('新規'!$M$2:$M$400, ('新規'!$A$2:$A$400 = CHOOSE(WEEKDAY(R$1), ""日"", ""月"", ""火"", ""水"", ""木"", ""金"", ""土"")) * ('新規'!$B$2:$B$400 = $A$3) * ('新規'!$O$2:$O$400 = FALSE)), """")"),"")</f>
        <v/>
      </c>
      <c r="V61" s="7" t="str">
        <f>IFERROR(__xludf.DUMMYFUNCTION("IFERROR(FILTER('新規'!$N$2:$N$400, ('新規'!$A$2:$A$400 = CHOOSE(WEEKDAY(R$1), ""日"", ""月"", ""火"", ""水"", ""木"", ""金"", ""土"")) * ('新規'!$B$2:$B$400 = $A$3) * ('新規'!$O$2:$O$400 = FALSE)), """")"),"")</f>
        <v/>
      </c>
      <c r="W61" s="10" t="str">
        <f>IFERROR(__xludf.DUMMYFUNCTION("iferror(FILTER('新規'!$C:$C, ('新規'!$A:$A = W$1) * ('新規'!$B:$B = $A53)))"),"")</f>
        <v/>
      </c>
      <c r="X61" s="11" t="str">
        <f>IFERROR(__xludf.DUMMYFUNCTION("IFERROR(FILTER('新規'!$D$2:$D$400, ('新規'!$A$2:$A$400 = CHOOSE(WEEKDAY(W$1), ""日"", ""月"", ""火"", ""水"", ""木"", ""金"", ""土"")) * ('新規'!$B$2:$B$400 = $A$3) * ('新規'!$O$2:$O$400 = FALSE)), """")"),"")</f>
        <v/>
      </c>
      <c r="Y61" s="7"/>
      <c r="Z61" s="7" t="str">
        <f>IFERROR(__xludf.DUMMYFUNCTION("IFERROR(FILTER('新規'!$M$2:$M$400, ('新規'!$A$2:$A$400 = CHOOSE(WEEKDAY(W$1), ""日"", ""月"", ""火"", ""水"", ""木"", ""金"", ""土"")) * ('新規'!$B$2:$B$400 = $A$3) * ('新規'!$O$2:$O$400 = FALSE)), """")"),"")</f>
        <v/>
      </c>
      <c r="AA61" s="7" t="str">
        <f>IFERROR(__xludf.DUMMYFUNCTION("IFERROR(FILTER('新規'!$N$2:$N$400, ('新規'!$A$2:$A$400 = CHOOSE(WEEKDAY(W$1), ""日"", ""月"", ""火"", ""水"", ""木"", ""金"", ""土"")) * ('新規'!$B$2:$B$400 = $A$3) * ('新規'!$O$2:$O$400 = FALSE)), """")"),"")</f>
        <v/>
      </c>
      <c r="AB61" s="10" t="str">
        <f>IFERROR(__xludf.DUMMYFUNCTION("iferror(FILTER('新規'!$C:$C, ('新規'!$A:$A = AB$1) * ('新規'!$B:$B = $A53)))"),"")</f>
        <v/>
      </c>
      <c r="AC61" s="11" t="str">
        <f>IFERROR(__xludf.DUMMYFUNCTION("IFERROR(FILTER('新規'!$D$2:$D$400, ('新規'!$A$2:$A$400 = CHOOSE(WEEKDAY(AB$1), ""日"", ""月"", ""火"", ""水"", ""木"", ""金"", ""土"")) * ('新規'!$B$2:$B$400 = $A$3) * ('新規'!$O$2:$O$400 = FALSE)), """")"),"")</f>
        <v/>
      </c>
      <c r="AD61" s="7"/>
      <c r="AE61" s="7" t="str">
        <f>IFERROR(__xludf.DUMMYFUNCTION("IFERROR(FILTER('新規'!$M$2:$M$400, ('新規'!$A$2:$A$400 = CHOOSE(WEEKDAY(AB$1), ""日"", ""月"", ""火"", ""水"", ""木"", ""金"", ""土"")) * ('新規'!$B$2:$B$400 = $A$3) * ('新規'!$O$2:$O$400 = FALSE)), """")"),"")</f>
        <v/>
      </c>
      <c r="AF61" s="7" t="str">
        <f>IFERROR(__xludf.DUMMYFUNCTION("IFERROR(FILTER('新規'!$N$2:$N$400, ('新規'!$A$2:$A$400 = CHOOSE(WEEKDAY(AB$1), ""日"", ""月"", ""火"", ""水"", ""木"", ""金"", ""土"")) * ('新規'!$B$2:$B$400 = $A$3) * ('新規'!$O$2:$O$400 = FALSE)), """")"),"")</f>
        <v/>
      </c>
      <c r="AG61" s="10" t="str">
        <f>IFERROR(__xludf.DUMMYFUNCTION("iferror(FILTER('新規'!$C:$C, ('新規'!$A:$A = AG$1) * ('新規'!$B:$B = $A53)))"),"")</f>
        <v/>
      </c>
      <c r="AH61" s="11" t="str">
        <f>IFERROR(__xludf.DUMMYFUNCTION("IFERROR(FILTER('新規'!$D$2:$D$400, ('新規'!$A$2:$A$400 = CHOOSE(WEEKDAY(AG$1), ""日"", ""月"", ""火"", ""水"", ""木"", ""金"", ""土"")) * ('新規'!$B$2:$B$400 = $A$3) * ('新規'!$O$2:$O$400 = FALSE)), """")"),"")</f>
        <v/>
      </c>
      <c r="AI61" s="7"/>
      <c r="AJ61" s="7" t="str">
        <f>IFERROR(__xludf.DUMMYFUNCTION("IFERROR(FILTER('新規'!$M$2:$M$400, ('新規'!$A$2:$A$400 = CHOOSE(WEEKDAY(AG$1), ""日"", ""月"", ""火"", ""水"", ""木"", ""金"", ""土"")) * ('新規'!$B$2:$B$400 = $A$3) * ('新規'!$O$2:$O$400 = FALSE)), """")"),"")</f>
        <v/>
      </c>
      <c r="AK61" s="7" t="str">
        <f>IFERROR(__xludf.DUMMYFUNCTION("IFERROR(FILTER('新規'!$N$2:$N$400, ('新規'!$A$2:$A$400 = CHOOSE(WEEKDAY(AG$1), ""日"", ""月"", ""火"", ""水"", ""木"", ""金"", ""土"")) * ('新規'!$B$2:$B$400 = $A$3) * ('新規'!$O$2:$O$400 = FALSE)), """")"),"")</f>
        <v/>
      </c>
    </row>
    <row r="62" ht="17.25" customHeight="1">
      <c r="A62" s="8"/>
      <c r="B62" s="9"/>
      <c r="C62" s="17"/>
      <c r="D62" s="7"/>
      <c r="E62" s="7"/>
      <c r="F62" s="7" t="str">
        <f t="array" ref="F62">IFERROR(XLOOKUP(C62, 'リスト'!$C:$C, 'リスト'!$M:$M, ""), "")</f>
        <v/>
      </c>
      <c r="G62" s="7" t="str">
        <f t="array" ref="G62">IFERROR(XLOOKUP(C62, 'リスト'!$C:$C, 'リスト'!$N:$N, ""), "")</f>
        <v/>
      </c>
      <c r="H62" s="17"/>
      <c r="I62" s="7"/>
      <c r="J62" s="7"/>
      <c r="K62" s="7" t="str">
        <f t="array" ref="K62">IFERROR(XLOOKUP(H62, 'リスト'!$C:$C, 'リスト'!$M:$M, ""), "")</f>
        <v/>
      </c>
      <c r="L62" s="7" t="str">
        <f t="array" ref="L62">IFERROR(XLOOKUP(H62, 'リスト'!$C:$C, 'リスト'!$N:$N, ""), "")</f>
        <v/>
      </c>
      <c r="M62" s="17"/>
      <c r="N62" s="7"/>
      <c r="O62" s="7"/>
      <c r="P62" s="7" t="str">
        <f t="array" ref="P62">IFERROR(XLOOKUP(M62, 'リスト'!$C:$C, 'リスト'!$M:$M, ""), "")</f>
        <v/>
      </c>
      <c r="Q62" s="7" t="str">
        <f t="array" ref="Q62">IFERROR(XLOOKUP(M62, 'リスト'!$C:$C, 'リスト'!$N:$N, ""), "")</f>
        <v/>
      </c>
      <c r="R62" s="17"/>
      <c r="S62" s="7"/>
      <c r="T62" s="7"/>
      <c r="U62" s="7" t="str">
        <f t="array" ref="U62">IFERROR(XLOOKUP(R62, 'リスト'!$C:$C, 'リスト'!$M:$M, ""), "")</f>
        <v/>
      </c>
      <c r="V62" s="7" t="str">
        <f t="array" ref="V62">IFERROR(XLOOKUP(R62, 'リスト'!$C:$C, 'リスト'!$N:$N, ""), "")</f>
        <v/>
      </c>
      <c r="W62" s="17"/>
      <c r="X62" s="7"/>
      <c r="Y62" s="7"/>
      <c r="Z62" s="7" t="str">
        <f t="array" ref="Z62">IFERROR(XLOOKUP(W62, 'リスト'!$C:$C, 'リスト'!$M:$M, ""), "")</f>
        <v/>
      </c>
      <c r="AA62" s="7" t="str">
        <f t="array" ref="AA62">IFERROR(XLOOKUP(W62, 'リスト'!$C:$C, 'リスト'!$N:$N, ""), "")</f>
        <v/>
      </c>
      <c r="AB62" s="17"/>
      <c r="AC62" s="7"/>
      <c r="AD62" s="7"/>
      <c r="AE62" s="7" t="str">
        <f t="array" ref="AE62">IFERROR(XLOOKUP(AB62, 'リスト'!$C:$C, 'リスト'!$M:$M, ""), "")</f>
        <v/>
      </c>
      <c r="AF62" s="7" t="str">
        <f t="array" ref="AF62">IFERROR(XLOOKUP(AB62, 'リスト'!$C:$C, 'リスト'!$N:$N, ""), "")</f>
        <v/>
      </c>
      <c r="AG62" s="17"/>
      <c r="AH62" s="7"/>
      <c r="AI62" s="7"/>
      <c r="AJ62" s="7" t="str">
        <f t="array" ref="AJ62">IFERROR(XLOOKUP(AG62, 'リスト'!$C:$C, 'リスト'!$M:$M, ""), "")</f>
        <v/>
      </c>
      <c r="AK62" s="7" t="str">
        <f t="array" ref="AK62">IFERROR(XLOOKUP(AG62, 'リスト'!$C:$C, 'リスト'!$N:$N, ""), "")</f>
        <v/>
      </c>
    </row>
    <row r="63" ht="17.25" customHeight="1">
      <c r="A63" s="8"/>
      <c r="B63" s="9"/>
      <c r="C63" s="17"/>
      <c r="D63" s="7"/>
      <c r="E63" s="7"/>
      <c r="F63" s="7" t="str">
        <f t="array" ref="F63">IFERROR(XLOOKUP(C63, 'リスト'!$C:$C, 'リスト'!$M:$M, ""), "")</f>
        <v/>
      </c>
      <c r="G63" s="7" t="str">
        <f t="array" ref="G63">IFERROR(XLOOKUP(C63, 'リスト'!$C:$C, 'リスト'!$N:$N, ""), "")</f>
        <v/>
      </c>
      <c r="H63" s="17"/>
      <c r="I63" s="7"/>
      <c r="J63" s="7"/>
      <c r="K63" s="7" t="str">
        <f t="array" ref="K63">IFERROR(XLOOKUP(H63, 'リスト'!$C:$C, 'リスト'!$M:$M, ""), "")</f>
        <v/>
      </c>
      <c r="L63" s="7" t="str">
        <f t="array" ref="L63">IFERROR(XLOOKUP(H63, 'リスト'!$C:$C, 'リスト'!$N:$N, ""), "")</f>
        <v/>
      </c>
      <c r="M63" s="17"/>
      <c r="N63" s="7"/>
      <c r="O63" s="7"/>
      <c r="P63" s="7" t="str">
        <f t="array" ref="P63">IFERROR(XLOOKUP(M63, 'リスト'!$C:$C, 'リスト'!$M:$M, ""), "")</f>
        <v/>
      </c>
      <c r="Q63" s="7" t="str">
        <f t="array" ref="Q63">IFERROR(XLOOKUP(M63, 'リスト'!$C:$C, 'リスト'!$N:$N, ""), "")</f>
        <v/>
      </c>
      <c r="R63" s="17"/>
      <c r="S63" s="7"/>
      <c r="T63" s="7"/>
      <c r="U63" s="7" t="str">
        <f t="array" ref="U63">IFERROR(XLOOKUP(R63, 'リスト'!$C:$C, 'リスト'!$M:$M, ""), "")</f>
        <v/>
      </c>
      <c r="V63" s="7" t="str">
        <f t="array" ref="V63">IFERROR(XLOOKUP(R63, 'リスト'!$C:$C, 'リスト'!$N:$N, ""), "")</f>
        <v/>
      </c>
      <c r="W63" s="17"/>
      <c r="X63" s="7"/>
      <c r="Y63" s="7"/>
      <c r="Z63" s="7" t="str">
        <f t="array" ref="Z63">IFERROR(XLOOKUP(W63, 'リスト'!$C:$C, 'リスト'!$M:$M, ""), "")</f>
        <v/>
      </c>
      <c r="AA63" s="7" t="str">
        <f t="array" ref="AA63">IFERROR(XLOOKUP(W63, 'リスト'!$C:$C, 'リスト'!$N:$N, ""), "")</f>
        <v/>
      </c>
      <c r="AB63" s="17"/>
      <c r="AC63" s="7"/>
      <c r="AD63" s="7"/>
      <c r="AE63" s="7" t="str">
        <f t="array" ref="AE63">IFERROR(XLOOKUP(AB63, 'リスト'!$C:$C, 'リスト'!$M:$M, ""), "")</f>
        <v/>
      </c>
      <c r="AF63" s="7" t="str">
        <f t="array" ref="AF63">IFERROR(XLOOKUP(AB63, 'リスト'!$C:$C, 'リスト'!$N:$N, ""), "")</f>
        <v/>
      </c>
      <c r="AG63" s="17"/>
      <c r="AH63" s="7"/>
      <c r="AI63" s="7"/>
      <c r="AJ63" s="7" t="str">
        <f t="array" ref="AJ63">IFERROR(XLOOKUP(AG63, 'リスト'!$C:$C, 'リスト'!$M:$M, ""), "")</f>
        <v/>
      </c>
      <c r="AK63" s="7" t="str">
        <f t="array" ref="AK63">IFERROR(XLOOKUP(AG63, 'リスト'!$C:$C, 'リスト'!$N:$N, ""), "")</f>
        <v/>
      </c>
    </row>
    <row r="64" ht="17.25" customHeight="1">
      <c r="A64" s="8"/>
      <c r="B64" s="9"/>
      <c r="C64" s="17"/>
      <c r="D64" s="7"/>
      <c r="E64" s="7"/>
      <c r="F64" s="7" t="str">
        <f t="array" ref="F64">IFERROR(XLOOKUP(C64, 'リスト'!$C:$C, 'リスト'!$M:$M, ""), "")</f>
        <v/>
      </c>
      <c r="G64" s="7" t="str">
        <f t="array" ref="G64">IFERROR(XLOOKUP(C64, 'リスト'!$C:$C, 'リスト'!$N:$N, ""), "")</f>
        <v/>
      </c>
      <c r="H64" s="17"/>
      <c r="I64" s="7"/>
      <c r="J64" s="7"/>
      <c r="K64" s="7" t="str">
        <f t="array" ref="K64">IFERROR(XLOOKUP(H64, 'リスト'!$C:$C, 'リスト'!$M:$M, ""), "")</f>
        <v/>
      </c>
      <c r="L64" s="7" t="str">
        <f t="array" ref="L64">IFERROR(XLOOKUP(H64, 'リスト'!$C:$C, 'リスト'!$N:$N, ""), "")</f>
        <v/>
      </c>
      <c r="M64" s="17"/>
      <c r="N64" s="7"/>
      <c r="O64" s="7"/>
      <c r="P64" s="7" t="str">
        <f t="array" ref="P64">IFERROR(XLOOKUP(M64, 'リスト'!$C:$C, 'リスト'!$M:$M, ""), "")</f>
        <v/>
      </c>
      <c r="Q64" s="7" t="str">
        <f t="array" ref="Q64">IFERROR(XLOOKUP(M64, 'リスト'!$C:$C, 'リスト'!$N:$N, ""), "")</f>
        <v/>
      </c>
      <c r="R64" s="17"/>
      <c r="S64" s="7"/>
      <c r="T64" s="7"/>
      <c r="U64" s="7" t="str">
        <f t="array" ref="U64">IFERROR(XLOOKUP(R64, 'リスト'!$C:$C, 'リスト'!$M:$M, ""), "")</f>
        <v/>
      </c>
      <c r="V64" s="7" t="str">
        <f t="array" ref="V64">IFERROR(XLOOKUP(R64, 'リスト'!$C:$C, 'リスト'!$N:$N, ""), "")</f>
        <v/>
      </c>
      <c r="W64" s="17"/>
      <c r="X64" s="7"/>
      <c r="Y64" s="7"/>
      <c r="Z64" s="7" t="str">
        <f t="array" ref="Z64">IFERROR(XLOOKUP(W64, 'リスト'!$C:$C, 'リスト'!$M:$M, ""), "")</f>
        <v/>
      </c>
      <c r="AA64" s="7" t="str">
        <f t="array" ref="AA64">IFERROR(XLOOKUP(W64, 'リスト'!$C:$C, 'リスト'!$N:$N, ""), "")</f>
        <v/>
      </c>
      <c r="AB64" s="17"/>
      <c r="AC64" s="7"/>
      <c r="AD64" s="7"/>
      <c r="AE64" s="7" t="str">
        <f t="array" ref="AE64">IFERROR(XLOOKUP(AB64, 'リスト'!$C:$C, 'リスト'!$M:$M, ""), "")</f>
        <v/>
      </c>
      <c r="AF64" s="7" t="str">
        <f t="array" ref="AF64">IFERROR(XLOOKUP(AB64, 'リスト'!$C:$C, 'リスト'!$N:$N, ""), "")</f>
        <v/>
      </c>
      <c r="AG64" s="17"/>
      <c r="AH64" s="7"/>
      <c r="AI64" s="7"/>
      <c r="AJ64" s="7" t="str">
        <f t="array" ref="AJ64">IFERROR(XLOOKUP(AG64, 'リスト'!$C:$C, 'リスト'!$M:$M, ""), "")</f>
        <v/>
      </c>
      <c r="AK64" s="7" t="str">
        <f t="array" ref="AK64">IFERROR(XLOOKUP(AG64, 'リスト'!$C:$C, 'リスト'!$N:$N, ""), "")</f>
        <v/>
      </c>
    </row>
    <row r="65" ht="17.25" customHeight="1">
      <c r="A65" s="8"/>
      <c r="B65" s="9"/>
      <c r="C65" s="17"/>
      <c r="D65" s="7"/>
      <c r="E65" s="7"/>
      <c r="F65" s="7" t="str">
        <f t="array" ref="F65">IFERROR(XLOOKUP(C65, 'リスト'!$C:$C, 'リスト'!$M:$M, ""), "")</f>
        <v/>
      </c>
      <c r="G65" s="7" t="str">
        <f t="array" ref="G65">IFERROR(XLOOKUP(C65, 'リスト'!$C:$C, 'リスト'!$N:$N, ""), "")</f>
        <v/>
      </c>
      <c r="H65" s="17"/>
      <c r="I65" s="7"/>
      <c r="J65" s="7"/>
      <c r="K65" s="7" t="str">
        <f t="array" ref="K65">IFERROR(XLOOKUP(H65, 'リスト'!$C:$C, 'リスト'!$M:$M, ""), "")</f>
        <v/>
      </c>
      <c r="L65" s="7" t="str">
        <f t="array" ref="L65">IFERROR(XLOOKUP(H65, 'リスト'!$C:$C, 'リスト'!$N:$N, ""), "")</f>
        <v/>
      </c>
      <c r="M65" s="17"/>
      <c r="N65" s="7"/>
      <c r="O65" s="7"/>
      <c r="P65" s="7" t="str">
        <f t="array" ref="P65">IFERROR(XLOOKUP(M65, 'リスト'!$C:$C, 'リスト'!$M:$M, ""), "")</f>
        <v/>
      </c>
      <c r="Q65" s="7" t="str">
        <f t="array" ref="Q65">IFERROR(XLOOKUP(M65, 'リスト'!$C:$C, 'リスト'!$N:$N, ""), "")</f>
        <v/>
      </c>
      <c r="R65" s="17"/>
      <c r="S65" s="7"/>
      <c r="T65" s="7"/>
      <c r="U65" s="7" t="str">
        <f t="array" ref="U65">IFERROR(XLOOKUP(R65, 'リスト'!$C:$C, 'リスト'!$M:$M, ""), "")</f>
        <v/>
      </c>
      <c r="V65" s="7" t="str">
        <f t="array" ref="V65">IFERROR(XLOOKUP(R65, 'リスト'!$C:$C, 'リスト'!$N:$N, ""), "")</f>
        <v/>
      </c>
      <c r="W65" s="17"/>
      <c r="X65" s="7"/>
      <c r="Y65" s="7"/>
      <c r="Z65" s="7" t="str">
        <f t="array" ref="Z65">IFERROR(XLOOKUP(W65, 'リスト'!$C:$C, 'リスト'!$M:$M, ""), "")</f>
        <v/>
      </c>
      <c r="AA65" s="7" t="str">
        <f t="array" ref="AA65">IFERROR(XLOOKUP(W65, 'リスト'!$C:$C, 'リスト'!$N:$N, ""), "")</f>
        <v/>
      </c>
      <c r="AB65" s="17"/>
      <c r="AC65" s="7"/>
      <c r="AD65" s="7"/>
      <c r="AE65" s="7" t="str">
        <f t="array" ref="AE65">IFERROR(XLOOKUP(AB65, 'リスト'!$C:$C, 'リスト'!$M:$M, ""), "")</f>
        <v/>
      </c>
      <c r="AF65" s="7" t="str">
        <f t="array" ref="AF65">IFERROR(XLOOKUP(AB65, 'リスト'!$C:$C, 'リスト'!$N:$N, ""), "")</f>
        <v/>
      </c>
      <c r="AG65" s="17"/>
      <c r="AH65" s="7"/>
      <c r="AI65" s="7"/>
      <c r="AJ65" s="7" t="str">
        <f t="array" ref="AJ65">IFERROR(XLOOKUP(AG65, 'リスト'!$C:$C, 'リスト'!$M:$M, ""), "")</f>
        <v/>
      </c>
      <c r="AK65" s="7" t="str">
        <f t="array" ref="AK65">IFERROR(XLOOKUP(AG65, 'リスト'!$C:$C, 'リスト'!$N:$N, ""), "")</f>
        <v/>
      </c>
    </row>
    <row r="66" ht="17.25" customHeight="1">
      <c r="A66" s="8"/>
      <c r="B66" s="9" t="s">
        <v>7</v>
      </c>
      <c r="C66" s="10" t="str">
        <f>"◇ポジションマッチ A" &amp; MOD(INT(($C$1 - '特殊配信マスタ'!$A$1) / 7), 3) + 1</f>
        <v>◇ポジションマッチ A2</v>
      </c>
      <c r="D66" s="11" t="str">
        <f>IFERROR(__xludf.DUMMYFUNCTION("IFERROR(TEXTJOIN(CHAR(10), TRUE, FILTER('特殊配信マスタ'!$C:$E, #REF!=D$1)), """")"),"")</f>
        <v/>
      </c>
      <c r="E66" s="7" t="str">
        <f>IFERROR(__xludf.DUMMYFUNCTION("IFERROR(TEXTJOIN(CHAR(10), TRUE, FILTER('特殊配信マスタ'!$C:$E, #REF!=E$1)), """")"),"")</f>
        <v/>
      </c>
      <c r="F66" s="7" t="str">
        <f t="array" ref="F66">IFERROR(XLOOKUP(C66, INDEX('特殊配信マスタ'!$C$3:$E$8, 0, MAX(1, ROW()-14)), '特殊配信マスタ'!$M$3:$N$8, ""),"")</f>
        <v/>
      </c>
      <c r="G66" s="7"/>
      <c r="H66" s="10" t="str">
        <f>"◇ポジションマッチ A" &amp; MOD(INT(($C$1 - '特殊配信マスタ'!$A$1) / 7), 3) + 1</f>
        <v>◇ポジションマッチ A2</v>
      </c>
      <c r="I66" s="11" t="str">
        <f>IFERROR(__xludf.DUMMYFUNCTION("IFERROR(TEXTJOIN(CHAR(10), TRUE, FILTER('特殊配信マスタ'!$C:$E, #REF!=I$1)), """")"),"")</f>
        <v/>
      </c>
      <c r="J66" s="7" t="str">
        <f>IFERROR(__xludf.DUMMYFUNCTION("IFERROR(TEXTJOIN(CHAR(10), TRUE, FILTER('特殊配信マスタ'!$C:$E, #REF!=J$1)), """")"),"")</f>
        <v/>
      </c>
      <c r="K66" s="7" t="str">
        <f t="array" ref="K66">IFERROR(XLOOKUP(H66, INDEX('特殊配信マスタ'!$C$3:$E$8, 0, MAX(1, ROW()-14)), '特殊配信マスタ'!$M$3:$N$8, ""),"")</f>
        <v/>
      </c>
      <c r="L66" s="7"/>
      <c r="M66" s="10" t="str">
        <f>"◇ポジションマッチ A" &amp; MOD(INT(($C$1 - '特殊配信マスタ'!$A$1) / 7), 3) + 1</f>
        <v>◇ポジションマッチ A2</v>
      </c>
      <c r="N66" s="11" t="str">
        <f>IFERROR(__xludf.DUMMYFUNCTION("IFERROR(TEXTJOIN(CHAR(10), TRUE, FILTER('特殊配信マスタ'!$C:$E, #REF!=N$1)), """")"),"")</f>
        <v/>
      </c>
      <c r="O66" s="7" t="str">
        <f>IFERROR(__xludf.DUMMYFUNCTION("IFERROR(TEXTJOIN(CHAR(10), TRUE, FILTER('特殊配信マスタ'!$C:$E, #REF!=O$1)), """")"),"")</f>
        <v/>
      </c>
      <c r="P66" s="7" t="str">
        <f t="array" ref="P66">IFERROR(XLOOKUP(M66, INDEX('特殊配信マスタ'!$C$3:$E$8, 0, MAX(1, ROW()-14)), '特殊配信マスタ'!$M$3:$N$8, ""),"")</f>
        <v/>
      </c>
      <c r="Q66" s="7"/>
      <c r="R66" s="10" t="str">
        <f>"◇ポジションマッチ A" &amp; MOD(INT(($C$1 - '特殊配信マスタ'!$A$1) / 7), 3) + 1</f>
        <v>◇ポジションマッチ A2</v>
      </c>
      <c r="S66" s="11" t="str">
        <f>IFERROR(__xludf.DUMMYFUNCTION("IFERROR(TEXTJOIN(CHAR(10), TRUE, FILTER('特殊配信マスタ'!$C:$E, #REF!=S$1)), """")"),"")</f>
        <v/>
      </c>
      <c r="T66" s="7" t="str">
        <f>IFERROR(__xludf.DUMMYFUNCTION("IFERROR(TEXTJOIN(CHAR(10), TRUE, FILTER('特殊配信マスタ'!$C:$E, #REF!=T$1)), """")"),"")</f>
        <v/>
      </c>
      <c r="U66" s="7" t="str">
        <f t="array" ref="U66">IFERROR(XLOOKUP(R66, INDEX('特殊配信マスタ'!$C$3:$E$8, 0, MAX(1, ROW()-14)), '特殊配信マスタ'!$M$3:$N$8, ""),"")</f>
        <v/>
      </c>
      <c r="V66" s="7"/>
      <c r="W66" s="10" t="str">
        <f>"◇ポジションマッチ A" &amp; MOD(INT(($C$1 - '特殊配信マスタ'!$A$1) / 7), 3) + 1</f>
        <v>◇ポジションマッチ A2</v>
      </c>
      <c r="X66" s="11" t="str">
        <f>IFERROR(__xludf.DUMMYFUNCTION("IFERROR(TEXTJOIN(CHAR(10), TRUE, FILTER('特殊配信マスタ'!$C:$E, #REF!=X$1)), """")"),"")</f>
        <v/>
      </c>
      <c r="Y66" s="7" t="str">
        <f>IFERROR(__xludf.DUMMYFUNCTION("IFERROR(TEXTJOIN(CHAR(10), TRUE, FILTER('特殊配信マスタ'!$C:$E, #REF!=Y$1)), """")"),"")</f>
        <v/>
      </c>
      <c r="Z66" s="7" t="str">
        <f t="array" ref="Z66">IFERROR(XLOOKUP(W66, INDEX('特殊配信マスタ'!$C$3:$E$8, 0, MAX(1, ROW()-14)), '特殊配信マスタ'!$M$3:$N$8, ""),"")</f>
        <v/>
      </c>
      <c r="AA66" s="7"/>
      <c r="AB66" s="10" t="str">
        <f>"◇ポジションマッチ A" &amp; MOD(INT(($C$1 - '特殊配信マスタ'!$A$1) / 7), 3) + 1</f>
        <v>◇ポジションマッチ A2</v>
      </c>
      <c r="AC66" s="11" t="str">
        <f>IFERROR(__xludf.DUMMYFUNCTION("IFERROR(TEXTJOIN(CHAR(10), TRUE, FILTER('特殊配信マスタ'!$C:$E, #REF!=AC$1)), """")"),"")</f>
        <v/>
      </c>
      <c r="AD66" s="7" t="str">
        <f>IFERROR(__xludf.DUMMYFUNCTION("IFERROR(TEXTJOIN(CHAR(10), TRUE, FILTER('特殊配信マスタ'!$C:$E, #REF!=AD$1)), """")"),"")</f>
        <v/>
      </c>
      <c r="AE66" s="7" t="str">
        <f t="array" ref="AE66">IFERROR(XLOOKUP(AB66, INDEX('特殊配信マスタ'!$C$3:$E$8, 0, MAX(1, ROW()-14)), '特殊配信マスタ'!$M$3:$N$8, ""),"")</f>
        <v/>
      </c>
      <c r="AF66" s="7"/>
      <c r="AG66" s="10" t="str">
        <f>"◇ポジションマッチ A" &amp; MOD(INT(($C$1 - '特殊配信マスタ'!$A$1) / 7), 3) + 1</f>
        <v>◇ポジションマッチ A2</v>
      </c>
      <c r="AH66" s="11" t="str">
        <f>IFERROR(__xludf.DUMMYFUNCTION("IFERROR(TEXTJOIN(CHAR(10), TRUE, FILTER('特殊配信マスタ'!$C:$E, #REF!=AH$1)), """")"),"")</f>
        <v/>
      </c>
      <c r="AI66" s="7" t="str">
        <f>IFERROR(__xludf.DUMMYFUNCTION("IFERROR(TEXTJOIN(CHAR(10), TRUE, FILTER('特殊配信マスタ'!$C:$E, #REF!=AI$1)), """")"),"")</f>
        <v/>
      </c>
      <c r="AJ66" s="7" t="str">
        <f t="array" ref="AJ66">IFERROR(XLOOKUP(AG66, INDEX('特殊配信マスタ'!$C$3:$E$8, 0, MAX(1, ROW()-14)), '特殊配信マスタ'!$M$3:$N$8, ""),"")</f>
        <v/>
      </c>
      <c r="AK66" s="7"/>
    </row>
    <row r="67" ht="17.25" customHeight="1">
      <c r="A67" s="8"/>
      <c r="B67" s="9"/>
      <c r="C67" s="10" t="str">
        <f>"◇ポジションマッチ_36歳以上 A" &amp; MOD(INT(($C$1 - '特殊配信マスタ'!$A$1) / 7), 3) + 1</f>
        <v>◇ポジションマッチ_36歳以上 A2</v>
      </c>
      <c r="D67" s="11"/>
      <c r="E67" s="7"/>
      <c r="F67" s="7" t="str">
        <f t="array" ref="F67">IFERROR(XLOOKUP(C67, INDEX('特殊配信マスタ'!$C$3:$E$8, 0, MAX(1, ROW()-14)), '特殊配信マスタ'!$M$3:$N$8, ""),"")</f>
        <v/>
      </c>
      <c r="G67" s="7"/>
      <c r="H67" s="10" t="str">
        <f>"◇ポジションマッチ_36歳以上 A" &amp; MOD(INT(($C$1 - '特殊配信マスタ'!$A$1) / 7), 3) + 1</f>
        <v>◇ポジションマッチ_36歳以上 A2</v>
      </c>
      <c r="I67" s="11"/>
      <c r="J67" s="7"/>
      <c r="K67" s="7" t="str">
        <f t="array" ref="K67">IFERROR(XLOOKUP(H67, INDEX('特殊配信マスタ'!$C$3:$E$8, 0, MAX(1, ROW()-14)), '特殊配信マスタ'!$M$3:$N$8, ""),"")</f>
        <v/>
      </c>
      <c r="L67" s="7"/>
      <c r="M67" s="10" t="str">
        <f>"◇ポジションマッチ_36歳以上 A" &amp; MOD(INT(($C$1 - '特殊配信マスタ'!$A$1) / 7), 3) + 1</f>
        <v>◇ポジションマッチ_36歳以上 A2</v>
      </c>
      <c r="N67" s="11"/>
      <c r="O67" s="7"/>
      <c r="P67" s="7" t="str">
        <f t="array" ref="P67">IFERROR(XLOOKUP(M67, INDEX('特殊配信マスタ'!$C$3:$E$8, 0, MAX(1, ROW()-14)), '特殊配信マスタ'!$M$3:$N$8, ""),"")</f>
        <v/>
      </c>
      <c r="Q67" s="7"/>
      <c r="R67" s="10" t="str">
        <f>"◇ポジションマッチ_36歳以上 A" &amp; MOD(INT(($C$1 - '特殊配信マスタ'!$A$1) / 7), 3) + 1</f>
        <v>◇ポジションマッチ_36歳以上 A2</v>
      </c>
      <c r="S67" s="11"/>
      <c r="T67" s="7"/>
      <c r="U67" s="7" t="str">
        <f t="array" ref="U67">IFERROR(XLOOKUP(R67, INDEX('特殊配信マスタ'!$C$3:$E$8, 0, MAX(1, ROW()-14)), '特殊配信マスタ'!$M$3:$N$8, ""),"")</f>
        <v/>
      </c>
      <c r="V67" s="7"/>
      <c r="W67" s="10" t="str">
        <f>"◇ポジションマッチ_36歳以上 A" &amp; MOD(INT(($C$1 - '特殊配信マスタ'!$A$1) / 7), 3) + 1</f>
        <v>◇ポジションマッチ_36歳以上 A2</v>
      </c>
      <c r="X67" s="11"/>
      <c r="Y67" s="7"/>
      <c r="Z67" s="7" t="str">
        <f t="array" ref="Z67">IFERROR(XLOOKUP(W67, INDEX('特殊配信マスタ'!$C$3:$E$8, 0, MAX(1, ROW()-14)), '特殊配信マスタ'!$M$3:$N$8, ""),"")</f>
        <v/>
      </c>
      <c r="AA67" s="7"/>
      <c r="AB67" s="10" t="str">
        <f>"◇ポジションマッチ_36歳以上 A" &amp; MOD(INT(($C$1 - '特殊配信マスタ'!$A$1) / 7), 3) + 1</f>
        <v>◇ポジションマッチ_36歳以上 A2</v>
      </c>
      <c r="AC67" s="11"/>
      <c r="AD67" s="7"/>
      <c r="AE67" s="7" t="str">
        <f t="array" ref="AE67">IFERROR(XLOOKUP(AB67, INDEX('特殊配信マスタ'!$C$3:$E$8, 0, MAX(1, ROW()-14)), '特殊配信マスタ'!$M$3:$N$8, ""),"")</f>
        <v/>
      </c>
      <c r="AF67" s="7"/>
      <c r="AG67" s="10" t="str">
        <f>"◇ポジションマッチ_36歳以上 A" &amp; MOD(INT(($C$1 - '特殊配信マスタ'!$A$1) / 7), 3) + 1</f>
        <v>◇ポジションマッチ_36歳以上 A2</v>
      </c>
      <c r="AH67" s="11"/>
      <c r="AI67" s="7"/>
      <c r="AJ67" s="7" t="str">
        <f t="array" ref="AJ67">IFERROR(XLOOKUP(AG67, INDEX('特殊配信マスタ'!$C$3:$E$8, 0, MAX(1, ROW()-14)), '特殊配信マスタ'!$M$3:$N$8, ""),"")</f>
        <v/>
      </c>
      <c r="AK67" s="7"/>
    </row>
    <row r="68" ht="17.25" customHeight="1">
      <c r="A68" s="8">
        <f>A53+1</f>
        <v>12</v>
      </c>
      <c r="B68" s="9" t="s">
        <v>5</v>
      </c>
      <c r="C68" s="10" t="str">
        <f>IFERROR(__xludf.DUMMYFUNCTION("IFERROR(FILTER('リスト'!$C$2:$C$400, ('リスト'!$A$2:$A$400 = CHOOSE(WEEKDAY(C$1), ""日"", ""月"", ""火"", ""水"", ""木"", ""金"", ""土"")) * ('リスト'!$B$2:$B$400 = $A68) * ('リスト'!$E$2:$E$400 = ""毎週配信"") * ('リスト'!$O$2:$O$400 = FALSE)), """")"),"★新着総合_首都圏 A")</f>
        <v>★新着総合_首都圏 A</v>
      </c>
      <c r="D68" s="11" t="str">
        <f>IFERROR(__xludf.DUMMYFUNCTION("iferror(FILTER('リスト'!$D:$D, ('リスト'!$A:$A = C$1) * ('リスト'!$B:$B = $A68)))"),"")</f>
        <v/>
      </c>
      <c r="E68" s="7">
        <f>SUM(D68:D81)</f>
        <v>0</v>
      </c>
      <c r="F68" s="7" t="str">
        <f t="array" ref="F68">IFERROR(XLOOKUP(C68, 'リスト'!$C:$C, 'リスト'!$M:$M, ""), "")</f>
        <v>荒</v>
      </c>
      <c r="G68" s="7" t="str">
        <f t="array" ref="G68">IFERROR(XLOOKUP(C68, 'リスト'!$C:$C, 'リスト'!$N:$N, ""), "")</f>
        <v>平</v>
      </c>
      <c r="H68" s="10" t="str">
        <f>IFERROR(__xludf.DUMMYFUNCTION("IFERROR(FILTER('リスト'!$C$2:$C$400, ('リスト'!$A$2:$A$400 = CHOOSE(WEEKDAY(H$1), ""日"", ""月"", ""火"", ""水"", ""木"", ""金"", ""土"")) * ('リスト'!$B$2:$B$400 = $A68) * ('リスト'!$E$2:$E$400 = ""毎週配信"") * ('リスト'!$O$2:$O$400 = FALSE)), """")"),"休日120日_就業中_関西")</f>
        <v>休日120日_就業中_関西</v>
      </c>
      <c r="I68" s="11" t="str">
        <f>IFERROR(__xludf.DUMMYFUNCTION("iferror(FILTER('リスト'!$D:$D, ('リスト'!$A:$A = H$1) * ('リスト'!$B:$B = $A68)))"),"")</f>
        <v/>
      </c>
      <c r="J68" s="7">
        <f>SUM(I68:I81)</f>
        <v>0</v>
      </c>
      <c r="K68" s="7" t="str">
        <f t="array" ref="K68">IFERROR(XLOOKUP(H68, 'リスト'!$C:$C, 'リスト'!$M:$M, ""), "")</f>
        <v>R</v>
      </c>
      <c r="L68" s="7" t="str">
        <f t="array" ref="L68">IFERROR(XLOOKUP(H68, 'リスト'!$C:$C, 'リスト'!$N:$N, ""), "")</f>
        <v/>
      </c>
      <c r="M68" s="10" t="str">
        <f>IFERROR(__xludf.DUMMYFUNCTION("IFERROR(FILTER('リスト'!$C$2:$C$400, ('リスト'!$A$2:$A$400 = CHOOSE(WEEKDAY(M$1), ""日"", ""月"", ""火"", ""水"", ""木"", ""金"", ""土"")) * ('リスト'!$B$2:$B$400 = $A68) * ('リスト'!$E$2:$E$400 = ""毎週配信"") * ('リスト'!$O$2:$O$400 = FALSE)), """")"),"応募ランキング B")</f>
        <v>応募ランキング B</v>
      </c>
      <c r="N68" s="11" t="str">
        <f>IFERROR(__xludf.DUMMYFUNCTION("iferror(FILTER('リスト'!$D:$D, ('リスト'!$A:$A = M$1) * ('リスト'!$B:$B = $A68)))"),"")</f>
        <v/>
      </c>
      <c r="O68" s="7">
        <f>SUM(N68:N81)</f>
        <v>0</v>
      </c>
      <c r="P68" s="7" t="str">
        <f t="array" ref="P68">IFERROR(XLOOKUP(M68, 'リスト'!$C:$C, 'リスト'!$M:$M, ""), "")</f>
        <v>R</v>
      </c>
      <c r="Q68" s="7" t="str">
        <f t="array" ref="Q68">IFERROR(XLOOKUP(M68, 'リスト'!$C:$C, 'リスト'!$N:$N, ""), "")</f>
        <v/>
      </c>
      <c r="R68" s="10" t="str">
        <f>IFERROR(__xludf.DUMMYFUNCTION("IFERROR(FILTER('リスト'!$C$2:$C$400, ('リスト'!$A$2:$A$400 = CHOOSE(WEEKDAY(R$1), ""日"", ""月"", ""火"", ""水"", ""木"", ""金"", ""土"")) * ('リスト'!$B$2:$B$400 = $A68) * ('リスト'!$E$2:$E$400 = ""毎週配信"") * ('リスト'!$O$2:$O$400 = FALSE)), """")"),"★新着総合_首都圏 B")</f>
        <v>★新着総合_首都圏 B</v>
      </c>
      <c r="S68" s="11" t="str">
        <f>IFERROR(__xludf.DUMMYFUNCTION("iferror(FILTER('リスト'!$D:$D, ('リスト'!$A:$A = R$1) * ('リスト'!$B:$B = $A68)))"),"")</f>
        <v/>
      </c>
      <c r="T68" s="7">
        <f>SUM(S68:S81)</f>
        <v>0</v>
      </c>
      <c r="U68" s="7" t="str">
        <f t="array" ref="U68">IFERROR(XLOOKUP(R68, 'リスト'!$C:$C, 'リスト'!$M:$M, ""), "")</f>
        <v>荒</v>
      </c>
      <c r="V68" s="7" t="str">
        <f t="array" ref="V68">IFERROR(XLOOKUP(R68, 'リスト'!$C:$C, 'リスト'!$N:$N, ""), "")</f>
        <v>平</v>
      </c>
      <c r="W68" s="10" t="str">
        <f>IFERROR(__xludf.DUMMYFUNCTION("IFERROR(FILTER('リスト'!$C$2:$C$400, ('リスト'!$A$2:$A$400 = CHOOSE(WEEKDAY(W$1), ""日"", ""月"", ""火"", ""水"", ""木"", ""金"", ""土"")) * ('リスト'!$B$2:$B$400 = $A68) * ('リスト'!$E$2:$E$400 = ""毎週配信"") * ('リスト'!$O$2:$O$400 = FALSE)), """")"),"趣味・興味メルマガ_B")</f>
        <v>趣味・興味メルマガ_B</v>
      </c>
      <c r="X68" s="11" t="str">
        <f>IFERROR(__xludf.DUMMYFUNCTION("iferror(FILTER('リスト'!$D:$D, ('リスト'!$A:$A = W$1) * ('リスト'!$B:$B = $A68)))"),"")</f>
        <v/>
      </c>
      <c r="Y68" s="7">
        <f>SUM(X68:X81)</f>
        <v>0</v>
      </c>
      <c r="Z68" s="7" t="str">
        <f t="array" ref="Z68">IFERROR(XLOOKUP(W68, 'リスト'!$C:$C, 'リスト'!$M:$M, ""), "")</f>
        <v>R</v>
      </c>
      <c r="AA68" s="7" t="str">
        <f t="array" ref="AA68">IFERROR(XLOOKUP(W68, 'リスト'!$C:$C, 'リスト'!$N:$N, ""), "")</f>
        <v/>
      </c>
      <c r="AB68" s="18" t="str">
        <f>IFERROR(__xludf.DUMMYFUNCTION("IFERROR(FILTER('リスト'!$C$2:$C$400, ('リスト'!$A$2:$A$400 = CHOOSE(WEEKDAY(AB$1), ""日"", ""月"", ""火"", ""水"", ""木"", ""金"", ""土"")) * ('リスト'!$B$2:$B$400 = $A68) * ('リスト'!$E$2:$E$400 = ""毎週配信"") * ('リスト'!$O$2:$O$400 = FALSE)), """")"),"★ウキポリ[全]")</f>
        <v>★ウキポリ[全]</v>
      </c>
      <c r="AC68" s="11" t="str">
        <f>IFERROR(__xludf.DUMMYFUNCTION("iferror(FILTER('リスト'!$D:$D, ('リスト'!$A:$A = AB$1) * ('リスト'!$B:$B = $A68)))"),"")</f>
        <v/>
      </c>
      <c r="AD68" s="7">
        <f>SUM(AC68:AC81)</f>
        <v>0</v>
      </c>
      <c r="AE68" s="7" t="str">
        <f t="array" ref="AE68">IFERROR(XLOOKUP(AB68, 'リスト'!$C:$C, 'リスト'!$M:$M, ""), "")</f>
        <v>平</v>
      </c>
      <c r="AF68" s="7" t="str">
        <f t="array" ref="AF68">IFERROR(XLOOKUP(AB68, 'リスト'!$C:$C, 'リスト'!$N:$N, ""), "")</f>
        <v>荒</v>
      </c>
      <c r="AG68" s="10" t="str">
        <f>IFERROR(__xludf.DUMMYFUNCTION("IFERROR(FILTER('リスト'!$C$2:$C$400, ('リスト'!$A$2:$A$400 = CHOOSE(WEEKDAY(AG$1), ""日"", ""月"", ""火"", ""水"", ""木"", ""金"", ""土"")) * ('リスト'!$B$2:$B$400 = $A68) * ('リスト'!$E$2:$E$400 = ""毎週配信"") * ('リスト'!$O$2:$O$400 = FALSE)), """")"),"★納品対策")</f>
        <v>★納品対策</v>
      </c>
      <c r="AH68" s="11" t="str">
        <f>IFERROR(__xludf.DUMMYFUNCTION("iferror(FILTER('リスト'!$D:$D, ('リスト'!$A:$A = AG$1) * ('リスト'!$B:$B = $A68)))"),"")</f>
        <v/>
      </c>
      <c r="AI68" s="7">
        <f>SUM(AH68:AH81)</f>
        <v>0</v>
      </c>
      <c r="AJ68" s="7" t="str">
        <f t="array" ref="AJ68">IFERROR(XLOOKUP(AG68, 'リスト'!$C:$C, 'リスト'!$M:$M, ""), "")</f>
        <v>平</v>
      </c>
      <c r="AK68" s="7" t="str">
        <f t="array" ref="AK68">IFERROR(XLOOKUP(AG68, 'リスト'!$C:$C, 'リスト'!$N:$N, ""), "")</f>
        <v>荒</v>
      </c>
    </row>
    <row r="69" ht="17.25" customHeight="1">
      <c r="A69" s="8"/>
      <c r="B69" s="9"/>
      <c r="C69" s="12" t="str">
        <f>IFERROR(__xludf.DUMMYFUNCTION("""COMPUTED_VALUE"""),"★新着総合_西日本 A")</f>
        <v>★新着総合_西日本 A</v>
      </c>
      <c r="D69" s="7"/>
      <c r="E69" s="7"/>
      <c r="F69" s="7" t="str">
        <f t="array" ref="F69">IFERROR(XLOOKUP(C69, 'リスト'!$C:$C, 'リスト'!$M:$M, ""), "")</f>
        <v>荒</v>
      </c>
      <c r="G69" s="7" t="str">
        <f t="array" ref="G69">IFERROR(XLOOKUP(C69, 'リスト'!$C:$C, 'リスト'!$N:$N, ""), "")</f>
        <v>平</v>
      </c>
      <c r="H69" s="12" t="str">
        <f>IFERROR(__xludf.DUMMYFUNCTION("""COMPUTED_VALUE"""),"休日120日_未就業")</f>
        <v>休日120日_未就業</v>
      </c>
      <c r="I69" s="7"/>
      <c r="J69" s="7"/>
      <c r="K69" s="7" t="str">
        <f t="array" ref="K69">IFERROR(XLOOKUP(H69, 'リスト'!$C:$C, 'リスト'!$M:$M, ""), "")</f>
        <v>R</v>
      </c>
      <c r="L69" s="7" t="str">
        <f t="array" ref="L69">IFERROR(XLOOKUP(H69, 'リスト'!$C:$C, 'リスト'!$N:$N, ""), "")</f>
        <v/>
      </c>
      <c r="M69" s="12" t="str">
        <f>IFERROR(__xludf.DUMMYFUNCTION("""COMPUTED_VALUE"""),"応募ランキングB_全国")</f>
        <v>応募ランキングB_全国</v>
      </c>
      <c r="N69" s="7"/>
      <c r="O69" s="7"/>
      <c r="P69" s="7" t="str">
        <f t="array" ref="P69">IFERROR(XLOOKUP(M69, 'リスト'!$C:$C, 'リスト'!$M:$M, ""), "")</f>
        <v>R</v>
      </c>
      <c r="Q69" s="7" t="str">
        <f t="array" ref="Q69">IFERROR(XLOOKUP(M69, 'リスト'!$C:$C, 'リスト'!$N:$N, ""), "")</f>
        <v/>
      </c>
      <c r="R69" s="12" t="str">
        <f>IFERROR(__xludf.DUMMYFUNCTION("""COMPUTED_VALUE"""),"★新着総合_西日本 B")</f>
        <v>★新着総合_西日本 B</v>
      </c>
      <c r="S69" s="7"/>
      <c r="T69" s="7"/>
      <c r="U69" s="7" t="str">
        <f t="array" ref="U69">IFERROR(XLOOKUP(R69, 'リスト'!$C:$C, 'リスト'!$M:$M, ""), "")</f>
        <v>荒</v>
      </c>
      <c r="V69" s="7" t="str">
        <f t="array" ref="V69">IFERROR(XLOOKUP(R69, 'リスト'!$C:$C, 'リスト'!$N:$N, ""), "")</f>
        <v>平</v>
      </c>
      <c r="W69" s="12"/>
      <c r="X69" s="7"/>
      <c r="Y69" s="7"/>
      <c r="Z69" s="7" t="str">
        <f t="array" ref="Z69">IFERROR(XLOOKUP(W69, 'リスト'!$C:$C, 'リスト'!$M:$M, ""), "")</f>
        <v/>
      </c>
      <c r="AA69" s="7" t="str">
        <f t="array" ref="AA69">IFERROR(XLOOKUP(W69, 'リスト'!$C:$C, 'リスト'!$N:$N, ""), "")</f>
        <v/>
      </c>
      <c r="AB69" s="12"/>
      <c r="AC69" s="7"/>
      <c r="AD69" s="7"/>
      <c r="AE69" s="7" t="str">
        <f t="array" ref="AE69">IFERROR(XLOOKUP(AB69, 'リスト'!$C:$C, 'リスト'!$M:$M, ""), "")</f>
        <v/>
      </c>
      <c r="AF69" s="7" t="str">
        <f t="array" ref="AF69">IFERROR(XLOOKUP(AB69, 'リスト'!$C:$C, 'リスト'!$N:$N, ""), "")</f>
        <v/>
      </c>
      <c r="AG69" s="12"/>
      <c r="AH69" s="7"/>
      <c r="AI69" s="7"/>
      <c r="AJ69" s="7" t="str">
        <f t="array" ref="AJ69">IFERROR(XLOOKUP(AG69, 'リスト'!$C:$C, 'リスト'!$M:$M, ""), "")</f>
        <v/>
      </c>
      <c r="AK69" s="7" t="str">
        <f t="array" ref="AK69">IFERROR(XLOOKUP(AG69, 'リスト'!$C:$C, 'リスト'!$N:$N, ""), "")</f>
        <v/>
      </c>
    </row>
    <row r="70" ht="17.25" customHeight="1">
      <c r="A70" s="8"/>
      <c r="B70" s="9"/>
      <c r="C70" s="10" t="str">
        <f>IFERROR(__xludf.DUMMYFUNCTION("""COMPUTED_VALUE"""),"★新着総合_東海 A")</f>
        <v>★新着総合_東海 A</v>
      </c>
      <c r="D70" s="13"/>
      <c r="E70" s="7"/>
      <c r="F70" s="7" t="str">
        <f t="array" ref="F70">IFERROR(XLOOKUP(C70, 'リスト'!$C:$C, 'リスト'!$M:$M, ""), "")</f>
        <v>荒</v>
      </c>
      <c r="G70" s="7" t="str">
        <f t="array" ref="G70">IFERROR(XLOOKUP(C70, 'リスト'!$C:$C, 'リスト'!$N:$N, ""), "")</f>
        <v>平</v>
      </c>
      <c r="H70" s="10" t="str">
        <f>IFERROR(__xludf.DUMMYFUNCTION("""COMPUTED_VALUE"""),"自己PR不要_リモート未経験_エンジニア")</f>
        <v>自己PR不要_リモート未経験_エンジニア</v>
      </c>
      <c r="I70" s="13"/>
      <c r="J70" s="7"/>
      <c r="K70" s="7" t="str">
        <f t="array" ref="K70">IFERROR(XLOOKUP(H70, 'リスト'!$C:$C, 'リスト'!$M:$M, ""), "")</f>
        <v>R</v>
      </c>
      <c r="L70" s="7" t="str">
        <f t="array" ref="L70">IFERROR(XLOOKUP(H70, 'リスト'!$C:$C, 'リスト'!$N:$N, ""), "")</f>
        <v/>
      </c>
      <c r="M70" s="10" t="str">
        <f>IFERROR(__xludf.DUMMYFUNCTION("""COMPUTED_VALUE"""),"丸の内・大手町・有楽町_残業少_事務 ")</f>
        <v>丸の内・大手町・有楽町_残業少_事務 </v>
      </c>
      <c r="N70" s="13"/>
      <c r="O70" s="7"/>
      <c r="P70" s="7" t="str">
        <f t="array" ref="P70">IFERROR(XLOOKUP(M70, 'リスト'!$C:$C, 'リスト'!$M:$M, ""), "")</f>
        <v>R</v>
      </c>
      <c r="Q70" s="7" t="str">
        <f t="array" ref="Q70">IFERROR(XLOOKUP(M70, 'リスト'!$C:$C, 'リスト'!$N:$N, ""), "")</f>
        <v/>
      </c>
      <c r="R70" s="10" t="str">
        <f>IFERROR(__xludf.DUMMYFUNCTION("""COMPUTED_VALUE"""),"★新着総合_東海 B")</f>
        <v>★新着総合_東海 B</v>
      </c>
      <c r="S70" s="13"/>
      <c r="T70" s="7"/>
      <c r="U70" s="7" t="str">
        <f t="array" ref="U70">IFERROR(XLOOKUP(R70, 'リスト'!$C:$C, 'リスト'!$M:$M, ""), "")</f>
        <v>荒</v>
      </c>
      <c r="V70" s="7" t="str">
        <f t="array" ref="V70">IFERROR(XLOOKUP(R70, 'リスト'!$C:$C, 'リスト'!$N:$N, ""), "")</f>
        <v>平</v>
      </c>
      <c r="W70" s="10"/>
      <c r="X70" s="13"/>
      <c r="Y70" s="7"/>
      <c r="Z70" s="7" t="str">
        <f t="array" ref="Z70">IFERROR(XLOOKUP(W70, 'リスト'!$C:$C, 'リスト'!$M:$M, ""), "")</f>
        <v/>
      </c>
      <c r="AA70" s="7" t="str">
        <f t="array" ref="AA70">IFERROR(XLOOKUP(W70, 'リスト'!$C:$C, 'リスト'!$N:$N, ""), "")</f>
        <v/>
      </c>
      <c r="AB70" s="10"/>
      <c r="AC70" s="13"/>
      <c r="AD70" s="7"/>
      <c r="AE70" s="7" t="str">
        <f t="array" ref="AE70">IFERROR(XLOOKUP(AB70, 'リスト'!$C:$C, 'リスト'!$M:$M, ""), "")</f>
        <v/>
      </c>
      <c r="AF70" s="7" t="str">
        <f t="array" ref="AF70">IFERROR(XLOOKUP(AB70, 'リスト'!$C:$C, 'リスト'!$N:$N, ""), "")</f>
        <v/>
      </c>
      <c r="AG70" s="10"/>
      <c r="AH70" s="13"/>
      <c r="AI70" s="7"/>
      <c r="AJ70" s="7" t="str">
        <f t="array" ref="AJ70">IFERROR(XLOOKUP(AG70, 'リスト'!$C:$C, 'リスト'!$M:$M, ""), "")</f>
        <v/>
      </c>
      <c r="AK70" s="7" t="str">
        <f t="array" ref="AK70">IFERROR(XLOOKUP(AG70, 'リスト'!$C:$C, 'リスト'!$N:$N, ""), "")</f>
        <v/>
      </c>
    </row>
    <row r="71" ht="17.25" customHeight="1">
      <c r="A71" s="8"/>
      <c r="B71" s="9"/>
      <c r="C71" s="14" t="str">
        <f>IFERROR(__xludf.DUMMYFUNCTION("""COMPUTED_VALUE"""),"★新着総合_北海道・東北 A")</f>
        <v>★新着総合_北海道・東北 A</v>
      </c>
      <c r="D71" s="15"/>
      <c r="E71" s="7"/>
      <c r="F71" s="7" t="str">
        <f t="array" ref="F71">IFERROR(XLOOKUP(C71, 'リスト'!$C:$C, 'リスト'!$M:$M, ""), "")</f>
        <v>荒</v>
      </c>
      <c r="G71" s="7" t="str">
        <f t="array" ref="G71">IFERROR(XLOOKUP(C71, 'リスト'!$C:$C, 'リスト'!$N:$N, ""), "")</f>
        <v>平</v>
      </c>
      <c r="H71" s="14" t="str">
        <f>IFERROR(__xludf.DUMMYFUNCTION("""COMPUTED_VALUE"""),"自己PR不要_リモート未経験_営業")</f>
        <v>自己PR不要_リモート未経験_営業</v>
      </c>
      <c r="I71" s="15"/>
      <c r="J71" s="7"/>
      <c r="K71" s="7" t="str">
        <f t="array" ref="K71">IFERROR(XLOOKUP(H71, 'リスト'!$C:$C, 'リスト'!$M:$M, ""), "")</f>
        <v>R</v>
      </c>
      <c r="L71" s="7" t="str">
        <f t="array" ref="L71">IFERROR(XLOOKUP(H71, 'リスト'!$C:$C, 'リスト'!$N:$N, ""), "")</f>
        <v/>
      </c>
      <c r="M71" s="14" t="str">
        <f>IFERROR(__xludf.DUMMYFUNCTION("""COMPUTED_VALUE"""),"資格活かせる_簿記")</f>
        <v>資格活かせる_簿記</v>
      </c>
      <c r="N71" s="15"/>
      <c r="O71" s="7"/>
      <c r="P71" s="7" t="str">
        <f t="array" ref="P71">IFERROR(XLOOKUP(M71, 'リスト'!$C:$C, 'リスト'!$M:$M, ""), "")</f>
        <v>R</v>
      </c>
      <c r="Q71" s="7" t="str">
        <f t="array" ref="Q71">IFERROR(XLOOKUP(M71, 'リスト'!$C:$C, 'リスト'!$N:$N, ""), "")</f>
        <v/>
      </c>
      <c r="R71" s="14" t="str">
        <f>IFERROR(__xludf.DUMMYFUNCTION("""COMPUTED_VALUE"""),"★新着総合_北海道・東北 B")</f>
        <v>★新着総合_北海道・東北 B</v>
      </c>
      <c r="S71" s="15"/>
      <c r="T71" s="7"/>
      <c r="U71" s="7" t="str">
        <f t="array" ref="U71">IFERROR(XLOOKUP(R71, 'リスト'!$C:$C, 'リスト'!$M:$M, ""), "")</f>
        <v>荒</v>
      </c>
      <c r="V71" s="7" t="str">
        <f t="array" ref="V71">IFERROR(XLOOKUP(R71, 'リスト'!$C:$C, 'リスト'!$N:$N, ""), "")</f>
        <v>平</v>
      </c>
      <c r="W71" s="14"/>
      <c r="X71" s="15"/>
      <c r="Y71" s="7"/>
      <c r="Z71" s="7" t="str">
        <f t="array" ref="Z71">IFERROR(XLOOKUP(W71, 'リスト'!$C:$C, 'リスト'!$M:$M, ""), "")</f>
        <v/>
      </c>
      <c r="AA71" s="7" t="str">
        <f t="array" ref="AA71">IFERROR(XLOOKUP(W71, 'リスト'!$C:$C, 'リスト'!$N:$N, ""), "")</f>
        <v/>
      </c>
      <c r="AB71" s="14"/>
      <c r="AC71" s="15"/>
      <c r="AD71" s="7"/>
      <c r="AE71" s="7" t="str">
        <f t="array" ref="AE71">IFERROR(XLOOKUP(AB71, 'リスト'!$C:$C, 'リスト'!$M:$M, ""), "")</f>
        <v/>
      </c>
      <c r="AF71" s="7" t="str">
        <f t="array" ref="AF71">IFERROR(XLOOKUP(AB71, 'リスト'!$C:$C, 'リスト'!$N:$N, ""), "")</f>
        <v/>
      </c>
      <c r="AG71" s="14"/>
      <c r="AH71" s="15"/>
      <c r="AI71" s="7"/>
      <c r="AJ71" s="7" t="str">
        <f t="array" ref="AJ71">IFERROR(XLOOKUP(AG71, 'リスト'!$C:$C, 'リスト'!$M:$M, ""), "")</f>
        <v/>
      </c>
      <c r="AK71" s="7" t="str">
        <f t="array" ref="AK71">IFERROR(XLOOKUP(AG71, 'リスト'!$C:$C, 'リスト'!$N:$N, ""), "")</f>
        <v/>
      </c>
    </row>
    <row r="72" ht="17.25" customHeight="1">
      <c r="A72" s="8"/>
      <c r="B72" s="9"/>
      <c r="C72" s="14" t="str">
        <f>IFERROR(__xludf.DUMMYFUNCTION("""COMPUTED_VALUE"""),"★新着総合_北関東・甲信越・北陸 A")</f>
        <v>★新着総合_北関東・甲信越・北陸 A</v>
      </c>
      <c r="D72" s="13"/>
      <c r="E72" s="7"/>
      <c r="F72" s="7"/>
      <c r="G72" s="7"/>
      <c r="H72" s="14" t="str">
        <f>IFERROR(__xludf.DUMMYFUNCTION("""COMPUTED_VALUE"""),"自己PR不要_リモート未経験_事務")</f>
        <v>自己PR不要_リモート未経験_事務</v>
      </c>
      <c r="I72" s="13"/>
      <c r="J72" s="7"/>
      <c r="K72" s="7"/>
      <c r="L72" s="7"/>
      <c r="M72" s="14" t="str">
        <f>IFERROR(__xludf.DUMMYFUNCTION("""COMPUTED_VALUE"""),"新規会員向け_自己PR不要_求人特集")</f>
        <v>新規会員向け_自己PR不要_求人特集</v>
      </c>
      <c r="N72" s="13"/>
      <c r="O72" s="7"/>
      <c r="P72" s="7"/>
      <c r="Q72" s="7"/>
      <c r="R72" s="14" t="str">
        <f>IFERROR(__xludf.DUMMYFUNCTION("""COMPUTED_VALUE"""),"★新着総合_北関東・甲信越・北陸 B")</f>
        <v>★新着総合_北関東・甲信越・北陸 B</v>
      </c>
      <c r="S72" s="13"/>
      <c r="T72" s="7"/>
      <c r="U72" s="7"/>
      <c r="V72" s="7"/>
      <c r="W72" s="14"/>
      <c r="X72" s="13"/>
      <c r="Y72" s="7"/>
      <c r="Z72" s="7"/>
      <c r="AA72" s="7"/>
      <c r="AB72" s="14"/>
      <c r="AC72" s="13"/>
      <c r="AD72" s="7"/>
      <c r="AE72" s="7"/>
      <c r="AF72" s="7"/>
      <c r="AG72" s="14"/>
      <c r="AH72" s="13"/>
      <c r="AI72" s="7"/>
      <c r="AJ72" s="7"/>
      <c r="AK72" s="7"/>
    </row>
    <row r="73" ht="17.25" customHeight="1">
      <c r="A73" s="8"/>
      <c r="B73" s="9"/>
      <c r="C73" s="14"/>
      <c r="D73" s="13"/>
      <c r="E73" s="7"/>
      <c r="F73" s="7"/>
      <c r="G73" s="7"/>
      <c r="H73" s="14" t="str">
        <f>IFERROR(__xludf.DUMMYFUNCTION("""COMPUTED_VALUE"""),"自己PR不要_残業無_未経験_販サ")</f>
        <v>自己PR不要_残業無_未経験_販サ</v>
      </c>
      <c r="I73" s="13"/>
      <c r="J73" s="7"/>
      <c r="K73" s="7"/>
      <c r="L73" s="7"/>
      <c r="M73" s="14"/>
      <c r="N73" s="13"/>
      <c r="O73" s="7"/>
      <c r="P73" s="7"/>
      <c r="Q73" s="7"/>
      <c r="R73" s="14"/>
      <c r="S73" s="13"/>
      <c r="T73" s="7"/>
      <c r="U73" s="7"/>
      <c r="V73" s="7"/>
      <c r="W73" s="14"/>
      <c r="X73" s="13"/>
      <c r="Y73" s="7"/>
      <c r="Z73" s="7"/>
      <c r="AA73" s="7"/>
      <c r="AB73" s="14"/>
      <c r="AC73" s="13"/>
      <c r="AD73" s="7"/>
      <c r="AE73" s="7"/>
      <c r="AF73" s="7"/>
      <c r="AG73" s="14"/>
      <c r="AH73" s="13"/>
      <c r="AI73" s="7"/>
      <c r="AJ73" s="7"/>
      <c r="AK73" s="7"/>
    </row>
    <row r="74" ht="17.25" customHeight="1">
      <c r="A74" s="8"/>
      <c r="B74" s="9"/>
      <c r="C74" s="14"/>
      <c r="D74" s="13"/>
      <c r="E74" s="7"/>
      <c r="F74" s="7"/>
      <c r="G74" s="7"/>
      <c r="H74" s="14"/>
      <c r="I74" s="13"/>
      <c r="J74" s="7"/>
      <c r="K74" s="7"/>
      <c r="L74" s="7"/>
      <c r="M74" s="14"/>
      <c r="N74" s="13"/>
      <c r="O74" s="7"/>
      <c r="P74" s="7"/>
      <c r="Q74" s="7"/>
      <c r="R74" s="14"/>
      <c r="S74" s="13"/>
      <c r="T74" s="7"/>
      <c r="U74" s="7"/>
      <c r="V74" s="7"/>
      <c r="W74" s="14"/>
      <c r="X74" s="13"/>
      <c r="Y74" s="7"/>
      <c r="Z74" s="7"/>
      <c r="AA74" s="7"/>
      <c r="AB74" s="14"/>
      <c r="AC74" s="13"/>
      <c r="AD74" s="7"/>
      <c r="AE74" s="7"/>
      <c r="AF74" s="7"/>
      <c r="AG74" s="14"/>
      <c r="AH74" s="13"/>
      <c r="AI74" s="7"/>
      <c r="AJ74" s="7"/>
      <c r="AK74" s="7"/>
    </row>
    <row r="75" ht="17.25" customHeight="1">
      <c r="A75" s="8"/>
      <c r="B75" s="9"/>
      <c r="C75" s="14"/>
      <c r="D75" s="13"/>
      <c r="E75" s="7"/>
      <c r="F75" s="7"/>
      <c r="G75" s="7"/>
      <c r="H75" s="14"/>
      <c r="I75" s="13"/>
      <c r="J75" s="7"/>
      <c r="K75" s="7"/>
      <c r="L75" s="7"/>
      <c r="M75" s="14"/>
      <c r="N75" s="13"/>
      <c r="O75" s="7"/>
      <c r="P75" s="7"/>
      <c r="Q75" s="7"/>
      <c r="R75" s="14"/>
      <c r="S75" s="13"/>
      <c r="T75" s="7"/>
      <c r="U75" s="7"/>
      <c r="V75" s="7"/>
      <c r="W75" s="14"/>
      <c r="X75" s="13"/>
      <c r="Y75" s="7"/>
      <c r="Z75" s="7"/>
      <c r="AA75" s="7"/>
      <c r="AB75" s="14"/>
      <c r="AC75" s="13"/>
      <c r="AD75" s="7"/>
      <c r="AE75" s="7"/>
      <c r="AF75" s="7"/>
      <c r="AG75" s="14"/>
      <c r="AH75" s="13"/>
      <c r="AI75" s="7"/>
      <c r="AJ75" s="7"/>
      <c r="AK75" s="7"/>
    </row>
    <row r="76" ht="17.25" customHeight="1">
      <c r="A76" s="8"/>
      <c r="B76" s="9" t="s">
        <v>6</v>
      </c>
      <c r="C76" s="10" t="str">
        <f>IFERROR(__xludf.DUMMYFUNCTION("iferror(FILTER('新規'!$C:$C, ('新規'!$A:$A = C$1) * ('新規'!$B:$B = $A68)))"),"")</f>
        <v/>
      </c>
      <c r="D76" s="11" t="str">
        <f>IFERROR(__xludf.DUMMYFUNCTION("IFERROR(FILTER('新規'!$D$2:$D$400, ('新規'!$A$2:$A$400 = CHOOSE(WEEKDAY(C$1), ""日"", ""月"", ""火"", ""水"", ""木"", ""金"", ""土"")) * ('新規'!$B$2:$B$400 = $A$3) * ('新規'!$O$2:$O$400 = FALSE)), """")"),"")</f>
        <v/>
      </c>
      <c r="E76" s="7"/>
      <c r="F76" s="7" t="str">
        <f>IFERROR(__xludf.DUMMYFUNCTION("IFERROR(FILTER('新規'!$M$2:$M$400, ('新規'!$A$2:$A$400 = CHOOSE(WEEKDAY(C$1), ""日"", ""月"", ""火"", ""水"", ""木"", ""金"", ""土"")) * ('新規'!$B$2:$B$400 = $A$3) * ('新規'!$O$2:$O$400 = FALSE)), """")"),"")</f>
        <v/>
      </c>
      <c r="G76" s="7" t="str">
        <f>IFERROR(__xludf.DUMMYFUNCTION("IFERROR(FILTER('新規'!$N$2:$N$400, ('新規'!$A$2:$A$400 = CHOOSE(WEEKDAY(C$1), ""日"", ""月"", ""火"", ""水"", ""木"", ""金"", ""土"")) * ('新規'!$B$2:$B$400 = $A$3) * ('新規'!$O$2:$O$400 = FALSE)), """")"),"")</f>
        <v/>
      </c>
      <c r="H76" s="10" t="str">
        <f>IFERROR(__xludf.DUMMYFUNCTION("iferror(FILTER('新規'!$C:$C, ('新規'!$A:$A = H$1) * ('新規'!$B:$B = $A68)))"),"5月入社可能")</f>
        <v>5月入社可能</v>
      </c>
      <c r="I76" s="11" t="str">
        <f>IFERROR(__xludf.DUMMYFUNCTION("IFERROR(FILTER('新規'!$D$2:$D$400, ('新規'!$A$2:$A$400 = CHOOSE(WEEKDAY(H$1), ""日"", ""月"", ""火"", ""水"", ""木"", ""金"", ""土"")) * ('新規'!$B$2:$B$400 = $A$3) * ('新規'!$O$2:$O$400 = FALSE)), """")"),"")</f>
        <v/>
      </c>
      <c r="J76" s="7"/>
      <c r="K76" s="7" t="str">
        <f>IFERROR(__xludf.DUMMYFUNCTION("IFERROR(FILTER('新規'!$M$2:$M$400, ('新規'!$A$2:$A$400 = CHOOSE(WEEKDAY(H$1), ""日"", ""月"", ""火"", ""水"", ""木"", ""金"", ""土"")) * ('新規'!$B$2:$B$400 = $A$3) * ('新規'!$O$2:$O$400 = FALSE)), """")"),"")</f>
        <v/>
      </c>
      <c r="L76" s="7" t="str">
        <f>IFERROR(__xludf.DUMMYFUNCTION("IFERROR(FILTER('新規'!$N$2:$N$400, ('新規'!$A$2:$A$400 = CHOOSE(WEEKDAY(H$1), ""日"", ""月"", ""火"", ""水"", ""木"", ""金"", ""土"")) * ('新規'!$B$2:$B$400 = $A$3) * ('新規'!$O$2:$O$400 = FALSE)), """")"),"")</f>
        <v/>
      </c>
      <c r="M76" s="10" t="str">
        <f>IFERROR(__xludf.DUMMYFUNCTION("iferror(FILTER('新規'!$C:$C, ('新規'!$A:$A = M$1) * ('新規'!$B:$B = $A68)))"),"")</f>
        <v/>
      </c>
      <c r="N76" s="11" t="str">
        <f>IFERROR(__xludf.DUMMYFUNCTION("IFERROR(FILTER('新規'!$D$2:$D$400, ('新規'!$A$2:$A$400 = CHOOSE(WEEKDAY(M$1), ""日"", ""月"", ""火"", ""水"", ""木"", ""金"", ""土"")) * ('新規'!$B$2:$B$400 = $A$3) * ('新規'!$O$2:$O$400 = FALSE)), """")"),"")</f>
        <v/>
      </c>
      <c r="O76" s="7"/>
      <c r="P76" s="7" t="str">
        <f>IFERROR(__xludf.DUMMYFUNCTION("IFERROR(FILTER('新規'!$M$2:$M$400, ('新規'!$A$2:$A$400 = CHOOSE(WEEKDAY(M$1), ""日"", ""月"", ""火"", ""水"", ""木"", ""金"", ""土"")) * ('新規'!$B$2:$B$400 = $A$3) * ('新規'!$O$2:$O$400 = FALSE)), """")"),"")</f>
        <v/>
      </c>
      <c r="Q76" s="7" t="str">
        <f>IFERROR(__xludf.DUMMYFUNCTION("IFERROR(FILTER('新規'!$N$2:$N$400, ('新規'!$A$2:$A$400 = CHOOSE(WEEKDAY(M$1), ""日"", ""月"", ""火"", ""水"", ""木"", ""金"", ""土"")) * ('新規'!$B$2:$B$400 = $A$3) * ('新規'!$O$2:$O$400 = FALSE)), """")"),"")</f>
        <v/>
      </c>
      <c r="R76" s="10" t="str">
        <f>IFERROR(__xludf.DUMMYFUNCTION("iferror(FILTER('新規'!$C:$C, ('新規'!$A:$A = R$1) * ('新規'!$B:$B = $A68)))"),"")</f>
        <v/>
      </c>
      <c r="S76" s="11" t="str">
        <f>IFERROR(__xludf.DUMMYFUNCTION("IFERROR(FILTER('新規'!$D$2:$D$400, ('新規'!$A$2:$A$400 = CHOOSE(WEEKDAY(R$1), ""日"", ""月"", ""火"", ""水"", ""木"", ""金"", ""土"")) * ('新規'!$B$2:$B$400 = $A$3) * ('新規'!$O$2:$O$400 = FALSE)), """")"),"")</f>
        <v/>
      </c>
      <c r="T76" s="7"/>
      <c r="U76" s="7" t="str">
        <f>IFERROR(__xludf.DUMMYFUNCTION("IFERROR(FILTER('新規'!$M$2:$M$400, ('新規'!$A$2:$A$400 = CHOOSE(WEEKDAY(R$1), ""日"", ""月"", ""火"", ""水"", ""木"", ""金"", ""土"")) * ('新規'!$B$2:$B$400 = $A$3) * ('新規'!$O$2:$O$400 = FALSE)), """")"),"")</f>
        <v/>
      </c>
      <c r="V76" s="7" t="str">
        <f>IFERROR(__xludf.DUMMYFUNCTION("IFERROR(FILTER('新規'!$N$2:$N$400, ('新規'!$A$2:$A$400 = CHOOSE(WEEKDAY(R$1), ""日"", ""月"", ""火"", ""水"", ""木"", ""金"", ""土"")) * ('新規'!$B$2:$B$400 = $A$3) * ('新規'!$O$2:$O$400 = FALSE)), """")"),"")</f>
        <v/>
      </c>
      <c r="W76" s="10" t="str">
        <f>IFERROR(__xludf.DUMMYFUNCTION("iferror(FILTER('新規'!$C:$C, ('新規'!$A:$A = W$1) * ('新規'!$B:$B = $A68)))"),"")</f>
        <v/>
      </c>
      <c r="X76" s="11" t="str">
        <f>IFERROR(__xludf.DUMMYFUNCTION("IFERROR(FILTER('新規'!$D$2:$D$400, ('新規'!$A$2:$A$400 = CHOOSE(WEEKDAY(W$1), ""日"", ""月"", ""火"", ""水"", ""木"", ""金"", ""土"")) * ('新規'!$B$2:$B$400 = $A$3) * ('新規'!$O$2:$O$400 = FALSE)), """")"),"")</f>
        <v/>
      </c>
      <c r="Y76" s="7"/>
      <c r="Z76" s="7" t="str">
        <f>IFERROR(__xludf.DUMMYFUNCTION("IFERROR(FILTER('新規'!$M$2:$M$400, ('新規'!$A$2:$A$400 = CHOOSE(WEEKDAY(W$1), ""日"", ""月"", ""火"", ""水"", ""木"", ""金"", ""土"")) * ('新規'!$B$2:$B$400 = $A$3) * ('新規'!$O$2:$O$400 = FALSE)), """")"),"")</f>
        <v/>
      </c>
      <c r="AA76" s="7" t="str">
        <f>IFERROR(__xludf.DUMMYFUNCTION("IFERROR(FILTER('新規'!$N$2:$N$400, ('新規'!$A$2:$A$400 = CHOOSE(WEEKDAY(W$1), ""日"", ""月"", ""火"", ""水"", ""木"", ""金"", ""土"")) * ('新規'!$B$2:$B$400 = $A$3) * ('新規'!$O$2:$O$400 = FALSE)), """")"),"")</f>
        <v/>
      </c>
      <c r="AB76" s="10" t="str">
        <f>IFERROR(__xludf.DUMMYFUNCTION("iferror(FILTER('新規'!$C:$C, ('新規'!$A:$A = AB$1) * ('新規'!$B:$B = $A68)))"),"")</f>
        <v/>
      </c>
      <c r="AC76" s="11" t="str">
        <f>IFERROR(__xludf.DUMMYFUNCTION("IFERROR(FILTER('新規'!$D$2:$D$400, ('新規'!$A$2:$A$400 = CHOOSE(WEEKDAY(AB$1), ""日"", ""月"", ""火"", ""水"", ""木"", ""金"", ""土"")) * ('新規'!$B$2:$B$400 = $A$3) * ('新規'!$O$2:$O$400 = FALSE)), """")"),"")</f>
        <v/>
      </c>
      <c r="AD76" s="7"/>
      <c r="AE76" s="7" t="str">
        <f>IFERROR(__xludf.DUMMYFUNCTION("IFERROR(FILTER('新規'!$M$2:$M$400, ('新規'!$A$2:$A$400 = CHOOSE(WEEKDAY(AB$1), ""日"", ""月"", ""火"", ""水"", ""木"", ""金"", ""土"")) * ('新規'!$B$2:$B$400 = $A$3) * ('新規'!$O$2:$O$400 = FALSE)), """")"),"")</f>
        <v/>
      </c>
      <c r="AF76" s="7" t="str">
        <f>IFERROR(__xludf.DUMMYFUNCTION("IFERROR(FILTER('新規'!$N$2:$N$400, ('新規'!$A$2:$A$400 = CHOOSE(WEEKDAY(AB$1), ""日"", ""月"", ""火"", ""水"", ""木"", ""金"", ""土"")) * ('新規'!$B$2:$B$400 = $A$3) * ('新規'!$O$2:$O$400 = FALSE)), """")"),"")</f>
        <v/>
      </c>
      <c r="AG76" s="10" t="str">
        <f>IFERROR(__xludf.DUMMYFUNCTION("iferror(FILTER('新規'!$C:$C, ('新規'!$A:$A = AG$1) * ('新規'!$B:$B = $A68)))"),"10時以降出社")</f>
        <v>10時以降出社</v>
      </c>
      <c r="AH76" s="11" t="str">
        <f>IFERROR(__xludf.DUMMYFUNCTION("IFERROR(FILTER('新規'!$D$2:$D$400, ('新規'!$A$2:$A$400 = CHOOSE(WEEKDAY(AG$1), ""日"", ""月"", ""火"", ""水"", ""木"", ""金"", ""土"")) * ('新規'!$B$2:$B$400 = $A$3) * ('新規'!$O$2:$O$400 = FALSE)), """")"),"")</f>
        <v/>
      </c>
      <c r="AI76" s="7"/>
      <c r="AJ76" s="7" t="str">
        <f>IFERROR(__xludf.DUMMYFUNCTION("IFERROR(FILTER('新規'!$M$2:$M$400, ('新規'!$A$2:$A$400 = CHOOSE(WEEKDAY(AG$1), ""日"", ""月"", ""火"", ""水"", ""木"", ""金"", ""土"")) * ('新規'!$B$2:$B$400 = $A$3) * ('新規'!$O$2:$O$400 = FALSE)), """")"),"")</f>
        <v/>
      </c>
      <c r="AK76" s="7" t="str">
        <f>IFERROR(__xludf.DUMMYFUNCTION("IFERROR(FILTER('新規'!$N$2:$N$400, ('新規'!$A$2:$A$400 = CHOOSE(WEEKDAY(AG$1), ""日"", ""月"", ""火"", ""水"", ""木"", ""金"", ""土"")) * ('新規'!$B$2:$B$400 = $A$3) * ('新規'!$O$2:$O$400 = FALSE)), """")"),"")</f>
        <v/>
      </c>
    </row>
    <row r="77" ht="17.25" customHeight="1">
      <c r="A77" s="8"/>
      <c r="B77" s="9"/>
      <c r="C77" s="17"/>
      <c r="D77" s="7"/>
      <c r="E77" s="7"/>
      <c r="F77" s="7" t="str">
        <f t="array" ref="F77">IFERROR(XLOOKUP(C77, 'リスト'!$C:$C, 'リスト'!$M:$M, ""), "")</f>
        <v/>
      </c>
      <c r="G77" s="7" t="str">
        <f t="array" ref="G77">IFERROR(XLOOKUP(C77, 'リスト'!$C:$C, 'リスト'!$N:$N, ""), "")</f>
        <v/>
      </c>
      <c r="H77" s="17"/>
      <c r="I77" s="7"/>
      <c r="J77" s="7"/>
      <c r="K77" s="7" t="str">
        <f t="array" ref="K77">IFERROR(XLOOKUP(H77, 'リスト'!$C:$C, 'リスト'!$M:$M, ""), "")</f>
        <v/>
      </c>
      <c r="L77" s="7" t="str">
        <f t="array" ref="L77">IFERROR(XLOOKUP(H77, 'リスト'!$C:$C, 'リスト'!$N:$N, ""), "")</f>
        <v/>
      </c>
      <c r="M77" s="17"/>
      <c r="N77" s="7"/>
      <c r="O77" s="7"/>
      <c r="P77" s="7" t="str">
        <f t="array" ref="P77">IFERROR(XLOOKUP(M77, 'リスト'!$C:$C, 'リスト'!$M:$M, ""), "")</f>
        <v/>
      </c>
      <c r="Q77" s="7" t="str">
        <f t="array" ref="Q77">IFERROR(XLOOKUP(M77, 'リスト'!$C:$C, 'リスト'!$N:$N, ""), "")</f>
        <v/>
      </c>
      <c r="R77" s="17"/>
      <c r="S77" s="7"/>
      <c r="T77" s="7"/>
      <c r="U77" s="7" t="str">
        <f t="array" ref="U77">IFERROR(XLOOKUP(R77, 'リスト'!$C:$C, 'リスト'!$M:$M, ""), "")</f>
        <v/>
      </c>
      <c r="V77" s="7" t="str">
        <f t="array" ref="V77">IFERROR(XLOOKUP(R77, 'リスト'!$C:$C, 'リスト'!$N:$N, ""), "")</f>
        <v/>
      </c>
      <c r="W77" s="17"/>
      <c r="X77" s="7"/>
      <c r="Y77" s="7"/>
      <c r="Z77" s="7" t="str">
        <f t="array" ref="Z77">IFERROR(XLOOKUP(W77, 'リスト'!$C:$C, 'リスト'!$M:$M, ""), "")</f>
        <v/>
      </c>
      <c r="AA77" s="7" t="str">
        <f t="array" ref="AA77">IFERROR(XLOOKUP(W77, 'リスト'!$C:$C, 'リスト'!$N:$N, ""), "")</f>
        <v/>
      </c>
      <c r="AB77" s="17"/>
      <c r="AC77" s="7"/>
      <c r="AD77" s="7"/>
      <c r="AE77" s="7" t="str">
        <f t="array" ref="AE77">IFERROR(XLOOKUP(AB77, 'リスト'!$C:$C, 'リスト'!$M:$M, ""), "")</f>
        <v/>
      </c>
      <c r="AF77" s="7" t="str">
        <f t="array" ref="AF77">IFERROR(XLOOKUP(AB77, 'リスト'!$C:$C, 'リスト'!$N:$N, ""), "")</f>
        <v/>
      </c>
      <c r="AG77" s="17"/>
      <c r="AH77" s="7"/>
      <c r="AI77" s="7"/>
      <c r="AJ77" s="7" t="str">
        <f t="array" ref="AJ77">IFERROR(XLOOKUP(AG77, 'リスト'!$C:$C, 'リスト'!$M:$M, ""), "")</f>
        <v/>
      </c>
      <c r="AK77" s="7" t="str">
        <f t="array" ref="AK77">IFERROR(XLOOKUP(AG77, 'リスト'!$C:$C, 'リスト'!$N:$N, ""), "")</f>
        <v/>
      </c>
    </row>
    <row r="78" ht="17.25" customHeight="1">
      <c r="A78" s="8"/>
      <c r="B78" s="9"/>
      <c r="C78" s="17"/>
      <c r="D78" s="7"/>
      <c r="E78" s="7"/>
      <c r="F78" s="7" t="str">
        <f t="array" ref="F78">IFERROR(XLOOKUP(C78, 'リスト'!$C:$C, 'リスト'!$M:$M, ""), "")</f>
        <v/>
      </c>
      <c r="G78" s="7" t="str">
        <f t="array" ref="G78">IFERROR(XLOOKUP(C78, 'リスト'!$C:$C, 'リスト'!$N:$N, ""), "")</f>
        <v/>
      </c>
      <c r="H78" s="17"/>
      <c r="I78" s="7"/>
      <c r="J78" s="7"/>
      <c r="K78" s="7" t="str">
        <f t="array" ref="K78">IFERROR(XLOOKUP(H78, 'リスト'!$C:$C, 'リスト'!$M:$M, ""), "")</f>
        <v/>
      </c>
      <c r="L78" s="7" t="str">
        <f t="array" ref="L78">IFERROR(XLOOKUP(H78, 'リスト'!$C:$C, 'リスト'!$N:$N, ""), "")</f>
        <v/>
      </c>
      <c r="M78" s="17"/>
      <c r="N78" s="7"/>
      <c r="O78" s="7"/>
      <c r="P78" s="7" t="str">
        <f t="array" ref="P78">IFERROR(XLOOKUP(M78, 'リスト'!$C:$C, 'リスト'!$M:$M, ""), "")</f>
        <v/>
      </c>
      <c r="Q78" s="7" t="str">
        <f t="array" ref="Q78">IFERROR(XLOOKUP(M78, 'リスト'!$C:$C, 'リスト'!$N:$N, ""), "")</f>
        <v/>
      </c>
      <c r="R78" s="17"/>
      <c r="S78" s="7"/>
      <c r="T78" s="7"/>
      <c r="U78" s="7" t="str">
        <f t="array" ref="U78">IFERROR(XLOOKUP(R78, 'リスト'!$C:$C, 'リスト'!$M:$M, ""), "")</f>
        <v/>
      </c>
      <c r="V78" s="7" t="str">
        <f t="array" ref="V78">IFERROR(XLOOKUP(R78, 'リスト'!$C:$C, 'リスト'!$N:$N, ""), "")</f>
        <v/>
      </c>
      <c r="W78" s="17"/>
      <c r="X78" s="7"/>
      <c r="Y78" s="7"/>
      <c r="Z78" s="7" t="str">
        <f t="array" ref="Z78">IFERROR(XLOOKUP(W78, 'リスト'!$C:$C, 'リスト'!$M:$M, ""), "")</f>
        <v/>
      </c>
      <c r="AA78" s="7" t="str">
        <f t="array" ref="AA78">IFERROR(XLOOKUP(W78, 'リスト'!$C:$C, 'リスト'!$N:$N, ""), "")</f>
        <v/>
      </c>
      <c r="AB78" s="17"/>
      <c r="AC78" s="7"/>
      <c r="AD78" s="7"/>
      <c r="AE78" s="7" t="str">
        <f t="array" ref="AE78">IFERROR(XLOOKUP(AB78, 'リスト'!$C:$C, 'リスト'!$M:$M, ""), "")</f>
        <v/>
      </c>
      <c r="AF78" s="7" t="str">
        <f t="array" ref="AF78">IFERROR(XLOOKUP(AB78, 'リスト'!$C:$C, 'リスト'!$N:$N, ""), "")</f>
        <v/>
      </c>
      <c r="AG78" s="17"/>
      <c r="AH78" s="7"/>
      <c r="AI78" s="7"/>
      <c r="AJ78" s="7" t="str">
        <f t="array" ref="AJ78">IFERROR(XLOOKUP(AG78, 'リスト'!$C:$C, 'リスト'!$M:$M, ""), "")</f>
        <v/>
      </c>
      <c r="AK78" s="7" t="str">
        <f t="array" ref="AK78">IFERROR(XLOOKUP(AG78, 'リスト'!$C:$C, 'リスト'!$N:$N, ""), "")</f>
        <v/>
      </c>
    </row>
    <row r="79" ht="17.25" customHeight="1">
      <c r="A79" s="8"/>
      <c r="B79" s="9"/>
      <c r="C79" s="17"/>
      <c r="D79" s="7"/>
      <c r="E79" s="7"/>
      <c r="F79" s="7" t="str">
        <f t="array" ref="F79">IFERROR(XLOOKUP(C79, 'リスト'!$C:$C, 'リスト'!$M:$M, ""), "")</f>
        <v/>
      </c>
      <c r="G79" s="7" t="str">
        <f t="array" ref="G79">IFERROR(XLOOKUP(C79, 'リスト'!$C:$C, 'リスト'!$N:$N, ""), "")</f>
        <v/>
      </c>
      <c r="H79" s="17"/>
      <c r="I79" s="7"/>
      <c r="J79" s="7"/>
      <c r="K79" s="7" t="str">
        <f t="array" ref="K79">IFERROR(XLOOKUP(H79, 'リスト'!$C:$C, 'リスト'!$M:$M, ""), "")</f>
        <v/>
      </c>
      <c r="L79" s="7" t="str">
        <f t="array" ref="L79">IFERROR(XLOOKUP(H79, 'リスト'!$C:$C, 'リスト'!$N:$N, ""), "")</f>
        <v/>
      </c>
      <c r="M79" s="17"/>
      <c r="N79" s="7"/>
      <c r="O79" s="7"/>
      <c r="P79" s="7" t="str">
        <f t="array" ref="P79">IFERROR(XLOOKUP(M79, 'リスト'!$C:$C, 'リスト'!$M:$M, ""), "")</f>
        <v/>
      </c>
      <c r="Q79" s="7" t="str">
        <f t="array" ref="Q79">IFERROR(XLOOKUP(M79, 'リスト'!$C:$C, 'リスト'!$N:$N, ""), "")</f>
        <v/>
      </c>
      <c r="R79" s="17"/>
      <c r="S79" s="7"/>
      <c r="T79" s="7"/>
      <c r="U79" s="7" t="str">
        <f t="array" ref="U79">IFERROR(XLOOKUP(R79, 'リスト'!$C:$C, 'リスト'!$M:$M, ""), "")</f>
        <v/>
      </c>
      <c r="V79" s="7" t="str">
        <f t="array" ref="V79">IFERROR(XLOOKUP(R79, 'リスト'!$C:$C, 'リスト'!$N:$N, ""), "")</f>
        <v/>
      </c>
      <c r="W79" s="17"/>
      <c r="X79" s="7"/>
      <c r="Y79" s="7"/>
      <c r="Z79" s="7" t="str">
        <f t="array" ref="Z79">IFERROR(XLOOKUP(W79, 'リスト'!$C:$C, 'リスト'!$M:$M, ""), "")</f>
        <v/>
      </c>
      <c r="AA79" s="7" t="str">
        <f t="array" ref="AA79">IFERROR(XLOOKUP(W79, 'リスト'!$C:$C, 'リスト'!$N:$N, ""), "")</f>
        <v/>
      </c>
      <c r="AB79" s="17"/>
      <c r="AC79" s="7"/>
      <c r="AD79" s="7"/>
      <c r="AE79" s="7" t="str">
        <f t="array" ref="AE79">IFERROR(XLOOKUP(AB79, 'リスト'!$C:$C, 'リスト'!$M:$M, ""), "")</f>
        <v/>
      </c>
      <c r="AF79" s="7" t="str">
        <f t="array" ref="AF79">IFERROR(XLOOKUP(AB79, 'リスト'!$C:$C, 'リスト'!$N:$N, ""), "")</f>
        <v/>
      </c>
      <c r="AG79" s="17"/>
      <c r="AH79" s="7"/>
      <c r="AI79" s="7"/>
      <c r="AJ79" s="7" t="str">
        <f t="array" ref="AJ79">IFERROR(XLOOKUP(AG79, 'リスト'!$C:$C, 'リスト'!$M:$M, ""), "")</f>
        <v/>
      </c>
      <c r="AK79" s="7" t="str">
        <f t="array" ref="AK79">IFERROR(XLOOKUP(AG79, 'リスト'!$C:$C, 'リスト'!$N:$N, ""), "")</f>
        <v/>
      </c>
    </row>
    <row r="80" ht="17.25" customHeight="1">
      <c r="A80" s="8"/>
      <c r="B80" s="9"/>
      <c r="C80" s="17"/>
      <c r="D80" s="7"/>
      <c r="E80" s="7"/>
      <c r="F80" s="7" t="str">
        <f t="array" ref="F80">IFERROR(XLOOKUP(C80, 'リスト'!$C:$C, 'リスト'!$M:$M, ""), "")</f>
        <v/>
      </c>
      <c r="G80" s="7" t="str">
        <f t="array" ref="G80">IFERROR(XLOOKUP(C80, 'リスト'!$C:$C, 'リスト'!$N:$N, ""), "")</f>
        <v/>
      </c>
      <c r="H80" s="17"/>
      <c r="I80" s="7"/>
      <c r="J80" s="7"/>
      <c r="K80" s="7" t="str">
        <f t="array" ref="K80">IFERROR(XLOOKUP(H80, 'リスト'!$C:$C, 'リスト'!$M:$M, ""), "")</f>
        <v/>
      </c>
      <c r="L80" s="7" t="str">
        <f t="array" ref="L80">IFERROR(XLOOKUP(H80, 'リスト'!$C:$C, 'リスト'!$N:$N, ""), "")</f>
        <v/>
      </c>
      <c r="M80" s="17"/>
      <c r="N80" s="7"/>
      <c r="O80" s="7"/>
      <c r="P80" s="7" t="str">
        <f t="array" ref="P80">IFERROR(XLOOKUP(M80, 'リスト'!$C:$C, 'リスト'!$M:$M, ""), "")</f>
        <v/>
      </c>
      <c r="Q80" s="7" t="str">
        <f t="array" ref="Q80">IFERROR(XLOOKUP(M80, 'リスト'!$C:$C, 'リスト'!$N:$N, ""), "")</f>
        <v/>
      </c>
      <c r="R80" s="17"/>
      <c r="S80" s="7"/>
      <c r="T80" s="7"/>
      <c r="U80" s="7" t="str">
        <f t="array" ref="U80">IFERROR(XLOOKUP(R80, 'リスト'!$C:$C, 'リスト'!$M:$M, ""), "")</f>
        <v/>
      </c>
      <c r="V80" s="7" t="str">
        <f t="array" ref="V80">IFERROR(XLOOKUP(R80, 'リスト'!$C:$C, 'リスト'!$N:$N, ""), "")</f>
        <v/>
      </c>
      <c r="W80" s="17"/>
      <c r="X80" s="7"/>
      <c r="Y80" s="7"/>
      <c r="Z80" s="7" t="str">
        <f t="array" ref="Z80">IFERROR(XLOOKUP(W80, 'リスト'!$C:$C, 'リスト'!$M:$M, ""), "")</f>
        <v/>
      </c>
      <c r="AA80" s="7" t="str">
        <f t="array" ref="AA80">IFERROR(XLOOKUP(W80, 'リスト'!$C:$C, 'リスト'!$N:$N, ""), "")</f>
        <v/>
      </c>
      <c r="AB80" s="17"/>
      <c r="AC80" s="7"/>
      <c r="AD80" s="7"/>
      <c r="AE80" s="7" t="str">
        <f t="array" ref="AE80">IFERROR(XLOOKUP(AB80, 'リスト'!$C:$C, 'リスト'!$M:$M, ""), "")</f>
        <v/>
      </c>
      <c r="AF80" s="7" t="str">
        <f t="array" ref="AF80">IFERROR(XLOOKUP(AB80, 'リスト'!$C:$C, 'リスト'!$N:$N, ""), "")</f>
        <v/>
      </c>
      <c r="AG80" s="17"/>
      <c r="AH80" s="7"/>
      <c r="AI80" s="7"/>
      <c r="AJ80" s="7" t="str">
        <f t="array" ref="AJ80">IFERROR(XLOOKUP(AG80, 'リスト'!$C:$C, 'リスト'!$M:$M, ""), "")</f>
        <v/>
      </c>
      <c r="AK80" s="7" t="str">
        <f t="array" ref="AK80">IFERROR(XLOOKUP(AG80, 'リスト'!$C:$C, 'リスト'!$N:$N, ""), "")</f>
        <v/>
      </c>
    </row>
    <row r="81" ht="17.25" customHeight="1">
      <c r="A81" s="8"/>
      <c r="B81" s="9" t="s">
        <v>7</v>
      </c>
      <c r="C81" s="10" t="str">
        <f>"◇ポジションマッチ A" &amp; MOD(INT(($C$1 - '特殊配信マスタ'!$A$1) / 7), 3) + 1</f>
        <v>◇ポジションマッチ A2</v>
      </c>
      <c r="D81" s="11" t="str">
        <f>IFERROR(__xludf.DUMMYFUNCTION("IFERROR(TEXTJOIN(CHAR(10), TRUE, FILTER('特殊配信マスタ'!$C:$E, #REF!=D$1)), """")"),"")</f>
        <v/>
      </c>
      <c r="E81" s="7" t="str">
        <f>IFERROR(__xludf.DUMMYFUNCTION("IFERROR(TEXTJOIN(CHAR(10), TRUE, FILTER('特殊配信マスタ'!$C:$E, #REF!=E$1)), """")"),"")</f>
        <v/>
      </c>
      <c r="F81" s="7" t="str">
        <f t="array" ref="F81">IFERROR(XLOOKUP(C81, INDEX('特殊配信マスタ'!$C$3:$E$8, 0, MAX(1, ROW()-14)), '特殊配信マスタ'!$M$3:$N$8, ""),"")</f>
        <v/>
      </c>
      <c r="G81" s="7"/>
      <c r="H81" s="10" t="str">
        <f>"◇ポジションマッチ A" &amp; MOD(INT(($C$1 - '特殊配信マスタ'!$A$1) / 7), 3) + 1</f>
        <v>◇ポジションマッチ A2</v>
      </c>
      <c r="I81" s="11" t="str">
        <f>IFERROR(__xludf.DUMMYFUNCTION("IFERROR(TEXTJOIN(CHAR(10), TRUE, FILTER('特殊配信マスタ'!$C:$E, #REF!=I$1)), """")"),"")</f>
        <v/>
      </c>
      <c r="J81" s="7" t="str">
        <f>IFERROR(__xludf.DUMMYFUNCTION("IFERROR(TEXTJOIN(CHAR(10), TRUE, FILTER('特殊配信マスタ'!$C:$E, #REF!=J$1)), """")"),"")</f>
        <v/>
      </c>
      <c r="K81" s="7" t="str">
        <f t="array" ref="K81">IFERROR(XLOOKUP(H81, INDEX('特殊配信マスタ'!$C$3:$E$8, 0, MAX(1, ROW()-14)), '特殊配信マスタ'!$M$3:$N$8, ""),"")</f>
        <v/>
      </c>
      <c r="L81" s="7"/>
      <c r="M81" s="10" t="str">
        <f>"◇ポジションマッチ A" &amp; MOD(INT(($C$1 - '特殊配信マスタ'!$A$1) / 7), 3) + 1</f>
        <v>◇ポジションマッチ A2</v>
      </c>
      <c r="N81" s="11" t="str">
        <f>IFERROR(__xludf.DUMMYFUNCTION("IFERROR(TEXTJOIN(CHAR(10), TRUE, FILTER('特殊配信マスタ'!$C:$E, #REF!=N$1)), """")"),"")</f>
        <v/>
      </c>
      <c r="O81" s="7" t="str">
        <f>IFERROR(__xludf.DUMMYFUNCTION("IFERROR(TEXTJOIN(CHAR(10), TRUE, FILTER('特殊配信マスタ'!$C:$E, #REF!=O$1)), """")"),"")</f>
        <v/>
      </c>
      <c r="P81" s="7" t="str">
        <f t="array" ref="P81">IFERROR(XLOOKUP(M81, INDEX('特殊配信マスタ'!$C$3:$E$8, 0, MAX(1, ROW()-14)), '特殊配信マスタ'!$M$3:$N$8, ""),"")</f>
        <v/>
      </c>
      <c r="Q81" s="7"/>
      <c r="R81" s="10" t="str">
        <f>"◇ポジションマッチ A" &amp; MOD(INT(($C$1 - '特殊配信マスタ'!$A$1) / 7), 3) + 1</f>
        <v>◇ポジションマッチ A2</v>
      </c>
      <c r="S81" s="11" t="str">
        <f>IFERROR(__xludf.DUMMYFUNCTION("IFERROR(TEXTJOIN(CHAR(10), TRUE, FILTER('特殊配信マスタ'!$C:$E, #REF!=S$1)), """")"),"")</f>
        <v/>
      </c>
      <c r="T81" s="7" t="str">
        <f>IFERROR(__xludf.DUMMYFUNCTION("IFERROR(TEXTJOIN(CHAR(10), TRUE, FILTER('特殊配信マスタ'!$C:$E, #REF!=T$1)), """")"),"")</f>
        <v/>
      </c>
      <c r="U81" s="7" t="str">
        <f t="array" ref="U81">IFERROR(XLOOKUP(R81, INDEX('特殊配信マスタ'!$C$3:$E$8, 0, MAX(1, ROW()-14)), '特殊配信マスタ'!$M$3:$N$8, ""),"")</f>
        <v/>
      </c>
      <c r="V81" s="7"/>
      <c r="W81" s="10" t="str">
        <f>"◇ポジションマッチ A" &amp; MOD(INT(($C$1 - '特殊配信マスタ'!$A$1) / 7), 3) + 1</f>
        <v>◇ポジションマッチ A2</v>
      </c>
      <c r="X81" s="11" t="str">
        <f>IFERROR(__xludf.DUMMYFUNCTION("IFERROR(TEXTJOIN(CHAR(10), TRUE, FILTER('特殊配信マスタ'!$C:$E, #REF!=X$1)), """")"),"")</f>
        <v/>
      </c>
      <c r="Y81" s="7" t="str">
        <f>IFERROR(__xludf.DUMMYFUNCTION("IFERROR(TEXTJOIN(CHAR(10), TRUE, FILTER('特殊配信マスタ'!$C:$E, #REF!=Y$1)), """")"),"")</f>
        <v/>
      </c>
      <c r="Z81" s="7" t="str">
        <f t="array" ref="Z81">IFERROR(XLOOKUP(W81, INDEX('特殊配信マスタ'!$C$3:$E$8, 0, MAX(1, ROW()-14)), '特殊配信マスタ'!$M$3:$N$8, ""),"")</f>
        <v/>
      </c>
      <c r="AA81" s="7"/>
      <c r="AB81" s="10" t="str">
        <f>"◇ポジションマッチ A" &amp; MOD(INT(($C$1 - '特殊配信マスタ'!$A$1) / 7), 3) + 1</f>
        <v>◇ポジションマッチ A2</v>
      </c>
      <c r="AC81" s="11" t="str">
        <f>IFERROR(__xludf.DUMMYFUNCTION("IFERROR(TEXTJOIN(CHAR(10), TRUE, FILTER('特殊配信マスタ'!$C:$E, #REF!=AC$1)), """")"),"")</f>
        <v/>
      </c>
      <c r="AD81" s="7" t="str">
        <f>IFERROR(__xludf.DUMMYFUNCTION("IFERROR(TEXTJOIN(CHAR(10), TRUE, FILTER('特殊配信マスタ'!$C:$E, #REF!=AD$1)), """")"),"")</f>
        <v/>
      </c>
      <c r="AE81" s="7" t="str">
        <f t="array" ref="AE81">IFERROR(XLOOKUP(AB81, INDEX('特殊配信マスタ'!$C$3:$E$8, 0, MAX(1, ROW()-14)), '特殊配信マスタ'!$M$3:$N$8, ""),"")</f>
        <v/>
      </c>
      <c r="AF81" s="7"/>
      <c r="AG81" s="10" t="str">
        <f>"◇ポジションマッチ A" &amp; MOD(INT(($C$1 - '特殊配信マスタ'!$A$1) / 7), 3) + 1</f>
        <v>◇ポジションマッチ A2</v>
      </c>
      <c r="AH81" s="11" t="str">
        <f>IFERROR(__xludf.DUMMYFUNCTION("IFERROR(TEXTJOIN(CHAR(10), TRUE, FILTER('特殊配信マスタ'!$C:$E, #REF!=AH$1)), """")"),"")</f>
        <v/>
      </c>
      <c r="AI81" s="7" t="str">
        <f>IFERROR(__xludf.DUMMYFUNCTION("IFERROR(TEXTJOIN(CHAR(10), TRUE, FILTER('特殊配信マスタ'!$C:$E, #REF!=AI$1)), """")"),"")</f>
        <v/>
      </c>
      <c r="AJ81" s="7" t="str">
        <f t="array" ref="AJ81">IFERROR(XLOOKUP(AG81, INDEX('特殊配信マスタ'!$C$3:$E$8, 0, MAX(1, ROW()-14)), '特殊配信マスタ'!$M$3:$N$8, ""),"")</f>
        <v/>
      </c>
      <c r="AK81" s="7"/>
    </row>
    <row r="82" ht="17.25" customHeight="1">
      <c r="A82" s="8"/>
      <c r="B82" s="9"/>
      <c r="C82" s="10" t="str">
        <f>"◇ポジションマッチ_36歳以上 A" &amp; MOD(INT(($C$1 - '特殊配信マスタ'!$A$1) / 7), 3) + 1</f>
        <v>◇ポジションマッチ_36歳以上 A2</v>
      </c>
      <c r="D82" s="11"/>
      <c r="E82" s="7"/>
      <c r="F82" s="7" t="str">
        <f t="array" ref="F82">IFERROR(XLOOKUP(C82, INDEX('特殊配信マスタ'!$C$3:$E$8, 0, MAX(1, ROW()-14)), '特殊配信マスタ'!$M$3:$N$8, ""),"")</f>
        <v/>
      </c>
      <c r="G82" s="7"/>
      <c r="H82" s="10" t="str">
        <f>"◇ポジションマッチ_36歳以上 A" &amp; MOD(INT(($C$1 - '特殊配信マスタ'!$A$1) / 7), 3) + 1</f>
        <v>◇ポジションマッチ_36歳以上 A2</v>
      </c>
      <c r="I82" s="11"/>
      <c r="J82" s="7"/>
      <c r="K82" s="7" t="str">
        <f t="array" ref="K82">IFERROR(XLOOKUP(H82, INDEX('特殊配信マスタ'!$C$3:$E$8, 0, MAX(1, ROW()-14)), '特殊配信マスタ'!$M$3:$N$8, ""),"")</f>
        <v/>
      </c>
      <c r="L82" s="7"/>
      <c r="M82" s="10" t="str">
        <f>"◇ポジションマッチ_36歳以上 A" &amp; MOD(INT(($C$1 - '特殊配信マスタ'!$A$1) / 7), 3) + 1</f>
        <v>◇ポジションマッチ_36歳以上 A2</v>
      </c>
      <c r="N82" s="11"/>
      <c r="O82" s="7"/>
      <c r="P82" s="7" t="str">
        <f t="array" ref="P82">IFERROR(XLOOKUP(M82, INDEX('特殊配信マスタ'!$C$3:$E$8, 0, MAX(1, ROW()-14)), '特殊配信マスタ'!$M$3:$N$8, ""),"")</f>
        <v/>
      </c>
      <c r="Q82" s="7"/>
      <c r="R82" s="10" t="str">
        <f>"◇ポジションマッチ_36歳以上 A" &amp; MOD(INT(($C$1 - '特殊配信マスタ'!$A$1) / 7), 3) + 1</f>
        <v>◇ポジションマッチ_36歳以上 A2</v>
      </c>
      <c r="S82" s="11"/>
      <c r="T82" s="7"/>
      <c r="U82" s="7" t="str">
        <f t="array" ref="U82">IFERROR(XLOOKUP(R82, INDEX('特殊配信マスタ'!$C$3:$E$8, 0, MAX(1, ROW()-14)), '特殊配信マスタ'!$M$3:$N$8, ""),"")</f>
        <v/>
      </c>
      <c r="V82" s="7"/>
      <c r="W82" s="10" t="str">
        <f>"◇ポジションマッチ_36歳以上 A" &amp; MOD(INT(($C$1 - '特殊配信マスタ'!$A$1) / 7), 3) + 1</f>
        <v>◇ポジションマッチ_36歳以上 A2</v>
      </c>
      <c r="X82" s="11"/>
      <c r="Y82" s="7"/>
      <c r="Z82" s="7" t="str">
        <f t="array" ref="Z82">IFERROR(XLOOKUP(W82, INDEX('特殊配信マスタ'!$C$3:$E$8, 0, MAX(1, ROW()-14)), '特殊配信マスタ'!$M$3:$N$8, ""),"")</f>
        <v/>
      </c>
      <c r="AA82" s="7"/>
      <c r="AB82" s="10" t="str">
        <f>"◇ポジションマッチ_36歳以上 A" &amp; MOD(INT(($C$1 - '特殊配信マスタ'!$A$1) / 7), 3) + 1</f>
        <v>◇ポジションマッチ_36歳以上 A2</v>
      </c>
      <c r="AC82" s="11"/>
      <c r="AD82" s="7"/>
      <c r="AE82" s="7" t="str">
        <f t="array" ref="AE82">IFERROR(XLOOKUP(AB82, INDEX('特殊配信マスタ'!$C$3:$E$8, 0, MAX(1, ROW()-14)), '特殊配信マスタ'!$M$3:$N$8, ""),"")</f>
        <v/>
      </c>
      <c r="AF82" s="7"/>
      <c r="AG82" s="10" t="str">
        <f>"◇ポジションマッチ_36歳以上 A" &amp; MOD(INT(($C$1 - '特殊配信マスタ'!$A$1) / 7), 3) + 1</f>
        <v>◇ポジションマッチ_36歳以上 A2</v>
      </c>
      <c r="AH82" s="11"/>
      <c r="AI82" s="7"/>
      <c r="AJ82" s="7" t="str">
        <f t="array" ref="AJ82">IFERROR(XLOOKUP(AG82, INDEX('特殊配信マスタ'!$C$3:$E$8, 0, MAX(1, ROW()-14)), '特殊配信マスタ'!$M$3:$N$8, ""),"")</f>
        <v/>
      </c>
      <c r="AK82" s="7"/>
    </row>
    <row r="83" ht="17.25" customHeight="1">
      <c r="A83" s="8">
        <f>A68+1</f>
        <v>13</v>
      </c>
      <c r="B83" s="9" t="s">
        <v>5</v>
      </c>
      <c r="C83" s="10" t="str">
        <f>IFERROR(__xludf.DUMMYFUNCTION("IFERROR(FILTER('リスト'!$C$2:$C$400, ('リスト'!$A$2:$A$400 = CHOOSE(WEEKDAY(C$1), ""日"", ""月"", ""火"", ""水"", ""木"", ""金"", ""土"")) * ('リスト'!$B$2:$B$400 = $A83) * ('リスト'!$E$2:$E$400 = ""毎週配信"") * ('リスト'!$O$2:$O$400 = FALSE)), """")"),"")</f>
        <v/>
      </c>
      <c r="D83" s="11" t="str">
        <f>IFERROR(__xludf.DUMMYFUNCTION("iferror(FILTER('リスト'!$D:$D, ('リスト'!$A:$A = C$1) * ('リスト'!$B:$B = $A83)))"),"")</f>
        <v/>
      </c>
      <c r="E83" s="7">
        <f>SUM(D83:D96)</f>
        <v>0</v>
      </c>
      <c r="F83" s="7" t="str">
        <f t="array" ref="F83">IFERROR(XLOOKUP(C83, 'リスト'!$C:$C, 'リスト'!$M:$M, ""), "")</f>
        <v/>
      </c>
      <c r="G83" s="7" t="str">
        <f t="array" ref="G83">IFERROR(XLOOKUP(C83, 'リスト'!$C:$C, 'リスト'!$N:$N, ""), "")</f>
        <v/>
      </c>
      <c r="H83" s="18" t="str">
        <f>IFERROR(__xludf.DUMMYFUNCTION("IFERROR(FILTER('リスト'!$C$2:$C$400, ('リスト'!$A$2:$A$400 = CHOOSE(WEEKDAY(H$1), ""日"", ""月"", ""火"", ""水"", ""木"", ""金"", ""土"")) * ('リスト'!$B$2:$B$400 = $A83) * ('リスト'!$E$2:$E$400 = ""毎週配信"") * ('リスト'!$O$2:$O$400 = FALSE)), """")"),"◇掲載終了前+UP A")</f>
        <v>◇掲載終了前+UP A</v>
      </c>
      <c r="I83" s="11" t="str">
        <f>IFERROR(__xludf.DUMMYFUNCTION("iferror(FILTER('リスト'!$D:$D, ('リスト'!$A:$A = H$1) * ('リスト'!$B:$B = $A83)))"),"")</f>
        <v/>
      </c>
      <c r="J83" s="7">
        <f>SUM(I83:I96)</f>
        <v>0</v>
      </c>
      <c r="K83" s="7" t="str">
        <f t="array" ref="K83">IFERROR(XLOOKUP(H83, 'リスト'!$C:$C, 'リスト'!$M:$M, ""), "")</f>
        <v>平</v>
      </c>
      <c r="L83" s="7" t="str">
        <f t="array" ref="L83">IFERROR(XLOOKUP(H83, 'リスト'!$C:$C, 'リスト'!$N:$N, ""), "")</f>
        <v>内</v>
      </c>
      <c r="M83" s="18" t="str">
        <f>IFERROR(__xludf.DUMMYFUNCTION("IFERROR(FILTER('リスト'!$C$2:$C$400, ('リスト'!$A$2:$A$400 = CHOOSE(WEEKDAY(M$1), ""日"", ""月"", ""火"", ""水"", ""木"", ""金"", ""土"")) * ('リスト'!$B$2:$B$400 = $A83) * ('リスト'!$E$2:$E$400 = ""毎週配信"") * ('リスト'!$O$2:$O$400 = FALSE)), """")"),"☆TP部_事務_現住所")</f>
        <v>☆TP部_事務_現住所</v>
      </c>
      <c r="N83" s="11" t="str">
        <f>IFERROR(__xludf.DUMMYFUNCTION("iferror(FILTER('リスト'!$D:$D, ('リスト'!$A:$A = M$1) * ('リスト'!$B:$B = $A83)))"),"")</f>
        <v/>
      </c>
      <c r="O83" s="7">
        <f>SUM(N83:N96)</f>
        <v>0</v>
      </c>
      <c r="P83" s="7" t="str">
        <f t="array" ref="P83">IFERROR(XLOOKUP(M83, 'リスト'!$C:$C, 'リスト'!$M:$M, ""), "")</f>
        <v>部</v>
      </c>
      <c r="Q83" s="7" t="str">
        <f t="array" ref="Q83">IFERROR(XLOOKUP(M83, 'リスト'!$C:$C, 'リスト'!$N:$N, ""), "")</f>
        <v>石</v>
      </c>
      <c r="R83" s="10" t="str">
        <f>IFERROR(__xludf.DUMMYFUNCTION("IFERROR(FILTER('リスト'!$C$2:$C$400, ('リスト'!$A$2:$A$400 = CHOOSE(WEEKDAY(R$1), ""日"", ""月"", ""火"", ""水"", ""木"", ""金"", ""土"")) * ('リスト'!$B$2:$B$400 = $A83) * ('リスト'!$E$2:$E$400 = ""毎週配信"") * ('リスト'!$O$2:$O$400 = FALSE)), """")"),"")</f>
        <v/>
      </c>
      <c r="S83" s="11" t="str">
        <f>IFERROR(__xludf.DUMMYFUNCTION("iferror(FILTER('リスト'!$D:$D, ('リスト'!$A:$A = R$1) * ('リスト'!$B:$B = $A83)))"),"")</f>
        <v/>
      </c>
      <c r="T83" s="7">
        <f>SUM(S83:S96)</f>
        <v>0</v>
      </c>
      <c r="U83" s="7" t="str">
        <f t="array" ref="U83">IFERROR(XLOOKUP(R83, 'リスト'!$C:$C, 'リスト'!$M:$M, ""), "")</f>
        <v/>
      </c>
      <c r="V83" s="7" t="str">
        <f t="array" ref="V83">IFERROR(XLOOKUP(R83, 'リスト'!$C:$C, 'リスト'!$N:$N, ""), "")</f>
        <v/>
      </c>
      <c r="W83" s="10" t="str">
        <f>IFERROR(__xludf.DUMMYFUNCTION("IFERROR(FILTER('リスト'!$C$2:$C$400, ('リスト'!$A$2:$A$400 = CHOOSE(WEEKDAY(W$1), ""日"", ""月"", ""火"", ""水"", ""木"", ""金"", ""土"")) * ('リスト'!$B$2:$B$400 = $A83) * ('リスト'!$E$2:$E$400 = ""毎週配信"") * ('リスト'!$O$2:$O$400 = FALSE)), """")"),"ランキング_営業（キャリアカウンセラー）_希望")</f>
        <v>ランキング_営業（キャリアカウンセラー）_希望</v>
      </c>
      <c r="X83" s="11" t="str">
        <f>IFERROR(__xludf.DUMMYFUNCTION("iferror(FILTER('リスト'!$D:$D, ('リスト'!$A:$A = W$1) * ('リスト'!$B:$B = $A83)))"),"")</f>
        <v/>
      </c>
      <c r="Y83" s="7">
        <f>SUM(X83:X96)</f>
        <v>0</v>
      </c>
      <c r="Z83" s="7" t="str">
        <f t="array" ref="Z83">IFERROR(XLOOKUP(W83, 'リスト'!$C:$C, 'リスト'!$M:$M, ""), "")</f>
        <v>R</v>
      </c>
      <c r="AA83" s="7" t="str">
        <f t="array" ref="AA83">IFERROR(XLOOKUP(W83, 'リスト'!$C:$C, 'リスト'!$N:$N, ""), "")</f>
        <v/>
      </c>
      <c r="AB83" s="10" t="str">
        <f>IFERROR(__xludf.DUMMYFUNCTION("IFERROR(FILTER('リスト'!$C$2:$C$400, ('リスト'!$A$2:$A$400 = CHOOSE(WEEKDAY(AB$1), ""日"", ""月"", ""火"", ""水"", ""木"", ""金"", ""土"")) * ('リスト'!$B$2:$B$400 = $A83) * ('リスト'!$E$2:$E$400 = ""毎週配信"") * ('リスト'!$O$2:$O$400 = FALSE)), """")"),"フルリモート_35歳以上")</f>
        <v>フルリモート_35歳以上</v>
      </c>
      <c r="AC83" s="11" t="str">
        <f>IFERROR(__xludf.DUMMYFUNCTION("iferror(FILTER('リスト'!$D:$D, ('リスト'!$A:$A = AB$1) * ('リスト'!$B:$B = $A83)))"),"")</f>
        <v/>
      </c>
      <c r="AD83" s="7">
        <f>SUM(AC83:AC96)</f>
        <v>0</v>
      </c>
      <c r="AE83" s="7" t="str">
        <f t="array" ref="AE83">IFERROR(XLOOKUP(AB83, 'リスト'!$C:$C, 'リスト'!$M:$M, ""), "")</f>
        <v>R</v>
      </c>
      <c r="AF83" s="7" t="str">
        <f t="array" ref="AF83">IFERROR(XLOOKUP(AB83, 'リスト'!$C:$C, 'リスト'!$N:$N, ""), "")</f>
        <v/>
      </c>
      <c r="AG83" s="10" t="str">
        <f>IFERROR(__xludf.DUMMYFUNCTION("IFERROR(FILTER('リスト'!$C$2:$C$400, ('リスト'!$A$2:$A$400 = CHOOSE(WEEKDAY(AG$1), ""日"", ""月"", ""火"", ""水"", ""木"", ""金"", ""土"")) * ('リスト'!$B$2:$B$400 = $A83) * ('リスト'!$E$2:$E$400 = ""毎週配信"") * ('リスト'!$O$2:$O$400 = FALSE)), """")"),"リモートワーク B")</f>
        <v>リモートワーク B</v>
      </c>
      <c r="AH83" s="11" t="str">
        <f>IFERROR(__xludf.DUMMYFUNCTION("iferror(FILTER('リスト'!$D:$D, ('リスト'!$A:$A = AG$1) * ('リスト'!$B:$B = $A83)))"),"")</f>
        <v/>
      </c>
      <c r="AI83" s="7">
        <f>SUM(AH83:AH96)</f>
        <v>0</v>
      </c>
      <c r="AJ83" s="7" t="str">
        <f t="array" ref="AJ83">IFERROR(XLOOKUP(AG83, 'リスト'!$C:$C, 'リスト'!$M:$M, ""), "")</f>
        <v>R</v>
      </c>
      <c r="AK83" s="7" t="str">
        <f t="array" ref="AK83">IFERROR(XLOOKUP(AG83, 'リスト'!$C:$C, 'リスト'!$N:$N, ""), "")</f>
        <v/>
      </c>
    </row>
    <row r="84" ht="17.25" customHeight="1">
      <c r="A84" s="8"/>
      <c r="B84" s="9"/>
      <c r="C84" s="12"/>
      <c r="D84" s="7"/>
      <c r="E84" s="7"/>
      <c r="F84" s="7" t="str">
        <f t="array" ref="F84">IFERROR(XLOOKUP(C84, 'リスト'!$C:$C, 'リスト'!$M:$M, ""), "")</f>
        <v/>
      </c>
      <c r="G84" s="7" t="str">
        <f t="array" ref="G84">IFERROR(XLOOKUP(C84, 'リスト'!$C:$C, 'リスト'!$N:$N, ""), "")</f>
        <v/>
      </c>
      <c r="H84" s="12" t="str">
        <f>IFERROR(__xludf.DUMMYFUNCTION("""COMPUTED_VALUE"""),"◇掲載終了前+UP_35歳以上 A")</f>
        <v>◇掲載終了前+UP_35歳以上 A</v>
      </c>
      <c r="I84" s="7"/>
      <c r="J84" s="7"/>
      <c r="K84" s="7" t="str">
        <f t="array" ref="K84">IFERROR(XLOOKUP(H84, 'リスト'!$C:$C, 'リスト'!$M:$M, ""), "")</f>
        <v>平</v>
      </c>
      <c r="L84" s="7" t="str">
        <f t="array" ref="L84">IFERROR(XLOOKUP(H84, 'リスト'!$C:$C, 'リスト'!$N:$N, ""), "")</f>
        <v>内</v>
      </c>
      <c r="M84" s="12"/>
      <c r="N84" s="7"/>
      <c r="O84" s="7"/>
      <c r="P84" s="7" t="str">
        <f t="array" ref="P84">IFERROR(XLOOKUP(M84, 'リスト'!$C:$C, 'リスト'!$M:$M, ""), "")</f>
        <v/>
      </c>
      <c r="Q84" s="7" t="str">
        <f t="array" ref="Q84">IFERROR(XLOOKUP(M84, 'リスト'!$C:$C, 'リスト'!$N:$N, ""), "")</f>
        <v/>
      </c>
      <c r="R84" s="12"/>
      <c r="S84" s="7"/>
      <c r="T84" s="7"/>
      <c r="U84" s="7" t="str">
        <f t="array" ref="U84">IFERROR(XLOOKUP(R84, 'リスト'!$C:$C, 'リスト'!$M:$M, ""), "")</f>
        <v/>
      </c>
      <c r="V84" s="7" t="str">
        <f t="array" ref="V84">IFERROR(XLOOKUP(R84, 'リスト'!$C:$C, 'リスト'!$N:$N, ""), "")</f>
        <v/>
      </c>
      <c r="W84" s="12" t="str">
        <f>IFERROR(__xludf.DUMMYFUNCTION("""COMPUTED_VALUE"""),"ランキング_事務（総務・人事）_希望")</f>
        <v>ランキング_事務（総務・人事）_希望</v>
      </c>
      <c r="X84" s="7"/>
      <c r="Y84" s="7"/>
      <c r="Z84" s="7" t="str">
        <f t="array" ref="Z84">IFERROR(XLOOKUP(W84, 'リスト'!$C:$C, 'リスト'!$M:$M, ""), "")</f>
        <v>R</v>
      </c>
      <c r="AA84" s="7" t="str">
        <f t="array" ref="AA84">IFERROR(XLOOKUP(W84, 'リスト'!$C:$C, 'リスト'!$N:$N, ""), "")</f>
        <v/>
      </c>
      <c r="AB84" s="12"/>
      <c r="AC84" s="7"/>
      <c r="AD84" s="7"/>
      <c r="AE84" s="7" t="str">
        <f t="array" ref="AE84">IFERROR(XLOOKUP(AB84, 'リスト'!$C:$C, 'リスト'!$M:$M, ""), "")</f>
        <v/>
      </c>
      <c r="AF84" s="7" t="str">
        <f t="array" ref="AF84">IFERROR(XLOOKUP(AB84, 'リスト'!$C:$C, 'リスト'!$N:$N, ""), "")</f>
        <v/>
      </c>
      <c r="AG84" s="12" t="str">
        <f>IFERROR(__xludf.DUMMYFUNCTION("""COMPUTED_VALUE"""),"美容業界×事務_希望")</f>
        <v>美容業界×事務_希望</v>
      </c>
      <c r="AH84" s="7"/>
      <c r="AI84" s="7"/>
      <c r="AJ84" s="7" t="str">
        <f t="array" ref="AJ84">IFERROR(XLOOKUP(AG84, 'リスト'!$C:$C, 'リスト'!$M:$M, ""), "")</f>
        <v>R</v>
      </c>
      <c r="AK84" s="7" t="str">
        <f t="array" ref="AK84">IFERROR(XLOOKUP(AG84, 'リスト'!$C:$C, 'リスト'!$N:$N, ""), "")</f>
        <v/>
      </c>
    </row>
    <row r="85" ht="17.25" customHeight="1">
      <c r="A85" s="8"/>
      <c r="B85" s="9"/>
      <c r="C85" s="10"/>
      <c r="D85" s="13"/>
      <c r="E85" s="7"/>
      <c r="F85" s="7" t="str">
        <f t="array" ref="F85">IFERROR(XLOOKUP(C85, 'リスト'!$C:$C, 'リスト'!$M:$M, ""), "")</f>
        <v/>
      </c>
      <c r="G85" s="7" t="str">
        <f t="array" ref="G85">IFERROR(XLOOKUP(C85, 'リスト'!$C:$C, 'リスト'!$N:$N, ""), "")</f>
        <v/>
      </c>
      <c r="H85" s="10" t="str">
        <f>IFERROR(__xludf.DUMMYFUNCTION("""COMPUTED_VALUE"""),"◇掲載終了前+UP_関西 A")</f>
        <v>◇掲載終了前+UP_関西 A</v>
      </c>
      <c r="I85" s="13"/>
      <c r="J85" s="7"/>
      <c r="K85" s="7" t="str">
        <f t="array" ref="K85">IFERROR(XLOOKUP(H85, 'リスト'!$C:$C, 'リスト'!$M:$M, ""), "")</f>
        <v>平</v>
      </c>
      <c r="L85" s="7" t="str">
        <f t="array" ref="L85">IFERROR(XLOOKUP(H85, 'リスト'!$C:$C, 'リスト'!$N:$N, ""), "")</f>
        <v>内</v>
      </c>
      <c r="M85" s="10"/>
      <c r="N85" s="13"/>
      <c r="O85" s="7"/>
      <c r="P85" s="7" t="str">
        <f t="array" ref="P85">IFERROR(XLOOKUP(M85, 'リスト'!$C:$C, 'リスト'!$M:$M, ""), "")</f>
        <v/>
      </c>
      <c r="Q85" s="7" t="str">
        <f t="array" ref="Q85">IFERROR(XLOOKUP(M85, 'リスト'!$C:$C, 'リスト'!$N:$N, ""), "")</f>
        <v/>
      </c>
      <c r="R85" s="10"/>
      <c r="S85" s="13"/>
      <c r="T85" s="7"/>
      <c r="U85" s="7" t="str">
        <f t="array" ref="U85">IFERROR(XLOOKUP(R85, 'リスト'!$C:$C, 'リスト'!$M:$M, ""), "")</f>
        <v/>
      </c>
      <c r="V85" s="7" t="str">
        <f t="array" ref="V85">IFERROR(XLOOKUP(R85, 'リスト'!$C:$C, 'リスト'!$N:$N, ""), "")</f>
        <v/>
      </c>
      <c r="W85" s="10"/>
      <c r="X85" s="13"/>
      <c r="Y85" s="7"/>
      <c r="Z85" s="7" t="str">
        <f t="array" ref="Z85">IFERROR(XLOOKUP(W85, 'リスト'!$C:$C, 'リスト'!$M:$M, ""), "")</f>
        <v/>
      </c>
      <c r="AA85" s="7" t="str">
        <f t="array" ref="AA85">IFERROR(XLOOKUP(W85, 'リスト'!$C:$C, 'リスト'!$N:$N, ""), "")</f>
        <v/>
      </c>
      <c r="AB85" s="10"/>
      <c r="AC85" s="13"/>
      <c r="AD85" s="7"/>
      <c r="AE85" s="7" t="str">
        <f t="array" ref="AE85">IFERROR(XLOOKUP(AB85, 'リスト'!$C:$C, 'リスト'!$M:$M, ""), "")</f>
        <v/>
      </c>
      <c r="AF85" s="7" t="str">
        <f t="array" ref="AF85">IFERROR(XLOOKUP(AB85, 'リスト'!$C:$C, 'リスト'!$N:$N, ""), "")</f>
        <v/>
      </c>
      <c r="AG85" s="10"/>
      <c r="AH85" s="13"/>
      <c r="AI85" s="7"/>
      <c r="AJ85" s="7" t="str">
        <f t="array" ref="AJ85">IFERROR(XLOOKUP(AG85, 'リスト'!$C:$C, 'リスト'!$M:$M, ""), "")</f>
        <v/>
      </c>
      <c r="AK85" s="7" t="str">
        <f t="array" ref="AK85">IFERROR(XLOOKUP(AG85, 'リスト'!$C:$C, 'リスト'!$N:$N, ""), "")</f>
        <v/>
      </c>
    </row>
    <row r="86" ht="17.25" customHeight="1">
      <c r="A86" s="8"/>
      <c r="B86" s="9"/>
      <c r="C86" s="14"/>
      <c r="D86" s="15"/>
      <c r="E86" s="7"/>
      <c r="F86" s="7" t="str">
        <f t="array" ref="F86">IFERROR(XLOOKUP(C86, 'リスト'!$C:$C, 'リスト'!$M:$M, ""), "")</f>
        <v/>
      </c>
      <c r="G86" s="7" t="str">
        <f t="array" ref="G86">IFERROR(XLOOKUP(C86, 'リスト'!$C:$C, 'リスト'!$N:$N, ""), "")</f>
        <v/>
      </c>
      <c r="H86" s="14" t="str">
        <f>IFERROR(__xludf.DUMMYFUNCTION("""COMPUTED_VALUE"""),"関西単独求人メルマガ_A")</f>
        <v>関西単独求人メルマガ_A</v>
      </c>
      <c r="I86" s="15"/>
      <c r="J86" s="7"/>
      <c r="K86" s="7" t="str">
        <f t="array" ref="K86">IFERROR(XLOOKUP(H86, 'リスト'!$C:$C, 'リスト'!$M:$M, ""), "")</f>
        <v>武</v>
      </c>
      <c r="L86" s="7" t="str">
        <f t="array" ref="L86">IFERROR(XLOOKUP(H86, 'リスト'!$C:$C, 'リスト'!$N:$N, ""), "")</f>
        <v>部</v>
      </c>
      <c r="M86" s="14"/>
      <c r="N86" s="15"/>
      <c r="O86" s="7"/>
      <c r="P86" s="7" t="str">
        <f t="array" ref="P86">IFERROR(XLOOKUP(M86, 'リスト'!$C:$C, 'リスト'!$M:$M, ""), "")</f>
        <v/>
      </c>
      <c r="Q86" s="7" t="str">
        <f t="array" ref="Q86">IFERROR(XLOOKUP(M86, 'リスト'!$C:$C, 'リスト'!$N:$N, ""), "")</f>
        <v/>
      </c>
      <c r="R86" s="14"/>
      <c r="S86" s="15"/>
      <c r="T86" s="7"/>
      <c r="U86" s="7" t="str">
        <f t="array" ref="U86">IFERROR(XLOOKUP(R86, 'リスト'!$C:$C, 'リスト'!$M:$M, ""), "")</f>
        <v/>
      </c>
      <c r="V86" s="7" t="str">
        <f t="array" ref="V86">IFERROR(XLOOKUP(R86, 'リスト'!$C:$C, 'リスト'!$N:$N, ""), "")</f>
        <v/>
      </c>
      <c r="W86" s="14"/>
      <c r="X86" s="15"/>
      <c r="Y86" s="7"/>
      <c r="Z86" s="7" t="str">
        <f t="array" ref="Z86">IFERROR(XLOOKUP(W86, 'リスト'!$C:$C, 'リスト'!$M:$M, ""), "")</f>
        <v/>
      </c>
      <c r="AA86" s="7" t="str">
        <f t="array" ref="AA86">IFERROR(XLOOKUP(W86, 'リスト'!$C:$C, 'リスト'!$N:$N, ""), "")</f>
        <v/>
      </c>
      <c r="AB86" s="14"/>
      <c r="AC86" s="15"/>
      <c r="AD86" s="7"/>
      <c r="AE86" s="7" t="str">
        <f t="array" ref="AE86">IFERROR(XLOOKUP(AB86, 'リスト'!$C:$C, 'リスト'!$M:$M, ""), "")</f>
        <v/>
      </c>
      <c r="AF86" s="7" t="str">
        <f t="array" ref="AF86">IFERROR(XLOOKUP(AB86, 'リスト'!$C:$C, 'リスト'!$N:$N, ""), "")</f>
        <v/>
      </c>
      <c r="AG86" s="14"/>
      <c r="AH86" s="15"/>
      <c r="AI86" s="7"/>
      <c r="AJ86" s="7" t="str">
        <f t="array" ref="AJ86">IFERROR(XLOOKUP(AG86, 'リスト'!$C:$C, 'リスト'!$M:$M, ""), "")</f>
        <v/>
      </c>
      <c r="AK86" s="7" t="str">
        <f t="array" ref="AK86">IFERROR(XLOOKUP(AG86, 'リスト'!$C:$C, 'リスト'!$N:$N, ""), "")</f>
        <v/>
      </c>
    </row>
    <row r="87" ht="17.25" customHeight="1">
      <c r="A87" s="8"/>
      <c r="B87" s="9"/>
      <c r="C87" s="14"/>
      <c r="D87" s="13"/>
      <c r="E87" s="7"/>
      <c r="F87" s="7"/>
      <c r="G87" s="7"/>
      <c r="H87" s="14"/>
      <c r="I87" s="13"/>
      <c r="J87" s="7"/>
      <c r="K87" s="7"/>
      <c r="L87" s="7"/>
      <c r="M87" s="14"/>
      <c r="N87" s="13"/>
      <c r="O87" s="7"/>
      <c r="P87" s="7"/>
      <c r="Q87" s="7"/>
      <c r="R87" s="14"/>
      <c r="S87" s="13"/>
      <c r="T87" s="7"/>
      <c r="U87" s="7"/>
      <c r="V87" s="7"/>
      <c r="W87" s="14"/>
      <c r="X87" s="13"/>
      <c r="Y87" s="7"/>
      <c r="Z87" s="7"/>
      <c r="AA87" s="7"/>
      <c r="AB87" s="14"/>
      <c r="AC87" s="13"/>
      <c r="AD87" s="7"/>
      <c r="AE87" s="7"/>
      <c r="AF87" s="7"/>
      <c r="AG87" s="14"/>
      <c r="AH87" s="13"/>
      <c r="AI87" s="7"/>
      <c r="AJ87" s="7"/>
      <c r="AK87" s="7"/>
    </row>
    <row r="88" ht="17.25" customHeight="1">
      <c r="A88" s="8"/>
      <c r="B88" s="9"/>
      <c r="C88" s="14"/>
      <c r="D88" s="13"/>
      <c r="E88" s="7"/>
      <c r="F88" s="7"/>
      <c r="G88" s="7"/>
      <c r="H88" s="14"/>
      <c r="I88" s="13"/>
      <c r="J88" s="7"/>
      <c r="K88" s="7"/>
      <c r="L88" s="7"/>
      <c r="M88" s="14"/>
      <c r="N88" s="13"/>
      <c r="O88" s="7"/>
      <c r="P88" s="7"/>
      <c r="Q88" s="7"/>
      <c r="R88" s="14"/>
      <c r="S88" s="13"/>
      <c r="T88" s="7"/>
      <c r="U88" s="7"/>
      <c r="V88" s="7"/>
      <c r="W88" s="14"/>
      <c r="X88" s="13"/>
      <c r="Y88" s="7"/>
      <c r="Z88" s="7"/>
      <c r="AA88" s="7"/>
      <c r="AB88" s="14"/>
      <c r="AC88" s="13"/>
      <c r="AD88" s="7"/>
      <c r="AE88" s="7"/>
      <c r="AF88" s="7"/>
      <c r="AG88" s="14"/>
      <c r="AH88" s="13"/>
      <c r="AI88" s="7"/>
      <c r="AJ88" s="7"/>
      <c r="AK88" s="7"/>
    </row>
    <row r="89" ht="17.25" customHeight="1">
      <c r="A89" s="8"/>
      <c r="B89" s="9"/>
      <c r="C89" s="14"/>
      <c r="D89" s="13"/>
      <c r="E89" s="7"/>
      <c r="F89" s="7"/>
      <c r="G89" s="7"/>
      <c r="H89" s="14"/>
      <c r="I89" s="13"/>
      <c r="J89" s="7"/>
      <c r="K89" s="7"/>
      <c r="L89" s="7"/>
      <c r="M89" s="14"/>
      <c r="N89" s="13"/>
      <c r="O89" s="7"/>
      <c r="P89" s="7"/>
      <c r="Q89" s="7"/>
      <c r="R89" s="14"/>
      <c r="S89" s="13"/>
      <c r="T89" s="7"/>
      <c r="U89" s="7"/>
      <c r="V89" s="7"/>
      <c r="W89" s="14"/>
      <c r="X89" s="13"/>
      <c r="Y89" s="7"/>
      <c r="Z89" s="7"/>
      <c r="AA89" s="7"/>
      <c r="AB89" s="14"/>
      <c r="AC89" s="13"/>
      <c r="AD89" s="7"/>
      <c r="AE89" s="7"/>
      <c r="AF89" s="7"/>
      <c r="AG89" s="14"/>
      <c r="AH89" s="13"/>
      <c r="AI89" s="7"/>
      <c r="AJ89" s="7"/>
      <c r="AK89" s="7"/>
    </row>
    <row r="90" ht="17.25" customHeight="1">
      <c r="A90" s="8"/>
      <c r="B90" s="9"/>
      <c r="C90" s="14"/>
      <c r="D90" s="13"/>
      <c r="E90" s="7"/>
      <c r="F90" s="7"/>
      <c r="G90" s="7"/>
      <c r="H90" s="14"/>
      <c r="I90" s="13"/>
      <c r="J90" s="7"/>
      <c r="K90" s="7"/>
      <c r="L90" s="7"/>
      <c r="M90" s="14"/>
      <c r="N90" s="13"/>
      <c r="O90" s="7"/>
      <c r="P90" s="7"/>
      <c r="Q90" s="7"/>
      <c r="R90" s="14"/>
      <c r="S90" s="13"/>
      <c r="T90" s="7"/>
      <c r="U90" s="7"/>
      <c r="V90" s="7"/>
      <c r="W90" s="14"/>
      <c r="X90" s="13"/>
      <c r="Y90" s="7"/>
      <c r="Z90" s="7"/>
      <c r="AA90" s="7"/>
      <c r="AB90" s="14"/>
      <c r="AC90" s="13"/>
      <c r="AD90" s="7"/>
      <c r="AE90" s="7"/>
      <c r="AF90" s="7"/>
      <c r="AG90" s="14"/>
      <c r="AH90" s="13"/>
      <c r="AI90" s="7"/>
      <c r="AJ90" s="7"/>
      <c r="AK90" s="7"/>
    </row>
    <row r="91" ht="17.25" customHeight="1">
      <c r="A91" s="8"/>
      <c r="B91" s="9" t="s">
        <v>6</v>
      </c>
      <c r="C91" s="10" t="str">
        <f>IFERROR(__xludf.DUMMYFUNCTION("iferror(FILTER('新規'!$C:$C, ('新規'!$A:$A = C$1) * ('新規'!$B:$B = $A83)))"),"")</f>
        <v/>
      </c>
      <c r="D91" s="11" t="str">
        <f>IFERROR(__xludf.DUMMYFUNCTION("IFERROR(FILTER('新規'!$D$2:$D$400, ('新規'!$A$2:$A$400 = CHOOSE(WEEKDAY(C$1), ""日"", ""月"", ""火"", ""水"", ""木"", ""金"", ""土"")) * ('新規'!$B$2:$B$400 = $A$3) * ('新規'!$O$2:$O$400 = FALSE)), """")"),"")</f>
        <v/>
      </c>
      <c r="E91" s="7"/>
      <c r="F91" s="7" t="str">
        <f>IFERROR(__xludf.DUMMYFUNCTION("IFERROR(FILTER('新規'!$M$2:$M$400, ('新規'!$A$2:$A$400 = CHOOSE(WEEKDAY(C$1), ""日"", ""月"", ""火"", ""水"", ""木"", ""金"", ""土"")) * ('新規'!$B$2:$B$400 = $A$3) * ('新規'!$O$2:$O$400 = FALSE)), """")"),"")</f>
        <v/>
      </c>
      <c r="G91" s="7" t="str">
        <f>IFERROR(__xludf.DUMMYFUNCTION("IFERROR(FILTER('新規'!$N$2:$N$400, ('新規'!$A$2:$A$400 = CHOOSE(WEEKDAY(C$1), ""日"", ""月"", ""火"", ""水"", ""木"", ""金"", ""土"")) * ('新規'!$B$2:$B$400 = $A$3) * ('新規'!$O$2:$O$400 = FALSE)), """")"),"")</f>
        <v/>
      </c>
      <c r="H91" s="10" t="str">
        <f>IFERROR(__xludf.DUMMYFUNCTION("iferror(FILTER('新規'!$C:$C, ('新規'!$A:$A = H$1) * ('新規'!$B:$B = $A83)))"),"")</f>
        <v/>
      </c>
      <c r="I91" s="11" t="str">
        <f>IFERROR(__xludf.DUMMYFUNCTION("IFERROR(FILTER('新規'!$D$2:$D$400, ('新規'!$A$2:$A$400 = CHOOSE(WEEKDAY(H$1), ""日"", ""月"", ""火"", ""水"", ""木"", ""金"", ""土"")) * ('新規'!$B$2:$B$400 = $A$3) * ('新規'!$O$2:$O$400 = FALSE)), """")"),"")</f>
        <v/>
      </c>
      <c r="J91" s="7"/>
      <c r="K91" s="7" t="str">
        <f>IFERROR(__xludf.DUMMYFUNCTION("IFERROR(FILTER('新規'!$M$2:$M$400, ('新規'!$A$2:$A$400 = CHOOSE(WEEKDAY(H$1), ""日"", ""月"", ""火"", ""水"", ""木"", ""金"", ""土"")) * ('新規'!$B$2:$B$400 = $A$3) * ('新規'!$O$2:$O$400 = FALSE)), """")"),"")</f>
        <v/>
      </c>
      <c r="L91" s="7" t="str">
        <f>IFERROR(__xludf.DUMMYFUNCTION("IFERROR(FILTER('新規'!$N$2:$N$400, ('新規'!$A$2:$A$400 = CHOOSE(WEEKDAY(H$1), ""日"", ""月"", ""火"", ""水"", ""木"", ""金"", ""土"")) * ('新規'!$B$2:$B$400 = $A$3) * ('新規'!$O$2:$O$400 = FALSE)), """")"),"")</f>
        <v/>
      </c>
      <c r="M91" s="10" t="str">
        <f>IFERROR(__xludf.DUMMYFUNCTION("iferror(FILTER('新規'!$C:$C, ('新規'!$A:$A = M$1) * ('新規'!$B:$B = $A83)))"),"")</f>
        <v/>
      </c>
      <c r="N91" s="11" t="str">
        <f>IFERROR(__xludf.DUMMYFUNCTION("IFERROR(FILTER('新規'!$D$2:$D$400, ('新規'!$A$2:$A$400 = CHOOSE(WEEKDAY(M$1), ""日"", ""月"", ""火"", ""水"", ""木"", ""金"", ""土"")) * ('新規'!$B$2:$B$400 = $A$3) * ('新規'!$O$2:$O$400 = FALSE)), """")"),"")</f>
        <v/>
      </c>
      <c r="O91" s="7"/>
      <c r="P91" s="7" t="str">
        <f>IFERROR(__xludf.DUMMYFUNCTION("IFERROR(FILTER('新規'!$M$2:$M$400, ('新規'!$A$2:$A$400 = CHOOSE(WEEKDAY(M$1), ""日"", ""月"", ""火"", ""水"", ""木"", ""金"", ""土"")) * ('新規'!$B$2:$B$400 = $A$3) * ('新規'!$O$2:$O$400 = FALSE)), """")"),"")</f>
        <v/>
      </c>
      <c r="Q91" s="7" t="str">
        <f>IFERROR(__xludf.DUMMYFUNCTION("IFERROR(FILTER('新規'!$N$2:$N$400, ('新規'!$A$2:$A$400 = CHOOSE(WEEKDAY(M$1), ""日"", ""月"", ""火"", ""水"", ""木"", ""金"", ""土"")) * ('新規'!$B$2:$B$400 = $A$3) * ('新規'!$O$2:$O$400 = FALSE)), """")"),"")</f>
        <v/>
      </c>
      <c r="R91" s="10" t="str">
        <f>IFERROR(__xludf.DUMMYFUNCTION("iferror(FILTER('新規'!$C:$C, ('新規'!$A:$A = R$1) * ('新規'!$B:$B = $A83)))"),"")</f>
        <v/>
      </c>
      <c r="S91" s="11" t="str">
        <f>IFERROR(__xludf.DUMMYFUNCTION("IFERROR(FILTER('新規'!$D$2:$D$400, ('新規'!$A$2:$A$400 = CHOOSE(WEEKDAY(R$1), ""日"", ""月"", ""火"", ""水"", ""木"", ""金"", ""土"")) * ('新規'!$B$2:$B$400 = $A$3) * ('新規'!$O$2:$O$400 = FALSE)), """")"),"")</f>
        <v/>
      </c>
      <c r="T91" s="7"/>
      <c r="U91" s="7" t="str">
        <f>IFERROR(__xludf.DUMMYFUNCTION("IFERROR(FILTER('新規'!$M$2:$M$400, ('新規'!$A$2:$A$400 = CHOOSE(WEEKDAY(R$1), ""日"", ""月"", ""火"", ""水"", ""木"", ""金"", ""土"")) * ('新規'!$B$2:$B$400 = $A$3) * ('新規'!$O$2:$O$400 = FALSE)), """")"),"")</f>
        <v/>
      </c>
      <c r="V91" s="7" t="str">
        <f>IFERROR(__xludf.DUMMYFUNCTION("IFERROR(FILTER('新規'!$N$2:$N$400, ('新規'!$A$2:$A$400 = CHOOSE(WEEKDAY(R$1), ""日"", ""月"", ""火"", ""水"", ""木"", ""金"", ""土"")) * ('新規'!$B$2:$B$400 = $A$3) * ('新規'!$O$2:$O$400 = FALSE)), """")"),"")</f>
        <v/>
      </c>
      <c r="W91" s="10" t="str">
        <f>IFERROR(__xludf.DUMMYFUNCTION("iferror(FILTER('新規'!$C:$C, ('新規'!$A:$A = W$1) * ('新規'!$B:$B = $A83)))"),"")</f>
        <v/>
      </c>
      <c r="X91" s="11" t="str">
        <f>IFERROR(__xludf.DUMMYFUNCTION("IFERROR(FILTER('新規'!$D$2:$D$400, ('新規'!$A$2:$A$400 = CHOOSE(WEEKDAY(W$1), ""日"", ""月"", ""火"", ""水"", ""木"", ""金"", ""土"")) * ('新規'!$B$2:$B$400 = $A$3) * ('新規'!$O$2:$O$400 = FALSE)), """")"),"")</f>
        <v/>
      </c>
      <c r="Y91" s="7"/>
      <c r="Z91" s="7" t="str">
        <f>IFERROR(__xludf.DUMMYFUNCTION("IFERROR(FILTER('新規'!$M$2:$M$400, ('新規'!$A$2:$A$400 = CHOOSE(WEEKDAY(W$1), ""日"", ""月"", ""火"", ""水"", ""木"", ""金"", ""土"")) * ('新規'!$B$2:$B$400 = $A$3) * ('新規'!$O$2:$O$400 = FALSE)), """")"),"")</f>
        <v/>
      </c>
      <c r="AA91" s="7" t="str">
        <f>IFERROR(__xludf.DUMMYFUNCTION("IFERROR(FILTER('新規'!$N$2:$N$400, ('新規'!$A$2:$A$400 = CHOOSE(WEEKDAY(W$1), ""日"", ""月"", ""火"", ""水"", ""木"", ""金"", ""土"")) * ('新規'!$B$2:$B$400 = $A$3) * ('新規'!$O$2:$O$400 = FALSE)), """")"),"")</f>
        <v/>
      </c>
      <c r="AB91" s="10" t="str">
        <f>IFERROR(__xludf.DUMMYFUNCTION("iferror(FILTER('新規'!$C:$C, ('新規'!$A:$A = AB$1) * ('新規'!$B:$B = $A83)))"),"")</f>
        <v/>
      </c>
      <c r="AC91" s="11" t="str">
        <f>IFERROR(__xludf.DUMMYFUNCTION("IFERROR(FILTER('新規'!$D$2:$D$400, ('新規'!$A$2:$A$400 = CHOOSE(WEEKDAY(AB$1), ""日"", ""月"", ""火"", ""水"", ""木"", ""金"", ""土"")) * ('新規'!$B$2:$B$400 = $A$3) * ('新規'!$O$2:$O$400 = FALSE)), """")"),"")</f>
        <v/>
      </c>
      <c r="AD91" s="7"/>
      <c r="AE91" s="7" t="str">
        <f>IFERROR(__xludf.DUMMYFUNCTION("IFERROR(FILTER('新規'!$M$2:$M$400, ('新規'!$A$2:$A$400 = CHOOSE(WEEKDAY(AB$1), ""日"", ""月"", ""火"", ""水"", ""木"", ""金"", ""土"")) * ('新規'!$B$2:$B$400 = $A$3) * ('新規'!$O$2:$O$400 = FALSE)), """")"),"")</f>
        <v/>
      </c>
      <c r="AF91" s="7" t="str">
        <f>IFERROR(__xludf.DUMMYFUNCTION("IFERROR(FILTER('新規'!$N$2:$N$400, ('新規'!$A$2:$A$400 = CHOOSE(WEEKDAY(AB$1), ""日"", ""月"", ""火"", ""水"", ""木"", ""金"", ""土"")) * ('新規'!$B$2:$B$400 = $A$3) * ('新規'!$O$2:$O$400 = FALSE)), """")"),"")</f>
        <v/>
      </c>
      <c r="AG91" s="10" t="str">
        <f>IFERROR(__xludf.DUMMYFUNCTION("iferror(FILTER('新規'!$C:$C, ('新規'!$A:$A = AG$1) * ('新規'!$B:$B = $A83)))"),"")</f>
        <v/>
      </c>
      <c r="AH91" s="11" t="str">
        <f>IFERROR(__xludf.DUMMYFUNCTION("IFERROR(FILTER('新規'!$D$2:$D$400, ('新規'!$A$2:$A$400 = CHOOSE(WEEKDAY(AG$1), ""日"", ""月"", ""火"", ""水"", ""木"", ""金"", ""土"")) * ('新規'!$B$2:$B$400 = $A$3) * ('新規'!$O$2:$O$400 = FALSE)), """")"),"")</f>
        <v/>
      </c>
      <c r="AI91" s="7"/>
      <c r="AJ91" s="7" t="str">
        <f>IFERROR(__xludf.DUMMYFUNCTION("IFERROR(FILTER('新規'!$M$2:$M$400, ('新規'!$A$2:$A$400 = CHOOSE(WEEKDAY(AG$1), ""日"", ""月"", ""火"", ""水"", ""木"", ""金"", ""土"")) * ('新規'!$B$2:$B$400 = $A$3) * ('新規'!$O$2:$O$400 = FALSE)), """")"),"")</f>
        <v/>
      </c>
      <c r="AK91" s="7" t="str">
        <f>IFERROR(__xludf.DUMMYFUNCTION("IFERROR(FILTER('新規'!$N$2:$N$400, ('新規'!$A$2:$A$400 = CHOOSE(WEEKDAY(AG$1), ""日"", ""月"", ""火"", ""水"", ""木"", ""金"", ""土"")) * ('新規'!$B$2:$B$400 = $A$3) * ('新規'!$O$2:$O$400 = FALSE)), """")"),"")</f>
        <v/>
      </c>
    </row>
    <row r="92" ht="17.25" customHeight="1">
      <c r="A92" s="8"/>
      <c r="B92" s="9"/>
      <c r="C92" s="17"/>
      <c r="D92" s="7"/>
      <c r="E92" s="7"/>
      <c r="F92" s="7" t="str">
        <f t="array" ref="F92">IFERROR(XLOOKUP(C92, 'リスト'!$C:$C, 'リスト'!$M:$M, ""), "")</f>
        <v/>
      </c>
      <c r="G92" s="7" t="str">
        <f t="array" ref="G92">IFERROR(XLOOKUP(C92, 'リスト'!$C:$C, 'リスト'!$N:$N, ""), "")</f>
        <v/>
      </c>
      <c r="H92" s="17"/>
      <c r="I92" s="7"/>
      <c r="J92" s="7"/>
      <c r="K92" s="7" t="str">
        <f t="array" ref="K92">IFERROR(XLOOKUP(H92, 'リスト'!$C:$C, 'リスト'!$M:$M, ""), "")</f>
        <v/>
      </c>
      <c r="L92" s="7" t="str">
        <f t="array" ref="L92">IFERROR(XLOOKUP(H92, 'リスト'!$C:$C, 'リスト'!$N:$N, ""), "")</f>
        <v/>
      </c>
      <c r="M92" s="17"/>
      <c r="N92" s="7"/>
      <c r="O92" s="7"/>
      <c r="P92" s="7" t="str">
        <f t="array" ref="P92">IFERROR(XLOOKUP(M92, 'リスト'!$C:$C, 'リスト'!$M:$M, ""), "")</f>
        <v/>
      </c>
      <c r="Q92" s="7" t="str">
        <f t="array" ref="Q92">IFERROR(XLOOKUP(M92, 'リスト'!$C:$C, 'リスト'!$N:$N, ""), "")</f>
        <v/>
      </c>
      <c r="R92" s="17"/>
      <c r="S92" s="7"/>
      <c r="T92" s="7"/>
      <c r="U92" s="7" t="str">
        <f t="array" ref="U92">IFERROR(XLOOKUP(R92, 'リスト'!$C:$C, 'リスト'!$M:$M, ""), "")</f>
        <v/>
      </c>
      <c r="V92" s="7" t="str">
        <f t="array" ref="V92">IFERROR(XLOOKUP(R92, 'リスト'!$C:$C, 'リスト'!$N:$N, ""), "")</f>
        <v/>
      </c>
      <c r="W92" s="17"/>
      <c r="X92" s="7"/>
      <c r="Y92" s="7"/>
      <c r="Z92" s="7" t="str">
        <f t="array" ref="Z92">IFERROR(XLOOKUP(W92, 'リスト'!$C:$C, 'リスト'!$M:$M, ""), "")</f>
        <v/>
      </c>
      <c r="AA92" s="7" t="str">
        <f t="array" ref="AA92">IFERROR(XLOOKUP(W92, 'リスト'!$C:$C, 'リスト'!$N:$N, ""), "")</f>
        <v/>
      </c>
      <c r="AB92" s="17"/>
      <c r="AC92" s="7"/>
      <c r="AD92" s="7"/>
      <c r="AE92" s="7" t="str">
        <f t="array" ref="AE92">IFERROR(XLOOKUP(AB92, 'リスト'!$C:$C, 'リスト'!$M:$M, ""), "")</f>
        <v/>
      </c>
      <c r="AF92" s="7" t="str">
        <f t="array" ref="AF92">IFERROR(XLOOKUP(AB92, 'リスト'!$C:$C, 'リスト'!$N:$N, ""), "")</f>
        <v/>
      </c>
      <c r="AG92" s="17"/>
      <c r="AH92" s="7"/>
      <c r="AI92" s="7"/>
      <c r="AJ92" s="7" t="str">
        <f t="array" ref="AJ92">IFERROR(XLOOKUP(AG92, 'リスト'!$C:$C, 'リスト'!$M:$M, ""), "")</f>
        <v/>
      </c>
      <c r="AK92" s="7" t="str">
        <f t="array" ref="AK92">IFERROR(XLOOKUP(AG92, 'リスト'!$C:$C, 'リスト'!$N:$N, ""), "")</f>
        <v/>
      </c>
    </row>
    <row r="93" ht="17.25" customHeight="1">
      <c r="A93" s="8"/>
      <c r="B93" s="9"/>
      <c r="C93" s="17"/>
      <c r="D93" s="7"/>
      <c r="E93" s="7"/>
      <c r="F93" s="7" t="str">
        <f t="array" ref="F93">IFERROR(XLOOKUP(C93, 'リスト'!$C:$C, 'リスト'!$M:$M, ""), "")</f>
        <v/>
      </c>
      <c r="G93" s="7" t="str">
        <f t="array" ref="G93">IFERROR(XLOOKUP(C93, 'リスト'!$C:$C, 'リスト'!$N:$N, ""), "")</f>
        <v/>
      </c>
      <c r="H93" s="17"/>
      <c r="I93" s="7"/>
      <c r="J93" s="7"/>
      <c r="K93" s="7" t="str">
        <f t="array" ref="K93">IFERROR(XLOOKUP(H93, 'リスト'!$C:$C, 'リスト'!$M:$M, ""), "")</f>
        <v/>
      </c>
      <c r="L93" s="7" t="str">
        <f t="array" ref="L93">IFERROR(XLOOKUP(H93, 'リスト'!$C:$C, 'リスト'!$N:$N, ""), "")</f>
        <v/>
      </c>
      <c r="M93" s="17"/>
      <c r="N93" s="7"/>
      <c r="O93" s="7"/>
      <c r="P93" s="7" t="str">
        <f t="array" ref="P93">IFERROR(XLOOKUP(M93, 'リスト'!$C:$C, 'リスト'!$M:$M, ""), "")</f>
        <v/>
      </c>
      <c r="Q93" s="7" t="str">
        <f t="array" ref="Q93">IFERROR(XLOOKUP(M93, 'リスト'!$C:$C, 'リスト'!$N:$N, ""), "")</f>
        <v/>
      </c>
      <c r="R93" s="17"/>
      <c r="S93" s="7"/>
      <c r="T93" s="7"/>
      <c r="U93" s="7" t="str">
        <f t="array" ref="U93">IFERROR(XLOOKUP(R93, 'リスト'!$C:$C, 'リスト'!$M:$M, ""), "")</f>
        <v/>
      </c>
      <c r="V93" s="7" t="str">
        <f t="array" ref="V93">IFERROR(XLOOKUP(R93, 'リスト'!$C:$C, 'リスト'!$N:$N, ""), "")</f>
        <v/>
      </c>
      <c r="W93" s="17"/>
      <c r="X93" s="7"/>
      <c r="Y93" s="7"/>
      <c r="Z93" s="7" t="str">
        <f t="array" ref="Z93">IFERROR(XLOOKUP(W93, 'リスト'!$C:$C, 'リスト'!$M:$M, ""), "")</f>
        <v/>
      </c>
      <c r="AA93" s="7" t="str">
        <f t="array" ref="AA93">IFERROR(XLOOKUP(W93, 'リスト'!$C:$C, 'リスト'!$N:$N, ""), "")</f>
        <v/>
      </c>
      <c r="AB93" s="17"/>
      <c r="AC93" s="7"/>
      <c r="AD93" s="7"/>
      <c r="AE93" s="7" t="str">
        <f t="array" ref="AE93">IFERROR(XLOOKUP(AB93, 'リスト'!$C:$C, 'リスト'!$M:$M, ""), "")</f>
        <v/>
      </c>
      <c r="AF93" s="7" t="str">
        <f t="array" ref="AF93">IFERROR(XLOOKUP(AB93, 'リスト'!$C:$C, 'リスト'!$N:$N, ""), "")</f>
        <v/>
      </c>
      <c r="AG93" s="17"/>
      <c r="AH93" s="7"/>
      <c r="AI93" s="7"/>
      <c r="AJ93" s="7" t="str">
        <f t="array" ref="AJ93">IFERROR(XLOOKUP(AG93, 'リスト'!$C:$C, 'リスト'!$M:$M, ""), "")</f>
        <v/>
      </c>
      <c r="AK93" s="7" t="str">
        <f t="array" ref="AK93">IFERROR(XLOOKUP(AG93, 'リスト'!$C:$C, 'リスト'!$N:$N, ""), "")</f>
        <v/>
      </c>
    </row>
    <row r="94" ht="17.25" customHeight="1">
      <c r="A94" s="8"/>
      <c r="B94" s="9"/>
      <c r="C94" s="17"/>
      <c r="D94" s="7"/>
      <c r="E94" s="7"/>
      <c r="F94" s="7" t="str">
        <f t="array" ref="F94">IFERROR(XLOOKUP(C94, 'リスト'!$C:$C, 'リスト'!$M:$M, ""), "")</f>
        <v/>
      </c>
      <c r="G94" s="7" t="str">
        <f t="array" ref="G94">IFERROR(XLOOKUP(C94, 'リスト'!$C:$C, 'リスト'!$N:$N, ""), "")</f>
        <v/>
      </c>
      <c r="H94" s="17"/>
      <c r="I94" s="7"/>
      <c r="J94" s="7"/>
      <c r="K94" s="7" t="str">
        <f t="array" ref="K94">IFERROR(XLOOKUP(H94, 'リスト'!$C:$C, 'リスト'!$M:$M, ""), "")</f>
        <v/>
      </c>
      <c r="L94" s="7" t="str">
        <f t="array" ref="L94">IFERROR(XLOOKUP(H94, 'リスト'!$C:$C, 'リスト'!$N:$N, ""), "")</f>
        <v/>
      </c>
      <c r="M94" s="17"/>
      <c r="N94" s="7"/>
      <c r="O94" s="7"/>
      <c r="P94" s="7" t="str">
        <f t="array" ref="P94">IFERROR(XLOOKUP(M94, 'リスト'!$C:$C, 'リスト'!$M:$M, ""), "")</f>
        <v/>
      </c>
      <c r="Q94" s="7" t="str">
        <f t="array" ref="Q94">IFERROR(XLOOKUP(M94, 'リスト'!$C:$C, 'リスト'!$N:$N, ""), "")</f>
        <v/>
      </c>
      <c r="R94" s="17"/>
      <c r="S94" s="7"/>
      <c r="T94" s="7"/>
      <c r="U94" s="7" t="str">
        <f t="array" ref="U94">IFERROR(XLOOKUP(R94, 'リスト'!$C:$C, 'リスト'!$M:$M, ""), "")</f>
        <v/>
      </c>
      <c r="V94" s="7" t="str">
        <f t="array" ref="V94">IFERROR(XLOOKUP(R94, 'リスト'!$C:$C, 'リスト'!$N:$N, ""), "")</f>
        <v/>
      </c>
      <c r="W94" s="17"/>
      <c r="X94" s="7"/>
      <c r="Y94" s="7"/>
      <c r="Z94" s="7" t="str">
        <f t="array" ref="Z94">IFERROR(XLOOKUP(W94, 'リスト'!$C:$C, 'リスト'!$M:$M, ""), "")</f>
        <v/>
      </c>
      <c r="AA94" s="7" t="str">
        <f t="array" ref="AA94">IFERROR(XLOOKUP(W94, 'リスト'!$C:$C, 'リスト'!$N:$N, ""), "")</f>
        <v/>
      </c>
      <c r="AB94" s="17"/>
      <c r="AC94" s="7"/>
      <c r="AD94" s="7"/>
      <c r="AE94" s="7" t="str">
        <f t="array" ref="AE94">IFERROR(XLOOKUP(AB94, 'リスト'!$C:$C, 'リスト'!$M:$M, ""), "")</f>
        <v/>
      </c>
      <c r="AF94" s="7" t="str">
        <f t="array" ref="AF94">IFERROR(XLOOKUP(AB94, 'リスト'!$C:$C, 'リスト'!$N:$N, ""), "")</f>
        <v/>
      </c>
      <c r="AG94" s="17"/>
      <c r="AH94" s="7"/>
      <c r="AI94" s="7"/>
      <c r="AJ94" s="7" t="str">
        <f t="array" ref="AJ94">IFERROR(XLOOKUP(AG94, 'リスト'!$C:$C, 'リスト'!$M:$M, ""), "")</f>
        <v/>
      </c>
      <c r="AK94" s="7" t="str">
        <f t="array" ref="AK94">IFERROR(XLOOKUP(AG94, 'リスト'!$C:$C, 'リスト'!$N:$N, ""), "")</f>
        <v/>
      </c>
    </row>
    <row r="95" ht="17.25" customHeight="1">
      <c r="A95" s="8"/>
      <c r="B95" s="9"/>
      <c r="C95" s="17"/>
      <c r="D95" s="7"/>
      <c r="E95" s="7"/>
      <c r="F95" s="7" t="str">
        <f t="array" ref="F95">IFERROR(XLOOKUP(C95, 'リスト'!$C:$C, 'リスト'!$M:$M, ""), "")</f>
        <v/>
      </c>
      <c r="G95" s="7" t="str">
        <f t="array" ref="G95">IFERROR(XLOOKUP(C95, 'リスト'!$C:$C, 'リスト'!$N:$N, ""), "")</f>
        <v/>
      </c>
      <c r="H95" s="17"/>
      <c r="I95" s="7"/>
      <c r="J95" s="7"/>
      <c r="K95" s="7" t="str">
        <f t="array" ref="K95">IFERROR(XLOOKUP(H95, 'リスト'!$C:$C, 'リスト'!$M:$M, ""), "")</f>
        <v/>
      </c>
      <c r="L95" s="7" t="str">
        <f t="array" ref="L95">IFERROR(XLOOKUP(H95, 'リスト'!$C:$C, 'リスト'!$N:$N, ""), "")</f>
        <v/>
      </c>
      <c r="M95" s="17"/>
      <c r="N95" s="7"/>
      <c r="O95" s="7"/>
      <c r="P95" s="7" t="str">
        <f t="array" ref="P95">IFERROR(XLOOKUP(M95, 'リスト'!$C:$C, 'リスト'!$M:$M, ""), "")</f>
        <v/>
      </c>
      <c r="Q95" s="7" t="str">
        <f t="array" ref="Q95">IFERROR(XLOOKUP(M95, 'リスト'!$C:$C, 'リスト'!$N:$N, ""), "")</f>
        <v/>
      </c>
      <c r="R95" s="17"/>
      <c r="S95" s="7"/>
      <c r="T95" s="7"/>
      <c r="U95" s="7" t="str">
        <f t="array" ref="U95">IFERROR(XLOOKUP(R95, 'リスト'!$C:$C, 'リスト'!$M:$M, ""), "")</f>
        <v/>
      </c>
      <c r="V95" s="7" t="str">
        <f t="array" ref="V95">IFERROR(XLOOKUP(R95, 'リスト'!$C:$C, 'リスト'!$N:$N, ""), "")</f>
        <v/>
      </c>
      <c r="W95" s="17"/>
      <c r="X95" s="7"/>
      <c r="Y95" s="7"/>
      <c r="Z95" s="7" t="str">
        <f t="array" ref="Z95">IFERROR(XLOOKUP(W95, 'リスト'!$C:$C, 'リスト'!$M:$M, ""), "")</f>
        <v/>
      </c>
      <c r="AA95" s="7" t="str">
        <f t="array" ref="AA95">IFERROR(XLOOKUP(W95, 'リスト'!$C:$C, 'リスト'!$N:$N, ""), "")</f>
        <v/>
      </c>
      <c r="AB95" s="17"/>
      <c r="AC95" s="7"/>
      <c r="AD95" s="7"/>
      <c r="AE95" s="7" t="str">
        <f t="array" ref="AE95">IFERROR(XLOOKUP(AB95, 'リスト'!$C:$C, 'リスト'!$M:$M, ""), "")</f>
        <v/>
      </c>
      <c r="AF95" s="7" t="str">
        <f t="array" ref="AF95">IFERROR(XLOOKUP(AB95, 'リスト'!$C:$C, 'リスト'!$N:$N, ""), "")</f>
        <v/>
      </c>
      <c r="AG95" s="17"/>
      <c r="AH95" s="7"/>
      <c r="AI95" s="7"/>
      <c r="AJ95" s="7" t="str">
        <f t="array" ref="AJ95">IFERROR(XLOOKUP(AG95, 'リスト'!$C:$C, 'リスト'!$M:$M, ""), "")</f>
        <v/>
      </c>
      <c r="AK95" s="7" t="str">
        <f t="array" ref="AK95">IFERROR(XLOOKUP(AG95, 'リスト'!$C:$C, 'リスト'!$N:$N, ""), "")</f>
        <v/>
      </c>
    </row>
    <row r="96" ht="17.25" customHeight="1">
      <c r="A96" s="8"/>
      <c r="B96" s="9" t="s">
        <v>7</v>
      </c>
      <c r="C96" s="10" t="str">
        <f>"◇ポジションマッチ A" &amp; MOD(INT(($C$1 - '特殊配信マスタ'!$A$1) / 7), 3) + 1</f>
        <v>◇ポジションマッチ A2</v>
      </c>
      <c r="D96" s="11" t="str">
        <f>IFERROR(__xludf.DUMMYFUNCTION("IFERROR(TEXTJOIN(CHAR(10), TRUE, FILTER('特殊配信マスタ'!$C:$E, #REF!=D$1)), """")"),"")</f>
        <v/>
      </c>
      <c r="E96" s="7" t="str">
        <f>IFERROR(__xludf.DUMMYFUNCTION("IFERROR(TEXTJOIN(CHAR(10), TRUE, FILTER('特殊配信マスタ'!$C:$E, #REF!=E$1)), """")"),"")</f>
        <v/>
      </c>
      <c r="F96" s="7" t="str">
        <f t="array" ref="F96">IFERROR(XLOOKUP(C96, INDEX('特殊配信マスタ'!$C$3:$E$8, 0, MAX(1, ROW()-14)), '特殊配信マスタ'!$M$3:$N$8, ""),"")</f>
        <v/>
      </c>
      <c r="G96" s="7"/>
      <c r="H96" s="10" t="str">
        <f>"◇ポジションマッチ A" &amp; MOD(INT(($C$1 - '特殊配信マスタ'!$A$1) / 7), 3) + 1</f>
        <v>◇ポジションマッチ A2</v>
      </c>
      <c r="I96" s="11" t="str">
        <f>IFERROR(__xludf.DUMMYFUNCTION("IFERROR(TEXTJOIN(CHAR(10), TRUE, FILTER('特殊配信マスタ'!$C:$E, #REF!=I$1)), """")"),"")</f>
        <v/>
      </c>
      <c r="J96" s="7" t="str">
        <f>IFERROR(__xludf.DUMMYFUNCTION("IFERROR(TEXTJOIN(CHAR(10), TRUE, FILTER('特殊配信マスタ'!$C:$E, #REF!=J$1)), """")"),"")</f>
        <v/>
      </c>
      <c r="K96" s="7" t="str">
        <f t="array" ref="K96">IFERROR(XLOOKUP(H96, INDEX('特殊配信マスタ'!$C$3:$E$8, 0, MAX(1, ROW()-14)), '特殊配信マスタ'!$M$3:$N$8, ""),"")</f>
        <v/>
      </c>
      <c r="L96" s="7"/>
      <c r="M96" s="10" t="str">
        <f>"◇ポジションマッチ A" &amp; MOD(INT(($C$1 - '特殊配信マスタ'!$A$1) / 7), 3) + 1</f>
        <v>◇ポジションマッチ A2</v>
      </c>
      <c r="N96" s="11" t="str">
        <f>IFERROR(__xludf.DUMMYFUNCTION("IFERROR(TEXTJOIN(CHAR(10), TRUE, FILTER('特殊配信マスタ'!$C:$E, #REF!=N$1)), """")"),"")</f>
        <v/>
      </c>
      <c r="O96" s="7" t="str">
        <f>IFERROR(__xludf.DUMMYFUNCTION("IFERROR(TEXTJOIN(CHAR(10), TRUE, FILTER('特殊配信マスタ'!$C:$E, #REF!=O$1)), """")"),"")</f>
        <v/>
      </c>
      <c r="P96" s="7" t="str">
        <f t="array" ref="P96">IFERROR(XLOOKUP(M96, INDEX('特殊配信マスタ'!$C$3:$E$8, 0, MAX(1, ROW()-14)), '特殊配信マスタ'!$M$3:$N$8, ""),"")</f>
        <v/>
      </c>
      <c r="Q96" s="7"/>
      <c r="R96" s="10" t="str">
        <f>"◇ポジションマッチ A" &amp; MOD(INT(($C$1 - '特殊配信マスタ'!$A$1) / 7), 3) + 1</f>
        <v>◇ポジションマッチ A2</v>
      </c>
      <c r="S96" s="11" t="str">
        <f>IFERROR(__xludf.DUMMYFUNCTION("IFERROR(TEXTJOIN(CHAR(10), TRUE, FILTER('特殊配信マスタ'!$C:$E, #REF!=S$1)), """")"),"")</f>
        <v/>
      </c>
      <c r="T96" s="7" t="str">
        <f>IFERROR(__xludf.DUMMYFUNCTION("IFERROR(TEXTJOIN(CHAR(10), TRUE, FILTER('特殊配信マスタ'!$C:$E, #REF!=T$1)), """")"),"")</f>
        <v/>
      </c>
      <c r="U96" s="7" t="str">
        <f t="array" ref="U96">IFERROR(XLOOKUP(R96, INDEX('特殊配信マスタ'!$C$3:$E$8, 0, MAX(1, ROW()-14)), '特殊配信マスタ'!$M$3:$N$8, ""),"")</f>
        <v/>
      </c>
      <c r="V96" s="7"/>
      <c r="W96" s="10" t="str">
        <f>"◇ポジションマッチ A" &amp; MOD(INT(($C$1 - '特殊配信マスタ'!$A$1) / 7), 3) + 1</f>
        <v>◇ポジションマッチ A2</v>
      </c>
      <c r="X96" s="11" t="str">
        <f>IFERROR(__xludf.DUMMYFUNCTION("IFERROR(TEXTJOIN(CHAR(10), TRUE, FILTER('特殊配信マスタ'!$C:$E, #REF!=X$1)), """")"),"")</f>
        <v/>
      </c>
      <c r="Y96" s="7" t="str">
        <f>IFERROR(__xludf.DUMMYFUNCTION("IFERROR(TEXTJOIN(CHAR(10), TRUE, FILTER('特殊配信マスタ'!$C:$E, #REF!=Y$1)), """")"),"")</f>
        <v/>
      </c>
      <c r="Z96" s="7" t="str">
        <f t="array" ref="Z96">IFERROR(XLOOKUP(W96, INDEX('特殊配信マスタ'!$C$3:$E$8, 0, MAX(1, ROW()-14)), '特殊配信マスタ'!$M$3:$N$8, ""),"")</f>
        <v/>
      </c>
      <c r="AA96" s="7"/>
      <c r="AB96" s="10" t="str">
        <f>"◇ポジションマッチ A" &amp; MOD(INT(($C$1 - '特殊配信マスタ'!$A$1) / 7), 3) + 1</f>
        <v>◇ポジションマッチ A2</v>
      </c>
      <c r="AC96" s="11" t="str">
        <f>IFERROR(__xludf.DUMMYFUNCTION("IFERROR(TEXTJOIN(CHAR(10), TRUE, FILTER('特殊配信マスタ'!$C:$E, #REF!=AC$1)), """")"),"")</f>
        <v/>
      </c>
      <c r="AD96" s="7" t="str">
        <f>IFERROR(__xludf.DUMMYFUNCTION("IFERROR(TEXTJOIN(CHAR(10), TRUE, FILTER('特殊配信マスタ'!$C:$E, #REF!=AD$1)), """")"),"")</f>
        <v/>
      </c>
      <c r="AE96" s="7" t="str">
        <f t="array" ref="AE96">IFERROR(XLOOKUP(AB96, INDEX('特殊配信マスタ'!$C$3:$E$8, 0, MAX(1, ROW()-14)), '特殊配信マスタ'!$M$3:$N$8, ""),"")</f>
        <v/>
      </c>
      <c r="AF96" s="7"/>
      <c r="AG96" s="10" t="str">
        <f>"◇ポジションマッチ A" &amp; MOD(INT(($C$1 - '特殊配信マスタ'!$A$1) / 7), 3) + 1</f>
        <v>◇ポジションマッチ A2</v>
      </c>
      <c r="AH96" s="11" t="str">
        <f>IFERROR(__xludf.DUMMYFUNCTION("IFERROR(TEXTJOIN(CHAR(10), TRUE, FILTER('特殊配信マスタ'!$C:$E, #REF!=AH$1)), """")"),"")</f>
        <v/>
      </c>
      <c r="AI96" s="7" t="str">
        <f>IFERROR(__xludf.DUMMYFUNCTION("IFERROR(TEXTJOIN(CHAR(10), TRUE, FILTER('特殊配信マスタ'!$C:$E, #REF!=AI$1)), """")"),"")</f>
        <v/>
      </c>
      <c r="AJ96" s="7" t="str">
        <f t="array" ref="AJ96">IFERROR(XLOOKUP(AG96, INDEX('特殊配信マスタ'!$C$3:$E$8, 0, MAX(1, ROW()-14)), '特殊配信マスタ'!$M$3:$N$8, ""),"")</f>
        <v/>
      </c>
      <c r="AK96" s="7"/>
    </row>
    <row r="97" ht="17.25" customHeight="1">
      <c r="A97" s="8"/>
      <c r="B97" s="9"/>
      <c r="C97" s="10" t="str">
        <f>"◇ポジションマッチ_36歳以上 A" &amp; MOD(INT(($C$1 - '特殊配信マスタ'!$A$1) / 7), 3) + 1</f>
        <v>◇ポジションマッチ_36歳以上 A2</v>
      </c>
      <c r="D97" s="11"/>
      <c r="E97" s="7"/>
      <c r="F97" s="7" t="str">
        <f t="array" ref="F97">IFERROR(XLOOKUP(C97, INDEX('特殊配信マスタ'!$C$3:$E$8, 0, MAX(1, ROW()-14)), '特殊配信マスタ'!$M$3:$N$8, ""),"")</f>
        <v/>
      </c>
      <c r="G97" s="7"/>
      <c r="H97" s="10" t="str">
        <f>"◇ポジションマッチ_36歳以上 A" &amp; MOD(INT(($C$1 - '特殊配信マスタ'!$A$1) / 7), 3) + 1</f>
        <v>◇ポジションマッチ_36歳以上 A2</v>
      </c>
      <c r="I97" s="11"/>
      <c r="J97" s="7"/>
      <c r="K97" s="7" t="str">
        <f t="array" ref="K97">IFERROR(XLOOKUP(H97, INDEX('特殊配信マスタ'!$C$3:$E$8, 0, MAX(1, ROW()-14)), '特殊配信マスタ'!$M$3:$N$8, ""),"")</f>
        <v/>
      </c>
      <c r="L97" s="7"/>
      <c r="M97" s="10" t="str">
        <f>"◇ポジションマッチ_36歳以上 A" &amp; MOD(INT(($C$1 - '特殊配信マスタ'!$A$1) / 7), 3) + 1</f>
        <v>◇ポジションマッチ_36歳以上 A2</v>
      </c>
      <c r="N97" s="11"/>
      <c r="O97" s="7"/>
      <c r="P97" s="7" t="str">
        <f t="array" ref="P97">IFERROR(XLOOKUP(M97, INDEX('特殊配信マスタ'!$C$3:$E$8, 0, MAX(1, ROW()-14)), '特殊配信マスタ'!$M$3:$N$8, ""),"")</f>
        <v/>
      </c>
      <c r="Q97" s="7"/>
      <c r="R97" s="10" t="str">
        <f>"◇ポジションマッチ_36歳以上 A" &amp; MOD(INT(($C$1 - '特殊配信マスタ'!$A$1) / 7), 3) + 1</f>
        <v>◇ポジションマッチ_36歳以上 A2</v>
      </c>
      <c r="S97" s="11"/>
      <c r="T97" s="7"/>
      <c r="U97" s="7" t="str">
        <f t="array" ref="U97">IFERROR(XLOOKUP(R97, INDEX('特殊配信マスタ'!$C$3:$E$8, 0, MAX(1, ROW()-14)), '特殊配信マスタ'!$M$3:$N$8, ""),"")</f>
        <v/>
      </c>
      <c r="V97" s="7"/>
      <c r="W97" s="10" t="str">
        <f>"◇ポジションマッチ_36歳以上 A" &amp; MOD(INT(($C$1 - '特殊配信マスタ'!$A$1) / 7), 3) + 1</f>
        <v>◇ポジションマッチ_36歳以上 A2</v>
      </c>
      <c r="X97" s="11"/>
      <c r="Y97" s="7"/>
      <c r="Z97" s="7" t="str">
        <f t="array" ref="Z97">IFERROR(XLOOKUP(W97, INDEX('特殊配信マスタ'!$C$3:$E$8, 0, MAX(1, ROW()-14)), '特殊配信マスタ'!$M$3:$N$8, ""),"")</f>
        <v/>
      </c>
      <c r="AA97" s="7"/>
      <c r="AB97" s="10" t="str">
        <f>"◇ポジションマッチ_36歳以上 A" &amp; MOD(INT(($C$1 - '特殊配信マスタ'!$A$1) / 7), 3) + 1</f>
        <v>◇ポジションマッチ_36歳以上 A2</v>
      </c>
      <c r="AC97" s="11"/>
      <c r="AD97" s="7"/>
      <c r="AE97" s="7" t="str">
        <f t="array" ref="AE97">IFERROR(XLOOKUP(AB97, INDEX('特殊配信マスタ'!$C$3:$E$8, 0, MAX(1, ROW()-14)), '特殊配信マスタ'!$M$3:$N$8, ""),"")</f>
        <v/>
      </c>
      <c r="AF97" s="7"/>
      <c r="AG97" s="10" t="str">
        <f>"◇ポジションマッチ_36歳以上 A" &amp; MOD(INT(($C$1 - '特殊配信マスタ'!$A$1) / 7), 3) + 1</f>
        <v>◇ポジションマッチ_36歳以上 A2</v>
      </c>
      <c r="AH97" s="11"/>
      <c r="AI97" s="7"/>
      <c r="AJ97" s="7" t="str">
        <f t="array" ref="AJ97">IFERROR(XLOOKUP(AG97, INDEX('特殊配信マスタ'!$C$3:$E$8, 0, MAX(1, ROW()-14)), '特殊配信マスタ'!$M$3:$N$8, ""),"")</f>
        <v/>
      </c>
      <c r="AK97" s="7"/>
    </row>
    <row r="98" ht="17.25" customHeight="1">
      <c r="A98" s="8">
        <f>A83+1</f>
        <v>14</v>
      </c>
      <c r="B98" s="9" t="s">
        <v>5</v>
      </c>
      <c r="C98" s="10" t="str">
        <f>IFERROR(__xludf.DUMMYFUNCTION("IFERROR(FILTER('リスト'!$C$2:$C$400, ('リスト'!$A$2:$A$400 = CHOOSE(WEEKDAY(C$1), ""日"", ""月"", ""火"", ""水"", ""木"", ""金"", ""土"")) * ('リスト'!$B$2:$B$400 = $A98) * ('リスト'!$E$2:$E$400 = ""毎週配信"") * ('リスト'!$O$2:$O$400 = FALSE)), """")"),"福祉事務")</f>
        <v>福祉事務</v>
      </c>
      <c r="D98" s="11" t="str">
        <f>IFERROR(__xludf.DUMMYFUNCTION("iferror(FILTER('リスト'!$D:$D, ('リスト'!$A:$A = C$1) * ('リスト'!$B:$B = $A98)))"),"")</f>
        <v/>
      </c>
      <c r="E98" s="7">
        <f>SUM(D98:D111)</f>
        <v>0</v>
      </c>
      <c r="F98" s="7" t="str">
        <f t="array" ref="F98">IFERROR(XLOOKUP(C98, 'リスト'!$C:$C, 'リスト'!$M:$M, ""), "")</f>
        <v>R</v>
      </c>
      <c r="G98" s="7" t="str">
        <f t="array" ref="G98">IFERROR(XLOOKUP(C98, 'リスト'!$C:$C, 'リスト'!$N:$N, ""), "")</f>
        <v/>
      </c>
      <c r="H98" s="10" t="str">
        <f>IFERROR(__xludf.DUMMYFUNCTION("IFERROR(FILTER('リスト'!$C$2:$C$400, ('リスト'!$A$2:$A$400 = CHOOSE(WEEKDAY(H$1), ""日"", ""月"", ""火"", ""水"", ""木"", ""金"", ""土"")) * ('リスト'!$B$2:$B$400 = $A98) * ('リスト'!$E$2:$E$400 = ""毎週配信"") * ('リスト'!$O$2:$O$400 = FALSE)), """")"),"")</f>
        <v/>
      </c>
      <c r="I98" s="11" t="str">
        <f>IFERROR(__xludf.DUMMYFUNCTION("iferror(FILTER('リスト'!$D:$D, ('リスト'!$A:$A = H$1) * ('リスト'!$B:$B = $A98)))"),"")</f>
        <v/>
      </c>
      <c r="J98" s="7">
        <f>SUM(I98:I111)</f>
        <v>0</v>
      </c>
      <c r="K98" s="7" t="str">
        <f t="array" ref="K98">IFERROR(XLOOKUP(H98, 'リスト'!$C:$C, 'リスト'!$M:$M, ""), "")</f>
        <v/>
      </c>
      <c r="L98" s="7" t="str">
        <f t="array" ref="L98">IFERROR(XLOOKUP(H98, 'リスト'!$C:$C, 'リスト'!$N:$N, ""), "")</f>
        <v/>
      </c>
      <c r="M98" s="10" t="str">
        <f>IFERROR(__xludf.DUMMYFUNCTION("IFERROR(FILTER('リスト'!$C$2:$C$400, ('リスト'!$A$2:$A$400 = CHOOSE(WEEKDAY(M$1), ""日"", ""月"", ""火"", ""水"", ""木"", ""金"", ""土"")) * ('リスト'!$B$2:$B$400 = $A98) * ('リスト'!$E$2:$E$400 = ""毎週配信"") * ('リスト'!$O$2:$O$400 = FALSE)), """")"),"リモートワーク A_35歳以上")</f>
        <v>リモートワーク A_35歳以上</v>
      </c>
      <c r="N98" s="11" t="str">
        <f>IFERROR(__xludf.DUMMYFUNCTION("iferror(FILTER('リスト'!$D:$D, ('リスト'!$A:$A = M$1) * ('リスト'!$B:$B = $A98)))"),"")</f>
        <v/>
      </c>
      <c r="O98" s="7">
        <f>SUM(N98:N111)</f>
        <v>0</v>
      </c>
      <c r="P98" s="7" t="str">
        <f t="array" ref="P98">IFERROR(XLOOKUP(M98, 'リスト'!$C:$C, 'リスト'!$M:$M, ""), "")</f>
        <v>R</v>
      </c>
      <c r="Q98" s="7" t="str">
        <f t="array" ref="Q98">IFERROR(XLOOKUP(M98, 'リスト'!$C:$C, 'リスト'!$N:$N, ""), "")</f>
        <v/>
      </c>
      <c r="R98" s="10" t="str">
        <f>IFERROR(__xludf.DUMMYFUNCTION("IFERROR(FILTER('リスト'!$C$2:$C$400, ('リスト'!$A$2:$A$400 = CHOOSE(WEEKDAY(R$1), ""日"", ""月"", ""火"", ""水"", ""木"", ""金"", ""土"")) * ('リスト'!$B$2:$B$400 = $A98) * ('リスト'!$E$2:$E$400 = ""毎週配信"") * ('リスト'!$O$2:$O$400 = FALSE)), """")"),"フルリモート_全国")</f>
        <v>フルリモート_全国</v>
      </c>
      <c r="S98" s="11" t="str">
        <f>IFERROR(__xludf.DUMMYFUNCTION("iferror(FILTER('リスト'!$D:$D, ('リスト'!$A:$A = R$1) * ('リスト'!$B:$B = $A98)))"),"")</f>
        <v/>
      </c>
      <c r="T98" s="7">
        <f>SUM(S98:S111)</f>
        <v>0</v>
      </c>
      <c r="U98" s="7" t="str">
        <f t="array" ref="U98">IFERROR(XLOOKUP(R98, 'リスト'!$C:$C, 'リスト'!$M:$M, ""), "")</f>
        <v>R</v>
      </c>
      <c r="V98" s="7" t="str">
        <f t="array" ref="V98">IFERROR(XLOOKUP(R98, 'リスト'!$C:$C, 'リスト'!$N:$N, ""), "")</f>
        <v/>
      </c>
      <c r="W98" s="10" t="str">
        <f>IFERROR(__xludf.DUMMYFUNCTION("IFERROR(FILTER('リスト'!$C$2:$C$400, ('リスト'!$A$2:$A$400 = CHOOSE(WEEKDAY(W$1), ""日"", ""月"", ""火"", ""水"", ""木"", ""金"", ""土"")) * ('リスト'!$B$2:$B$400 = $A98) * ('リスト'!$E$2:$E$400 = ""毎週配信"") * ('リスト'!$O$2:$O$400 = FALSE)), """")"),"☆横浜")</f>
        <v>☆横浜</v>
      </c>
      <c r="X98" s="11" t="str">
        <f>IFERROR(__xludf.DUMMYFUNCTION("iferror(FILTER('リスト'!$D:$D, ('リスト'!$A:$A = W$1) * ('リスト'!$B:$B = $A98)))"),"")</f>
        <v/>
      </c>
      <c r="Y98" s="7">
        <f>SUM(X98:X111)</f>
        <v>0</v>
      </c>
      <c r="Z98" s="7" t="str">
        <f t="array" ref="Z98">IFERROR(XLOOKUP(W98, 'リスト'!$C:$C, 'リスト'!$M:$M, ""), "")</f>
        <v>平</v>
      </c>
      <c r="AA98" s="7" t="str">
        <f t="array" ref="AA98">IFERROR(XLOOKUP(W98, 'リスト'!$C:$C, 'リスト'!$N:$N, ""), "")</f>
        <v>荒</v>
      </c>
      <c r="AB98" s="10" t="str">
        <f>IFERROR(__xludf.DUMMYFUNCTION("IFERROR(FILTER('リスト'!$C$2:$C$400, ('リスト'!$A$2:$A$400 = CHOOSE(WEEKDAY(AB$1), ""日"", ""月"", ""火"", ""水"", ""木"", ""金"", ""土"")) * ('リスト'!$B$2:$B$400 = $A98) * ('リスト'!$E$2:$E$400 = ""毎週配信"") * ('リスト'!$O$2:$O$400 = FALSE)), """")"),"")</f>
        <v/>
      </c>
      <c r="AC98" s="11" t="str">
        <f>IFERROR(__xludf.DUMMYFUNCTION("iferror(FILTER('リスト'!$D:$D, ('リスト'!$A:$A = AB$1) * ('リスト'!$B:$B = $A98)))"),"")</f>
        <v/>
      </c>
      <c r="AD98" s="7">
        <f>SUM(AC98:AC111)</f>
        <v>0</v>
      </c>
      <c r="AE98" s="7" t="str">
        <f t="array" ref="AE98">IFERROR(XLOOKUP(AB98, 'リスト'!$C:$C, 'リスト'!$M:$M, ""), "")</f>
        <v/>
      </c>
      <c r="AF98" s="7" t="str">
        <f t="array" ref="AF98">IFERROR(XLOOKUP(AB98, 'リスト'!$C:$C, 'リスト'!$N:$N, ""), "")</f>
        <v/>
      </c>
      <c r="AG98" s="10" t="str">
        <f>IFERROR(__xludf.DUMMYFUNCTION("IFERROR(FILTER('リスト'!$C$2:$C$400, ('リスト'!$A$2:$A$400 = CHOOSE(WEEKDAY(AG$1), ""日"", ""月"", ""火"", ""水"", ""木"", ""金"", ""土"")) * ('リスト'!$B$2:$B$400 = $A98) * ('リスト'!$E$2:$E$400 = ""毎週配信"") * ('リスト'!$O$2:$O$400 = FALSE)), """")"),"☆関西")</f>
        <v>☆関西</v>
      </c>
      <c r="AH98" s="11" t="str">
        <f>IFERROR(__xludf.DUMMYFUNCTION("iferror(FILTER('リスト'!$D:$D, ('リスト'!$A:$A = AG$1) * ('リスト'!$B:$B = $A98)))"),"")</f>
        <v/>
      </c>
      <c r="AI98" s="7">
        <f>SUM(AH98:AH111)</f>
        <v>0</v>
      </c>
      <c r="AJ98" s="7" t="str">
        <f t="array" ref="AJ98">IFERROR(XLOOKUP(AG98, 'リスト'!$C:$C, 'リスト'!$M:$M, ""), "")</f>
        <v>平</v>
      </c>
      <c r="AK98" s="7" t="str">
        <f t="array" ref="AK98">IFERROR(XLOOKUP(AG98, 'リスト'!$C:$C, 'リスト'!$N:$N, ""), "")</f>
        <v>荒</v>
      </c>
    </row>
    <row r="99" ht="17.25" customHeight="1">
      <c r="A99" s="8"/>
      <c r="B99" s="9"/>
      <c r="C99" s="12" t="str">
        <f>IFERROR(__xludf.DUMMYFUNCTION("""COMPUTED_VALUE"""),"福祉事務_35歳以上")</f>
        <v>福祉事務_35歳以上</v>
      </c>
      <c r="D99" s="7"/>
      <c r="E99" s="7"/>
      <c r="F99" s="7" t="str">
        <f t="array" ref="F99">IFERROR(XLOOKUP(C99, 'リスト'!$C:$C, 'リスト'!$M:$M, ""), "")</f>
        <v>R</v>
      </c>
      <c r="G99" s="7" t="str">
        <f t="array" ref="G99">IFERROR(XLOOKUP(C99, 'リスト'!$C:$C, 'リスト'!$N:$N, ""), "")</f>
        <v/>
      </c>
      <c r="H99" s="12"/>
      <c r="I99" s="7"/>
      <c r="J99" s="7"/>
      <c r="K99" s="7" t="str">
        <f t="array" ref="K99">IFERROR(XLOOKUP(H99, 'リスト'!$C:$C, 'リスト'!$M:$M, ""), "")</f>
        <v/>
      </c>
      <c r="L99" s="7" t="str">
        <f t="array" ref="L99">IFERROR(XLOOKUP(H99, 'リスト'!$C:$C, 'リスト'!$N:$N, ""), "")</f>
        <v/>
      </c>
      <c r="M99" s="12" t="str">
        <f>IFERROR(__xludf.DUMMYFUNCTION("""COMPUTED_VALUE"""),"関西‗リモート×フレックス")</f>
        <v>関西‗リモート×フレックス</v>
      </c>
      <c r="N99" s="7"/>
      <c r="O99" s="7"/>
      <c r="P99" s="7" t="str">
        <f t="array" ref="P99">IFERROR(XLOOKUP(M99, 'リスト'!$C:$C, 'リスト'!$M:$M, ""), "")</f>
        <v>部</v>
      </c>
      <c r="Q99" s="7" t="str">
        <f t="array" ref="Q99">IFERROR(XLOOKUP(M99, 'リスト'!$C:$C, 'リスト'!$N:$N, ""), "")</f>
        <v>武</v>
      </c>
      <c r="R99" s="12"/>
      <c r="S99" s="7"/>
      <c r="T99" s="7"/>
      <c r="U99" s="7" t="str">
        <f t="array" ref="U99">IFERROR(XLOOKUP(R99, 'リスト'!$C:$C, 'リスト'!$M:$M, ""), "")</f>
        <v/>
      </c>
      <c r="V99" s="7" t="str">
        <f t="array" ref="V99">IFERROR(XLOOKUP(R99, 'リスト'!$C:$C, 'リスト'!$N:$N, ""), "")</f>
        <v/>
      </c>
      <c r="W99" s="12"/>
      <c r="X99" s="7"/>
      <c r="Y99" s="7"/>
      <c r="Z99" s="7" t="str">
        <f t="array" ref="Z99">IFERROR(XLOOKUP(W99, 'リスト'!$C:$C, 'リスト'!$M:$M, ""), "")</f>
        <v/>
      </c>
      <c r="AA99" s="7" t="str">
        <f t="array" ref="AA99">IFERROR(XLOOKUP(W99, 'リスト'!$C:$C, 'リスト'!$N:$N, ""), "")</f>
        <v/>
      </c>
      <c r="AB99" s="12"/>
      <c r="AC99" s="7"/>
      <c r="AD99" s="7"/>
      <c r="AE99" s="7" t="str">
        <f t="array" ref="AE99">IFERROR(XLOOKUP(AB99, 'リスト'!$C:$C, 'リスト'!$M:$M, ""), "")</f>
        <v/>
      </c>
      <c r="AF99" s="7" t="str">
        <f t="array" ref="AF99">IFERROR(XLOOKUP(AB99, 'リスト'!$C:$C, 'リスト'!$N:$N, ""), "")</f>
        <v/>
      </c>
      <c r="AG99" s="12" t="str">
        <f>IFERROR(__xludf.DUMMYFUNCTION("""COMPUTED_VALUE"""),"☆東海")</f>
        <v>☆東海</v>
      </c>
      <c r="AH99" s="7"/>
      <c r="AI99" s="7"/>
      <c r="AJ99" s="7" t="str">
        <f t="array" ref="AJ99">IFERROR(XLOOKUP(AG99, 'リスト'!$C:$C, 'リスト'!$M:$M, ""), "")</f>
        <v>平</v>
      </c>
      <c r="AK99" s="7" t="str">
        <f t="array" ref="AK99">IFERROR(XLOOKUP(AG99, 'リスト'!$C:$C, 'リスト'!$N:$N, ""), "")</f>
        <v>荒</v>
      </c>
    </row>
    <row r="100" ht="17.25" customHeight="1">
      <c r="A100" s="8"/>
      <c r="B100" s="9"/>
      <c r="C100" s="10" t="str">
        <f>IFERROR(__xludf.DUMMYFUNCTION("""COMPUTED_VALUE"""),"未経験向け急募求人_クリエイティブ")</f>
        <v>未経験向け急募求人_クリエイティブ</v>
      </c>
      <c r="D100" s="13"/>
      <c r="E100" s="7"/>
      <c r="F100" s="7" t="str">
        <f t="array" ref="F100">IFERROR(XLOOKUP(C100, 'リスト'!$C:$C, 'リスト'!$M:$M, ""), "")</f>
        <v>R</v>
      </c>
      <c r="G100" s="7" t="str">
        <f t="array" ref="G100">IFERROR(XLOOKUP(C100, 'リスト'!$C:$C, 'リスト'!$N:$N, ""), "")</f>
        <v/>
      </c>
      <c r="H100" s="10"/>
      <c r="I100" s="13"/>
      <c r="J100" s="7"/>
      <c r="K100" s="7" t="str">
        <f t="array" ref="K100">IFERROR(XLOOKUP(H100, 'リスト'!$C:$C, 'リスト'!$M:$M, ""), "")</f>
        <v/>
      </c>
      <c r="L100" s="7" t="str">
        <f t="array" ref="L100">IFERROR(XLOOKUP(H100, 'リスト'!$C:$C, 'リスト'!$N:$N, ""), "")</f>
        <v/>
      </c>
      <c r="M100" s="10"/>
      <c r="N100" s="13"/>
      <c r="O100" s="7"/>
      <c r="P100" s="7" t="str">
        <f t="array" ref="P100">IFERROR(XLOOKUP(M100, 'リスト'!$C:$C, 'リスト'!$M:$M, ""), "")</f>
        <v/>
      </c>
      <c r="Q100" s="7" t="str">
        <f t="array" ref="Q100">IFERROR(XLOOKUP(M100, 'リスト'!$C:$C, 'リスト'!$N:$N, ""), "")</f>
        <v/>
      </c>
      <c r="R100" s="10"/>
      <c r="S100" s="13"/>
      <c r="T100" s="7"/>
      <c r="U100" s="7" t="str">
        <f t="array" ref="U100">IFERROR(XLOOKUP(R100, 'リスト'!$C:$C, 'リスト'!$M:$M, ""), "")</f>
        <v/>
      </c>
      <c r="V100" s="7" t="str">
        <f t="array" ref="V100">IFERROR(XLOOKUP(R100, 'リスト'!$C:$C, 'リスト'!$N:$N, ""), "")</f>
        <v/>
      </c>
      <c r="W100" s="10"/>
      <c r="X100" s="13"/>
      <c r="Y100" s="7"/>
      <c r="Z100" s="7" t="str">
        <f t="array" ref="Z100">IFERROR(XLOOKUP(W100, 'リスト'!$C:$C, 'リスト'!$M:$M, ""), "")</f>
        <v/>
      </c>
      <c r="AA100" s="7" t="str">
        <f t="array" ref="AA100">IFERROR(XLOOKUP(W100, 'リスト'!$C:$C, 'リスト'!$N:$N, ""), "")</f>
        <v/>
      </c>
      <c r="AB100" s="10"/>
      <c r="AC100" s="13"/>
      <c r="AD100" s="7"/>
      <c r="AE100" s="7" t="str">
        <f t="array" ref="AE100">IFERROR(XLOOKUP(AB100, 'リスト'!$C:$C, 'リスト'!$M:$M, ""), "")</f>
        <v/>
      </c>
      <c r="AF100" s="7" t="str">
        <f t="array" ref="AF100">IFERROR(XLOOKUP(AB100, 'リスト'!$C:$C, 'リスト'!$N:$N, ""), "")</f>
        <v/>
      </c>
      <c r="AG100" s="10" t="str">
        <f>IFERROR(__xludf.DUMMYFUNCTION("""COMPUTED_VALUE"""),"希望勤務地_埼玉")</f>
        <v>希望勤務地_埼玉</v>
      </c>
      <c r="AH100" s="13"/>
      <c r="AI100" s="7"/>
      <c r="AJ100" s="7" t="str">
        <f t="array" ref="AJ100">IFERROR(XLOOKUP(AG100, 'リスト'!$C:$C, 'リスト'!$M:$M, ""), "")</f>
        <v>R</v>
      </c>
      <c r="AK100" s="7" t="str">
        <f t="array" ref="AK100">IFERROR(XLOOKUP(AG100, 'リスト'!$C:$C, 'リスト'!$N:$N, ""), "")</f>
        <v/>
      </c>
    </row>
    <row r="101" ht="17.25" customHeight="1">
      <c r="A101" s="8"/>
      <c r="B101" s="9"/>
      <c r="C101" s="14" t="str">
        <f>IFERROR(__xludf.DUMMYFUNCTION("""COMPUTED_VALUE"""),"未経験向け急募求人_営業")</f>
        <v>未経験向け急募求人_営業</v>
      </c>
      <c r="D101" s="15"/>
      <c r="E101" s="7"/>
      <c r="F101" s="7" t="str">
        <f t="array" ref="F101">IFERROR(XLOOKUP(C101, 'リスト'!$C:$C, 'リスト'!$M:$M, ""), "")</f>
        <v>R</v>
      </c>
      <c r="G101" s="7" t="str">
        <f t="array" ref="G101">IFERROR(XLOOKUP(C101, 'リスト'!$C:$C, 'リスト'!$N:$N, ""), "")</f>
        <v/>
      </c>
      <c r="H101" s="14"/>
      <c r="I101" s="15"/>
      <c r="J101" s="7"/>
      <c r="K101" s="7" t="str">
        <f t="array" ref="K101">IFERROR(XLOOKUP(H101, 'リスト'!$C:$C, 'リスト'!$M:$M, ""), "")</f>
        <v/>
      </c>
      <c r="L101" s="7" t="str">
        <f t="array" ref="L101">IFERROR(XLOOKUP(H101, 'リスト'!$C:$C, 'リスト'!$N:$N, ""), "")</f>
        <v/>
      </c>
      <c r="M101" s="14"/>
      <c r="N101" s="15"/>
      <c r="O101" s="7"/>
      <c r="P101" s="7" t="str">
        <f t="array" ref="P101">IFERROR(XLOOKUP(M101, 'リスト'!$C:$C, 'リスト'!$M:$M, ""), "")</f>
        <v/>
      </c>
      <c r="Q101" s="7" t="str">
        <f t="array" ref="Q101">IFERROR(XLOOKUP(M101, 'リスト'!$C:$C, 'リスト'!$N:$N, ""), "")</f>
        <v/>
      </c>
      <c r="R101" s="14"/>
      <c r="S101" s="15"/>
      <c r="T101" s="7"/>
      <c r="U101" s="7" t="str">
        <f t="array" ref="U101">IFERROR(XLOOKUP(R101, 'リスト'!$C:$C, 'リスト'!$M:$M, ""), "")</f>
        <v/>
      </c>
      <c r="V101" s="7" t="str">
        <f t="array" ref="V101">IFERROR(XLOOKUP(R101, 'リスト'!$C:$C, 'リスト'!$N:$N, ""), "")</f>
        <v/>
      </c>
      <c r="W101" s="14"/>
      <c r="X101" s="15"/>
      <c r="Y101" s="7"/>
      <c r="Z101" s="7" t="str">
        <f t="array" ref="Z101">IFERROR(XLOOKUP(W101, 'リスト'!$C:$C, 'リスト'!$M:$M, ""), "")</f>
        <v/>
      </c>
      <c r="AA101" s="7" t="str">
        <f t="array" ref="AA101">IFERROR(XLOOKUP(W101, 'リスト'!$C:$C, 'リスト'!$N:$N, ""), "")</f>
        <v/>
      </c>
      <c r="AB101" s="14"/>
      <c r="AC101" s="15"/>
      <c r="AD101" s="7"/>
      <c r="AE101" s="7" t="str">
        <f t="array" ref="AE101">IFERROR(XLOOKUP(AB101, 'リスト'!$C:$C, 'リスト'!$M:$M, ""), "")</f>
        <v/>
      </c>
      <c r="AF101" s="7" t="str">
        <f t="array" ref="AF101">IFERROR(XLOOKUP(AB101, 'リスト'!$C:$C, 'リスト'!$N:$N, ""), "")</f>
        <v/>
      </c>
      <c r="AG101" s="14" t="str">
        <f>IFERROR(__xludf.DUMMYFUNCTION("""COMPUTED_VALUE"""),"希望勤務地_千葉")</f>
        <v>希望勤務地_千葉</v>
      </c>
      <c r="AH101" s="15"/>
      <c r="AI101" s="7"/>
      <c r="AJ101" s="7" t="str">
        <f t="array" ref="AJ101">IFERROR(XLOOKUP(AG101, 'リスト'!$C:$C, 'リスト'!$M:$M, ""), "")</f>
        <v>R</v>
      </c>
      <c r="AK101" s="7" t="str">
        <f t="array" ref="AK101">IFERROR(XLOOKUP(AG101, 'リスト'!$C:$C, 'リスト'!$N:$N, ""), "")</f>
        <v/>
      </c>
    </row>
    <row r="102" ht="17.25" customHeight="1">
      <c r="A102" s="8"/>
      <c r="B102" s="9"/>
      <c r="C102" s="14" t="str">
        <f>IFERROR(__xludf.DUMMYFUNCTION("""COMPUTED_VALUE"""),"未経験向け急募求人_事務")</f>
        <v>未経験向け急募求人_事務</v>
      </c>
      <c r="D102" s="13"/>
      <c r="E102" s="7"/>
      <c r="F102" s="7"/>
      <c r="G102" s="7"/>
      <c r="H102" s="14"/>
      <c r="I102" s="13"/>
      <c r="J102" s="7"/>
      <c r="K102" s="7"/>
      <c r="L102" s="7"/>
      <c r="M102" s="14"/>
      <c r="N102" s="13"/>
      <c r="O102" s="7"/>
      <c r="P102" s="7"/>
      <c r="Q102" s="7"/>
      <c r="R102" s="14"/>
      <c r="S102" s="13"/>
      <c r="T102" s="7"/>
      <c r="U102" s="7"/>
      <c r="V102" s="7"/>
      <c r="W102" s="14"/>
      <c r="X102" s="13"/>
      <c r="Y102" s="7"/>
      <c r="Z102" s="7"/>
      <c r="AA102" s="7"/>
      <c r="AB102" s="14"/>
      <c r="AC102" s="13"/>
      <c r="AD102" s="7"/>
      <c r="AE102" s="7"/>
      <c r="AF102" s="7"/>
      <c r="AG102" s="14" t="str">
        <f>IFERROR(__xludf.DUMMYFUNCTION("""COMPUTED_VALUE"""),"希望勤務地_東京")</f>
        <v>希望勤務地_東京</v>
      </c>
      <c r="AH102" s="13"/>
      <c r="AI102" s="7"/>
      <c r="AJ102" s="7"/>
      <c r="AK102" s="7"/>
    </row>
    <row r="103" ht="17.25" customHeight="1">
      <c r="A103" s="8"/>
      <c r="B103" s="9"/>
      <c r="C103" s="14"/>
      <c r="D103" s="13"/>
      <c r="E103" s="7"/>
      <c r="F103" s="7"/>
      <c r="G103" s="7"/>
      <c r="H103" s="14"/>
      <c r="I103" s="13"/>
      <c r="J103" s="7"/>
      <c r="K103" s="7"/>
      <c r="L103" s="7"/>
      <c r="M103" s="14"/>
      <c r="N103" s="13"/>
      <c r="O103" s="7"/>
      <c r="P103" s="7"/>
      <c r="Q103" s="7"/>
      <c r="R103" s="14"/>
      <c r="S103" s="13"/>
      <c r="T103" s="7"/>
      <c r="U103" s="7"/>
      <c r="V103" s="7"/>
      <c r="W103" s="14"/>
      <c r="X103" s="13"/>
      <c r="Y103" s="7"/>
      <c r="Z103" s="7"/>
      <c r="AA103" s="7"/>
      <c r="AB103" s="14"/>
      <c r="AC103" s="13"/>
      <c r="AD103" s="7"/>
      <c r="AE103" s="7"/>
      <c r="AF103" s="7"/>
      <c r="AG103" s="14" t="str">
        <f>IFERROR(__xludf.DUMMYFUNCTION("""COMPUTED_VALUE"""),"大手・上場企業×事務")</f>
        <v>大手・上場企業×事務</v>
      </c>
      <c r="AH103" s="13"/>
      <c r="AI103" s="7"/>
      <c r="AJ103" s="7"/>
      <c r="AK103" s="7"/>
    </row>
    <row r="104" ht="17.25" customHeight="1">
      <c r="A104" s="8"/>
      <c r="B104" s="9"/>
      <c r="C104" s="14"/>
      <c r="D104" s="13"/>
      <c r="E104" s="7"/>
      <c r="F104" s="7"/>
      <c r="G104" s="7"/>
      <c r="H104" s="14"/>
      <c r="I104" s="13"/>
      <c r="J104" s="7"/>
      <c r="K104" s="7"/>
      <c r="L104" s="7"/>
      <c r="M104" s="14"/>
      <c r="N104" s="13"/>
      <c r="O104" s="7"/>
      <c r="P104" s="7"/>
      <c r="Q104" s="7"/>
      <c r="R104" s="14"/>
      <c r="S104" s="13"/>
      <c r="T104" s="7"/>
      <c r="U104" s="7"/>
      <c r="V104" s="7"/>
      <c r="W104" s="14"/>
      <c r="X104" s="13"/>
      <c r="Y104" s="7"/>
      <c r="Z104" s="7"/>
      <c r="AA104" s="7"/>
      <c r="AB104" s="14"/>
      <c r="AC104" s="13"/>
      <c r="AD104" s="7"/>
      <c r="AE104" s="7"/>
      <c r="AF104" s="7"/>
      <c r="AG104" s="14"/>
      <c r="AH104" s="13"/>
      <c r="AI104" s="7"/>
      <c r="AJ104" s="7"/>
      <c r="AK104" s="7"/>
    </row>
    <row r="105" ht="17.25" customHeight="1">
      <c r="A105" s="8"/>
      <c r="B105" s="9"/>
      <c r="C105" s="14"/>
      <c r="D105" s="13"/>
      <c r="E105" s="7"/>
      <c r="F105" s="7"/>
      <c r="G105" s="7"/>
      <c r="H105" s="14"/>
      <c r="I105" s="13"/>
      <c r="J105" s="7"/>
      <c r="K105" s="7"/>
      <c r="L105" s="7"/>
      <c r="M105" s="14"/>
      <c r="N105" s="13"/>
      <c r="O105" s="7"/>
      <c r="P105" s="7"/>
      <c r="Q105" s="7"/>
      <c r="R105" s="14"/>
      <c r="S105" s="13"/>
      <c r="T105" s="7"/>
      <c r="U105" s="7"/>
      <c r="V105" s="7"/>
      <c r="W105" s="14"/>
      <c r="X105" s="13"/>
      <c r="Y105" s="7"/>
      <c r="Z105" s="7"/>
      <c r="AA105" s="7"/>
      <c r="AB105" s="14"/>
      <c r="AC105" s="13"/>
      <c r="AD105" s="7"/>
      <c r="AE105" s="7"/>
      <c r="AF105" s="7"/>
      <c r="AG105" s="14"/>
      <c r="AH105" s="13"/>
      <c r="AI105" s="7"/>
      <c r="AJ105" s="7"/>
      <c r="AK105" s="7"/>
    </row>
    <row r="106" ht="17.25" customHeight="1">
      <c r="A106" s="8"/>
      <c r="B106" s="9" t="s">
        <v>6</v>
      </c>
      <c r="C106" s="10" t="str">
        <f>IFERROR(__xludf.DUMMYFUNCTION("iferror(FILTER('新規'!$C:$C, ('新規'!$A:$A = C$1) * ('新規'!$B:$B = $A98)))"),"")</f>
        <v/>
      </c>
      <c r="D106" s="11" t="str">
        <f>IFERROR(__xludf.DUMMYFUNCTION("IFERROR(FILTER('新規'!$D$2:$D$400, ('新規'!$A$2:$A$400 = CHOOSE(WEEKDAY(C$1), ""日"", ""月"", ""火"", ""水"", ""木"", ""金"", ""土"")) * ('新規'!$B$2:$B$400 = $A$3) * ('新規'!$O$2:$O$400 = FALSE)), """")"),"")</f>
        <v/>
      </c>
      <c r="E106" s="7"/>
      <c r="F106" s="7" t="str">
        <f>IFERROR(__xludf.DUMMYFUNCTION("IFERROR(FILTER('新規'!$M$2:$M$400, ('新規'!$A$2:$A$400 = CHOOSE(WEEKDAY(C$1), ""日"", ""月"", ""火"", ""水"", ""木"", ""金"", ""土"")) * ('新規'!$B$2:$B$400 = $A$3) * ('新規'!$O$2:$O$400 = FALSE)), """")"),"")</f>
        <v/>
      </c>
      <c r="G106" s="7" t="str">
        <f>IFERROR(__xludf.DUMMYFUNCTION("IFERROR(FILTER('新規'!$N$2:$N$400, ('新規'!$A$2:$A$400 = CHOOSE(WEEKDAY(C$1), ""日"", ""月"", ""火"", ""水"", ""木"", ""金"", ""土"")) * ('新規'!$B$2:$B$400 = $A$3) * ('新規'!$O$2:$O$400 = FALSE)), """")"),"")</f>
        <v/>
      </c>
      <c r="H106" s="10" t="str">
        <f>IFERROR(__xludf.DUMMYFUNCTION("iferror(FILTER('新規'!$C:$C, ('新規'!$A:$A = H$1) * ('新規'!$B:$B = $A98)))"),"")</f>
        <v/>
      </c>
      <c r="I106" s="11" t="str">
        <f>IFERROR(__xludf.DUMMYFUNCTION("IFERROR(FILTER('新規'!$D$2:$D$400, ('新規'!$A$2:$A$400 = CHOOSE(WEEKDAY(H$1), ""日"", ""月"", ""火"", ""水"", ""木"", ""金"", ""土"")) * ('新規'!$B$2:$B$400 = $A$3) * ('新規'!$O$2:$O$400 = FALSE)), """")"),"")</f>
        <v/>
      </c>
      <c r="J106" s="7"/>
      <c r="K106" s="7" t="str">
        <f>IFERROR(__xludf.DUMMYFUNCTION("IFERROR(FILTER('新規'!$M$2:$M$400, ('新規'!$A$2:$A$400 = CHOOSE(WEEKDAY(H$1), ""日"", ""月"", ""火"", ""水"", ""木"", ""金"", ""土"")) * ('新規'!$B$2:$B$400 = $A$3) * ('新規'!$O$2:$O$400 = FALSE)), """")"),"")</f>
        <v/>
      </c>
      <c r="L106" s="7" t="str">
        <f>IFERROR(__xludf.DUMMYFUNCTION("IFERROR(FILTER('新規'!$N$2:$N$400, ('新規'!$A$2:$A$400 = CHOOSE(WEEKDAY(H$1), ""日"", ""月"", ""火"", ""水"", ""木"", ""金"", ""土"")) * ('新規'!$B$2:$B$400 = $A$3) * ('新規'!$O$2:$O$400 = FALSE)), """")"),"")</f>
        <v/>
      </c>
      <c r="M106" s="10" t="str">
        <f>IFERROR(__xludf.DUMMYFUNCTION("iferror(FILTER('新規'!$C:$C, ('新規'!$A:$A = M$1) * ('新規'!$B:$B = $A98)))"),"")</f>
        <v/>
      </c>
      <c r="N106" s="11" t="str">
        <f>IFERROR(__xludf.DUMMYFUNCTION("IFERROR(FILTER('新規'!$D$2:$D$400, ('新規'!$A$2:$A$400 = CHOOSE(WEEKDAY(M$1), ""日"", ""月"", ""火"", ""水"", ""木"", ""金"", ""土"")) * ('新規'!$B$2:$B$400 = $A$3) * ('新規'!$O$2:$O$400 = FALSE)), """")"),"")</f>
        <v/>
      </c>
      <c r="O106" s="7"/>
      <c r="P106" s="7" t="str">
        <f>IFERROR(__xludf.DUMMYFUNCTION("IFERROR(FILTER('新規'!$M$2:$M$400, ('新規'!$A$2:$A$400 = CHOOSE(WEEKDAY(M$1), ""日"", ""月"", ""火"", ""水"", ""木"", ""金"", ""土"")) * ('新規'!$B$2:$B$400 = $A$3) * ('新規'!$O$2:$O$400 = FALSE)), """")"),"")</f>
        <v/>
      </c>
      <c r="Q106" s="7" t="str">
        <f>IFERROR(__xludf.DUMMYFUNCTION("IFERROR(FILTER('新規'!$N$2:$N$400, ('新規'!$A$2:$A$400 = CHOOSE(WEEKDAY(M$1), ""日"", ""月"", ""火"", ""水"", ""木"", ""金"", ""土"")) * ('新規'!$B$2:$B$400 = $A$3) * ('新規'!$O$2:$O$400 = FALSE)), """")"),"")</f>
        <v/>
      </c>
      <c r="R106" s="10" t="str">
        <f>IFERROR(__xludf.DUMMYFUNCTION("iferror(FILTER('新規'!$C:$C, ('新規'!$A:$A = R$1) * ('新規'!$B:$B = $A98)))"),"")</f>
        <v/>
      </c>
      <c r="S106" s="11" t="str">
        <f>IFERROR(__xludf.DUMMYFUNCTION("IFERROR(FILTER('新規'!$D$2:$D$400, ('新規'!$A$2:$A$400 = CHOOSE(WEEKDAY(R$1), ""日"", ""月"", ""火"", ""水"", ""木"", ""金"", ""土"")) * ('新規'!$B$2:$B$400 = $A$3) * ('新規'!$O$2:$O$400 = FALSE)), """")"),"")</f>
        <v/>
      </c>
      <c r="T106" s="7"/>
      <c r="U106" s="7" t="str">
        <f>IFERROR(__xludf.DUMMYFUNCTION("IFERROR(FILTER('新規'!$M$2:$M$400, ('新規'!$A$2:$A$400 = CHOOSE(WEEKDAY(R$1), ""日"", ""月"", ""火"", ""水"", ""木"", ""金"", ""土"")) * ('新規'!$B$2:$B$400 = $A$3) * ('新規'!$O$2:$O$400 = FALSE)), """")"),"")</f>
        <v/>
      </c>
      <c r="V106" s="7" t="str">
        <f>IFERROR(__xludf.DUMMYFUNCTION("IFERROR(FILTER('新規'!$N$2:$N$400, ('新規'!$A$2:$A$400 = CHOOSE(WEEKDAY(R$1), ""日"", ""月"", ""火"", ""水"", ""木"", ""金"", ""土"")) * ('新規'!$B$2:$B$400 = $A$3) * ('新規'!$O$2:$O$400 = FALSE)), """")"),"")</f>
        <v/>
      </c>
      <c r="W106" s="10" t="str">
        <f>IFERROR(__xludf.DUMMYFUNCTION("iferror(FILTER('新規'!$C:$C, ('新規'!$A:$A = W$1) * ('新規'!$B:$B = $A98)))"),"")</f>
        <v/>
      </c>
      <c r="X106" s="11" t="str">
        <f>IFERROR(__xludf.DUMMYFUNCTION("IFERROR(FILTER('新規'!$D$2:$D$400, ('新規'!$A$2:$A$400 = CHOOSE(WEEKDAY(W$1), ""日"", ""月"", ""火"", ""水"", ""木"", ""金"", ""土"")) * ('新規'!$B$2:$B$400 = $A$3) * ('新規'!$O$2:$O$400 = FALSE)), """")"),"")</f>
        <v/>
      </c>
      <c r="Y106" s="7"/>
      <c r="Z106" s="7" t="str">
        <f>IFERROR(__xludf.DUMMYFUNCTION("IFERROR(FILTER('新規'!$M$2:$M$400, ('新規'!$A$2:$A$400 = CHOOSE(WEEKDAY(W$1), ""日"", ""月"", ""火"", ""水"", ""木"", ""金"", ""土"")) * ('新規'!$B$2:$B$400 = $A$3) * ('新規'!$O$2:$O$400 = FALSE)), """")"),"")</f>
        <v/>
      </c>
      <c r="AA106" s="7" t="str">
        <f>IFERROR(__xludf.DUMMYFUNCTION("IFERROR(FILTER('新規'!$N$2:$N$400, ('新規'!$A$2:$A$400 = CHOOSE(WEEKDAY(W$1), ""日"", ""月"", ""火"", ""水"", ""木"", ""金"", ""土"")) * ('新規'!$B$2:$B$400 = $A$3) * ('新規'!$O$2:$O$400 = FALSE)), """")"),"")</f>
        <v/>
      </c>
      <c r="AB106" s="10" t="str">
        <f>IFERROR(__xludf.DUMMYFUNCTION("iferror(FILTER('新規'!$C:$C, ('新規'!$A:$A = AB$1) * ('新規'!$B:$B = $A98)))"),"")</f>
        <v/>
      </c>
      <c r="AC106" s="11" t="str">
        <f>IFERROR(__xludf.DUMMYFUNCTION("IFERROR(FILTER('新規'!$D$2:$D$400, ('新規'!$A$2:$A$400 = CHOOSE(WEEKDAY(AB$1), ""日"", ""月"", ""火"", ""水"", ""木"", ""金"", ""土"")) * ('新規'!$B$2:$B$400 = $A$3) * ('新規'!$O$2:$O$400 = FALSE)), """")"),"")</f>
        <v/>
      </c>
      <c r="AD106" s="7"/>
      <c r="AE106" s="7" t="str">
        <f>IFERROR(__xludf.DUMMYFUNCTION("IFERROR(FILTER('新規'!$M$2:$M$400, ('新規'!$A$2:$A$400 = CHOOSE(WEEKDAY(AB$1), ""日"", ""月"", ""火"", ""水"", ""木"", ""金"", ""土"")) * ('新規'!$B$2:$B$400 = $A$3) * ('新規'!$O$2:$O$400 = FALSE)), """")"),"")</f>
        <v/>
      </c>
      <c r="AF106" s="7" t="str">
        <f>IFERROR(__xludf.DUMMYFUNCTION("IFERROR(FILTER('新規'!$N$2:$N$400, ('新規'!$A$2:$A$400 = CHOOSE(WEEKDAY(AB$1), ""日"", ""月"", ""火"", ""水"", ""木"", ""金"", ""土"")) * ('新規'!$B$2:$B$400 = $A$3) * ('新規'!$O$2:$O$400 = FALSE)), """")"),"")</f>
        <v/>
      </c>
      <c r="AG106" s="10" t="str">
        <f>IFERROR(__xludf.DUMMYFUNCTION("iferror(FILTER('新規'!$C:$C, ('新規'!$A:$A = AG$1) * ('新規'!$B:$B = $A98)))"),"")</f>
        <v/>
      </c>
      <c r="AH106" s="11" t="str">
        <f>IFERROR(__xludf.DUMMYFUNCTION("IFERROR(FILTER('新規'!$D$2:$D$400, ('新規'!$A$2:$A$400 = CHOOSE(WEEKDAY(AG$1), ""日"", ""月"", ""火"", ""水"", ""木"", ""金"", ""土"")) * ('新規'!$B$2:$B$400 = $A$3) * ('新規'!$O$2:$O$400 = FALSE)), """")"),"")</f>
        <v/>
      </c>
      <c r="AI106" s="7"/>
      <c r="AJ106" s="7" t="str">
        <f>IFERROR(__xludf.DUMMYFUNCTION("IFERROR(FILTER('新規'!$M$2:$M$400, ('新規'!$A$2:$A$400 = CHOOSE(WEEKDAY(AG$1), ""日"", ""月"", ""火"", ""水"", ""木"", ""金"", ""土"")) * ('新規'!$B$2:$B$400 = $A$3) * ('新規'!$O$2:$O$400 = FALSE)), """")"),"")</f>
        <v/>
      </c>
      <c r="AK106" s="7" t="str">
        <f>IFERROR(__xludf.DUMMYFUNCTION("IFERROR(FILTER('新規'!$N$2:$N$400, ('新規'!$A$2:$A$400 = CHOOSE(WEEKDAY(AG$1), ""日"", ""月"", ""火"", ""水"", ""木"", ""金"", ""土"")) * ('新規'!$B$2:$B$400 = $A$3) * ('新規'!$O$2:$O$400 = FALSE)), """")"),"")</f>
        <v/>
      </c>
    </row>
    <row r="107" ht="17.25" customHeight="1">
      <c r="A107" s="8"/>
      <c r="B107" s="9"/>
      <c r="C107" s="17"/>
      <c r="D107" s="7"/>
      <c r="E107" s="7"/>
      <c r="F107" s="7" t="str">
        <f t="array" ref="F107">IFERROR(XLOOKUP(C107, 'リスト'!$C:$C, 'リスト'!$M:$M, ""), "")</f>
        <v/>
      </c>
      <c r="G107" s="7" t="str">
        <f t="array" ref="G107">IFERROR(XLOOKUP(C107, 'リスト'!$C:$C, 'リスト'!$N:$N, ""), "")</f>
        <v/>
      </c>
      <c r="H107" s="17"/>
      <c r="I107" s="7"/>
      <c r="J107" s="7"/>
      <c r="K107" s="7" t="str">
        <f t="array" ref="K107">IFERROR(XLOOKUP(H107, 'リスト'!$C:$C, 'リスト'!$M:$M, ""), "")</f>
        <v/>
      </c>
      <c r="L107" s="7" t="str">
        <f t="array" ref="L107">IFERROR(XLOOKUP(H107, 'リスト'!$C:$C, 'リスト'!$N:$N, ""), "")</f>
        <v/>
      </c>
      <c r="M107" s="17"/>
      <c r="N107" s="7"/>
      <c r="O107" s="7"/>
      <c r="P107" s="7" t="str">
        <f t="array" ref="P107">IFERROR(XLOOKUP(M107, 'リスト'!$C:$C, 'リスト'!$M:$M, ""), "")</f>
        <v/>
      </c>
      <c r="Q107" s="7" t="str">
        <f t="array" ref="Q107">IFERROR(XLOOKUP(M107, 'リスト'!$C:$C, 'リスト'!$N:$N, ""), "")</f>
        <v/>
      </c>
      <c r="R107" s="17"/>
      <c r="S107" s="7"/>
      <c r="T107" s="7"/>
      <c r="U107" s="7" t="str">
        <f t="array" ref="U107">IFERROR(XLOOKUP(R107, 'リスト'!$C:$C, 'リスト'!$M:$M, ""), "")</f>
        <v/>
      </c>
      <c r="V107" s="7" t="str">
        <f t="array" ref="V107">IFERROR(XLOOKUP(R107, 'リスト'!$C:$C, 'リスト'!$N:$N, ""), "")</f>
        <v/>
      </c>
      <c r="W107" s="17"/>
      <c r="X107" s="7"/>
      <c r="Y107" s="7"/>
      <c r="Z107" s="7" t="str">
        <f t="array" ref="Z107">IFERROR(XLOOKUP(W107, 'リスト'!$C:$C, 'リスト'!$M:$M, ""), "")</f>
        <v/>
      </c>
      <c r="AA107" s="7" t="str">
        <f t="array" ref="AA107">IFERROR(XLOOKUP(W107, 'リスト'!$C:$C, 'リスト'!$N:$N, ""), "")</f>
        <v/>
      </c>
      <c r="AB107" s="17"/>
      <c r="AC107" s="7"/>
      <c r="AD107" s="7"/>
      <c r="AE107" s="7" t="str">
        <f t="array" ref="AE107">IFERROR(XLOOKUP(AB107, 'リスト'!$C:$C, 'リスト'!$M:$M, ""), "")</f>
        <v/>
      </c>
      <c r="AF107" s="7" t="str">
        <f t="array" ref="AF107">IFERROR(XLOOKUP(AB107, 'リスト'!$C:$C, 'リスト'!$N:$N, ""), "")</f>
        <v/>
      </c>
      <c r="AG107" s="17"/>
      <c r="AH107" s="7"/>
      <c r="AI107" s="7"/>
      <c r="AJ107" s="7" t="str">
        <f t="array" ref="AJ107">IFERROR(XLOOKUP(AG107, 'リスト'!$C:$C, 'リスト'!$M:$M, ""), "")</f>
        <v/>
      </c>
      <c r="AK107" s="7" t="str">
        <f t="array" ref="AK107">IFERROR(XLOOKUP(AG107, 'リスト'!$C:$C, 'リスト'!$N:$N, ""), "")</f>
        <v/>
      </c>
    </row>
    <row r="108" ht="17.25" customHeight="1">
      <c r="A108" s="8"/>
      <c r="B108" s="9"/>
      <c r="C108" s="17"/>
      <c r="D108" s="7"/>
      <c r="E108" s="7"/>
      <c r="F108" s="7" t="str">
        <f t="array" ref="F108">IFERROR(XLOOKUP(C108, 'リスト'!$C:$C, 'リスト'!$M:$M, ""), "")</f>
        <v/>
      </c>
      <c r="G108" s="7" t="str">
        <f t="array" ref="G108">IFERROR(XLOOKUP(C108, 'リスト'!$C:$C, 'リスト'!$N:$N, ""), "")</f>
        <v/>
      </c>
      <c r="H108" s="17"/>
      <c r="I108" s="7"/>
      <c r="J108" s="7"/>
      <c r="K108" s="7" t="str">
        <f t="array" ref="K108">IFERROR(XLOOKUP(H108, 'リスト'!$C:$C, 'リスト'!$M:$M, ""), "")</f>
        <v/>
      </c>
      <c r="L108" s="7" t="str">
        <f t="array" ref="L108">IFERROR(XLOOKUP(H108, 'リスト'!$C:$C, 'リスト'!$N:$N, ""), "")</f>
        <v/>
      </c>
      <c r="M108" s="17"/>
      <c r="N108" s="7"/>
      <c r="O108" s="7"/>
      <c r="P108" s="7" t="str">
        <f t="array" ref="P108">IFERROR(XLOOKUP(M108, 'リスト'!$C:$C, 'リスト'!$M:$M, ""), "")</f>
        <v/>
      </c>
      <c r="Q108" s="7" t="str">
        <f t="array" ref="Q108">IFERROR(XLOOKUP(M108, 'リスト'!$C:$C, 'リスト'!$N:$N, ""), "")</f>
        <v/>
      </c>
      <c r="R108" s="17"/>
      <c r="S108" s="7"/>
      <c r="T108" s="7"/>
      <c r="U108" s="7" t="str">
        <f t="array" ref="U108">IFERROR(XLOOKUP(R108, 'リスト'!$C:$C, 'リスト'!$M:$M, ""), "")</f>
        <v/>
      </c>
      <c r="V108" s="7" t="str">
        <f t="array" ref="V108">IFERROR(XLOOKUP(R108, 'リスト'!$C:$C, 'リスト'!$N:$N, ""), "")</f>
        <v/>
      </c>
      <c r="W108" s="17"/>
      <c r="X108" s="7"/>
      <c r="Y108" s="7"/>
      <c r="Z108" s="7" t="str">
        <f t="array" ref="Z108">IFERROR(XLOOKUP(W108, 'リスト'!$C:$C, 'リスト'!$M:$M, ""), "")</f>
        <v/>
      </c>
      <c r="AA108" s="7" t="str">
        <f t="array" ref="AA108">IFERROR(XLOOKUP(W108, 'リスト'!$C:$C, 'リスト'!$N:$N, ""), "")</f>
        <v/>
      </c>
      <c r="AB108" s="17"/>
      <c r="AC108" s="7"/>
      <c r="AD108" s="7"/>
      <c r="AE108" s="7" t="str">
        <f t="array" ref="AE108">IFERROR(XLOOKUP(AB108, 'リスト'!$C:$C, 'リスト'!$M:$M, ""), "")</f>
        <v/>
      </c>
      <c r="AF108" s="7" t="str">
        <f t="array" ref="AF108">IFERROR(XLOOKUP(AB108, 'リスト'!$C:$C, 'リスト'!$N:$N, ""), "")</f>
        <v/>
      </c>
      <c r="AG108" s="17"/>
      <c r="AH108" s="7"/>
      <c r="AI108" s="7"/>
      <c r="AJ108" s="7" t="str">
        <f t="array" ref="AJ108">IFERROR(XLOOKUP(AG108, 'リスト'!$C:$C, 'リスト'!$M:$M, ""), "")</f>
        <v/>
      </c>
      <c r="AK108" s="7" t="str">
        <f t="array" ref="AK108">IFERROR(XLOOKUP(AG108, 'リスト'!$C:$C, 'リスト'!$N:$N, ""), "")</f>
        <v/>
      </c>
    </row>
    <row r="109" ht="17.25" customHeight="1">
      <c r="A109" s="8"/>
      <c r="B109" s="9"/>
      <c r="C109" s="17"/>
      <c r="D109" s="7"/>
      <c r="E109" s="7"/>
      <c r="F109" s="7" t="str">
        <f t="array" ref="F109">IFERROR(XLOOKUP(C109, 'リスト'!$C:$C, 'リスト'!$M:$M, ""), "")</f>
        <v/>
      </c>
      <c r="G109" s="7" t="str">
        <f t="array" ref="G109">IFERROR(XLOOKUP(C109, 'リスト'!$C:$C, 'リスト'!$N:$N, ""), "")</f>
        <v/>
      </c>
      <c r="H109" s="17"/>
      <c r="I109" s="7"/>
      <c r="J109" s="7"/>
      <c r="K109" s="7" t="str">
        <f t="array" ref="K109">IFERROR(XLOOKUP(H109, 'リスト'!$C:$C, 'リスト'!$M:$M, ""), "")</f>
        <v/>
      </c>
      <c r="L109" s="7" t="str">
        <f t="array" ref="L109">IFERROR(XLOOKUP(H109, 'リスト'!$C:$C, 'リスト'!$N:$N, ""), "")</f>
        <v/>
      </c>
      <c r="M109" s="17"/>
      <c r="N109" s="7"/>
      <c r="O109" s="7"/>
      <c r="P109" s="7" t="str">
        <f t="array" ref="P109">IFERROR(XLOOKUP(M109, 'リスト'!$C:$C, 'リスト'!$M:$M, ""), "")</f>
        <v/>
      </c>
      <c r="Q109" s="7" t="str">
        <f t="array" ref="Q109">IFERROR(XLOOKUP(M109, 'リスト'!$C:$C, 'リスト'!$N:$N, ""), "")</f>
        <v/>
      </c>
      <c r="R109" s="17"/>
      <c r="S109" s="7"/>
      <c r="T109" s="7"/>
      <c r="U109" s="7" t="str">
        <f t="array" ref="U109">IFERROR(XLOOKUP(R109, 'リスト'!$C:$C, 'リスト'!$M:$M, ""), "")</f>
        <v/>
      </c>
      <c r="V109" s="7" t="str">
        <f t="array" ref="V109">IFERROR(XLOOKUP(R109, 'リスト'!$C:$C, 'リスト'!$N:$N, ""), "")</f>
        <v/>
      </c>
      <c r="W109" s="17"/>
      <c r="X109" s="7"/>
      <c r="Y109" s="7"/>
      <c r="Z109" s="7" t="str">
        <f t="array" ref="Z109">IFERROR(XLOOKUP(W109, 'リスト'!$C:$C, 'リスト'!$M:$M, ""), "")</f>
        <v/>
      </c>
      <c r="AA109" s="7" t="str">
        <f t="array" ref="AA109">IFERROR(XLOOKUP(W109, 'リスト'!$C:$C, 'リスト'!$N:$N, ""), "")</f>
        <v/>
      </c>
      <c r="AB109" s="17"/>
      <c r="AC109" s="7"/>
      <c r="AD109" s="7"/>
      <c r="AE109" s="7" t="str">
        <f t="array" ref="AE109">IFERROR(XLOOKUP(AB109, 'リスト'!$C:$C, 'リスト'!$M:$M, ""), "")</f>
        <v/>
      </c>
      <c r="AF109" s="7" t="str">
        <f t="array" ref="AF109">IFERROR(XLOOKUP(AB109, 'リスト'!$C:$C, 'リスト'!$N:$N, ""), "")</f>
        <v/>
      </c>
      <c r="AG109" s="17"/>
      <c r="AH109" s="7"/>
      <c r="AI109" s="7"/>
      <c r="AJ109" s="7" t="str">
        <f t="array" ref="AJ109">IFERROR(XLOOKUP(AG109, 'リスト'!$C:$C, 'リスト'!$M:$M, ""), "")</f>
        <v/>
      </c>
      <c r="AK109" s="7" t="str">
        <f t="array" ref="AK109">IFERROR(XLOOKUP(AG109, 'リスト'!$C:$C, 'リスト'!$N:$N, ""), "")</f>
        <v/>
      </c>
    </row>
    <row r="110" ht="17.25" customHeight="1">
      <c r="A110" s="8"/>
      <c r="B110" s="9"/>
      <c r="C110" s="17"/>
      <c r="D110" s="7"/>
      <c r="E110" s="7"/>
      <c r="F110" s="7" t="str">
        <f t="array" ref="F110">IFERROR(XLOOKUP(C110, 'リスト'!$C:$C, 'リスト'!$M:$M, ""), "")</f>
        <v/>
      </c>
      <c r="G110" s="7" t="str">
        <f t="array" ref="G110">IFERROR(XLOOKUP(C110, 'リスト'!$C:$C, 'リスト'!$N:$N, ""), "")</f>
        <v/>
      </c>
      <c r="H110" s="17"/>
      <c r="I110" s="7"/>
      <c r="J110" s="7"/>
      <c r="K110" s="7" t="str">
        <f t="array" ref="K110">IFERROR(XLOOKUP(H110, 'リスト'!$C:$C, 'リスト'!$M:$M, ""), "")</f>
        <v/>
      </c>
      <c r="L110" s="7" t="str">
        <f t="array" ref="L110">IFERROR(XLOOKUP(H110, 'リスト'!$C:$C, 'リスト'!$N:$N, ""), "")</f>
        <v/>
      </c>
      <c r="M110" s="17"/>
      <c r="N110" s="7"/>
      <c r="O110" s="7"/>
      <c r="P110" s="7" t="str">
        <f t="array" ref="P110">IFERROR(XLOOKUP(M110, 'リスト'!$C:$C, 'リスト'!$M:$M, ""), "")</f>
        <v/>
      </c>
      <c r="Q110" s="7" t="str">
        <f t="array" ref="Q110">IFERROR(XLOOKUP(M110, 'リスト'!$C:$C, 'リスト'!$N:$N, ""), "")</f>
        <v/>
      </c>
      <c r="R110" s="17"/>
      <c r="S110" s="7"/>
      <c r="T110" s="7"/>
      <c r="U110" s="7" t="str">
        <f t="array" ref="U110">IFERROR(XLOOKUP(R110, 'リスト'!$C:$C, 'リスト'!$M:$M, ""), "")</f>
        <v/>
      </c>
      <c r="V110" s="7" t="str">
        <f t="array" ref="V110">IFERROR(XLOOKUP(R110, 'リスト'!$C:$C, 'リスト'!$N:$N, ""), "")</f>
        <v/>
      </c>
      <c r="W110" s="17"/>
      <c r="X110" s="7"/>
      <c r="Y110" s="7"/>
      <c r="Z110" s="7" t="str">
        <f t="array" ref="Z110">IFERROR(XLOOKUP(W110, 'リスト'!$C:$C, 'リスト'!$M:$M, ""), "")</f>
        <v/>
      </c>
      <c r="AA110" s="7" t="str">
        <f t="array" ref="AA110">IFERROR(XLOOKUP(W110, 'リスト'!$C:$C, 'リスト'!$N:$N, ""), "")</f>
        <v/>
      </c>
      <c r="AB110" s="17"/>
      <c r="AC110" s="7"/>
      <c r="AD110" s="7"/>
      <c r="AE110" s="7" t="str">
        <f t="array" ref="AE110">IFERROR(XLOOKUP(AB110, 'リスト'!$C:$C, 'リスト'!$M:$M, ""), "")</f>
        <v/>
      </c>
      <c r="AF110" s="7" t="str">
        <f t="array" ref="AF110">IFERROR(XLOOKUP(AB110, 'リスト'!$C:$C, 'リスト'!$N:$N, ""), "")</f>
        <v/>
      </c>
      <c r="AG110" s="17"/>
      <c r="AH110" s="7"/>
      <c r="AI110" s="7"/>
      <c r="AJ110" s="7" t="str">
        <f t="array" ref="AJ110">IFERROR(XLOOKUP(AG110, 'リスト'!$C:$C, 'リスト'!$M:$M, ""), "")</f>
        <v/>
      </c>
      <c r="AK110" s="7" t="str">
        <f t="array" ref="AK110">IFERROR(XLOOKUP(AG110, 'リスト'!$C:$C, 'リスト'!$N:$N, ""), "")</f>
        <v/>
      </c>
    </row>
    <row r="111" ht="17.25" customHeight="1">
      <c r="A111" s="8"/>
      <c r="B111" s="9" t="s">
        <v>7</v>
      </c>
      <c r="C111" s="10" t="str">
        <f>"◇ポジションマッチ A" &amp; MOD(INT(($C$1 - '特殊配信マスタ'!$A$1) / 7), 3) + 1</f>
        <v>◇ポジションマッチ A2</v>
      </c>
      <c r="D111" s="11" t="str">
        <f>IFERROR(__xludf.DUMMYFUNCTION("IFERROR(TEXTJOIN(CHAR(10), TRUE, FILTER('特殊配信マスタ'!$C:$E, #REF!=D$1)), """")"),"")</f>
        <v/>
      </c>
      <c r="E111" s="7" t="str">
        <f>IFERROR(__xludf.DUMMYFUNCTION("IFERROR(TEXTJOIN(CHAR(10), TRUE, FILTER('特殊配信マスタ'!$C:$E, #REF!=E$1)), """")"),"")</f>
        <v/>
      </c>
      <c r="F111" s="7" t="str">
        <f t="array" ref="F111">IFERROR(XLOOKUP(C111, INDEX('特殊配信マスタ'!$C$3:$E$8, 0, MAX(1, ROW()-14)), '特殊配信マスタ'!$M$3:$N$8, ""),"")</f>
        <v/>
      </c>
      <c r="G111" s="7"/>
      <c r="H111" s="10" t="str">
        <f>"◇ポジションマッチ A" &amp; MOD(INT(($C$1 - '特殊配信マスタ'!$A$1) / 7), 3) + 1</f>
        <v>◇ポジションマッチ A2</v>
      </c>
      <c r="I111" s="11" t="str">
        <f>IFERROR(__xludf.DUMMYFUNCTION("IFERROR(TEXTJOIN(CHAR(10), TRUE, FILTER('特殊配信マスタ'!$C:$E, #REF!=I$1)), """")"),"")</f>
        <v/>
      </c>
      <c r="J111" s="7" t="str">
        <f>IFERROR(__xludf.DUMMYFUNCTION("IFERROR(TEXTJOIN(CHAR(10), TRUE, FILTER('特殊配信マスタ'!$C:$E, #REF!=J$1)), """")"),"")</f>
        <v/>
      </c>
      <c r="K111" s="7" t="str">
        <f t="array" ref="K111">IFERROR(XLOOKUP(H111, INDEX('特殊配信マスタ'!$C$3:$E$8, 0, MAX(1, ROW()-14)), '特殊配信マスタ'!$M$3:$N$8, ""),"")</f>
        <v/>
      </c>
      <c r="L111" s="7"/>
      <c r="M111" s="10" t="str">
        <f>"◇ポジションマッチ A" &amp; MOD(INT(($C$1 - '特殊配信マスタ'!$A$1) / 7), 3) + 1</f>
        <v>◇ポジションマッチ A2</v>
      </c>
      <c r="N111" s="11" t="str">
        <f>IFERROR(__xludf.DUMMYFUNCTION("IFERROR(TEXTJOIN(CHAR(10), TRUE, FILTER('特殊配信マスタ'!$C:$E, #REF!=N$1)), """")"),"")</f>
        <v/>
      </c>
      <c r="O111" s="7" t="str">
        <f>IFERROR(__xludf.DUMMYFUNCTION("IFERROR(TEXTJOIN(CHAR(10), TRUE, FILTER('特殊配信マスタ'!$C:$E, #REF!=O$1)), """")"),"")</f>
        <v/>
      </c>
      <c r="P111" s="7" t="str">
        <f t="array" ref="P111">IFERROR(XLOOKUP(M111, INDEX('特殊配信マスタ'!$C$3:$E$8, 0, MAX(1, ROW()-14)), '特殊配信マスタ'!$M$3:$N$8, ""),"")</f>
        <v/>
      </c>
      <c r="Q111" s="7"/>
      <c r="R111" s="10" t="str">
        <f>"◇ポジションマッチ A" &amp; MOD(INT(($C$1 - '特殊配信マスタ'!$A$1) / 7), 3) + 1</f>
        <v>◇ポジションマッチ A2</v>
      </c>
      <c r="S111" s="11" t="str">
        <f>IFERROR(__xludf.DUMMYFUNCTION("IFERROR(TEXTJOIN(CHAR(10), TRUE, FILTER('特殊配信マスタ'!$C:$E, #REF!=S$1)), """")"),"")</f>
        <v/>
      </c>
      <c r="T111" s="7" t="str">
        <f>IFERROR(__xludf.DUMMYFUNCTION("IFERROR(TEXTJOIN(CHAR(10), TRUE, FILTER('特殊配信マスタ'!$C:$E, #REF!=T$1)), """")"),"")</f>
        <v/>
      </c>
      <c r="U111" s="7" t="str">
        <f t="array" ref="U111">IFERROR(XLOOKUP(R111, INDEX('特殊配信マスタ'!$C$3:$E$8, 0, MAX(1, ROW()-14)), '特殊配信マスタ'!$M$3:$N$8, ""),"")</f>
        <v/>
      </c>
      <c r="V111" s="7"/>
      <c r="W111" s="10" t="str">
        <f>"◇ポジションマッチ A" &amp; MOD(INT(($C$1 - '特殊配信マスタ'!$A$1) / 7), 3) + 1</f>
        <v>◇ポジションマッチ A2</v>
      </c>
      <c r="X111" s="11" t="str">
        <f>IFERROR(__xludf.DUMMYFUNCTION("IFERROR(TEXTJOIN(CHAR(10), TRUE, FILTER('特殊配信マスタ'!$C:$E, #REF!=X$1)), """")"),"")</f>
        <v/>
      </c>
      <c r="Y111" s="7" t="str">
        <f>IFERROR(__xludf.DUMMYFUNCTION("IFERROR(TEXTJOIN(CHAR(10), TRUE, FILTER('特殊配信マスタ'!$C:$E, #REF!=Y$1)), """")"),"")</f>
        <v/>
      </c>
      <c r="Z111" s="7" t="str">
        <f t="array" ref="Z111">IFERROR(XLOOKUP(W111, INDEX('特殊配信マスタ'!$C$3:$E$8, 0, MAX(1, ROW()-14)), '特殊配信マスタ'!$M$3:$N$8, ""),"")</f>
        <v/>
      </c>
      <c r="AA111" s="7"/>
      <c r="AB111" s="10" t="str">
        <f>"◇ポジションマッチ A" &amp; MOD(INT(($C$1 - '特殊配信マスタ'!$A$1) / 7), 3) + 1</f>
        <v>◇ポジションマッチ A2</v>
      </c>
      <c r="AC111" s="11" t="str">
        <f>IFERROR(__xludf.DUMMYFUNCTION("IFERROR(TEXTJOIN(CHAR(10), TRUE, FILTER('特殊配信マスタ'!$C:$E, #REF!=AC$1)), """")"),"")</f>
        <v/>
      </c>
      <c r="AD111" s="7" t="str">
        <f>IFERROR(__xludf.DUMMYFUNCTION("IFERROR(TEXTJOIN(CHAR(10), TRUE, FILTER('特殊配信マスタ'!$C:$E, #REF!=AD$1)), """")"),"")</f>
        <v/>
      </c>
      <c r="AE111" s="7" t="str">
        <f t="array" ref="AE111">IFERROR(XLOOKUP(AB111, INDEX('特殊配信マスタ'!$C$3:$E$8, 0, MAX(1, ROW()-14)), '特殊配信マスタ'!$M$3:$N$8, ""),"")</f>
        <v/>
      </c>
      <c r="AF111" s="7"/>
      <c r="AG111" s="10" t="str">
        <f>"◇ポジションマッチ A" &amp; MOD(INT(($C$1 - '特殊配信マスタ'!$A$1) / 7), 3) + 1</f>
        <v>◇ポジションマッチ A2</v>
      </c>
      <c r="AH111" s="11" t="str">
        <f>IFERROR(__xludf.DUMMYFUNCTION("IFERROR(TEXTJOIN(CHAR(10), TRUE, FILTER('特殊配信マスタ'!$C:$E, #REF!=AH$1)), """")"),"")</f>
        <v/>
      </c>
      <c r="AI111" s="7" t="str">
        <f>IFERROR(__xludf.DUMMYFUNCTION("IFERROR(TEXTJOIN(CHAR(10), TRUE, FILTER('特殊配信マスタ'!$C:$E, #REF!=AI$1)), """")"),"")</f>
        <v/>
      </c>
      <c r="AJ111" s="7" t="str">
        <f t="array" ref="AJ111">IFERROR(XLOOKUP(AG111, INDEX('特殊配信マスタ'!$C$3:$E$8, 0, MAX(1, ROW()-14)), '特殊配信マスタ'!$M$3:$N$8, ""),"")</f>
        <v/>
      </c>
      <c r="AK111" s="7"/>
    </row>
    <row r="112" ht="17.25" customHeight="1">
      <c r="A112" s="8"/>
      <c r="B112" s="9"/>
      <c r="C112" s="10" t="str">
        <f>"◇ポジションマッチ_36歳以上 A" &amp; MOD(INT(($C$1 - '特殊配信マスタ'!$A$1) / 7), 3) + 1</f>
        <v>◇ポジションマッチ_36歳以上 A2</v>
      </c>
      <c r="D112" s="11"/>
      <c r="E112" s="7"/>
      <c r="F112" s="7" t="str">
        <f t="array" ref="F112">IFERROR(XLOOKUP(C112, INDEX('特殊配信マスタ'!$C$3:$E$8, 0, MAX(1, ROW()-14)), '特殊配信マスタ'!$M$3:$N$8, ""),"")</f>
        <v/>
      </c>
      <c r="G112" s="7"/>
      <c r="H112" s="10" t="str">
        <f>"◇ポジションマッチ_36歳以上 A" &amp; MOD(INT(($C$1 - '特殊配信マスタ'!$A$1) / 7), 3) + 1</f>
        <v>◇ポジションマッチ_36歳以上 A2</v>
      </c>
      <c r="I112" s="11"/>
      <c r="J112" s="7"/>
      <c r="K112" s="7" t="str">
        <f t="array" ref="K112">IFERROR(XLOOKUP(H112, INDEX('特殊配信マスタ'!$C$3:$E$8, 0, MAX(1, ROW()-14)), '特殊配信マスタ'!$M$3:$N$8, ""),"")</f>
        <v/>
      </c>
      <c r="L112" s="7"/>
      <c r="M112" s="10" t="str">
        <f>"◇ポジションマッチ_36歳以上 A" &amp; MOD(INT(($C$1 - '特殊配信マスタ'!$A$1) / 7), 3) + 1</f>
        <v>◇ポジションマッチ_36歳以上 A2</v>
      </c>
      <c r="N112" s="11"/>
      <c r="O112" s="7"/>
      <c r="P112" s="7" t="str">
        <f t="array" ref="P112">IFERROR(XLOOKUP(M112, INDEX('特殊配信マスタ'!$C$3:$E$8, 0, MAX(1, ROW()-14)), '特殊配信マスタ'!$M$3:$N$8, ""),"")</f>
        <v/>
      </c>
      <c r="Q112" s="7"/>
      <c r="R112" s="10" t="str">
        <f>"◇ポジションマッチ_36歳以上 A" &amp; MOD(INT(($C$1 - '特殊配信マスタ'!$A$1) / 7), 3) + 1</f>
        <v>◇ポジションマッチ_36歳以上 A2</v>
      </c>
      <c r="S112" s="11"/>
      <c r="T112" s="7"/>
      <c r="U112" s="7" t="str">
        <f t="array" ref="U112">IFERROR(XLOOKUP(R112, INDEX('特殊配信マスタ'!$C$3:$E$8, 0, MAX(1, ROW()-14)), '特殊配信マスタ'!$M$3:$N$8, ""),"")</f>
        <v/>
      </c>
      <c r="V112" s="7"/>
      <c r="W112" s="10" t="str">
        <f>"◇ポジションマッチ_36歳以上 A" &amp; MOD(INT(($C$1 - '特殊配信マスタ'!$A$1) / 7), 3) + 1</f>
        <v>◇ポジションマッチ_36歳以上 A2</v>
      </c>
      <c r="X112" s="11"/>
      <c r="Y112" s="7"/>
      <c r="Z112" s="7" t="str">
        <f t="array" ref="Z112">IFERROR(XLOOKUP(W112, INDEX('特殊配信マスタ'!$C$3:$E$8, 0, MAX(1, ROW()-14)), '特殊配信マスタ'!$M$3:$N$8, ""),"")</f>
        <v/>
      </c>
      <c r="AA112" s="7"/>
      <c r="AB112" s="10" t="str">
        <f>"◇ポジションマッチ_36歳以上 A" &amp; MOD(INT(($C$1 - '特殊配信マスタ'!$A$1) / 7), 3) + 1</f>
        <v>◇ポジションマッチ_36歳以上 A2</v>
      </c>
      <c r="AC112" s="11"/>
      <c r="AD112" s="7"/>
      <c r="AE112" s="7" t="str">
        <f t="array" ref="AE112">IFERROR(XLOOKUP(AB112, INDEX('特殊配信マスタ'!$C$3:$E$8, 0, MAX(1, ROW()-14)), '特殊配信マスタ'!$M$3:$N$8, ""),"")</f>
        <v/>
      </c>
      <c r="AF112" s="7"/>
      <c r="AG112" s="10" t="str">
        <f>"◇ポジションマッチ_36歳以上 A" &amp; MOD(INT(($C$1 - '特殊配信マスタ'!$A$1) / 7), 3) + 1</f>
        <v>◇ポジションマッチ_36歳以上 A2</v>
      </c>
      <c r="AH112" s="11"/>
      <c r="AI112" s="7"/>
      <c r="AJ112" s="7" t="str">
        <f t="array" ref="AJ112">IFERROR(XLOOKUP(AG112, INDEX('特殊配信マスタ'!$C$3:$E$8, 0, MAX(1, ROW()-14)), '特殊配信マスタ'!$M$3:$N$8, ""),"")</f>
        <v/>
      </c>
      <c r="AK112" s="7"/>
    </row>
    <row r="113" ht="17.25" customHeight="1">
      <c r="A113" s="8">
        <f>A98+1</f>
        <v>15</v>
      </c>
      <c r="B113" s="9" t="s">
        <v>5</v>
      </c>
      <c r="C113" s="10" t="str">
        <f>IFERROR(__xludf.DUMMYFUNCTION("IFERROR(FILTER('リスト'!$C$2:$C$400, ('リスト'!$A$2:$A$400 = CHOOSE(WEEKDAY(C$1), ""日"", ""月"", ""火"", ""水"", ""木"", ""金"", ""土"")) * ('リスト'!$B$2:$B$400 = $A113) * ('リスト'!$E$2:$E$400 = ""毎週配信"") * ('リスト'!$O$2:$O$400 = FALSE)), """")"),"好条件×業務委託")</f>
        <v>好条件×業務委託</v>
      </c>
      <c r="D113" s="11" t="str">
        <f>IFERROR(__xludf.DUMMYFUNCTION("iferror(FILTER('リスト'!$D:$D, ('リスト'!$A:$A = C$1) * ('リスト'!$B:$B = $A113)))"),"")</f>
        <v/>
      </c>
      <c r="E113" s="7">
        <f>SUM(D113:D126)</f>
        <v>0</v>
      </c>
      <c r="F113" s="7" t="str">
        <f t="array" ref="F113">IFERROR(XLOOKUP(C113, 'リスト'!$C:$C, 'リスト'!$M:$M, ""), "")</f>
        <v>部</v>
      </c>
      <c r="G113" s="7" t="str">
        <f t="array" ref="G113">IFERROR(XLOOKUP(C113, 'リスト'!$C:$C, 'リスト'!$N:$N, ""), "")</f>
        <v>武</v>
      </c>
      <c r="H113" s="10" t="str">
        <f>IFERROR(__xludf.DUMMYFUNCTION("IFERROR(FILTER('リスト'!$C$2:$C$400, ('リスト'!$A$2:$A$400 = CHOOSE(WEEKDAY(H$1), ""日"", ""月"", ""火"", ""水"", ""木"", ""金"", ""土"")) * ('リスト'!$B$2:$B$400 = $A113) * ('リスト'!$E$2:$E$400 = ""毎週配信"") * ('リスト'!$O$2:$O$400 = FALSE)), """")"),"営業（コールセンター）_希望")</f>
        <v>営業（コールセンター）_希望</v>
      </c>
      <c r="I113" s="11" t="str">
        <f>IFERROR(__xludf.DUMMYFUNCTION("iferror(FILTER('リスト'!$D:$D, ('リスト'!$A:$A = H$1) * ('リスト'!$B:$B = $A113)))"),"")</f>
        <v/>
      </c>
      <c r="J113" s="7">
        <f>SUM(I113:I126)</f>
        <v>0</v>
      </c>
      <c r="K113" s="7" t="str">
        <f t="array" ref="K113">IFERROR(XLOOKUP(H113, 'リスト'!$C:$C, 'リスト'!$M:$M, ""), "")</f>
        <v>R</v>
      </c>
      <c r="L113" s="7" t="str">
        <f t="array" ref="L113">IFERROR(XLOOKUP(H113, 'リスト'!$C:$C, 'リスト'!$N:$N, ""), "")</f>
        <v/>
      </c>
      <c r="M113" s="10" t="str">
        <f>IFERROR(__xludf.DUMMYFUNCTION("IFERROR(FILTER('リスト'!$C$2:$C$400, ('リスト'!$A$2:$A$400 = CHOOSE(WEEKDAY(M$1), ""日"", ""月"", ""火"", ""水"", ""木"", ""金"", ""土"")) * ('リスト'!$B$2:$B$400 = $A113) * ('リスト'!$E$2:$E$400 = ""毎週配信"") * ('リスト'!$O$2:$O$400 = FALSE)), """")"),"営業（マーケ）_希望")</f>
        <v>営業（マーケ）_希望</v>
      </c>
      <c r="N113" s="11" t="str">
        <f>IFERROR(__xludf.DUMMYFUNCTION("iferror(FILTER('リスト'!$D:$D, ('リスト'!$A:$A = M$1) * ('リスト'!$B:$B = $A113)))"),"")</f>
        <v/>
      </c>
      <c r="O113" s="7">
        <f>SUM(N113:N126)</f>
        <v>0</v>
      </c>
      <c r="P113" s="7" t="str">
        <f t="array" ref="P113">IFERROR(XLOOKUP(M113, 'リスト'!$C:$C, 'リスト'!$M:$M, ""), "")</f>
        <v>R</v>
      </c>
      <c r="Q113" s="7" t="str">
        <f t="array" ref="Q113">IFERROR(XLOOKUP(M113, 'リスト'!$C:$C, 'リスト'!$N:$N, ""), "")</f>
        <v/>
      </c>
      <c r="R113" s="10" t="str">
        <f>IFERROR(__xludf.DUMMYFUNCTION("IFERROR(FILTER('リスト'!$C$2:$C$400, ('リスト'!$A$2:$A$400 = CHOOSE(WEEKDAY(R$1), ""日"", ""月"", ""火"", ""水"", ""木"", ""金"", ""土"")) * ('リスト'!$B$2:$B$400 = $A113) * ('リスト'!$E$2:$E$400 = ""毎週配信"") * ('リスト'!$O$2:$O$400 = FALSE)), """")"),"リモート手当あり")</f>
        <v>リモート手当あり</v>
      </c>
      <c r="S113" s="11" t="str">
        <f>IFERROR(__xludf.DUMMYFUNCTION("iferror(FILTER('リスト'!$D:$D, ('リスト'!$A:$A = R$1) * ('リスト'!$B:$B = $A113)))"),"")</f>
        <v/>
      </c>
      <c r="T113" s="7">
        <f>SUM(S113:S126)</f>
        <v>0</v>
      </c>
      <c r="U113" s="7" t="str">
        <f t="array" ref="U113">IFERROR(XLOOKUP(R113, 'リスト'!$C:$C, 'リスト'!$M:$M, ""), "")</f>
        <v>R</v>
      </c>
      <c r="V113" s="7" t="str">
        <f t="array" ref="V113">IFERROR(XLOOKUP(R113, 'リスト'!$C:$C, 'リスト'!$N:$N, ""), "")</f>
        <v/>
      </c>
      <c r="W113" s="10" t="str">
        <f>IFERROR(__xludf.DUMMYFUNCTION("IFERROR(FILTER('リスト'!$C$2:$C$400, ('リスト'!$A$2:$A$400 = CHOOSE(WEEKDAY(W$1), ""日"", ""月"", ""火"", ""水"", ""木"", ""金"", ""土"")) * ('リスト'!$B$2:$B$400 = $A113) * ('リスト'!$E$2:$E$400 = ""毎週配信"") * ('リスト'!$O$2:$O$400 = FALSE)), """")"),"事務（貿易事務）_希望")</f>
        <v>事務（貿易事務）_希望</v>
      </c>
      <c r="X113" s="11" t="str">
        <f>IFERROR(__xludf.DUMMYFUNCTION("iferror(FILTER('リスト'!$D:$D, ('リスト'!$A:$A = W$1) * ('リスト'!$B:$B = $A113)))"),"")</f>
        <v/>
      </c>
      <c r="Y113" s="7">
        <f>SUM(X113:X126)</f>
        <v>0</v>
      </c>
      <c r="Z113" s="7" t="str">
        <f t="array" ref="Z113">IFERROR(XLOOKUP(W113, 'リスト'!$C:$C, 'リスト'!$M:$M, ""), "")</f>
        <v>R</v>
      </c>
      <c r="AA113" s="7" t="str">
        <f t="array" ref="AA113">IFERROR(XLOOKUP(W113, 'リスト'!$C:$C, 'リスト'!$N:$N, ""), "")</f>
        <v/>
      </c>
      <c r="AB113" s="10" t="str">
        <f>IFERROR(__xludf.DUMMYFUNCTION("IFERROR(FILTER('リスト'!$C$2:$C$400, ('リスト'!$A$2:$A$400 = CHOOSE(WEEKDAY(AB$1), ""日"", ""月"", ""火"", ""水"", ""木"", ""金"", ""土"")) * ('リスト'!$B$2:$B$400 = $A113) * ('リスト'!$E$2:$E$400 = ""毎週配信"") * ('リスト'!$O$2:$O$400 = FALSE)), """")"),"")</f>
        <v/>
      </c>
      <c r="AC113" s="11" t="str">
        <f>IFERROR(__xludf.DUMMYFUNCTION("iferror(FILTER('リスト'!$D:$D, ('リスト'!$A:$A = AB$1) * ('リスト'!$B:$B = $A113)))"),"")</f>
        <v/>
      </c>
      <c r="AD113" s="7">
        <f>SUM(AC113:AC126)</f>
        <v>0</v>
      </c>
      <c r="AE113" s="7" t="str">
        <f t="array" ref="AE113">IFERROR(XLOOKUP(AB113, 'リスト'!$C:$C, 'リスト'!$M:$M, ""), "")</f>
        <v/>
      </c>
      <c r="AF113" s="7" t="str">
        <f t="array" ref="AF113">IFERROR(XLOOKUP(AB113, 'リスト'!$C:$C, 'リスト'!$N:$N, ""), "")</f>
        <v/>
      </c>
      <c r="AG113" s="10" t="str">
        <f>IFERROR(__xludf.DUMMYFUNCTION("IFERROR(FILTER('リスト'!$C$2:$C$400, ('リスト'!$A$2:$A$400 = CHOOSE(WEEKDAY(AG$1), ""日"", ""月"", ""火"", ""水"", ""木"", ""金"", ""土"")) * ('リスト'!$B$2:$B$400 = $A113) * ('リスト'!$E$2:$E$400 = ""毎週配信"") * ('リスト'!$O$2:$O$400 = FALSE)), """")"),"ランキング_事務（医療事務）_希望")</f>
        <v>ランキング_事務（医療事務）_希望</v>
      </c>
      <c r="AH113" s="11" t="str">
        <f>IFERROR(__xludf.DUMMYFUNCTION("iferror(FILTER('リスト'!$D:$D, ('リスト'!$A:$A = AG$1) * ('リスト'!$B:$B = $A113)))"),"")</f>
        <v/>
      </c>
      <c r="AI113" s="7">
        <f>SUM(AH113:AH126)</f>
        <v>0</v>
      </c>
      <c r="AJ113" s="7" t="str">
        <f t="array" ref="AJ113">IFERROR(XLOOKUP(AG113, 'リスト'!$C:$C, 'リスト'!$M:$M, ""), "")</f>
        <v>R</v>
      </c>
      <c r="AK113" s="7" t="str">
        <f t="array" ref="AK113">IFERROR(XLOOKUP(AG113, 'リスト'!$C:$C, 'リスト'!$N:$N, ""), "")</f>
        <v/>
      </c>
    </row>
    <row r="114" ht="17.25" customHeight="1">
      <c r="A114" s="8"/>
      <c r="B114" s="9"/>
      <c r="C114" s="12" t="str">
        <f>IFERROR(__xludf.DUMMYFUNCTION("""COMPUTED_VALUE"""),"好条件×契約社員")</f>
        <v>好条件×契約社員</v>
      </c>
      <c r="D114" s="7"/>
      <c r="E114" s="7"/>
      <c r="F114" s="7" t="str">
        <f t="array" ref="F114">IFERROR(XLOOKUP(C114, 'リスト'!$C:$C, 'リスト'!$M:$M, ""), "")</f>
        <v>R</v>
      </c>
      <c r="G114" s="7" t="str">
        <f t="array" ref="G114">IFERROR(XLOOKUP(C114, 'リスト'!$C:$C, 'リスト'!$N:$N, ""), "")</f>
        <v/>
      </c>
      <c r="H114" s="12" t="str">
        <f>IFERROR(__xludf.DUMMYFUNCTION("""COMPUTED_VALUE"""),"事務（金融関連）_希望")</f>
        <v>事務（金融関連）_希望</v>
      </c>
      <c r="I114" s="7"/>
      <c r="J114" s="7"/>
      <c r="K114" s="7" t="str">
        <f t="array" ref="K114">IFERROR(XLOOKUP(H114, 'リスト'!$C:$C, 'リスト'!$M:$M, ""), "")</f>
        <v>R</v>
      </c>
      <c r="L114" s="7" t="str">
        <f t="array" ref="L114">IFERROR(XLOOKUP(H114, 'リスト'!$C:$C, 'リスト'!$N:$N, ""), "")</f>
        <v/>
      </c>
      <c r="M114" s="12" t="str">
        <f>IFERROR(__xludf.DUMMYFUNCTION("""COMPUTED_VALUE"""),"事務（その他）_希望")</f>
        <v>事務（その他）_希望</v>
      </c>
      <c r="N114" s="7"/>
      <c r="O114" s="7"/>
      <c r="P114" s="7" t="str">
        <f t="array" ref="P114">IFERROR(XLOOKUP(M114, 'リスト'!$C:$C, 'リスト'!$M:$M, ""), "")</f>
        <v>R</v>
      </c>
      <c r="Q114" s="7" t="str">
        <f t="array" ref="Q114">IFERROR(XLOOKUP(M114, 'リスト'!$C:$C, 'リスト'!$N:$N, ""), "")</f>
        <v/>
      </c>
      <c r="R114" s="12" t="str">
        <f>IFERROR(__xludf.DUMMYFUNCTION("""COMPUTED_VALUE"""),"営業（その他）_希望")</f>
        <v>営業（その他）_希望</v>
      </c>
      <c r="S114" s="7"/>
      <c r="T114" s="7"/>
      <c r="U114" s="7" t="str">
        <f t="array" ref="U114">IFERROR(XLOOKUP(R114, 'リスト'!$C:$C, 'リスト'!$M:$M, ""), "")</f>
        <v>R</v>
      </c>
      <c r="V114" s="7" t="str">
        <f t="array" ref="V114">IFERROR(XLOOKUP(R114, 'リスト'!$C:$C, 'リスト'!$N:$N, ""), "")</f>
        <v/>
      </c>
      <c r="W114" s="12" t="str">
        <f>IFERROR(__xludf.DUMMYFUNCTION("""COMPUTED_VALUE"""),"販サ（フロント）_希望")</f>
        <v>販サ（フロント）_希望</v>
      </c>
      <c r="X114" s="7"/>
      <c r="Y114" s="7"/>
      <c r="Z114" s="7" t="str">
        <f t="array" ref="Z114">IFERROR(XLOOKUP(W114, 'リスト'!$C:$C, 'リスト'!$M:$M, ""), "")</f>
        <v>R</v>
      </c>
      <c r="AA114" s="7" t="str">
        <f t="array" ref="AA114">IFERROR(XLOOKUP(W114, 'リスト'!$C:$C, 'リスト'!$N:$N, ""), "")</f>
        <v/>
      </c>
      <c r="AB114" s="12"/>
      <c r="AC114" s="7"/>
      <c r="AD114" s="7"/>
      <c r="AE114" s="7" t="str">
        <f t="array" ref="AE114">IFERROR(XLOOKUP(AB114, 'リスト'!$C:$C, 'リスト'!$M:$M, ""), "")</f>
        <v/>
      </c>
      <c r="AF114" s="7" t="str">
        <f t="array" ref="AF114">IFERROR(XLOOKUP(AB114, 'リスト'!$C:$C, 'リスト'!$N:$N, ""), "")</f>
        <v/>
      </c>
      <c r="AG114" s="12" t="str">
        <f>IFERROR(__xludf.DUMMYFUNCTION("""COMPUTED_VALUE"""),"営業（キャリアカウンセラー）_希望")</f>
        <v>営業（キャリアカウンセラー）_希望</v>
      </c>
      <c r="AH114" s="7"/>
      <c r="AI114" s="7"/>
      <c r="AJ114" s="7" t="str">
        <f t="array" ref="AJ114">IFERROR(XLOOKUP(AG114, 'リスト'!$C:$C, 'リスト'!$M:$M, ""), "")</f>
        <v>R</v>
      </c>
      <c r="AK114" s="7" t="str">
        <f t="array" ref="AK114">IFERROR(XLOOKUP(AG114, 'リスト'!$C:$C, 'リスト'!$N:$N, ""), "")</f>
        <v/>
      </c>
    </row>
    <row r="115" ht="17.25" customHeight="1">
      <c r="A115" s="8"/>
      <c r="B115" s="9"/>
      <c r="C115" s="10"/>
      <c r="D115" s="13"/>
      <c r="E115" s="7"/>
      <c r="F115" s="7" t="str">
        <f t="array" ref="F115">IFERROR(XLOOKUP(C115, 'リスト'!$C:$C, 'リスト'!$M:$M, ""), "")</f>
        <v/>
      </c>
      <c r="G115" s="7" t="str">
        <f t="array" ref="G115">IFERROR(XLOOKUP(C115, 'リスト'!$C:$C, 'リスト'!$N:$N, ""), "")</f>
        <v/>
      </c>
      <c r="H115" s="10" t="str">
        <f>IFERROR(__xludf.DUMMYFUNCTION("""COMPUTED_VALUE"""),"転職回数不問")</f>
        <v>転職回数不問</v>
      </c>
      <c r="I115" s="13"/>
      <c r="J115" s="7"/>
      <c r="K115" s="7" t="str">
        <f t="array" ref="K115">IFERROR(XLOOKUP(H115, 'リスト'!$C:$C, 'リスト'!$M:$M, ""), "")</f>
        <v>R</v>
      </c>
      <c r="L115" s="7" t="str">
        <f t="array" ref="L115">IFERROR(XLOOKUP(H115, 'リスト'!$C:$C, 'リスト'!$N:$N, ""), "")</f>
        <v/>
      </c>
      <c r="M115" s="10"/>
      <c r="N115" s="13"/>
      <c r="O115" s="7"/>
      <c r="P115" s="7" t="str">
        <f t="array" ref="P115">IFERROR(XLOOKUP(M115, 'リスト'!$C:$C, 'リスト'!$M:$M, ""), "")</f>
        <v/>
      </c>
      <c r="Q115" s="7" t="str">
        <f t="array" ref="Q115">IFERROR(XLOOKUP(M115, 'リスト'!$C:$C, 'リスト'!$N:$N, ""), "")</f>
        <v/>
      </c>
      <c r="R115" s="10" t="str">
        <f>IFERROR(__xludf.DUMMYFUNCTION("""COMPUTED_VALUE"""),"事務（医療事務）_希望")</f>
        <v>事務（医療事務）_希望</v>
      </c>
      <c r="S115" s="13"/>
      <c r="T115" s="7"/>
      <c r="U115" s="7" t="str">
        <f t="array" ref="U115">IFERROR(XLOOKUP(R115, 'リスト'!$C:$C, 'リスト'!$M:$M, ""), "")</f>
        <v>R</v>
      </c>
      <c r="V115" s="7" t="str">
        <f t="array" ref="V115">IFERROR(XLOOKUP(R115, 'リスト'!$C:$C, 'リスト'!$N:$N, ""), "")</f>
        <v/>
      </c>
      <c r="W115" s="10"/>
      <c r="X115" s="13"/>
      <c r="Y115" s="7"/>
      <c r="Z115" s="7" t="str">
        <f t="array" ref="Z115">IFERROR(XLOOKUP(W115, 'リスト'!$C:$C, 'リスト'!$M:$M, ""), "")</f>
        <v/>
      </c>
      <c r="AA115" s="7" t="str">
        <f t="array" ref="AA115">IFERROR(XLOOKUP(W115, 'リスト'!$C:$C, 'リスト'!$N:$N, ""), "")</f>
        <v/>
      </c>
      <c r="AB115" s="10"/>
      <c r="AC115" s="13"/>
      <c r="AD115" s="7"/>
      <c r="AE115" s="7" t="str">
        <f t="array" ref="AE115">IFERROR(XLOOKUP(AB115, 'リスト'!$C:$C, 'リスト'!$M:$M, ""), "")</f>
        <v/>
      </c>
      <c r="AF115" s="7" t="str">
        <f t="array" ref="AF115">IFERROR(XLOOKUP(AB115, 'リスト'!$C:$C, 'リスト'!$N:$N, ""), "")</f>
        <v/>
      </c>
      <c r="AG115" s="10"/>
      <c r="AH115" s="13"/>
      <c r="AI115" s="7"/>
      <c r="AJ115" s="7" t="str">
        <f t="array" ref="AJ115">IFERROR(XLOOKUP(AG115, 'リスト'!$C:$C, 'リスト'!$M:$M, ""), "")</f>
        <v/>
      </c>
      <c r="AK115" s="7" t="str">
        <f t="array" ref="AK115">IFERROR(XLOOKUP(AG115, 'リスト'!$C:$C, 'リスト'!$N:$N, ""), "")</f>
        <v/>
      </c>
    </row>
    <row r="116" ht="17.25" customHeight="1">
      <c r="A116" s="8"/>
      <c r="B116" s="9"/>
      <c r="C116" s="14"/>
      <c r="D116" s="15"/>
      <c r="E116" s="7"/>
      <c r="F116" s="7" t="str">
        <f t="array" ref="F116">IFERROR(XLOOKUP(C116, 'リスト'!$C:$C, 'リスト'!$M:$M, ""), "")</f>
        <v/>
      </c>
      <c r="G116" s="7" t="str">
        <f t="array" ref="G116">IFERROR(XLOOKUP(C116, 'リスト'!$C:$C, 'リスト'!$N:$N, ""), "")</f>
        <v/>
      </c>
      <c r="H116" s="14"/>
      <c r="I116" s="15"/>
      <c r="J116" s="7"/>
      <c r="K116" s="7" t="str">
        <f t="array" ref="K116">IFERROR(XLOOKUP(H116, 'リスト'!$C:$C, 'リスト'!$M:$M, ""), "")</f>
        <v/>
      </c>
      <c r="L116" s="7" t="str">
        <f t="array" ref="L116">IFERROR(XLOOKUP(H116, 'リスト'!$C:$C, 'リスト'!$N:$N, ""), "")</f>
        <v/>
      </c>
      <c r="M116" s="14"/>
      <c r="N116" s="15"/>
      <c r="O116" s="7"/>
      <c r="P116" s="7" t="str">
        <f t="array" ref="P116">IFERROR(XLOOKUP(M116, 'リスト'!$C:$C, 'リスト'!$M:$M, ""), "")</f>
        <v/>
      </c>
      <c r="Q116" s="7" t="str">
        <f t="array" ref="Q116">IFERROR(XLOOKUP(M116, 'リスト'!$C:$C, 'リスト'!$N:$N, ""), "")</f>
        <v/>
      </c>
      <c r="R116" s="14"/>
      <c r="S116" s="15"/>
      <c r="T116" s="7"/>
      <c r="U116" s="7" t="str">
        <f t="array" ref="U116">IFERROR(XLOOKUP(R116, 'リスト'!$C:$C, 'リスト'!$M:$M, ""), "")</f>
        <v/>
      </c>
      <c r="V116" s="7" t="str">
        <f t="array" ref="V116">IFERROR(XLOOKUP(R116, 'リスト'!$C:$C, 'リスト'!$N:$N, ""), "")</f>
        <v/>
      </c>
      <c r="W116" s="14"/>
      <c r="X116" s="15"/>
      <c r="Y116" s="7"/>
      <c r="Z116" s="7" t="str">
        <f t="array" ref="Z116">IFERROR(XLOOKUP(W116, 'リスト'!$C:$C, 'リスト'!$M:$M, ""), "")</f>
        <v/>
      </c>
      <c r="AA116" s="7" t="str">
        <f t="array" ref="AA116">IFERROR(XLOOKUP(W116, 'リスト'!$C:$C, 'リスト'!$N:$N, ""), "")</f>
        <v/>
      </c>
      <c r="AB116" s="14"/>
      <c r="AC116" s="15"/>
      <c r="AD116" s="7"/>
      <c r="AE116" s="7" t="str">
        <f t="array" ref="AE116">IFERROR(XLOOKUP(AB116, 'リスト'!$C:$C, 'リスト'!$M:$M, ""), "")</f>
        <v/>
      </c>
      <c r="AF116" s="7" t="str">
        <f t="array" ref="AF116">IFERROR(XLOOKUP(AB116, 'リスト'!$C:$C, 'リスト'!$N:$N, ""), "")</f>
        <v/>
      </c>
      <c r="AG116" s="14"/>
      <c r="AH116" s="15"/>
      <c r="AI116" s="7"/>
      <c r="AJ116" s="7" t="str">
        <f t="array" ref="AJ116">IFERROR(XLOOKUP(AG116, 'リスト'!$C:$C, 'リスト'!$M:$M, ""), "")</f>
        <v/>
      </c>
      <c r="AK116" s="7" t="str">
        <f t="array" ref="AK116">IFERROR(XLOOKUP(AG116, 'リスト'!$C:$C, 'リスト'!$N:$N, ""), "")</f>
        <v/>
      </c>
    </row>
    <row r="117" ht="17.25" customHeight="1">
      <c r="A117" s="8"/>
      <c r="B117" s="9"/>
      <c r="C117" s="14"/>
      <c r="D117" s="13"/>
      <c r="E117" s="7"/>
      <c r="F117" s="7"/>
      <c r="G117" s="7"/>
      <c r="H117" s="14"/>
      <c r="I117" s="13"/>
      <c r="J117" s="7"/>
      <c r="K117" s="7"/>
      <c r="L117" s="7"/>
      <c r="M117" s="14"/>
      <c r="N117" s="13"/>
      <c r="O117" s="7"/>
      <c r="P117" s="7"/>
      <c r="Q117" s="7"/>
      <c r="R117" s="14"/>
      <c r="S117" s="13"/>
      <c r="T117" s="7"/>
      <c r="U117" s="7"/>
      <c r="V117" s="7"/>
      <c r="W117" s="14"/>
      <c r="X117" s="13"/>
      <c r="Y117" s="7"/>
      <c r="Z117" s="7"/>
      <c r="AA117" s="7"/>
      <c r="AB117" s="14"/>
      <c r="AC117" s="13"/>
      <c r="AD117" s="7"/>
      <c r="AE117" s="7"/>
      <c r="AF117" s="7"/>
      <c r="AG117" s="14"/>
      <c r="AH117" s="13"/>
      <c r="AI117" s="7"/>
      <c r="AJ117" s="7"/>
      <c r="AK117" s="7"/>
    </row>
    <row r="118" ht="17.25" customHeight="1">
      <c r="A118" s="8"/>
      <c r="B118" s="9"/>
      <c r="C118" s="14"/>
      <c r="D118" s="13"/>
      <c r="E118" s="7"/>
      <c r="F118" s="7"/>
      <c r="G118" s="7"/>
      <c r="H118" s="14"/>
      <c r="I118" s="13"/>
      <c r="J118" s="7"/>
      <c r="K118" s="7"/>
      <c r="L118" s="7"/>
      <c r="M118" s="14"/>
      <c r="N118" s="13"/>
      <c r="O118" s="7"/>
      <c r="P118" s="7"/>
      <c r="Q118" s="7"/>
      <c r="R118" s="14"/>
      <c r="S118" s="13"/>
      <c r="T118" s="7"/>
      <c r="U118" s="7"/>
      <c r="V118" s="7"/>
      <c r="W118" s="14"/>
      <c r="X118" s="13"/>
      <c r="Y118" s="7"/>
      <c r="Z118" s="7"/>
      <c r="AA118" s="7"/>
      <c r="AB118" s="14"/>
      <c r="AC118" s="13"/>
      <c r="AD118" s="7"/>
      <c r="AE118" s="7"/>
      <c r="AF118" s="7"/>
      <c r="AG118" s="14"/>
      <c r="AH118" s="13"/>
      <c r="AI118" s="7"/>
      <c r="AJ118" s="7"/>
      <c r="AK118" s="7"/>
    </row>
    <row r="119" ht="17.25" customHeight="1">
      <c r="A119" s="8"/>
      <c r="B119" s="9"/>
      <c r="C119" s="14"/>
      <c r="D119" s="13"/>
      <c r="E119" s="7"/>
      <c r="F119" s="7"/>
      <c r="G119" s="7"/>
      <c r="H119" s="14"/>
      <c r="I119" s="13"/>
      <c r="J119" s="7"/>
      <c r="K119" s="7"/>
      <c r="L119" s="7"/>
      <c r="M119" s="14"/>
      <c r="N119" s="13"/>
      <c r="O119" s="7"/>
      <c r="P119" s="7"/>
      <c r="Q119" s="7"/>
      <c r="R119" s="14"/>
      <c r="S119" s="13"/>
      <c r="T119" s="7"/>
      <c r="U119" s="7"/>
      <c r="V119" s="7"/>
      <c r="W119" s="14"/>
      <c r="X119" s="13"/>
      <c r="Y119" s="7"/>
      <c r="Z119" s="7"/>
      <c r="AA119" s="7"/>
      <c r="AB119" s="14"/>
      <c r="AC119" s="13"/>
      <c r="AD119" s="7"/>
      <c r="AE119" s="7"/>
      <c r="AF119" s="7"/>
      <c r="AG119" s="14"/>
      <c r="AH119" s="13"/>
      <c r="AI119" s="7"/>
      <c r="AJ119" s="7"/>
      <c r="AK119" s="7"/>
    </row>
    <row r="120" ht="17.25" customHeight="1">
      <c r="A120" s="8"/>
      <c r="B120" s="9"/>
      <c r="C120" s="14"/>
      <c r="D120" s="13"/>
      <c r="E120" s="7"/>
      <c r="F120" s="7"/>
      <c r="G120" s="7"/>
      <c r="H120" s="14"/>
      <c r="I120" s="13"/>
      <c r="J120" s="7"/>
      <c r="K120" s="7"/>
      <c r="L120" s="7"/>
      <c r="M120" s="14"/>
      <c r="N120" s="13"/>
      <c r="O120" s="7"/>
      <c r="P120" s="7"/>
      <c r="Q120" s="7"/>
      <c r="R120" s="14"/>
      <c r="S120" s="13"/>
      <c r="T120" s="7"/>
      <c r="U120" s="7"/>
      <c r="V120" s="7"/>
      <c r="W120" s="14"/>
      <c r="X120" s="13"/>
      <c r="Y120" s="7"/>
      <c r="Z120" s="7"/>
      <c r="AA120" s="7"/>
      <c r="AB120" s="14"/>
      <c r="AC120" s="13"/>
      <c r="AD120" s="7"/>
      <c r="AE120" s="7"/>
      <c r="AF120" s="7"/>
      <c r="AG120" s="14"/>
      <c r="AH120" s="13"/>
      <c r="AI120" s="7"/>
      <c r="AJ120" s="7"/>
      <c r="AK120" s="7"/>
    </row>
    <row r="121" ht="17.25" customHeight="1">
      <c r="A121" s="8"/>
      <c r="B121" s="9" t="s">
        <v>6</v>
      </c>
      <c r="C121" s="10" t="str">
        <f>IFERROR(__xludf.DUMMYFUNCTION("iferror(FILTER('新規'!$C:$C, ('新規'!$A:$A = C$1) * ('新規'!$B:$B = $A113)))"),"")</f>
        <v/>
      </c>
      <c r="D121" s="11" t="str">
        <f>IFERROR(__xludf.DUMMYFUNCTION("IFERROR(FILTER('新規'!$D$2:$D$400, ('新規'!$A$2:$A$400 = CHOOSE(WEEKDAY(C$1), ""日"", ""月"", ""火"", ""水"", ""木"", ""金"", ""土"")) * ('新規'!$B$2:$B$400 = $A$3) * ('新規'!$O$2:$O$400 = FALSE)), """")"),"")</f>
        <v/>
      </c>
      <c r="E121" s="7"/>
      <c r="F121" s="7" t="str">
        <f>IFERROR(__xludf.DUMMYFUNCTION("IFERROR(FILTER('新規'!$M$2:$M$400, ('新規'!$A$2:$A$400 = CHOOSE(WEEKDAY(C$1), ""日"", ""月"", ""火"", ""水"", ""木"", ""金"", ""土"")) * ('新規'!$B$2:$B$400 = $A$3) * ('新規'!$O$2:$O$400 = FALSE)), """")"),"")</f>
        <v/>
      </c>
      <c r="G121" s="7" t="str">
        <f>IFERROR(__xludf.DUMMYFUNCTION("IFERROR(FILTER('新規'!$N$2:$N$400, ('新規'!$A$2:$A$400 = CHOOSE(WEEKDAY(C$1), ""日"", ""月"", ""火"", ""水"", ""木"", ""金"", ""土"")) * ('新規'!$B$2:$B$400 = $A$3) * ('新規'!$O$2:$O$400 = FALSE)), """")"),"")</f>
        <v/>
      </c>
      <c r="H121" s="10" t="str">
        <f>IFERROR(__xludf.DUMMYFUNCTION("iferror(FILTER('新規'!$C:$C, ('新規'!$A:$A = H$1) * ('新規'!$B:$B = $A113)))"),"")</f>
        <v/>
      </c>
      <c r="I121" s="11" t="str">
        <f>IFERROR(__xludf.DUMMYFUNCTION("IFERROR(FILTER('新規'!$D$2:$D$400, ('新規'!$A$2:$A$400 = CHOOSE(WEEKDAY(H$1), ""日"", ""月"", ""火"", ""水"", ""木"", ""金"", ""土"")) * ('新規'!$B$2:$B$400 = $A$3) * ('新規'!$O$2:$O$400 = FALSE)), """")"),"")</f>
        <v/>
      </c>
      <c r="J121" s="7"/>
      <c r="K121" s="7" t="str">
        <f>IFERROR(__xludf.DUMMYFUNCTION("IFERROR(FILTER('新規'!$M$2:$M$400, ('新規'!$A$2:$A$400 = CHOOSE(WEEKDAY(H$1), ""日"", ""月"", ""火"", ""水"", ""木"", ""金"", ""土"")) * ('新規'!$B$2:$B$400 = $A$3) * ('新規'!$O$2:$O$400 = FALSE)), """")"),"")</f>
        <v/>
      </c>
      <c r="L121" s="7" t="str">
        <f>IFERROR(__xludf.DUMMYFUNCTION("IFERROR(FILTER('新規'!$N$2:$N$400, ('新規'!$A$2:$A$400 = CHOOSE(WEEKDAY(H$1), ""日"", ""月"", ""火"", ""水"", ""木"", ""金"", ""土"")) * ('新規'!$B$2:$B$400 = $A$3) * ('新規'!$O$2:$O$400 = FALSE)), """")"),"")</f>
        <v/>
      </c>
      <c r="M121" s="10" t="str">
        <f>IFERROR(__xludf.DUMMYFUNCTION("iferror(FILTER('新規'!$C:$C, ('新規'!$A:$A = M$1) * ('新規'!$B:$B = $A113)))"),"レコメンドリマインド")</f>
        <v>レコメンドリマインド</v>
      </c>
      <c r="N121" s="11" t="str">
        <f>IFERROR(__xludf.DUMMYFUNCTION("IFERROR(FILTER('新規'!$D$2:$D$400, ('新規'!$A$2:$A$400 = CHOOSE(WEEKDAY(M$1), ""日"", ""月"", ""火"", ""水"", ""木"", ""金"", ""土"")) * ('新規'!$B$2:$B$400 = $A$3) * ('新規'!$O$2:$O$400 = FALSE)), """")"),"")</f>
        <v/>
      </c>
      <c r="O121" s="7"/>
      <c r="P121" s="7" t="str">
        <f>IFERROR(__xludf.DUMMYFUNCTION("IFERROR(FILTER('新規'!$M$2:$M$400, ('新規'!$A$2:$A$400 = CHOOSE(WEEKDAY(M$1), ""日"", ""月"", ""火"", ""水"", ""木"", ""金"", ""土"")) * ('新規'!$B$2:$B$400 = $A$3) * ('新規'!$O$2:$O$400 = FALSE)), """")"),"")</f>
        <v/>
      </c>
      <c r="Q121" s="7" t="str">
        <f>IFERROR(__xludf.DUMMYFUNCTION("IFERROR(FILTER('新規'!$N$2:$N$400, ('新規'!$A$2:$A$400 = CHOOSE(WEEKDAY(M$1), ""日"", ""月"", ""火"", ""水"", ""木"", ""金"", ""土"")) * ('新規'!$B$2:$B$400 = $A$3) * ('新規'!$O$2:$O$400 = FALSE)), """")"),"")</f>
        <v/>
      </c>
      <c r="R121" s="10" t="str">
        <f>IFERROR(__xludf.DUMMYFUNCTION("iferror(FILTER('新規'!$C:$C, ('新規'!$A:$A = R$1) * ('新規'!$B:$B = $A113)))"),"")</f>
        <v/>
      </c>
      <c r="S121" s="11" t="str">
        <f>IFERROR(__xludf.DUMMYFUNCTION("IFERROR(FILTER('新規'!$D$2:$D$400, ('新規'!$A$2:$A$400 = CHOOSE(WEEKDAY(R$1), ""日"", ""月"", ""火"", ""水"", ""木"", ""金"", ""土"")) * ('新規'!$B$2:$B$400 = $A$3) * ('新規'!$O$2:$O$400 = FALSE)), """")"),"")</f>
        <v/>
      </c>
      <c r="T121" s="7"/>
      <c r="U121" s="7" t="str">
        <f>IFERROR(__xludf.DUMMYFUNCTION("IFERROR(FILTER('新規'!$M$2:$M$400, ('新規'!$A$2:$A$400 = CHOOSE(WEEKDAY(R$1), ""日"", ""月"", ""火"", ""水"", ""木"", ""金"", ""土"")) * ('新規'!$B$2:$B$400 = $A$3) * ('新規'!$O$2:$O$400 = FALSE)), """")"),"")</f>
        <v/>
      </c>
      <c r="V121" s="7" t="str">
        <f>IFERROR(__xludf.DUMMYFUNCTION("IFERROR(FILTER('新規'!$N$2:$N$400, ('新規'!$A$2:$A$400 = CHOOSE(WEEKDAY(R$1), ""日"", ""月"", ""火"", ""水"", ""木"", ""金"", ""土"")) * ('新規'!$B$2:$B$400 = $A$3) * ('新規'!$O$2:$O$400 = FALSE)), """")"),"")</f>
        <v/>
      </c>
      <c r="W121" s="10" t="str">
        <f>IFERROR(__xludf.DUMMYFUNCTION("iferror(FILTER('新規'!$C:$C, ('新規'!$A:$A = W$1) * ('新規'!$B:$B = $A113)))"),"ミライさんリマインド")</f>
        <v>ミライさんリマインド</v>
      </c>
      <c r="X121" s="11" t="str">
        <f>IFERROR(__xludf.DUMMYFUNCTION("IFERROR(FILTER('新規'!$D$2:$D$400, ('新規'!$A$2:$A$400 = CHOOSE(WEEKDAY(W$1), ""日"", ""月"", ""火"", ""水"", ""木"", ""金"", ""土"")) * ('新規'!$B$2:$B$400 = $A$3) * ('新規'!$O$2:$O$400 = FALSE)), """")"),"")</f>
        <v/>
      </c>
      <c r="Y121" s="7"/>
      <c r="Z121" s="7" t="str">
        <f>IFERROR(__xludf.DUMMYFUNCTION("IFERROR(FILTER('新規'!$M$2:$M$400, ('新規'!$A$2:$A$400 = CHOOSE(WEEKDAY(W$1), ""日"", ""月"", ""火"", ""水"", ""木"", ""金"", ""土"")) * ('新規'!$B$2:$B$400 = $A$3) * ('新規'!$O$2:$O$400 = FALSE)), """")"),"")</f>
        <v/>
      </c>
      <c r="AA121" s="7" t="str">
        <f>IFERROR(__xludf.DUMMYFUNCTION("IFERROR(FILTER('新規'!$N$2:$N$400, ('新規'!$A$2:$A$400 = CHOOSE(WEEKDAY(W$1), ""日"", ""月"", ""火"", ""水"", ""木"", ""金"", ""土"")) * ('新規'!$B$2:$B$400 = $A$3) * ('新規'!$O$2:$O$400 = FALSE)), """")"),"")</f>
        <v/>
      </c>
      <c r="AB121" s="10" t="str">
        <f>IFERROR(__xludf.DUMMYFUNCTION("iferror(FILTER('新規'!$C:$C, ('新規'!$A:$A = AB$1) * ('新規'!$B:$B = $A113)))"),"")</f>
        <v/>
      </c>
      <c r="AC121" s="11" t="str">
        <f>IFERROR(__xludf.DUMMYFUNCTION("IFERROR(FILTER('新規'!$D$2:$D$400, ('新規'!$A$2:$A$400 = CHOOSE(WEEKDAY(AB$1), ""日"", ""月"", ""火"", ""水"", ""木"", ""金"", ""土"")) * ('新規'!$B$2:$B$400 = $A$3) * ('新規'!$O$2:$O$400 = FALSE)), """")"),"")</f>
        <v/>
      </c>
      <c r="AD121" s="7"/>
      <c r="AE121" s="7" t="str">
        <f>IFERROR(__xludf.DUMMYFUNCTION("IFERROR(FILTER('新規'!$M$2:$M$400, ('新規'!$A$2:$A$400 = CHOOSE(WEEKDAY(AB$1), ""日"", ""月"", ""火"", ""水"", ""木"", ""金"", ""土"")) * ('新規'!$B$2:$B$400 = $A$3) * ('新規'!$O$2:$O$400 = FALSE)), """")"),"")</f>
        <v/>
      </c>
      <c r="AF121" s="7" t="str">
        <f>IFERROR(__xludf.DUMMYFUNCTION("IFERROR(FILTER('新規'!$N$2:$N$400, ('新規'!$A$2:$A$400 = CHOOSE(WEEKDAY(AB$1), ""日"", ""月"", ""火"", ""水"", ""木"", ""金"", ""土"")) * ('新規'!$B$2:$B$400 = $A$3) * ('新規'!$O$2:$O$400 = FALSE)), """")"),"")</f>
        <v/>
      </c>
      <c r="AG121" s="10" t="str">
        <f>IFERROR(__xludf.DUMMYFUNCTION("iferror(FILTER('新規'!$C:$C, ('新規'!$A:$A = AG$1) * ('新規'!$B:$B = $A113)))"),"")</f>
        <v/>
      </c>
      <c r="AH121" s="11" t="str">
        <f>IFERROR(__xludf.DUMMYFUNCTION("IFERROR(FILTER('新規'!$D$2:$D$400, ('新規'!$A$2:$A$400 = CHOOSE(WEEKDAY(AG$1), ""日"", ""月"", ""火"", ""水"", ""木"", ""金"", ""土"")) * ('新規'!$B$2:$B$400 = $A$3) * ('新規'!$O$2:$O$400 = FALSE)), """")"),"")</f>
        <v/>
      </c>
      <c r="AI121" s="7"/>
      <c r="AJ121" s="7" t="str">
        <f>IFERROR(__xludf.DUMMYFUNCTION("IFERROR(FILTER('新規'!$M$2:$M$400, ('新規'!$A$2:$A$400 = CHOOSE(WEEKDAY(AG$1), ""日"", ""月"", ""火"", ""水"", ""木"", ""金"", ""土"")) * ('新規'!$B$2:$B$400 = $A$3) * ('新規'!$O$2:$O$400 = FALSE)), """")"),"")</f>
        <v/>
      </c>
      <c r="AK121" s="7" t="str">
        <f>IFERROR(__xludf.DUMMYFUNCTION("IFERROR(FILTER('新規'!$N$2:$N$400, ('新規'!$A$2:$A$400 = CHOOSE(WEEKDAY(AG$1), ""日"", ""月"", ""火"", ""水"", ""木"", ""金"", ""土"")) * ('新規'!$B$2:$B$400 = $A$3) * ('新規'!$O$2:$O$400 = FALSE)), """")"),"")</f>
        <v/>
      </c>
    </row>
    <row r="122" ht="17.25" customHeight="1">
      <c r="A122" s="8"/>
      <c r="B122" s="9"/>
      <c r="C122" s="17"/>
      <c r="D122" s="7"/>
      <c r="E122" s="7"/>
      <c r="F122" s="7" t="str">
        <f t="array" ref="F122">IFERROR(XLOOKUP(C122, 'リスト'!$C:$C, 'リスト'!$M:$M, ""), "")</f>
        <v/>
      </c>
      <c r="G122" s="7" t="str">
        <f t="array" ref="G122">IFERROR(XLOOKUP(C122, 'リスト'!$C:$C, 'リスト'!$N:$N, ""), "")</f>
        <v/>
      </c>
      <c r="H122" s="17"/>
      <c r="I122" s="7"/>
      <c r="J122" s="7"/>
      <c r="K122" s="7" t="str">
        <f t="array" ref="K122">IFERROR(XLOOKUP(H122, 'リスト'!$C:$C, 'リスト'!$M:$M, ""), "")</f>
        <v/>
      </c>
      <c r="L122" s="7" t="str">
        <f t="array" ref="L122">IFERROR(XLOOKUP(H122, 'リスト'!$C:$C, 'リスト'!$N:$N, ""), "")</f>
        <v/>
      </c>
      <c r="M122" s="17"/>
      <c r="N122" s="7"/>
      <c r="O122" s="7"/>
      <c r="P122" s="7" t="str">
        <f t="array" ref="P122">IFERROR(XLOOKUP(M122, 'リスト'!$C:$C, 'リスト'!$M:$M, ""), "")</f>
        <v/>
      </c>
      <c r="Q122" s="7" t="str">
        <f t="array" ref="Q122">IFERROR(XLOOKUP(M122, 'リスト'!$C:$C, 'リスト'!$N:$N, ""), "")</f>
        <v/>
      </c>
      <c r="R122" s="17"/>
      <c r="S122" s="7"/>
      <c r="T122" s="7"/>
      <c r="U122" s="7" t="str">
        <f t="array" ref="U122">IFERROR(XLOOKUP(R122, 'リスト'!$C:$C, 'リスト'!$M:$M, ""), "")</f>
        <v/>
      </c>
      <c r="V122" s="7" t="str">
        <f t="array" ref="V122">IFERROR(XLOOKUP(R122, 'リスト'!$C:$C, 'リスト'!$N:$N, ""), "")</f>
        <v/>
      </c>
      <c r="W122" s="17"/>
      <c r="X122" s="7"/>
      <c r="Y122" s="7"/>
      <c r="Z122" s="7" t="str">
        <f t="array" ref="Z122">IFERROR(XLOOKUP(W122, 'リスト'!$C:$C, 'リスト'!$M:$M, ""), "")</f>
        <v/>
      </c>
      <c r="AA122" s="7" t="str">
        <f t="array" ref="AA122">IFERROR(XLOOKUP(W122, 'リスト'!$C:$C, 'リスト'!$N:$N, ""), "")</f>
        <v/>
      </c>
      <c r="AB122" s="17"/>
      <c r="AC122" s="7"/>
      <c r="AD122" s="7"/>
      <c r="AE122" s="7" t="str">
        <f t="array" ref="AE122">IFERROR(XLOOKUP(AB122, 'リスト'!$C:$C, 'リスト'!$M:$M, ""), "")</f>
        <v/>
      </c>
      <c r="AF122" s="7" t="str">
        <f t="array" ref="AF122">IFERROR(XLOOKUP(AB122, 'リスト'!$C:$C, 'リスト'!$N:$N, ""), "")</f>
        <v/>
      </c>
      <c r="AG122" s="17"/>
      <c r="AH122" s="7"/>
      <c r="AI122" s="7"/>
      <c r="AJ122" s="7" t="str">
        <f t="array" ref="AJ122">IFERROR(XLOOKUP(AG122, 'リスト'!$C:$C, 'リスト'!$M:$M, ""), "")</f>
        <v/>
      </c>
      <c r="AK122" s="7" t="str">
        <f t="array" ref="AK122">IFERROR(XLOOKUP(AG122, 'リスト'!$C:$C, 'リスト'!$N:$N, ""), "")</f>
        <v/>
      </c>
    </row>
    <row r="123" ht="17.25" customHeight="1">
      <c r="A123" s="8"/>
      <c r="B123" s="9"/>
      <c r="C123" s="17"/>
      <c r="D123" s="7"/>
      <c r="E123" s="7"/>
      <c r="F123" s="7" t="str">
        <f t="array" ref="F123">IFERROR(XLOOKUP(C123, 'リスト'!$C:$C, 'リスト'!$M:$M, ""), "")</f>
        <v/>
      </c>
      <c r="G123" s="7" t="str">
        <f t="array" ref="G123">IFERROR(XLOOKUP(C123, 'リスト'!$C:$C, 'リスト'!$N:$N, ""), "")</f>
        <v/>
      </c>
      <c r="H123" s="17"/>
      <c r="I123" s="7"/>
      <c r="J123" s="7"/>
      <c r="K123" s="7" t="str">
        <f t="array" ref="K123">IFERROR(XLOOKUP(H123, 'リスト'!$C:$C, 'リスト'!$M:$M, ""), "")</f>
        <v/>
      </c>
      <c r="L123" s="7" t="str">
        <f t="array" ref="L123">IFERROR(XLOOKUP(H123, 'リスト'!$C:$C, 'リスト'!$N:$N, ""), "")</f>
        <v/>
      </c>
      <c r="M123" s="17"/>
      <c r="N123" s="7"/>
      <c r="O123" s="7"/>
      <c r="P123" s="7" t="str">
        <f t="array" ref="P123">IFERROR(XLOOKUP(M123, 'リスト'!$C:$C, 'リスト'!$M:$M, ""), "")</f>
        <v/>
      </c>
      <c r="Q123" s="7" t="str">
        <f t="array" ref="Q123">IFERROR(XLOOKUP(M123, 'リスト'!$C:$C, 'リスト'!$N:$N, ""), "")</f>
        <v/>
      </c>
      <c r="R123" s="17"/>
      <c r="S123" s="7"/>
      <c r="T123" s="7"/>
      <c r="U123" s="7" t="str">
        <f t="array" ref="U123">IFERROR(XLOOKUP(R123, 'リスト'!$C:$C, 'リスト'!$M:$M, ""), "")</f>
        <v/>
      </c>
      <c r="V123" s="7" t="str">
        <f t="array" ref="V123">IFERROR(XLOOKUP(R123, 'リスト'!$C:$C, 'リスト'!$N:$N, ""), "")</f>
        <v/>
      </c>
      <c r="W123" s="17"/>
      <c r="X123" s="7"/>
      <c r="Y123" s="7"/>
      <c r="Z123" s="7" t="str">
        <f t="array" ref="Z123">IFERROR(XLOOKUP(W123, 'リスト'!$C:$C, 'リスト'!$M:$M, ""), "")</f>
        <v/>
      </c>
      <c r="AA123" s="7" t="str">
        <f t="array" ref="AA123">IFERROR(XLOOKUP(W123, 'リスト'!$C:$C, 'リスト'!$N:$N, ""), "")</f>
        <v/>
      </c>
      <c r="AB123" s="17"/>
      <c r="AC123" s="7"/>
      <c r="AD123" s="7"/>
      <c r="AE123" s="7" t="str">
        <f t="array" ref="AE123">IFERROR(XLOOKUP(AB123, 'リスト'!$C:$C, 'リスト'!$M:$M, ""), "")</f>
        <v/>
      </c>
      <c r="AF123" s="7" t="str">
        <f t="array" ref="AF123">IFERROR(XLOOKUP(AB123, 'リスト'!$C:$C, 'リスト'!$N:$N, ""), "")</f>
        <v/>
      </c>
      <c r="AG123" s="17"/>
      <c r="AH123" s="7"/>
      <c r="AI123" s="7"/>
      <c r="AJ123" s="7" t="str">
        <f t="array" ref="AJ123">IFERROR(XLOOKUP(AG123, 'リスト'!$C:$C, 'リスト'!$M:$M, ""), "")</f>
        <v/>
      </c>
      <c r="AK123" s="7" t="str">
        <f t="array" ref="AK123">IFERROR(XLOOKUP(AG123, 'リスト'!$C:$C, 'リスト'!$N:$N, ""), "")</f>
        <v/>
      </c>
    </row>
    <row r="124" ht="17.25" customHeight="1">
      <c r="A124" s="8"/>
      <c r="B124" s="9"/>
      <c r="C124" s="17"/>
      <c r="D124" s="7"/>
      <c r="E124" s="7"/>
      <c r="F124" s="7" t="str">
        <f t="array" ref="F124">IFERROR(XLOOKUP(C124, 'リスト'!$C:$C, 'リスト'!$M:$M, ""), "")</f>
        <v/>
      </c>
      <c r="G124" s="7" t="str">
        <f t="array" ref="G124">IFERROR(XLOOKUP(C124, 'リスト'!$C:$C, 'リスト'!$N:$N, ""), "")</f>
        <v/>
      </c>
      <c r="H124" s="17"/>
      <c r="I124" s="7"/>
      <c r="J124" s="7"/>
      <c r="K124" s="7" t="str">
        <f t="array" ref="K124">IFERROR(XLOOKUP(H124, 'リスト'!$C:$C, 'リスト'!$M:$M, ""), "")</f>
        <v/>
      </c>
      <c r="L124" s="7" t="str">
        <f t="array" ref="L124">IFERROR(XLOOKUP(H124, 'リスト'!$C:$C, 'リスト'!$N:$N, ""), "")</f>
        <v/>
      </c>
      <c r="M124" s="17"/>
      <c r="N124" s="7"/>
      <c r="O124" s="7"/>
      <c r="P124" s="7" t="str">
        <f t="array" ref="P124">IFERROR(XLOOKUP(M124, 'リスト'!$C:$C, 'リスト'!$M:$M, ""), "")</f>
        <v/>
      </c>
      <c r="Q124" s="7" t="str">
        <f t="array" ref="Q124">IFERROR(XLOOKUP(M124, 'リスト'!$C:$C, 'リスト'!$N:$N, ""), "")</f>
        <v/>
      </c>
      <c r="R124" s="17"/>
      <c r="S124" s="7"/>
      <c r="T124" s="7"/>
      <c r="U124" s="7" t="str">
        <f t="array" ref="U124">IFERROR(XLOOKUP(R124, 'リスト'!$C:$C, 'リスト'!$M:$M, ""), "")</f>
        <v/>
      </c>
      <c r="V124" s="7" t="str">
        <f t="array" ref="V124">IFERROR(XLOOKUP(R124, 'リスト'!$C:$C, 'リスト'!$N:$N, ""), "")</f>
        <v/>
      </c>
      <c r="W124" s="17"/>
      <c r="X124" s="7"/>
      <c r="Y124" s="7"/>
      <c r="Z124" s="7" t="str">
        <f t="array" ref="Z124">IFERROR(XLOOKUP(W124, 'リスト'!$C:$C, 'リスト'!$M:$M, ""), "")</f>
        <v/>
      </c>
      <c r="AA124" s="7" t="str">
        <f t="array" ref="AA124">IFERROR(XLOOKUP(W124, 'リスト'!$C:$C, 'リスト'!$N:$N, ""), "")</f>
        <v/>
      </c>
      <c r="AB124" s="17"/>
      <c r="AC124" s="7"/>
      <c r="AD124" s="7"/>
      <c r="AE124" s="7" t="str">
        <f t="array" ref="AE124">IFERROR(XLOOKUP(AB124, 'リスト'!$C:$C, 'リスト'!$M:$M, ""), "")</f>
        <v/>
      </c>
      <c r="AF124" s="7" t="str">
        <f t="array" ref="AF124">IFERROR(XLOOKUP(AB124, 'リスト'!$C:$C, 'リスト'!$N:$N, ""), "")</f>
        <v/>
      </c>
      <c r="AG124" s="17"/>
      <c r="AH124" s="7"/>
      <c r="AI124" s="7"/>
      <c r="AJ124" s="7" t="str">
        <f t="array" ref="AJ124">IFERROR(XLOOKUP(AG124, 'リスト'!$C:$C, 'リスト'!$M:$M, ""), "")</f>
        <v/>
      </c>
      <c r="AK124" s="7" t="str">
        <f t="array" ref="AK124">IFERROR(XLOOKUP(AG124, 'リスト'!$C:$C, 'リスト'!$N:$N, ""), "")</f>
        <v/>
      </c>
    </row>
    <row r="125" ht="17.25" customHeight="1">
      <c r="A125" s="8"/>
      <c r="B125" s="9"/>
      <c r="C125" s="17"/>
      <c r="D125" s="7"/>
      <c r="E125" s="7"/>
      <c r="F125" s="7" t="str">
        <f t="array" ref="F125">IFERROR(XLOOKUP(C125, 'リスト'!$C:$C, 'リスト'!$M:$M, ""), "")</f>
        <v/>
      </c>
      <c r="G125" s="7" t="str">
        <f t="array" ref="G125">IFERROR(XLOOKUP(C125, 'リスト'!$C:$C, 'リスト'!$N:$N, ""), "")</f>
        <v/>
      </c>
      <c r="H125" s="17"/>
      <c r="I125" s="7"/>
      <c r="J125" s="7"/>
      <c r="K125" s="7" t="str">
        <f t="array" ref="K125">IFERROR(XLOOKUP(H125, 'リスト'!$C:$C, 'リスト'!$M:$M, ""), "")</f>
        <v/>
      </c>
      <c r="L125" s="7" t="str">
        <f t="array" ref="L125">IFERROR(XLOOKUP(H125, 'リスト'!$C:$C, 'リスト'!$N:$N, ""), "")</f>
        <v/>
      </c>
      <c r="M125" s="17"/>
      <c r="N125" s="7"/>
      <c r="O125" s="7"/>
      <c r="P125" s="7" t="str">
        <f t="array" ref="P125">IFERROR(XLOOKUP(M125, 'リスト'!$C:$C, 'リスト'!$M:$M, ""), "")</f>
        <v/>
      </c>
      <c r="Q125" s="7" t="str">
        <f t="array" ref="Q125">IFERROR(XLOOKUP(M125, 'リスト'!$C:$C, 'リスト'!$N:$N, ""), "")</f>
        <v/>
      </c>
      <c r="R125" s="17"/>
      <c r="S125" s="7"/>
      <c r="T125" s="7"/>
      <c r="U125" s="7" t="str">
        <f t="array" ref="U125">IFERROR(XLOOKUP(R125, 'リスト'!$C:$C, 'リスト'!$M:$M, ""), "")</f>
        <v/>
      </c>
      <c r="V125" s="7" t="str">
        <f t="array" ref="V125">IFERROR(XLOOKUP(R125, 'リスト'!$C:$C, 'リスト'!$N:$N, ""), "")</f>
        <v/>
      </c>
      <c r="W125" s="17"/>
      <c r="X125" s="7"/>
      <c r="Y125" s="7"/>
      <c r="Z125" s="7" t="str">
        <f t="array" ref="Z125">IFERROR(XLOOKUP(W125, 'リスト'!$C:$C, 'リスト'!$M:$M, ""), "")</f>
        <v/>
      </c>
      <c r="AA125" s="7" t="str">
        <f t="array" ref="AA125">IFERROR(XLOOKUP(W125, 'リスト'!$C:$C, 'リスト'!$N:$N, ""), "")</f>
        <v/>
      </c>
      <c r="AB125" s="17"/>
      <c r="AC125" s="7"/>
      <c r="AD125" s="7"/>
      <c r="AE125" s="7" t="str">
        <f t="array" ref="AE125">IFERROR(XLOOKUP(AB125, 'リスト'!$C:$C, 'リスト'!$M:$M, ""), "")</f>
        <v/>
      </c>
      <c r="AF125" s="7" t="str">
        <f t="array" ref="AF125">IFERROR(XLOOKUP(AB125, 'リスト'!$C:$C, 'リスト'!$N:$N, ""), "")</f>
        <v/>
      </c>
      <c r="AG125" s="17"/>
      <c r="AH125" s="7"/>
      <c r="AI125" s="7"/>
      <c r="AJ125" s="7" t="str">
        <f t="array" ref="AJ125">IFERROR(XLOOKUP(AG125, 'リスト'!$C:$C, 'リスト'!$M:$M, ""), "")</f>
        <v/>
      </c>
      <c r="AK125" s="7" t="str">
        <f t="array" ref="AK125">IFERROR(XLOOKUP(AG125, 'リスト'!$C:$C, 'リスト'!$N:$N, ""), "")</f>
        <v/>
      </c>
    </row>
    <row r="126" ht="17.25" customHeight="1">
      <c r="A126" s="8"/>
      <c r="B126" s="9" t="s">
        <v>7</v>
      </c>
      <c r="C126" s="10" t="str">
        <f>"◇ポジションマッチ A" &amp; MOD(INT(($C$1 - '特殊配信マスタ'!$A$1) / 7), 3) + 1</f>
        <v>◇ポジションマッチ A2</v>
      </c>
      <c r="D126" s="11" t="str">
        <f>IFERROR(__xludf.DUMMYFUNCTION("IFERROR(TEXTJOIN(CHAR(10), TRUE, FILTER('特殊配信マスタ'!$C:$E, #REF!=D$1)), """")"),"")</f>
        <v/>
      </c>
      <c r="E126" s="7" t="str">
        <f>IFERROR(__xludf.DUMMYFUNCTION("IFERROR(TEXTJOIN(CHAR(10), TRUE, FILTER('特殊配信マスタ'!$C:$E, #REF!=E$1)), """")"),"")</f>
        <v/>
      </c>
      <c r="F126" s="7" t="str">
        <f t="array" ref="F126">IFERROR(XLOOKUP(C126, INDEX('特殊配信マスタ'!$C$3:$E$8, 0, MAX(1, ROW()-14)), '特殊配信マスタ'!$M$3:$N$8, ""),"")</f>
        <v/>
      </c>
      <c r="G126" s="7"/>
      <c r="H126" s="10" t="str">
        <f>"◇ポジションマッチ A" &amp; MOD(INT(($C$1 - '特殊配信マスタ'!$A$1) / 7), 3) + 1</f>
        <v>◇ポジションマッチ A2</v>
      </c>
      <c r="I126" s="11" t="str">
        <f>IFERROR(__xludf.DUMMYFUNCTION("IFERROR(TEXTJOIN(CHAR(10), TRUE, FILTER('特殊配信マスタ'!$C:$E, #REF!=I$1)), """")"),"")</f>
        <v/>
      </c>
      <c r="J126" s="7" t="str">
        <f>IFERROR(__xludf.DUMMYFUNCTION("IFERROR(TEXTJOIN(CHAR(10), TRUE, FILTER('特殊配信マスタ'!$C:$E, #REF!=J$1)), """")"),"")</f>
        <v/>
      </c>
      <c r="K126" s="7" t="str">
        <f t="array" ref="K126">IFERROR(XLOOKUP(H126, INDEX('特殊配信マスタ'!$C$3:$E$8, 0, MAX(1, ROW()-14)), '特殊配信マスタ'!$M$3:$N$8, ""),"")</f>
        <v/>
      </c>
      <c r="L126" s="7"/>
      <c r="M126" s="10" t="str">
        <f>"◇ポジションマッチ A" &amp; MOD(INT(($C$1 - '特殊配信マスタ'!$A$1) / 7), 3) + 1</f>
        <v>◇ポジションマッチ A2</v>
      </c>
      <c r="N126" s="11" t="str">
        <f>IFERROR(__xludf.DUMMYFUNCTION("IFERROR(TEXTJOIN(CHAR(10), TRUE, FILTER('特殊配信マスタ'!$C:$E, #REF!=N$1)), """")"),"")</f>
        <v/>
      </c>
      <c r="O126" s="7" t="str">
        <f>IFERROR(__xludf.DUMMYFUNCTION("IFERROR(TEXTJOIN(CHAR(10), TRUE, FILTER('特殊配信マスタ'!$C:$E, #REF!=O$1)), """")"),"")</f>
        <v/>
      </c>
      <c r="P126" s="7" t="str">
        <f t="array" ref="P126">IFERROR(XLOOKUP(M126, INDEX('特殊配信マスタ'!$C$3:$E$8, 0, MAX(1, ROW()-14)), '特殊配信マスタ'!$M$3:$N$8, ""),"")</f>
        <v/>
      </c>
      <c r="Q126" s="7"/>
      <c r="R126" s="10" t="str">
        <f>"◇ポジションマッチ A" &amp; MOD(INT(($C$1 - '特殊配信マスタ'!$A$1) / 7), 3) + 1</f>
        <v>◇ポジションマッチ A2</v>
      </c>
      <c r="S126" s="11" t="str">
        <f>IFERROR(__xludf.DUMMYFUNCTION("IFERROR(TEXTJOIN(CHAR(10), TRUE, FILTER('特殊配信マスタ'!$C:$E, #REF!=S$1)), """")"),"")</f>
        <v/>
      </c>
      <c r="T126" s="7" t="str">
        <f>IFERROR(__xludf.DUMMYFUNCTION("IFERROR(TEXTJOIN(CHAR(10), TRUE, FILTER('特殊配信マスタ'!$C:$E, #REF!=T$1)), """")"),"")</f>
        <v/>
      </c>
      <c r="U126" s="7" t="str">
        <f t="array" ref="U126">IFERROR(XLOOKUP(R126, INDEX('特殊配信マスタ'!$C$3:$E$8, 0, MAX(1, ROW()-14)), '特殊配信マスタ'!$M$3:$N$8, ""),"")</f>
        <v/>
      </c>
      <c r="V126" s="7"/>
      <c r="W126" s="10" t="str">
        <f>"◇ポジションマッチ A" &amp; MOD(INT(($C$1 - '特殊配信マスタ'!$A$1) / 7), 3) + 1</f>
        <v>◇ポジションマッチ A2</v>
      </c>
      <c r="X126" s="11" t="str">
        <f>IFERROR(__xludf.DUMMYFUNCTION("IFERROR(TEXTJOIN(CHAR(10), TRUE, FILTER('特殊配信マスタ'!$C:$E, #REF!=X$1)), """")"),"")</f>
        <v/>
      </c>
      <c r="Y126" s="7" t="str">
        <f>IFERROR(__xludf.DUMMYFUNCTION("IFERROR(TEXTJOIN(CHAR(10), TRUE, FILTER('特殊配信マスタ'!$C:$E, #REF!=Y$1)), """")"),"")</f>
        <v/>
      </c>
      <c r="Z126" s="7" t="str">
        <f t="array" ref="Z126">IFERROR(XLOOKUP(W126, INDEX('特殊配信マスタ'!$C$3:$E$8, 0, MAX(1, ROW()-14)), '特殊配信マスタ'!$M$3:$N$8, ""),"")</f>
        <v/>
      </c>
      <c r="AA126" s="7"/>
      <c r="AB126" s="10" t="str">
        <f>"◇ポジションマッチ A" &amp; MOD(INT(($C$1 - '特殊配信マスタ'!$A$1) / 7), 3) + 1</f>
        <v>◇ポジションマッチ A2</v>
      </c>
      <c r="AC126" s="11" t="str">
        <f>IFERROR(__xludf.DUMMYFUNCTION("IFERROR(TEXTJOIN(CHAR(10), TRUE, FILTER('特殊配信マスタ'!$C:$E, #REF!=AC$1)), """")"),"")</f>
        <v/>
      </c>
      <c r="AD126" s="7" t="str">
        <f>IFERROR(__xludf.DUMMYFUNCTION("IFERROR(TEXTJOIN(CHAR(10), TRUE, FILTER('特殊配信マスタ'!$C:$E, #REF!=AD$1)), """")"),"")</f>
        <v/>
      </c>
      <c r="AE126" s="7" t="str">
        <f t="array" ref="AE126">IFERROR(XLOOKUP(AB126, INDEX('特殊配信マスタ'!$C$3:$E$8, 0, MAX(1, ROW()-14)), '特殊配信マスタ'!$M$3:$N$8, ""),"")</f>
        <v/>
      </c>
      <c r="AF126" s="7"/>
      <c r="AG126" s="10" t="str">
        <f>"◇ポジションマッチ A" &amp; MOD(INT(($C$1 - '特殊配信マスタ'!$A$1) / 7), 3) + 1</f>
        <v>◇ポジションマッチ A2</v>
      </c>
      <c r="AH126" s="11" t="str">
        <f>IFERROR(__xludf.DUMMYFUNCTION("IFERROR(TEXTJOIN(CHAR(10), TRUE, FILTER('特殊配信マスタ'!$C:$E, #REF!=AH$1)), """")"),"")</f>
        <v/>
      </c>
      <c r="AI126" s="7" t="str">
        <f>IFERROR(__xludf.DUMMYFUNCTION("IFERROR(TEXTJOIN(CHAR(10), TRUE, FILTER('特殊配信マスタ'!$C:$E, #REF!=AI$1)), """")"),"")</f>
        <v/>
      </c>
      <c r="AJ126" s="7" t="str">
        <f t="array" ref="AJ126">IFERROR(XLOOKUP(AG126, INDEX('特殊配信マスタ'!$C$3:$E$8, 0, MAX(1, ROW()-14)), '特殊配信マスタ'!$M$3:$N$8, ""),"")</f>
        <v/>
      </c>
      <c r="AK126" s="7"/>
    </row>
    <row r="127" ht="17.25" customHeight="1">
      <c r="A127" s="8"/>
      <c r="B127" s="9"/>
      <c r="C127" s="10" t="str">
        <f>"◇ポジションマッチ_36歳以上 A" &amp; MOD(INT(($C$1 - '特殊配信マスタ'!$A$1) / 7), 3) + 1</f>
        <v>◇ポジションマッチ_36歳以上 A2</v>
      </c>
      <c r="D127" s="11"/>
      <c r="E127" s="7"/>
      <c r="F127" s="7" t="str">
        <f t="array" ref="F127">IFERROR(XLOOKUP(C127, INDEX('特殊配信マスタ'!$C$3:$E$8, 0, MAX(1, ROW()-14)), '特殊配信マスタ'!$M$3:$N$8, ""),"")</f>
        <v/>
      </c>
      <c r="G127" s="7"/>
      <c r="H127" s="10" t="str">
        <f>"◇ポジションマッチ_36歳以上 A" &amp; MOD(INT(($C$1 - '特殊配信マスタ'!$A$1) / 7), 3) + 1</f>
        <v>◇ポジションマッチ_36歳以上 A2</v>
      </c>
      <c r="I127" s="11"/>
      <c r="J127" s="7"/>
      <c r="K127" s="7" t="str">
        <f t="array" ref="K127">IFERROR(XLOOKUP(H127, INDEX('特殊配信マスタ'!$C$3:$E$8, 0, MAX(1, ROW()-14)), '特殊配信マスタ'!$M$3:$N$8, ""),"")</f>
        <v/>
      </c>
      <c r="L127" s="7"/>
      <c r="M127" s="10" t="str">
        <f>"◇ポジションマッチ_36歳以上 A" &amp; MOD(INT(($C$1 - '特殊配信マスタ'!$A$1) / 7), 3) + 1</f>
        <v>◇ポジションマッチ_36歳以上 A2</v>
      </c>
      <c r="N127" s="11"/>
      <c r="O127" s="7"/>
      <c r="P127" s="7" t="str">
        <f t="array" ref="P127">IFERROR(XLOOKUP(M127, INDEX('特殊配信マスタ'!$C$3:$E$8, 0, MAX(1, ROW()-14)), '特殊配信マスタ'!$M$3:$N$8, ""),"")</f>
        <v/>
      </c>
      <c r="Q127" s="7"/>
      <c r="R127" s="10" t="str">
        <f>"◇ポジションマッチ_36歳以上 A" &amp; MOD(INT(($C$1 - '特殊配信マスタ'!$A$1) / 7), 3) + 1</f>
        <v>◇ポジションマッチ_36歳以上 A2</v>
      </c>
      <c r="S127" s="11"/>
      <c r="T127" s="7"/>
      <c r="U127" s="7" t="str">
        <f t="array" ref="U127">IFERROR(XLOOKUP(R127, INDEX('特殊配信マスタ'!$C$3:$E$8, 0, MAX(1, ROW()-14)), '特殊配信マスタ'!$M$3:$N$8, ""),"")</f>
        <v/>
      </c>
      <c r="V127" s="7"/>
      <c r="W127" s="10" t="str">
        <f>"◇ポジションマッチ_36歳以上 A" &amp; MOD(INT(($C$1 - '特殊配信マスタ'!$A$1) / 7), 3) + 1</f>
        <v>◇ポジションマッチ_36歳以上 A2</v>
      </c>
      <c r="X127" s="11"/>
      <c r="Y127" s="7"/>
      <c r="Z127" s="7" t="str">
        <f t="array" ref="Z127">IFERROR(XLOOKUP(W127, INDEX('特殊配信マスタ'!$C$3:$E$8, 0, MAX(1, ROW()-14)), '特殊配信マスタ'!$M$3:$N$8, ""),"")</f>
        <v/>
      </c>
      <c r="AA127" s="7"/>
      <c r="AB127" s="10" t="str">
        <f>"◇ポジションマッチ_36歳以上 A" &amp; MOD(INT(($C$1 - '特殊配信マスタ'!$A$1) / 7), 3) + 1</f>
        <v>◇ポジションマッチ_36歳以上 A2</v>
      </c>
      <c r="AC127" s="11"/>
      <c r="AD127" s="7"/>
      <c r="AE127" s="7" t="str">
        <f t="array" ref="AE127">IFERROR(XLOOKUP(AB127, INDEX('特殊配信マスタ'!$C$3:$E$8, 0, MAX(1, ROW()-14)), '特殊配信マスタ'!$M$3:$N$8, ""),"")</f>
        <v/>
      </c>
      <c r="AF127" s="7"/>
      <c r="AG127" s="10" t="str">
        <f>"◇ポジションマッチ_36歳以上 A" &amp; MOD(INT(($C$1 - '特殊配信マスタ'!$A$1) / 7), 3) + 1</f>
        <v>◇ポジションマッチ_36歳以上 A2</v>
      </c>
      <c r="AH127" s="11"/>
      <c r="AI127" s="7"/>
      <c r="AJ127" s="7" t="str">
        <f t="array" ref="AJ127">IFERROR(XLOOKUP(AG127, INDEX('特殊配信マスタ'!$C$3:$E$8, 0, MAX(1, ROW()-14)), '特殊配信マスタ'!$M$3:$N$8, ""),"")</f>
        <v/>
      </c>
      <c r="AK127" s="7"/>
    </row>
    <row r="128" ht="17.25" customHeight="1">
      <c r="A128" s="8">
        <f>A113+1</f>
        <v>16</v>
      </c>
      <c r="B128" s="9" t="s">
        <v>5</v>
      </c>
      <c r="C128" s="10" t="str">
        <f>IFERROR(__xludf.DUMMYFUNCTION("IFERROR(FILTER('リスト'!$C$2:$C$400, ('リスト'!$A$2:$A$400 = CHOOSE(WEEKDAY(C$1), ""日"", ""月"", ""火"", ""水"", ""木"", ""金"", ""土"")) * ('リスト'!$B$2:$B$400 = $A128) * ('リスト'!$E$2:$E$400 = ""毎週配信"") * ('リスト'!$O$2:$O$400 = FALSE)), """")"),"35歳以上向け A")</f>
        <v>35歳以上向け A</v>
      </c>
      <c r="D128" s="11" t="str">
        <f>IFERROR(__xludf.DUMMYFUNCTION("iferror(FILTER('リスト'!$D:$D, ('リスト'!$A:$A = C$1) * ('リスト'!$B:$B = $A128)))"),"")</f>
        <v/>
      </c>
      <c r="E128" s="7">
        <f>SUM(D128:D141)</f>
        <v>0</v>
      </c>
      <c r="F128" s="7" t="str">
        <f t="array" ref="F128">IFERROR(XLOOKUP(C128, 'リスト'!$C:$C, 'リスト'!$M:$M, ""), "")</f>
        <v>R</v>
      </c>
      <c r="G128" s="7" t="str">
        <f t="array" ref="G128">IFERROR(XLOOKUP(C128, 'リスト'!$C:$C, 'リスト'!$N:$N, ""), "")</f>
        <v/>
      </c>
      <c r="H128" s="10" t="str">
        <f>IFERROR(__xludf.DUMMYFUNCTION("IFERROR(FILTER('リスト'!$C$2:$C$400, ('リスト'!$A$2:$A$400 = CHOOSE(WEEKDAY(H$1), ""日"", ""月"", ""火"", ""水"", ""木"", ""金"", ""土"")) * ('リスト'!$B$2:$B$400 = $A128) * ('リスト'!$E$2:$E$400 = ""毎週配信"") * ('リスト'!$O$2:$O$400 = FALSE)), """")"),"年収UP_関西")</f>
        <v>年収UP_関西</v>
      </c>
      <c r="I128" s="11" t="str">
        <f>IFERROR(__xludf.DUMMYFUNCTION("iferror(FILTER('リスト'!$D:$D, ('リスト'!$A:$A = H$1) * ('リスト'!$B:$B = $A128)))"),"")</f>
        <v/>
      </c>
      <c r="J128" s="7">
        <f>SUM(I128:I141)</f>
        <v>0</v>
      </c>
      <c r="K128" s="7" t="str">
        <f t="array" ref="K128">IFERROR(XLOOKUP(H128, 'リスト'!$C:$C, 'リスト'!$M:$M, ""), "")</f>
        <v>R</v>
      </c>
      <c r="L128" s="7" t="str">
        <f t="array" ref="L128">IFERROR(XLOOKUP(H128, 'リスト'!$C:$C, 'リスト'!$N:$N, ""), "")</f>
        <v/>
      </c>
      <c r="M128" s="10" t="str">
        <f>IFERROR(__xludf.DUMMYFUNCTION("IFERROR(FILTER('リスト'!$C$2:$C$400, ('リスト'!$A$2:$A$400 = CHOOSE(WEEKDAY(M$1), ""日"", ""月"", ""火"", ""水"", ""木"", ""金"", ""土"")) * ('リスト'!$B$2:$B$400 = $A128) * ('リスト'!$E$2:$E$400 = ""毎週配信"") * ('リスト'!$O$2:$O$400 = FALSE)), """")"),"エンジニア限定_単独求人メルマガ")</f>
        <v>エンジニア限定_単独求人メルマガ</v>
      </c>
      <c r="N128" s="11" t="str">
        <f>IFERROR(__xludf.DUMMYFUNCTION("iferror(FILTER('リスト'!$D:$D, ('リスト'!$A:$A = M$1) * ('リスト'!$B:$B = $A128)))"),"")</f>
        <v/>
      </c>
      <c r="O128" s="7">
        <f>SUM(N128:N141)</f>
        <v>0</v>
      </c>
      <c r="P128" s="7" t="str">
        <f t="array" ref="P128">IFERROR(XLOOKUP(M128, 'リスト'!$C:$C, 'リスト'!$M:$M, ""), "")</f>
        <v>武</v>
      </c>
      <c r="Q128" s="7" t="str">
        <f t="array" ref="Q128">IFERROR(XLOOKUP(M128, 'リスト'!$C:$C, 'リスト'!$N:$N, ""), "")</f>
        <v>部</v>
      </c>
      <c r="R128" s="10" t="str">
        <f>IFERROR(__xludf.DUMMYFUNCTION("IFERROR(FILTER('リスト'!$C$2:$C$400, ('リスト'!$A$2:$A$400 = CHOOSE(WEEKDAY(R$1), ""日"", ""月"", ""火"", ""水"", ""木"", ""金"", ""土"")) * ('リスト'!$B$2:$B$400 = $A128) * ('リスト'!$E$2:$E$400 = ""毎週配信"") * ('リスト'!$O$2:$O$400 = FALSE)), """")"),"")</f>
        <v/>
      </c>
      <c r="S128" s="11" t="str">
        <f>IFERROR(__xludf.DUMMYFUNCTION("iferror(FILTER('リスト'!$D:$D, ('リスト'!$A:$A = R$1) * ('リスト'!$B:$B = $A128)))"),"")</f>
        <v/>
      </c>
      <c r="T128" s="7">
        <f>SUM(S128:S141)</f>
        <v>0</v>
      </c>
      <c r="U128" s="7" t="str">
        <f t="array" ref="U128">IFERROR(XLOOKUP(R128, 'リスト'!$C:$C, 'リスト'!$M:$M, ""), "")</f>
        <v/>
      </c>
      <c r="V128" s="7" t="str">
        <f t="array" ref="V128">IFERROR(XLOOKUP(R128, 'リスト'!$C:$C, 'リスト'!$N:$N, ""), "")</f>
        <v/>
      </c>
      <c r="W128" s="10" t="str">
        <f>IFERROR(__xludf.DUMMYFUNCTION("IFERROR(FILTER('リスト'!$C$2:$C$400, ('リスト'!$A$2:$A$400 = CHOOSE(WEEKDAY(W$1), ""日"", ""月"", ""火"", ""水"", ""木"", ""金"", ""土"")) * ('リスト'!$B$2:$B$400 = $A128) * ('リスト'!$E$2:$E$400 = ""毎週配信"") * ('リスト'!$O$2:$O$400 = FALSE)), """")"),"☆救済メルマガ(UP10)")</f>
        <v>☆救済メルマガ(UP10)</v>
      </c>
      <c r="X128" s="11" t="str">
        <f>IFERROR(__xludf.DUMMYFUNCTION("iferror(FILTER('リスト'!$D:$D, ('リスト'!$A:$A = W$1) * ('リスト'!$B:$B = $A128)))"),"")</f>
        <v/>
      </c>
      <c r="Y128" s="7">
        <f>SUM(X128:X141)</f>
        <v>0</v>
      </c>
      <c r="Z128" s="7" t="str">
        <f t="array" ref="Z128">IFERROR(XLOOKUP(W128, 'リスト'!$C:$C, 'リスト'!$M:$M, ""), "")</f>
        <v>平</v>
      </c>
      <c r="AA128" s="7" t="str">
        <f t="array" ref="AA128">IFERROR(XLOOKUP(W128, 'リスト'!$C:$C, 'リスト'!$N:$N, ""), "")</f>
        <v>荒</v>
      </c>
      <c r="AB128" s="10" t="str">
        <f>IFERROR(__xludf.DUMMYFUNCTION("IFERROR(FILTER('リスト'!$C$2:$C$400, ('リスト'!$A$2:$A$400 = CHOOSE(WEEKDAY(AB$1), ""日"", ""月"", ""火"", ""水"", ""木"", ""金"", ""土"")) * ('リスト'!$B$2:$B$400 = $A128) * ('リスト'!$E$2:$E$400 = ""毎週配信"") * ('リスト'!$O$2:$O$400 = FALSE)), """")"),"")</f>
        <v/>
      </c>
      <c r="AC128" s="11" t="str">
        <f>IFERROR(__xludf.DUMMYFUNCTION("iferror(FILTER('リスト'!$D:$D, ('リスト'!$A:$A = AB$1) * ('リスト'!$B:$B = $A128)))"),"")</f>
        <v/>
      </c>
      <c r="AD128" s="7">
        <f>SUM(AC128:AC141)</f>
        <v>0</v>
      </c>
      <c r="AE128" s="7" t="str">
        <f t="array" ref="AE128">IFERROR(XLOOKUP(AB128, 'リスト'!$C:$C, 'リスト'!$M:$M, ""), "")</f>
        <v/>
      </c>
      <c r="AF128" s="7" t="str">
        <f t="array" ref="AF128">IFERROR(XLOOKUP(AB128, 'リスト'!$C:$C, 'リスト'!$N:$N, ""), "")</f>
        <v/>
      </c>
      <c r="AG128" s="10" t="str">
        <f>IFERROR(__xludf.DUMMYFUNCTION("IFERROR(FILTER('リスト'!$C$2:$C$400, ('リスト'!$A$2:$A$400 = CHOOSE(WEEKDAY(AG$1), ""日"", ""月"", ""火"", ""水"", ""木"", ""金"", ""土"")) * ('リスト'!$B$2:$B$400 = $A128) * ('リスト'!$E$2:$E$400 = ""毎週配信"") * ('リスト'!$O$2:$O$400 = FALSE)), """")"),"事務職 B")</f>
        <v>事務職 B</v>
      </c>
      <c r="AH128" s="11" t="str">
        <f>IFERROR(__xludf.DUMMYFUNCTION("iferror(FILTER('リスト'!$D:$D, ('リスト'!$A:$A = AG$1) * ('リスト'!$B:$B = $A128)))"),"")</f>
        <v/>
      </c>
      <c r="AI128" s="7">
        <f>SUM(AH128:AH141)</f>
        <v>0</v>
      </c>
      <c r="AJ128" s="7" t="str">
        <f t="array" ref="AJ128">IFERROR(XLOOKUP(AG128, 'リスト'!$C:$C, 'リスト'!$M:$M, ""), "")</f>
        <v>R</v>
      </c>
      <c r="AK128" s="7" t="str">
        <f t="array" ref="AK128">IFERROR(XLOOKUP(AG128, 'リスト'!$C:$C, 'リスト'!$N:$N, ""), "")</f>
        <v/>
      </c>
    </row>
    <row r="129" ht="17.25" customHeight="1">
      <c r="A129" s="8"/>
      <c r="B129" s="9"/>
      <c r="C129" s="12" t="str">
        <f>IFERROR(__xludf.DUMMYFUNCTION("""COMPUTED_VALUE"""),"育児両立_フレックス")</f>
        <v>育児両立_フレックス</v>
      </c>
      <c r="D129" s="7"/>
      <c r="E129" s="7"/>
      <c r="F129" s="7" t="str">
        <f t="array" ref="F129">IFERROR(XLOOKUP(C129, 'リスト'!$C:$C, 'リスト'!$M:$M, ""), "")</f>
        <v>R</v>
      </c>
      <c r="G129" s="7" t="str">
        <f t="array" ref="G129">IFERROR(XLOOKUP(C129, 'リスト'!$C:$C, 'リスト'!$N:$N, ""), "")</f>
        <v/>
      </c>
      <c r="H129" s="12" t="str">
        <f>IFERROR(__xludf.DUMMYFUNCTION("""COMPUTED_VALUE"""),"副業OK×リモート_ランキング")</f>
        <v>副業OK×リモート_ランキング</v>
      </c>
      <c r="I129" s="7"/>
      <c r="J129" s="7"/>
      <c r="K129" s="7" t="str">
        <f t="array" ref="K129">IFERROR(XLOOKUP(H129, 'リスト'!$C:$C, 'リスト'!$M:$M, ""), "")</f>
        <v>R</v>
      </c>
      <c r="L129" s="7" t="str">
        <f t="array" ref="L129">IFERROR(XLOOKUP(H129, 'リスト'!$C:$C, 'リスト'!$N:$N, ""), "")</f>
        <v/>
      </c>
      <c r="M129" s="12" t="str">
        <f>IFERROR(__xludf.DUMMYFUNCTION("""COMPUTED_VALUE"""),"年休130日以上_残業10時間以下")</f>
        <v>年休130日以上_残業10時間以下</v>
      </c>
      <c r="N129" s="7"/>
      <c r="O129" s="7"/>
      <c r="P129" s="7" t="str">
        <f t="array" ref="P129">IFERROR(XLOOKUP(M129, 'リスト'!$C:$C, 'リスト'!$M:$M, ""), "")</f>
        <v>R</v>
      </c>
      <c r="Q129" s="7" t="str">
        <f t="array" ref="Q129">IFERROR(XLOOKUP(M129, 'リスト'!$C:$C, 'リスト'!$N:$N, ""), "")</f>
        <v/>
      </c>
      <c r="R129" s="12"/>
      <c r="S129" s="7"/>
      <c r="T129" s="7"/>
      <c r="U129" s="7" t="str">
        <f t="array" ref="U129">IFERROR(XLOOKUP(R129, 'リスト'!$C:$C, 'リスト'!$M:$M, ""), "")</f>
        <v/>
      </c>
      <c r="V129" s="7" t="str">
        <f t="array" ref="V129">IFERROR(XLOOKUP(R129, 'リスト'!$C:$C, 'リスト'!$N:$N, ""), "")</f>
        <v/>
      </c>
      <c r="W129" s="12"/>
      <c r="X129" s="7"/>
      <c r="Y129" s="7"/>
      <c r="Z129" s="7" t="str">
        <f t="array" ref="Z129">IFERROR(XLOOKUP(W129, 'リスト'!$C:$C, 'リスト'!$M:$M, ""), "")</f>
        <v/>
      </c>
      <c r="AA129" s="7" t="str">
        <f t="array" ref="AA129">IFERROR(XLOOKUP(W129, 'リスト'!$C:$C, 'リスト'!$N:$N, ""), "")</f>
        <v/>
      </c>
      <c r="AB129" s="12"/>
      <c r="AC129" s="7"/>
      <c r="AD129" s="7"/>
      <c r="AE129" s="7" t="str">
        <f t="array" ref="AE129">IFERROR(XLOOKUP(AB129, 'リスト'!$C:$C, 'リスト'!$M:$M, ""), "")</f>
        <v/>
      </c>
      <c r="AF129" s="7" t="str">
        <f t="array" ref="AF129">IFERROR(XLOOKUP(AB129, 'リスト'!$C:$C, 'リスト'!$N:$N, ""), "")</f>
        <v/>
      </c>
      <c r="AG129" s="12" t="str">
        <f>IFERROR(__xludf.DUMMYFUNCTION("""COMPUTED_VALUE"""),"事務職_35歳以上 B")</f>
        <v>事務職_35歳以上 B</v>
      </c>
      <c r="AH129" s="7"/>
      <c r="AI129" s="7"/>
      <c r="AJ129" s="7" t="str">
        <f t="array" ref="AJ129">IFERROR(XLOOKUP(AG129, 'リスト'!$C:$C, 'リスト'!$M:$M, ""), "")</f>
        <v>R</v>
      </c>
      <c r="AK129" s="7" t="str">
        <f t="array" ref="AK129">IFERROR(XLOOKUP(AG129, 'リスト'!$C:$C, 'リスト'!$N:$N, ""), "")</f>
        <v/>
      </c>
    </row>
    <row r="130" ht="17.25" customHeight="1">
      <c r="A130" s="8"/>
      <c r="B130" s="9"/>
      <c r="C130" s="10"/>
      <c r="D130" s="13"/>
      <c r="E130" s="7"/>
      <c r="F130" s="7" t="str">
        <f t="array" ref="F130">IFERROR(XLOOKUP(C130, 'リスト'!$C:$C, 'リスト'!$M:$M, ""), "")</f>
        <v/>
      </c>
      <c r="G130" s="7" t="str">
        <f t="array" ref="G130">IFERROR(XLOOKUP(C130, 'リスト'!$C:$C, 'リスト'!$N:$N, ""), "")</f>
        <v/>
      </c>
      <c r="H130" s="10"/>
      <c r="I130" s="13"/>
      <c r="J130" s="7"/>
      <c r="K130" s="7" t="str">
        <f t="array" ref="K130">IFERROR(XLOOKUP(H130, 'リスト'!$C:$C, 'リスト'!$M:$M, ""), "")</f>
        <v/>
      </c>
      <c r="L130" s="7" t="str">
        <f t="array" ref="L130">IFERROR(XLOOKUP(H130, 'リスト'!$C:$C, 'リスト'!$N:$N, ""), "")</f>
        <v/>
      </c>
      <c r="M130" s="10"/>
      <c r="N130" s="13"/>
      <c r="O130" s="7"/>
      <c r="P130" s="7" t="str">
        <f t="array" ref="P130">IFERROR(XLOOKUP(M130, 'リスト'!$C:$C, 'リスト'!$M:$M, ""), "")</f>
        <v/>
      </c>
      <c r="Q130" s="7" t="str">
        <f t="array" ref="Q130">IFERROR(XLOOKUP(M130, 'リスト'!$C:$C, 'リスト'!$N:$N, ""), "")</f>
        <v/>
      </c>
      <c r="R130" s="10"/>
      <c r="S130" s="13"/>
      <c r="T130" s="7"/>
      <c r="U130" s="7" t="str">
        <f t="array" ref="U130">IFERROR(XLOOKUP(R130, 'リスト'!$C:$C, 'リスト'!$M:$M, ""), "")</f>
        <v/>
      </c>
      <c r="V130" s="7" t="str">
        <f t="array" ref="V130">IFERROR(XLOOKUP(R130, 'リスト'!$C:$C, 'リスト'!$N:$N, ""), "")</f>
        <v/>
      </c>
      <c r="W130" s="10"/>
      <c r="X130" s="13"/>
      <c r="Y130" s="7"/>
      <c r="Z130" s="7" t="str">
        <f t="array" ref="Z130">IFERROR(XLOOKUP(W130, 'リスト'!$C:$C, 'リスト'!$M:$M, ""), "")</f>
        <v/>
      </c>
      <c r="AA130" s="7" t="str">
        <f t="array" ref="AA130">IFERROR(XLOOKUP(W130, 'リスト'!$C:$C, 'リスト'!$N:$N, ""), "")</f>
        <v/>
      </c>
      <c r="AB130" s="10"/>
      <c r="AC130" s="13"/>
      <c r="AD130" s="7"/>
      <c r="AE130" s="7" t="str">
        <f t="array" ref="AE130">IFERROR(XLOOKUP(AB130, 'リスト'!$C:$C, 'リスト'!$M:$M, ""), "")</f>
        <v/>
      </c>
      <c r="AF130" s="7" t="str">
        <f t="array" ref="AF130">IFERROR(XLOOKUP(AB130, 'リスト'!$C:$C, 'リスト'!$N:$N, ""), "")</f>
        <v/>
      </c>
      <c r="AG130" s="10" t="str">
        <f>IFERROR(__xludf.DUMMYFUNCTION("""COMPUTED_VALUE"""),"事務職_関西 B")</f>
        <v>事務職_関西 B</v>
      </c>
      <c r="AH130" s="13"/>
      <c r="AI130" s="7"/>
      <c r="AJ130" s="7" t="str">
        <f t="array" ref="AJ130">IFERROR(XLOOKUP(AG130, 'リスト'!$C:$C, 'リスト'!$M:$M, ""), "")</f>
        <v>R</v>
      </c>
      <c r="AK130" s="7" t="str">
        <f t="array" ref="AK130">IFERROR(XLOOKUP(AG130, 'リスト'!$C:$C, 'リスト'!$N:$N, ""), "")</f>
        <v/>
      </c>
    </row>
    <row r="131" ht="17.25" customHeight="1">
      <c r="A131" s="8"/>
      <c r="B131" s="9"/>
      <c r="C131" s="14"/>
      <c r="D131" s="15"/>
      <c r="E131" s="7"/>
      <c r="F131" s="7" t="str">
        <f t="array" ref="F131">IFERROR(XLOOKUP(C131, 'リスト'!$C:$C, 'リスト'!$M:$M, ""), "")</f>
        <v/>
      </c>
      <c r="G131" s="7" t="str">
        <f t="array" ref="G131">IFERROR(XLOOKUP(C131, 'リスト'!$C:$C, 'リスト'!$N:$N, ""), "")</f>
        <v/>
      </c>
      <c r="H131" s="14"/>
      <c r="I131" s="15"/>
      <c r="J131" s="7"/>
      <c r="K131" s="7" t="str">
        <f t="array" ref="K131">IFERROR(XLOOKUP(H131, 'リスト'!$C:$C, 'リスト'!$M:$M, ""), "")</f>
        <v/>
      </c>
      <c r="L131" s="7" t="str">
        <f t="array" ref="L131">IFERROR(XLOOKUP(H131, 'リスト'!$C:$C, 'リスト'!$N:$N, ""), "")</f>
        <v/>
      </c>
      <c r="M131" s="14"/>
      <c r="N131" s="15"/>
      <c r="O131" s="7"/>
      <c r="P131" s="7" t="str">
        <f t="array" ref="P131">IFERROR(XLOOKUP(M131, 'リスト'!$C:$C, 'リスト'!$M:$M, ""), "")</f>
        <v/>
      </c>
      <c r="Q131" s="7" t="str">
        <f t="array" ref="Q131">IFERROR(XLOOKUP(M131, 'リスト'!$C:$C, 'リスト'!$N:$N, ""), "")</f>
        <v/>
      </c>
      <c r="R131" s="14"/>
      <c r="S131" s="15"/>
      <c r="T131" s="7"/>
      <c r="U131" s="7" t="str">
        <f t="array" ref="U131">IFERROR(XLOOKUP(R131, 'リスト'!$C:$C, 'リスト'!$M:$M, ""), "")</f>
        <v/>
      </c>
      <c r="V131" s="7" t="str">
        <f t="array" ref="V131">IFERROR(XLOOKUP(R131, 'リスト'!$C:$C, 'リスト'!$N:$N, ""), "")</f>
        <v/>
      </c>
      <c r="W131" s="14"/>
      <c r="X131" s="15"/>
      <c r="Y131" s="7"/>
      <c r="Z131" s="7" t="str">
        <f t="array" ref="Z131">IFERROR(XLOOKUP(W131, 'リスト'!$C:$C, 'リスト'!$M:$M, ""), "")</f>
        <v/>
      </c>
      <c r="AA131" s="7" t="str">
        <f t="array" ref="AA131">IFERROR(XLOOKUP(W131, 'リスト'!$C:$C, 'リスト'!$N:$N, ""), "")</f>
        <v/>
      </c>
      <c r="AB131" s="14"/>
      <c r="AC131" s="15"/>
      <c r="AD131" s="7"/>
      <c r="AE131" s="7" t="str">
        <f t="array" ref="AE131">IFERROR(XLOOKUP(AB131, 'リスト'!$C:$C, 'リスト'!$M:$M, ""), "")</f>
        <v/>
      </c>
      <c r="AF131" s="7" t="str">
        <f t="array" ref="AF131">IFERROR(XLOOKUP(AB131, 'リスト'!$C:$C, 'リスト'!$N:$N, ""), "")</f>
        <v/>
      </c>
      <c r="AG131" s="14"/>
      <c r="AH131" s="15"/>
      <c r="AI131" s="7"/>
      <c r="AJ131" s="7" t="str">
        <f t="array" ref="AJ131">IFERROR(XLOOKUP(AG131, 'リスト'!$C:$C, 'リスト'!$M:$M, ""), "")</f>
        <v/>
      </c>
      <c r="AK131" s="7" t="str">
        <f t="array" ref="AK131">IFERROR(XLOOKUP(AG131, 'リスト'!$C:$C, 'リスト'!$N:$N, ""), "")</f>
        <v/>
      </c>
    </row>
    <row r="132" ht="17.25" customHeight="1">
      <c r="A132" s="8"/>
      <c r="B132" s="9"/>
      <c r="C132" s="14"/>
      <c r="D132" s="13"/>
      <c r="E132" s="7"/>
      <c r="F132" s="7"/>
      <c r="G132" s="7"/>
      <c r="H132" s="14"/>
      <c r="I132" s="13"/>
      <c r="J132" s="7"/>
      <c r="K132" s="7"/>
      <c r="L132" s="7"/>
      <c r="M132" s="14"/>
      <c r="N132" s="13"/>
      <c r="O132" s="7"/>
      <c r="P132" s="7"/>
      <c r="Q132" s="7"/>
      <c r="R132" s="14"/>
      <c r="S132" s="13"/>
      <c r="T132" s="7"/>
      <c r="U132" s="7"/>
      <c r="V132" s="7"/>
      <c r="W132" s="14"/>
      <c r="X132" s="13"/>
      <c r="Y132" s="7"/>
      <c r="Z132" s="7"/>
      <c r="AA132" s="7"/>
      <c r="AB132" s="14"/>
      <c r="AC132" s="13"/>
      <c r="AD132" s="7"/>
      <c r="AE132" s="7"/>
      <c r="AF132" s="7"/>
      <c r="AG132" s="14"/>
      <c r="AH132" s="13"/>
      <c r="AI132" s="7"/>
      <c r="AJ132" s="7"/>
      <c r="AK132" s="7"/>
    </row>
    <row r="133" ht="17.25" customHeight="1">
      <c r="A133" s="8"/>
      <c r="B133" s="9"/>
      <c r="C133" s="14"/>
      <c r="D133" s="13"/>
      <c r="E133" s="7"/>
      <c r="F133" s="7"/>
      <c r="G133" s="7"/>
      <c r="H133" s="14"/>
      <c r="I133" s="13"/>
      <c r="J133" s="7"/>
      <c r="K133" s="7"/>
      <c r="L133" s="7"/>
      <c r="M133" s="14"/>
      <c r="N133" s="13"/>
      <c r="O133" s="7"/>
      <c r="P133" s="7"/>
      <c r="Q133" s="7"/>
      <c r="R133" s="14"/>
      <c r="S133" s="13"/>
      <c r="T133" s="7"/>
      <c r="U133" s="7"/>
      <c r="V133" s="7"/>
      <c r="W133" s="14"/>
      <c r="X133" s="13"/>
      <c r="Y133" s="7"/>
      <c r="Z133" s="7"/>
      <c r="AA133" s="7"/>
      <c r="AB133" s="14"/>
      <c r="AC133" s="13"/>
      <c r="AD133" s="7"/>
      <c r="AE133" s="7"/>
      <c r="AF133" s="7"/>
      <c r="AG133" s="14"/>
      <c r="AH133" s="13"/>
      <c r="AI133" s="7"/>
      <c r="AJ133" s="7"/>
      <c r="AK133" s="7"/>
    </row>
    <row r="134" ht="17.25" customHeight="1">
      <c r="A134" s="8"/>
      <c r="B134" s="9"/>
      <c r="C134" s="14"/>
      <c r="D134" s="13"/>
      <c r="E134" s="7"/>
      <c r="F134" s="7"/>
      <c r="G134" s="7"/>
      <c r="H134" s="14"/>
      <c r="I134" s="13"/>
      <c r="J134" s="7"/>
      <c r="K134" s="7"/>
      <c r="L134" s="7"/>
      <c r="M134" s="14"/>
      <c r="N134" s="13"/>
      <c r="O134" s="7"/>
      <c r="P134" s="7"/>
      <c r="Q134" s="7"/>
      <c r="R134" s="14"/>
      <c r="S134" s="13"/>
      <c r="T134" s="7"/>
      <c r="U134" s="7"/>
      <c r="V134" s="7"/>
      <c r="W134" s="14"/>
      <c r="X134" s="13"/>
      <c r="Y134" s="7"/>
      <c r="Z134" s="7"/>
      <c r="AA134" s="7"/>
      <c r="AB134" s="14"/>
      <c r="AC134" s="13"/>
      <c r="AD134" s="7"/>
      <c r="AE134" s="7"/>
      <c r="AF134" s="7"/>
      <c r="AG134" s="14"/>
      <c r="AH134" s="13"/>
      <c r="AI134" s="7"/>
      <c r="AJ134" s="7"/>
      <c r="AK134" s="7"/>
    </row>
    <row r="135" ht="17.25" customHeight="1">
      <c r="A135" s="8"/>
      <c r="B135" s="9"/>
      <c r="C135" s="14"/>
      <c r="D135" s="13"/>
      <c r="E135" s="7"/>
      <c r="F135" s="7"/>
      <c r="G135" s="7"/>
      <c r="H135" s="14"/>
      <c r="I135" s="13"/>
      <c r="J135" s="7"/>
      <c r="K135" s="7"/>
      <c r="L135" s="7"/>
      <c r="M135" s="14"/>
      <c r="N135" s="13"/>
      <c r="O135" s="7"/>
      <c r="P135" s="7"/>
      <c r="Q135" s="7"/>
      <c r="R135" s="14"/>
      <c r="S135" s="13"/>
      <c r="T135" s="7"/>
      <c r="U135" s="7"/>
      <c r="V135" s="7"/>
      <c r="W135" s="14"/>
      <c r="X135" s="13"/>
      <c r="Y135" s="7"/>
      <c r="Z135" s="7"/>
      <c r="AA135" s="7"/>
      <c r="AB135" s="14"/>
      <c r="AC135" s="13"/>
      <c r="AD135" s="7"/>
      <c r="AE135" s="7"/>
      <c r="AF135" s="7"/>
      <c r="AG135" s="14"/>
      <c r="AH135" s="13"/>
      <c r="AI135" s="7"/>
      <c r="AJ135" s="7"/>
      <c r="AK135" s="7"/>
    </row>
    <row r="136" ht="17.25" customHeight="1">
      <c r="A136" s="8"/>
      <c r="B136" s="9" t="s">
        <v>6</v>
      </c>
      <c r="C136" s="10" t="str">
        <f>IFERROR(__xludf.DUMMYFUNCTION("iferror(FILTER('新規'!$C:$C, ('新規'!$A:$A = C$1) * ('新規'!$B:$B = $A128)))"),"")</f>
        <v/>
      </c>
      <c r="D136" s="11" t="str">
        <f>IFERROR(__xludf.DUMMYFUNCTION("IFERROR(FILTER('新規'!$D$2:$D$400, ('新規'!$A$2:$A$400 = CHOOSE(WEEKDAY(C$1), ""日"", ""月"", ""火"", ""水"", ""木"", ""金"", ""土"")) * ('新規'!$B$2:$B$400 = $A$3) * ('新規'!$O$2:$O$400 = FALSE)), """")"),"")</f>
        <v/>
      </c>
      <c r="E136" s="7"/>
      <c r="F136" s="7" t="str">
        <f>IFERROR(__xludf.DUMMYFUNCTION("IFERROR(FILTER('新規'!$M$2:$M$400, ('新規'!$A$2:$A$400 = CHOOSE(WEEKDAY(C$1), ""日"", ""月"", ""火"", ""水"", ""木"", ""金"", ""土"")) * ('新規'!$B$2:$B$400 = $A$3) * ('新規'!$O$2:$O$400 = FALSE)), """")"),"")</f>
        <v/>
      </c>
      <c r="G136" s="7" t="str">
        <f>IFERROR(__xludf.DUMMYFUNCTION("IFERROR(FILTER('新規'!$N$2:$N$400, ('新規'!$A$2:$A$400 = CHOOSE(WEEKDAY(C$1), ""日"", ""月"", ""火"", ""水"", ""木"", ""金"", ""土"")) * ('新規'!$B$2:$B$400 = $A$3) * ('新規'!$O$2:$O$400 = FALSE)), """")"),"")</f>
        <v/>
      </c>
      <c r="H136" s="10" t="str">
        <f>IFERROR(__xludf.DUMMYFUNCTION("iferror(FILTER('新規'!$C:$C, ('新規'!$A:$A = H$1) * ('新規'!$B:$B = $A128)))"),"")</f>
        <v/>
      </c>
      <c r="I136" s="11" t="str">
        <f>IFERROR(__xludf.DUMMYFUNCTION("IFERROR(FILTER('新規'!$D$2:$D$400, ('新規'!$A$2:$A$400 = CHOOSE(WEEKDAY(H$1), ""日"", ""月"", ""火"", ""水"", ""木"", ""金"", ""土"")) * ('新規'!$B$2:$B$400 = $A$3) * ('新規'!$O$2:$O$400 = FALSE)), """")"),"")</f>
        <v/>
      </c>
      <c r="J136" s="7"/>
      <c r="K136" s="7" t="str">
        <f>IFERROR(__xludf.DUMMYFUNCTION("IFERROR(FILTER('新規'!$M$2:$M$400, ('新規'!$A$2:$A$400 = CHOOSE(WEEKDAY(H$1), ""日"", ""月"", ""火"", ""水"", ""木"", ""金"", ""土"")) * ('新規'!$B$2:$B$400 = $A$3) * ('新規'!$O$2:$O$400 = FALSE)), """")"),"")</f>
        <v/>
      </c>
      <c r="L136" s="7" t="str">
        <f>IFERROR(__xludf.DUMMYFUNCTION("IFERROR(FILTER('新規'!$N$2:$N$400, ('新規'!$A$2:$A$400 = CHOOSE(WEEKDAY(H$1), ""日"", ""月"", ""火"", ""水"", ""木"", ""金"", ""土"")) * ('新規'!$B$2:$B$400 = $A$3) * ('新規'!$O$2:$O$400 = FALSE)), """")"),"")</f>
        <v/>
      </c>
      <c r="M136" s="10" t="str">
        <f>IFERROR(__xludf.DUMMYFUNCTION("iferror(FILTER('新規'!$C:$C, ('新規'!$A:$A = M$1) * ('新規'!$B:$B = $A128)))"),"")</f>
        <v/>
      </c>
      <c r="N136" s="11" t="str">
        <f>IFERROR(__xludf.DUMMYFUNCTION("IFERROR(FILTER('新規'!$D$2:$D$400, ('新規'!$A$2:$A$400 = CHOOSE(WEEKDAY(M$1), ""日"", ""月"", ""火"", ""水"", ""木"", ""金"", ""土"")) * ('新規'!$B$2:$B$400 = $A$3) * ('新規'!$O$2:$O$400 = FALSE)), """")"),"")</f>
        <v/>
      </c>
      <c r="O136" s="7"/>
      <c r="P136" s="7" t="str">
        <f>IFERROR(__xludf.DUMMYFUNCTION("IFERROR(FILTER('新規'!$M$2:$M$400, ('新規'!$A$2:$A$400 = CHOOSE(WEEKDAY(M$1), ""日"", ""月"", ""火"", ""水"", ""木"", ""金"", ""土"")) * ('新規'!$B$2:$B$400 = $A$3) * ('新規'!$O$2:$O$400 = FALSE)), """")"),"")</f>
        <v/>
      </c>
      <c r="Q136" s="7" t="str">
        <f>IFERROR(__xludf.DUMMYFUNCTION("IFERROR(FILTER('新規'!$N$2:$N$400, ('新規'!$A$2:$A$400 = CHOOSE(WEEKDAY(M$1), ""日"", ""月"", ""火"", ""水"", ""木"", ""金"", ""土"")) * ('新規'!$B$2:$B$400 = $A$3) * ('新規'!$O$2:$O$400 = FALSE)), """")"),"")</f>
        <v/>
      </c>
      <c r="R136" s="10" t="str">
        <f>IFERROR(__xludf.DUMMYFUNCTION("iferror(FILTER('新規'!$C:$C, ('新規'!$A:$A = R$1) * ('新規'!$B:$B = $A128)))"),"")</f>
        <v/>
      </c>
      <c r="S136" s="11" t="str">
        <f>IFERROR(__xludf.DUMMYFUNCTION("IFERROR(FILTER('新規'!$D$2:$D$400, ('新規'!$A$2:$A$400 = CHOOSE(WEEKDAY(R$1), ""日"", ""月"", ""火"", ""水"", ""木"", ""金"", ""土"")) * ('新規'!$B$2:$B$400 = $A$3) * ('新規'!$O$2:$O$400 = FALSE)), """")"),"")</f>
        <v/>
      </c>
      <c r="T136" s="7"/>
      <c r="U136" s="7" t="str">
        <f>IFERROR(__xludf.DUMMYFUNCTION("IFERROR(FILTER('新規'!$M$2:$M$400, ('新規'!$A$2:$A$400 = CHOOSE(WEEKDAY(R$1), ""日"", ""月"", ""火"", ""水"", ""木"", ""金"", ""土"")) * ('新規'!$B$2:$B$400 = $A$3) * ('新規'!$O$2:$O$400 = FALSE)), """")"),"")</f>
        <v/>
      </c>
      <c r="V136" s="7" t="str">
        <f>IFERROR(__xludf.DUMMYFUNCTION("IFERROR(FILTER('新規'!$N$2:$N$400, ('新規'!$A$2:$A$400 = CHOOSE(WEEKDAY(R$1), ""日"", ""月"", ""火"", ""水"", ""木"", ""金"", ""土"")) * ('新規'!$B$2:$B$400 = $A$3) * ('新規'!$O$2:$O$400 = FALSE)), """")"),"")</f>
        <v/>
      </c>
      <c r="W136" s="10" t="str">
        <f>IFERROR(__xludf.DUMMYFUNCTION("iferror(FILTER('新規'!$C:$C, ('新規'!$A:$A = W$1) * ('新規'!$B:$B = $A128)))"),"")</f>
        <v/>
      </c>
      <c r="X136" s="11" t="str">
        <f>IFERROR(__xludf.DUMMYFUNCTION("IFERROR(FILTER('新規'!$D$2:$D$400, ('新規'!$A$2:$A$400 = CHOOSE(WEEKDAY(W$1), ""日"", ""月"", ""火"", ""水"", ""木"", ""金"", ""土"")) * ('新規'!$B$2:$B$400 = $A$3) * ('新規'!$O$2:$O$400 = FALSE)), """")"),"")</f>
        <v/>
      </c>
      <c r="Y136" s="7"/>
      <c r="Z136" s="7" t="str">
        <f>IFERROR(__xludf.DUMMYFUNCTION("IFERROR(FILTER('新規'!$M$2:$M$400, ('新規'!$A$2:$A$400 = CHOOSE(WEEKDAY(W$1), ""日"", ""月"", ""火"", ""水"", ""木"", ""金"", ""土"")) * ('新規'!$B$2:$B$400 = $A$3) * ('新規'!$O$2:$O$400 = FALSE)), """")"),"")</f>
        <v/>
      </c>
      <c r="AA136" s="7" t="str">
        <f>IFERROR(__xludf.DUMMYFUNCTION("IFERROR(FILTER('新規'!$N$2:$N$400, ('新規'!$A$2:$A$400 = CHOOSE(WEEKDAY(W$1), ""日"", ""月"", ""火"", ""水"", ""木"", ""金"", ""土"")) * ('新規'!$B$2:$B$400 = $A$3) * ('新規'!$O$2:$O$400 = FALSE)), """")"),"")</f>
        <v/>
      </c>
      <c r="AB136" s="10" t="str">
        <f>IFERROR(__xludf.DUMMYFUNCTION("iferror(FILTER('新規'!$C:$C, ('新規'!$A:$A = AB$1) * ('新規'!$B:$B = $A128)))"),"")</f>
        <v/>
      </c>
      <c r="AC136" s="11" t="str">
        <f>IFERROR(__xludf.DUMMYFUNCTION("IFERROR(FILTER('新規'!$D$2:$D$400, ('新規'!$A$2:$A$400 = CHOOSE(WEEKDAY(AB$1), ""日"", ""月"", ""火"", ""水"", ""木"", ""金"", ""土"")) * ('新規'!$B$2:$B$400 = $A$3) * ('新規'!$O$2:$O$400 = FALSE)), """")"),"")</f>
        <v/>
      </c>
      <c r="AD136" s="7"/>
      <c r="AE136" s="7" t="str">
        <f>IFERROR(__xludf.DUMMYFUNCTION("IFERROR(FILTER('新規'!$M$2:$M$400, ('新規'!$A$2:$A$400 = CHOOSE(WEEKDAY(AB$1), ""日"", ""月"", ""火"", ""水"", ""木"", ""金"", ""土"")) * ('新規'!$B$2:$B$400 = $A$3) * ('新規'!$O$2:$O$400 = FALSE)), """")"),"")</f>
        <v/>
      </c>
      <c r="AF136" s="7" t="str">
        <f>IFERROR(__xludf.DUMMYFUNCTION("IFERROR(FILTER('新規'!$N$2:$N$400, ('新規'!$A$2:$A$400 = CHOOSE(WEEKDAY(AB$1), ""日"", ""月"", ""火"", ""水"", ""木"", ""金"", ""土"")) * ('新規'!$B$2:$B$400 = $A$3) * ('新規'!$O$2:$O$400 = FALSE)), """")"),"")</f>
        <v/>
      </c>
      <c r="AG136" s="10" t="str">
        <f>IFERROR(__xludf.DUMMYFUNCTION("iferror(FILTER('新規'!$C:$C, ('新規'!$A:$A = AG$1) * ('新規'!$B:$B = $A128)))"),"")</f>
        <v/>
      </c>
      <c r="AH136" s="11" t="str">
        <f>IFERROR(__xludf.DUMMYFUNCTION("IFERROR(FILTER('新規'!$D$2:$D$400, ('新規'!$A$2:$A$400 = CHOOSE(WEEKDAY(AG$1), ""日"", ""月"", ""火"", ""水"", ""木"", ""金"", ""土"")) * ('新規'!$B$2:$B$400 = $A$3) * ('新規'!$O$2:$O$400 = FALSE)), """")"),"")</f>
        <v/>
      </c>
      <c r="AI136" s="7"/>
      <c r="AJ136" s="7" t="str">
        <f>IFERROR(__xludf.DUMMYFUNCTION("IFERROR(FILTER('新規'!$M$2:$M$400, ('新規'!$A$2:$A$400 = CHOOSE(WEEKDAY(AG$1), ""日"", ""月"", ""火"", ""水"", ""木"", ""金"", ""土"")) * ('新規'!$B$2:$B$400 = $A$3) * ('新規'!$O$2:$O$400 = FALSE)), """")"),"")</f>
        <v/>
      </c>
      <c r="AK136" s="7" t="str">
        <f>IFERROR(__xludf.DUMMYFUNCTION("IFERROR(FILTER('新規'!$N$2:$N$400, ('新規'!$A$2:$A$400 = CHOOSE(WEEKDAY(AG$1), ""日"", ""月"", ""火"", ""水"", ""木"", ""金"", ""土"")) * ('新規'!$B$2:$B$400 = $A$3) * ('新規'!$O$2:$O$400 = FALSE)), """")"),"")</f>
        <v/>
      </c>
    </row>
    <row r="137" ht="17.25" customHeight="1">
      <c r="A137" s="8"/>
      <c r="B137" s="9"/>
      <c r="C137" s="17"/>
      <c r="D137" s="7"/>
      <c r="E137" s="7"/>
      <c r="F137" s="7" t="str">
        <f t="array" ref="F137">IFERROR(XLOOKUP(C137, 'リスト'!$C:$C, 'リスト'!$M:$M, ""), "")</f>
        <v/>
      </c>
      <c r="G137" s="7" t="str">
        <f t="array" ref="G137">IFERROR(XLOOKUP(C137, 'リスト'!$C:$C, 'リスト'!$N:$N, ""), "")</f>
        <v/>
      </c>
      <c r="H137" s="17"/>
      <c r="I137" s="7"/>
      <c r="J137" s="7"/>
      <c r="K137" s="7" t="str">
        <f t="array" ref="K137">IFERROR(XLOOKUP(H137, 'リスト'!$C:$C, 'リスト'!$M:$M, ""), "")</f>
        <v/>
      </c>
      <c r="L137" s="7" t="str">
        <f t="array" ref="L137">IFERROR(XLOOKUP(H137, 'リスト'!$C:$C, 'リスト'!$N:$N, ""), "")</f>
        <v/>
      </c>
      <c r="M137" s="17"/>
      <c r="N137" s="7"/>
      <c r="O137" s="7"/>
      <c r="P137" s="7" t="str">
        <f t="array" ref="P137">IFERROR(XLOOKUP(M137, 'リスト'!$C:$C, 'リスト'!$M:$M, ""), "")</f>
        <v/>
      </c>
      <c r="Q137" s="7" t="str">
        <f t="array" ref="Q137">IFERROR(XLOOKUP(M137, 'リスト'!$C:$C, 'リスト'!$N:$N, ""), "")</f>
        <v/>
      </c>
      <c r="R137" s="17"/>
      <c r="S137" s="7"/>
      <c r="T137" s="7"/>
      <c r="U137" s="7" t="str">
        <f t="array" ref="U137">IFERROR(XLOOKUP(R137, 'リスト'!$C:$C, 'リスト'!$M:$M, ""), "")</f>
        <v/>
      </c>
      <c r="V137" s="7" t="str">
        <f t="array" ref="V137">IFERROR(XLOOKUP(R137, 'リスト'!$C:$C, 'リスト'!$N:$N, ""), "")</f>
        <v/>
      </c>
      <c r="W137" s="17"/>
      <c r="X137" s="7"/>
      <c r="Y137" s="7"/>
      <c r="Z137" s="7" t="str">
        <f t="array" ref="Z137">IFERROR(XLOOKUP(W137, 'リスト'!$C:$C, 'リスト'!$M:$M, ""), "")</f>
        <v/>
      </c>
      <c r="AA137" s="7" t="str">
        <f t="array" ref="AA137">IFERROR(XLOOKUP(W137, 'リスト'!$C:$C, 'リスト'!$N:$N, ""), "")</f>
        <v/>
      </c>
      <c r="AB137" s="17"/>
      <c r="AC137" s="7"/>
      <c r="AD137" s="7"/>
      <c r="AE137" s="7" t="str">
        <f t="array" ref="AE137">IFERROR(XLOOKUP(AB137, 'リスト'!$C:$C, 'リスト'!$M:$M, ""), "")</f>
        <v/>
      </c>
      <c r="AF137" s="7" t="str">
        <f t="array" ref="AF137">IFERROR(XLOOKUP(AB137, 'リスト'!$C:$C, 'リスト'!$N:$N, ""), "")</f>
        <v/>
      </c>
      <c r="AG137" s="17"/>
      <c r="AH137" s="7"/>
      <c r="AI137" s="7"/>
      <c r="AJ137" s="7" t="str">
        <f t="array" ref="AJ137">IFERROR(XLOOKUP(AG137, 'リスト'!$C:$C, 'リスト'!$M:$M, ""), "")</f>
        <v/>
      </c>
      <c r="AK137" s="7" t="str">
        <f t="array" ref="AK137">IFERROR(XLOOKUP(AG137, 'リスト'!$C:$C, 'リスト'!$N:$N, ""), "")</f>
        <v/>
      </c>
    </row>
    <row r="138" ht="17.25" customHeight="1">
      <c r="A138" s="8"/>
      <c r="B138" s="9"/>
      <c r="C138" s="17"/>
      <c r="D138" s="7"/>
      <c r="E138" s="7"/>
      <c r="F138" s="7" t="str">
        <f t="array" ref="F138">IFERROR(XLOOKUP(C138, 'リスト'!$C:$C, 'リスト'!$M:$M, ""), "")</f>
        <v/>
      </c>
      <c r="G138" s="7" t="str">
        <f t="array" ref="G138">IFERROR(XLOOKUP(C138, 'リスト'!$C:$C, 'リスト'!$N:$N, ""), "")</f>
        <v/>
      </c>
      <c r="H138" s="17"/>
      <c r="I138" s="7"/>
      <c r="J138" s="7"/>
      <c r="K138" s="7" t="str">
        <f t="array" ref="K138">IFERROR(XLOOKUP(H138, 'リスト'!$C:$C, 'リスト'!$M:$M, ""), "")</f>
        <v/>
      </c>
      <c r="L138" s="7" t="str">
        <f t="array" ref="L138">IFERROR(XLOOKUP(H138, 'リスト'!$C:$C, 'リスト'!$N:$N, ""), "")</f>
        <v/>
      </c>
      <c r="M138" s="17"/>
      <c r="N138" s="7"/>
      <c r="O138" s="7"/>
      <c r="P138" s="7" t="str">
        <f t="array" ref="P138">IFERROR(XLOOKUP(M138, 'リスト'!$C:$C, 'リスト'!$M:$M, ""), "")</f>
        <v/>
      </c>
      <c r="Q138" s="7" t="str">
        <f t="array" ref="Q138">IFERROR(XLOOKUP(M138, 'リスト'!$C:$C, 'リスト'!$N:$N, ""), "")</f>
        <v/>
      </c>
      <c r="R138" s="17"/>
      <c r="S138" s="7"/>
      <c r="T138" s="7"/>
      <c r="U138" s="7" t="str">
        <f t="array" ref="U138">IFERROR(XLOOKUP(R138, 'リスト'!$C:$C, 'リスト'!$M:$M, ""), "")</f>
        <v/>
      </c>
      <c r="V138" s="7" t="str">
        <f t="array" ref="V138">IFERROR(XLOOKUP(R138, 'リスト'!$C:$C, 'リスト'!$N:$N, ""), "")</f>
        <v/>
      </c>
      <c r="W138" s="17"/>
      <c r="X138" s="7"/>
      <c r="Y138" s="7"/>
      <c r="Z138" s="7" t="str">
        <f t="array" ref="Z138">IFERROR(XLOOKUP(W138, 'リスト'!$C:$C, 'リスト'!$M:$M, ""), "")</f>
        <v/>
      </c>
      <c r="AA138" s="7" t="str">
        <f t="array" ref="AA138">IFERROR(XLOOKUP(W138, 'リスト'!$C:$C, 'リスト'!$N:$N, ""), "")</f>
        <v/>
      </c>
      <c r="AB138" s="17"/>
      <c r="AC138" s="7"/>
      <c r="AD138" s="7"/>
      <c r="AE138" s="7" t="str">
        <f t="array" ref="AE138">IFERROR(XLOOKUP(AB138, 'リスト'!$C:$C, 'リスト'!$M:$M, ""), "")</f>
        <v/>
      </c>
      <c r="AF138" s="7" t="str">
        <f t="array" ref="AF138">IFERROR(XLOOKUP(AB138, 'リスト'!$C:$C, 'リスト'!$N:$N, ""), "")</f>
        <v/>
      </c>
      <c r="AG138" s="17"/>
      <c r="AH138" s="7"/>
      <c r="AI138" s="7"/>
      <c r="AJ138" s="7" t="str">
        <f t="array" ref="AJ138">IFERROR(XLOOKUP(AG138, 'リスト'!$C:$C, 'リスト'!$M:$M, ""), "")</f>
        <v/>
      </c>
      <c r="AK138" s="7" t="str">
        <f t="array" ref="AK138">IFERROR(XLOOKUP(AG138, 'リスト'!$C:$C, 'リスト'!$N:$N, ""), "")</f>
        <v/>
      </c>
    </row>
    <row r="139" ht="17.25" customHeight="1">
      <c r="A139" s="8"/>
      <c r="B139" s="9"/>
      <c r="C139" s="17"/>
      <c r="D139" s="7"/>
      <c r="E139" s="7"/>
      <c r="F139" s="7" t="str">
        <f t="array" ref="F139">IFERROR(XLOOKUP(C139, 'リスト'!$C:$C, 'リスト'!$M:$M, ""), "")</f>
        <v/>
      </c>
      <c r="G139" s="7" t="str">
        <f t="array" ref="G139">IFERROR(XLOOKUP(C139, 'リスト'!$C:$C, 'リスト'!$N:$N, ""), "")</f>
        <v/>
      </c>
      <c r="H139" s="17"/>
      <c r="I139" s="7"/>
      <c r="J139" s="7"/>
      <c r="K139" s="7" t="str">
        <f t="array" ref="K139">IFERROR(XLOOKUP(H139, 'リスト'!$C:$C, 'リスト'!$M:$M, ""), "")</f>
        <v/>
      </c>
      <c r="L139" s="7" t="str">
        <f t="array" ref="L139">IFERROR(XLOOKUP(H139, 'リスト'!$C:$C, 'リスト'!$N:$N, ""), "")</f>
        <v/>
      </c>
      <c r="M139" s="17"/>
      <c r="N139" s="7"/>
      <c r="O139" s="7"/>
      <c r="P139" s="7" t="str">
        <f t="array" ref="P139">IFERROR(XLOOKUP(M139, 'リスト'!$C:$C, 'リスト'!$M:$M, ""), "")</f>
        <v/>
      </c>
      <c r="Q139" s="7" t="str">
        <f t="array" ref="Q139">IFERROR(XLOOKUP(M139, 'リスト'!$C:$C, 'リスト'!$N:$N, ""), "")</f>
        <v/>
      </c>
      <c r="R139" s="17"/>
      <c r="S139" s="7"/>
      <c r="T139" s="7"/>
      <c r="U139" s="7" t="str">
        <f t="array" ref="U139">IFERROR(XLOOKUP(R139, 'リスト'!$C:$C, 'リスト'!$M:$M, ""), "")</f>
        <v/>
      </c>
      <c r="V139" s="7" t="str">
        <f t="array" ref="V139">IFERROR(XLOOKUP(R139, 'リスト'!$C:$C, 'リスト'!$N:$N, ""), "")</f>
        <v/>
      </c>
      <c r="W139" s="17"/>
      <c r="X139" s="7"/>
      <c r="Y139" s="7"/>
      <c r="Z139" s="7" t="str">
        <f t="array" ref="Z139">IFERROR(XLOOKUP(W139, 'リスト'!$C:$C, 'リスト'!$M:$M, ""), "")</f>
        <v/>
      </c>
      <c r="AA139" s="7" t="str">
        <f t="array" ref="AA139">IFERROR(XLOOKUP(W139, 'リスト'!$C:$C, 'リスト'!$N:$N, ""), "")</f>
        <v/>
      </c>
      <c r="AB139" s="17"/>
      <c r="AC139" s="7"/>
      <c r="AD139" s="7"/>
      <c r="AE139" s="7" t="str">
        <f t="array" ref="AE139">IFERROR(XLOOKUP(AB139, 'リスト'!$C:$C, 'リスト'!$M:$M, ""), "")</f>
        <v/>
      </c>
      <c r="AF139" s="7" t="str">
        <f t="array" ref="AF139">IFERROR(XLOOKUP(AB139, 'リスト'!$C:$C, 'リスト'!$N:$N, ""), "")</f>
        <v/>
      </c>
      <c r="AG139" s="17"/>
      <c r="AH139" s="7"/>
      <c r="AI139" s="7"/>
      <c r="AJ139" s="7" t="str">
        <f t="array" ref="AJ139">IFERROR(XLOOKUP(AG139, 'リスト'!$C:$C, 'リスト'!$M:$M, ""), "")</f>
        <v/>
      </c>
      <c r="AK139" s="7" t="str">
        <f t="array" ref="AK139">IFERROR(XLOOKUP(AG139, 'リスト'!$C:$C, 'リスト'!$N:$N, ""), "")</f>
        <v/>
      </c>
    </row>
    <row r="140" ht="17.25" customHeight="1">
      <c r="A140" s="8"/>
      <c r="B140" s="9"/>
      <c r="C140" s="17"/>
      <c r="D140" s="7"/>
      <c r="E140" s="7"/>
      <c r="F140" s="7" t="str">
        <f t="array" ref="F140">IFERROR(XLOOKUP(C140, 'リスト'!$C:$C, 'リスト'!$M:$M, ""), "")</f>
        <v/>
      </c>
      <c r="G140" s="7" t="str">
        <f t="array" ref="G140">IFERROR(XLOOKUP(C140, 'リスト'!$C:$C, 'リスト'!$N:$N, ""), "")</f>
        <v/>
      </c>
      <c r="H140" s="17"/>
      <c r="I140" s="7"/>
      <c r="J140" s="7"/>
      <c r="K140" s="7" t="str">
        <f t="array" ref="K140">IFERROR(XLOOKUP(H140, 'リスト'!$C:$C, 'リスト'!$M:$M, ""), "")</f>
        <v/>
      </c>
      <c r="L140" s="7" t="str">
        <f t="array" ref="L140">IFERROR(XLOOKUP(H140, 'リスト'!$C:$C, 'リスト'!$N:$N, ""), "")</f>
        <v/>
      </c>
      <c r="M140" s="17"/>
      <c r="N140" s="7"/>
      <c r="O140" s="7"/>
      <c r="P140" s="7" t="str">
        <f t="array" ref="P140">IFERROR(XLOOKUP(M140, 'リスト'!$C:$C, 'リスト'!$M:$M, ""), "")</f>
        <v/>
      </c>
      <c r="Q140" s="7" t="str">
        <f t="array" ref="Q140">IFERROR(XLOOKUP(M140, 'リスト'!$C:$C, 'リスト'!$N:$N, ""), "")</f>
        <v/>
      </c>
      <c r="R140" s="17"/>
      <c r="S140" s="7"/>
      <c r="T140" s="7"/>
      <c r="U140" s="7" t="str">
        <f t="array" ref="U140">IFERROR(XLOOKUP(R140, 'リスト'!$C:$C, 'リスト'!$M:$M, ""), "")</f>
        <v/>
      </c>
      <c r="V140" s="7" t="str">
        <f t="array" ref="V140">IFERROR(XLOOKUP(R140, 'リスト'!$C:$C, 'リスト'!$N:$N, ""), "")</f>
        <v/>
      </c>
      <c r="W140" s="17"/>
      <c r="X140" s="7"/>
      <c r="Y140" s="7"/>
      <c r="Z140" s="7" t="str">
        <f t="array" ref="Z140">IFERROR(XLOOKUP(W140, 'リスト'!$C:$C, 'リスト'!$M:$M, ""), "")</f>
        <v/>
      </c>
      <c r="AA140" s="7" t="str">
        <f t="array" ref="AA140">IFERROR(XLOOKUP(W140, 'リスト'!$C:$C, 'リスト'!$N:$N, ""), "")</f>
        <v/>
      </c>
      <c r="AB140" s="17"/>
      <c r="AC140" s="7"/>
      <c r="AD140" s="7"/>
      <c r="AE140" s="7" t="str">
        <f t="array" ref="AE140">IFERROR(XLOOKUP(AB140, 'リスト'!$C:$C, 'リスト'!$M:$M, ""), "")</f>
        <v/>
      </c>
      <c r="AF140" s="7" t="str">
        <f t="array" ref="AF140">IFERROR(XLOOKUP(AB140, 'リスト'!$C:$C, 'リスト'!$N:$N, ""), "")</f>
        <v/>
      </c>
      <c r="AG140" s="17"/>
      <c r="AH140" s="7"/>
      <c r="AI140" s="7"/>
      <c r="AJ140" s="7" t="str">
        <f t="array" ref="AJ140">IFERROR(XLOOKUP(AG140, 'リスト'!$C:$C, 'リスト'!$M:$M, ""), "")</f>
        <v/>
      </c>
      <c r="AK140" s="7" t="str">
        <f t="array" ref="AK140">IFERROR(XLOOKUP(AG140, 'リスト'!$C:$C, 'リスト'!$N:$N, ""), "")</f>
        <v/>
      </c>
    </row>
    <row r="141" ht="17.25" customHeight="1">
      <c r="A141" s="8"/>
      <c r="B141" s="9" t="s">
        <v>7</v>
      </c>
      <c r="C141" s="10" t="str">
        <f>"◇ポジションマッチ A" &amp; MOD(INT(($C$1 - '特殊配信マスタ'!$A$1) / 7), 3) + 1</f>
        <v>◇ポジションマッチ A2</v>
      </c>
      <c r="D141" s="11" t="str">
        <f>IFERROR(__xludf.DUMMYFUNCTION("IFERROR(TEXTJOIN(CHAR(10), TRUE, FILTER('特殊配信マスタ'!$C:$E, #REF!=D$1)), """")"),"")</f>
        <v/>
      </c>
      <c r="E141" s="7" t="str">
        <f>IFERROR(__xludf.DUMMYFUNCTION("IFERROR(TEXTJOIN(CHAR(10), TRUE, FILTER('特殊配信マスタ'!$C:$E, #REF!=E$1)), """")"),"")</f>
        <v/>
      </c>
      <c r="F141" s="7" t="str">
        <f t="array" ref="F141">IFERROR(XLOOKUP(C141, INDEX('特殊配信マスタ'!$C$3:$E$8, 0, MAX(1, ROW()-14)), '特殊配信マスタ'!$M$3:$N$8, ""),"")</f>
        <v/>
      </c>
      <c r="G141" s="7"/>
      <c r="H141" s="10" t="str">
        <f>"◇ポジションマッチ A" &amp; MOD(INT(($C$1 - '特殊配信マスタ'!$A$1) / 7), 3) + 1</f>
        <v>◇ポジションマッチ A2</v>
      </c>
      <c r="I141" s="11" t="str">
        <f>IFERROR(__xludf.DUMMYFUNCTION("IFERROR(TEXTJOIN(CHAR(10), TRUE, FILTER('特殊配信マスタ'!$C:$E, #REF!=I$1)), """")"),"")</f>
        <v/>
      </c>
      <c r="J141" s="7" t="str">
        <f>IFERROR(__xludf.DUMMYFUNCTION("IFERROR(TEXTJOIN(CHAR(10), TRUE, FILTER('特殊配信マスタ'!$C:$E, #REF!=J$1)), """")"),"")</f>
        <v/>
      </c>
      <c r="K141" s="7" t="str">
        <f t="array" ref="K141">IFERROR(XLOOKUP(H141, INDEX('特殊配信マスタ'!$C$3:$E$8, 0, MAX(1, ROW()-14)), '特殊配信マスタ'!$M$3:$N$8, ""),"")</f>
        <v/>
      </c>
      <c r="L141" s="7"/>
      <c r="M141" s="10" t="str">
        <f>"◇ポジションマッチ A" &amp; MOD(INT(($C$1 - '特殊配信マスタ'!$A$1) / 7), 3) + 1</f>
        <v>◇ポジションマッチ A2</v>
      </c>
      <c r="N141" s="11" t="str">
        <f>IFERROR(__xludf.DUMMYFUNCTION("IFERROR(TEXTJOIN(CHAR(10), TRUE, FILTER('特殊配信マスタ'!$C:$E, #REF!=N$1)), """")"),"")</f>
        <v/>
      </c>
      <c r="O141" s="7" t="str">
        <f>IFERROR(__xludf.DUMMYFUNCTION("IFERROR(TEXTJOIN(CHAR(10), TRUE, FILTER('特殊配信マスタ'!$C:$E, #REF!=O$1)), """")"),"")</f>
        <v/>
      </c>
      <c r="P141" s="7" t="str">
        <f t="array" ref="P141">IFERROR(XLOOKUP(M141, INDEX('特殊配信マスタ'!$C$3:$E$8, 0, MAX(1, ROW()-14)), '特殊配信マスタ'!$M$3:$N$8, ""),"")</f>
        <v/>
      </c>
      <c r="Q141" s="7"/>
      <c r="R141" s="10" t="str">
        <f>"◇ポジションマッチ A" &amp; MOD(INT(($C$1 - '特殊配信マスタ'!$A$1) / 7), 3) + 1</f>
        <v>◇ポジションマッチ A2</v>
      </c>
      <c r="S141" s="11" t="str">
        <f>IFERROR(__xludf.DUMMYFUNCTION("IFERROR(TEXTJOIN(CHAR(10), TRUE, FILTER('特殊配信マスタ'!$C:$E, #REF!=S$1)), """")"),"")</f>
        <v/>
      </c>
      <c r="T141" s="7" t="str">
        <f>IFERROR(__xludf.DUMMYFUNCTION("IFERROR(TEXTJOIN(CHAR(10), TRUE, FILTER('特殊配信マスタ'!$C:$E, #REF!=T$1)), """")"),"")</f>
        <v/>
      </c>
      <c r="U141" s="7" t="str">
        <f t="array" ref="U141">IFERROR(XLOOKUP(R141, INDEX('特殊配信マスタ'!$C$3:$E$8, 0, MAX(1, ROW()-14)), '特殊配信マスタ'!$M$3:$N$8, ""),"")</f>
        <v/>
      </c>
      <c r="V141" s="7"/>
      <c r="W141" s="10" t="str">
        <f>"◇ポジションマッチ A" &amp; MOD(INT(($C$1 - '特殊配信マスタ'!$A$1) / 7), 3) + 1</f>
        <v>◇ポジションマッチ A2</v>
      </c>
      <c r="X141" s="11" t="str">
        <f>IFERROR(__xludf.DUMMYFUNCTION("IFERROR(TEXTJOIN(CHAR(10), TRUE, FILTER('特殊配信マスタ'!$C:$E, #REF!=X$1)), """")"),"")</f>
        <v/>
      </c>
      <c r="Y141" s="7" t="str">
        <f>IFERROR(__xludf.DUMMYFUNCTION("IFERROR(TEXTJOIN(CHAR(10), TRUE, FILTER('特殊配信マスタ'!$C:$E, #REF!=Y$1)), """")"),"")</f>
        <v/>
      </c>
      <c r="Z141" s="7" t="str">
        <f t="array" ref="Z141">IFERROR(XLOOKUP(W141, INDEX('特殊配信マスタ'!$C$3:$E$8, 0, MAX(1, ROW()-14)), '特殊配信マスタ'!$M$3:$N$8, ""),"")</f>
        <v/>
      </c>
      <c r="AA141" s="7"/>
      <c r="AB141" s="10" t="str">
        <f>"◇ポジションマッチ A" &amp; MOD(INT(($C$1 - '特殊配信マスタ'!$A$1) / 7), 3) + 1</f>
        <v>◇ポジションマッチ A2</v>
      </c>
      <c r="AC141" s="11" t="str">
        <f>IFERROR(__xludf.DUMMYFUNCTION("IFERROR(TEXTJOIN(CHAR(10), TRUE, FILTER('特殊配信マスタ'!$C:$E, #REF!=AC$1)), """")"),"")</f>
        <v/>
      </c>
      <c r="AD141" s="7" t="str">
        <f>IFERROR(__xludf.DUMMYFUNCTION("IFERROR(TEXTJOIN(CHAR(10), TRUE, FILTER('特殊配信マスタ'!$C:$E, #REF!=AD$1)), """")"),"")</f>
        <v/>
      </c>
      <c r="AE141" s="7" t="str">
        <f t="array" ref="AE141">IFERROR(XLOOKUP(AB141, INDEX('特殊配信マスタ'!$C$3:$E$8, 0, MAX(1, ROW()-14)), '特殊配信マスタ'!$M$3:$N$8, ""),"")</f>
        <v/>
      </c>
      <c r="AF141" s="7"/>
      <c r="AG141" s="10" t="str">
        <f>"◇ポジションマッチ A" &amp; MOD(INT(($C$1 - '特殊配信マスタ'!$A$1) / 7), 3) + 1</f>
        <v>◇ポジションマッチ A2</v>
      </c>
      <c r="AH141" s="11" t="str">
        <f>IFERROR(__xludf.DUMMYFUNCTION("IFERROR(TEXTJOIN(CHAR(10), TRUE, FILTER('特殊配信マスタ'!$C:$E, #REF!=AH$1)), """")"),"")</f>
        <v/>
      </c>
      <c r="AI141" s="7" t="str">
        <f>IFERROR(__xludf.DUMMYFUNCTION("IFERROR(TEXTJOIN(CHAR(10), TRUE, FILTER('特殊配信マスタ'!$C:$E, #REF!=AI$1)), """")"),"")</f>
        <v/>
      </c>
      <c r="AJ141" s="7" t="str">
        <f t="array" ref="AJ141">IFERROR(XLOOKUP(AG141, INDEX('特殊配信マスタ'!$C$3:$E$8, 0, MAX(1, ROW()-14)), '特殊配信マスタ'!$M$3:$N$8, ""),"")</f>
        <v/>
      </c>
      <c r="AK141" s="7"/>
    </row>
    <row r="142" ht="17.25" customHeight="1">
      <c r="A142" s="8"/>
      <c r="B142" s="9"/>
      <c r="C142" s="10" t="str">
        <f>"◇ポジションマッチ_36歳以上 A" &amp; MOD(INT(($C$1 - '特殊配信マスタ'!$A$1) / 7), 3) + 1</f>
        <v>◇ポジションマッチ_36歳以上 A2</v>
      </c>
      <c r="D142" s="11"/>
      <c r="E142" s="7"/>
      <c r="F142" s="7" t="str">
        <f t="array" ref="F142">IFERROR(XLOOKUP(C142, INDEX('特殊配信マスタ'!$C$3:$E$8, 0, MAX(1, ROW()-14)), '特殊配信マスタ'!$M$3:$N$8, ""),"")</f>
        <v/>
      </c>
      <c r="G142" s="7"/>
      <c r="H142" s="10" t="str">
        <f>"◇ポジションマッチ_36歳以上 A" &amp; MOD(INT(($C$1 - '特殊配信マスタ'!$A$1) / 7), 3) + 1</f>
        <v>◇ポジションマッチ_36歳以上 A2</v>
      </c>
      <c r="I142" s="11"/>
      <c r="J142" s="7"/>
      <c r="K142" s="7" t="str">
        <f t="array" ref="K142">IFERROR(XLOOKUP(H142, INDEX('特殊配信マスタ'!$C$3:$E$8, 0, MAX(1, ROW()-14)), '特殊配信マスタ'!$M$3:$N$8, ""),"")</f>
        <v/>
      </c>
      <c r="L142" s="7"/>
      <c r="M142" s="10" t="str">
        <f>"◇ポジションマッチ_36歳以上 A" &amp; MOD(INT(($C$1 - '特殊配信マスタ'!$A$1) / 7), 3) + 1</f>
        <v>◇ポジションマッチ_36歳以上 A2</v>
      </c>
      <c r="N142" s="11"/>
      <c r="O142" s="7"/>
      <c r="P142" s="7" t="str">
        <f t="array" ref="P142">IFERROR(XLOOKUP(M142, INDEX('特殊配信マスタ'!$C$3:$E$8, 0, MAX(1, ROW()-14)), '特殊配信マスタ'!$M$3:$N$8, ""),"")</f>
        <v/>
      </c>
      <c r="Q142" s="7"/>
      <c r="R142" s="10" t="str">
        <f>"◇ポジションマッチ_36歳以上 A" &amp; MOD(INT(($C$1 - '特殊配信マスタ'!$A$1) / 7), 3) + 1</f>
        <v>◇ポジションマッチ_36歳以上 A2</v>
      </c>
      <c r="S142" s="11"/>
      <c r="T142" s="7"/>
      <c r="U142" s="7" t="str">
        <f t="array" ref="U142">IFERROR(XLOOKUP(R142, INDEX('特殊配信マスタ'!$C$3:$E$8, 0, MAX(1, ROW()-14)), '特殊配信マスタ'!$M$3:$N$8, ""),"")</f>
        <v/>
      </c>
      <c r="V142" s="7"/>
      <c r="W142" s="10" t="str">
        <f>"◇ポジションマッチ_36歳以上 A" &amp; MOD(INT(($C$1 - '特殊配信マスタ'!$A$1) / 7), 3) + 1</f>
        <v>◇ポジションマッチ_36歳以上 A2</v>
      </c>
      <c r="X142" s="11"/>
      <c r="Y142" s="7"/>
      <c r="Z142" s="7" t="str">
        <f t="array" ref="Z142">IFERROR(XLOOKUP(W142, INDEX('特殊配信マスタ'!$C$3:$E$8, 0, MAX(1, ROW()-14)), '特殊配信マスタ'!$M$3:$N$8, ""),"")</f>
        <v/>
      </c>
      <c r="AA142" s="7"/>
      <c r="AB142" s="10" t="str">
        <f>"◇ポジションマッチ_36歳以上 A" &amp; MOD(INT(($C$1 - '特殊配信マスタ'!$A$1) / 7), 3) + 1</f>
        <v>◇ポジションマッチ_36歳以上 A2</v>
      </c>
      <c r="AC142" s="11"/>
      <c r="AD142" s="7"/>
      <c r="AE142" s="7" t="str">
        <f t="array" ref="AE142">IFERROR(XLOOKUP(AB142, INDEX('特殊配信マスタ'!$C$3:$E$8, 0, MAX(1, ROW()-14)), '特殊配信マスタ'!$M$3:$N$8, ""),"")</f>
        <v/>
      </c>
      <c r="AF142" s="7"/>
      <c r="AG142" s="10" t="str">
        <f>"◇ポジションマッチ_36歳以上 A" &amp; MOD(INT(($C$1 - '特殊配信マスタ'!$A$1) / 7), 3) + 1</f>
        <v>◇ポジションマッチ_36歳以上 A2</v>
      </c>
      <c r="AH142" s="11"/>
      <c r="AI142" s="7"/>
      <c r="AJ142" s="7" t="str">
        <f t="array" ref="AJ142">IFERROR(XLOOKUP(AG142, INDEX('特殊配信マスタ'!$C$3:$E$8, 0, MAX(1, ROW()-14)), '特殊配信マスタ'!$M$3:$N$8, ""),"")</f>
        <v/>
      </c>
      <c r="AK142" s="7"/>
    </row>
    <row r="143" ht="17.25" customHeight="1">
      <c r="A143" s="8">
        <f>A128+1</f>
        <v>17</v>
      </c>
      <c r="B143" s="9" t="s">
        <v>5</v>
      </c>
      <c r="C143" s="10" t="str">
        <f>IFERROR(__xludf.DUMMYFUNCTION("IFERROR(FILTER('リスト'!$C$2:$C$400, ('リスト'!$A$2:$A$400 = CHOOSE(WEEKDAY(C$1), ""日"", ""月"", ""火"", ""水"", ""木"", ""金"", ""土"")) * ('リスト'!$B$2:$B$400 = $A143) * ('リスト'!$E$2:$E$400 = ""毎週配信"") * ('リスト'!$O$2:$O$400 = FALSE)), """")"),"◇応募ランキング A")</f>
        <v>◇応募ランキング A</v>
      </c>
      <c r="D143" s="11" t="str">
        <f>IFERROR(__xludf.DUMMYFUNCTION("iferror(FILTER('リスト'!$D:$D, ('リスト'!$A:$A = C$1) * ('リスト'!$B:$B = $A143)))"),"")</f>
        <v/>
      </c>
      <c r="E143" s="7">
        <f>SUM(D143:D156)</f>
        <v>0</v>
      </c>
      <c r="F143" s="7" t="str">
        <f t="array" ref="F143">IFERROR(XLOOKUP(C143, 'リスト'!$C:$C, 'リスト'!$M:$M, ""), "")</f>
        <v>荒</v>
      </c>
      <c r="G143" s="7" t="str">
        <f t="array" ref="G143">IFERROR(XLOOKUP(C143, 'リスト'!$C:$C, 'リスト'!$N:$N, ""), "")</f>
        <v>平</v>
      </c>
      <c r="H143" s="10" t="str">
        <f>IFERROR(__xludf.DUMMYFUNCTION("IFERROR(FILTER('リスト'!$C$2:$C$400, ('リスト'!$A$2:$A$400 = CHOOSE(WEEKDAY(H$1), ""日"", ""月"", ""火"", ""水"", ""木"", ""金"", ""土"")) * ('リスト'!$B$2:$B$400 = $A143) * ('リスト'!$E$2:$E$400 = ""毎週配信"") * ('リスト'!$O$2:$O$400 = FALSE)), """")"),"☆推進課")</f>
        <v>☆推進課</v>
      </c>
      <c r="I143" s="11" t="str">
        <f>IFERROR(__xludf.DUMMYFUNCTION("iferror(FILTER('リスト'!$D:$D, ('リスト'!$A:$A = H$1) * ('リスト'!$B:$B = $A143)))"),"")</f>
        <v/>
      </c>
      <c r="J143" s="7">
        <f>SUM(I143:I156)</f>
        <v>0</v>
      </c>
      <c r="K143" s="7" t="str">
        <f t="array" ref="K143">IFERROR(XLOOKUP(H143, 'リスト'!$C:$C, 'リスト'!$M:$M, ""), "")</f>
        <v>荒</v>
      </c>
      <c r="L143" s="7" t="str">
        <f t="array" ref="L143">IFERROR(XLOOKUP(H143, 'リスト'!$C:$C, 'リスト'!$N:$N, ""), "")</f>
        <v>平</v>
      </c>
      <c r="M143" s="10" t="str">
        <f>IFERROR(__xludf.DUMMYFUNCTION("IFERROR(FILTER('リスト'!$C$2:$C$400, ('リスト'!$A$2:$A$400 = CHOOSE(WEEKDAY(M$1), ""日"", ""月"", ""火"", ""水"", ""木"", ""金"", ""土"")) * ('リスト'!$B$2:$B$400 = $A143) * ('リスト'!$E$2:$E$400 = ""毎週配信"") * ('リスト'!$O$2:$O$400 = FALSE)), """")"),"単独求人訴求メルマガ_C")</f>
        <v>単独求人訴求メルマガ_C</v>
      </c>
      <c r="N143" s="11" t="str">
        <f>IFERROR(__xludf.DUMMYFUNCTION("iferror(FILTER('リスト'!$D:$D, ('リスト'!$A:$A = M$1) * ('リスト'!$B:$B = $A143)))"),"")</f>
        <v/>
      </c>
      <c r="O143" s="7">
        <f>SUM(N143:N156)</f>
        <v>0</v>
      </c>
      <c r="P143" s="7" t="str">
        <f t="array" ref="P143">IFERROR(XLOOKUP(M143, 'リスト'!$C:$C, 'リスト'!$M:$M, ""), "")</f>
        <v>石</v>
      </c>
      <c r="Q143" s="7" t="str">
        <f t="array" ref="Q143">IFERROR(XLOOKUP(M143, 'リスト'!$C:$C, 'リスト'!$N:$N, ""), "")</f>
        <v>武</v>
      </c>
      <c r="R143" s="10" t="str">
        <f>IFERROR(__xludf.DUMMYFUNCTION("IFERROR(FILTER('リスト'!$C$2:$C$400, ('リスト'!$A$2:$A$400 = CHOOSE(WEEKDAY(R$1), ""日"", ""月"", ""火"", ""水"", ""木"", ""金"", ""土"")) * ('リスト'!$B$2:$B$400 = $A143) * ('リスト'!$E$2:$E$400 = ""毎週配信"") * ('リスト'!$O$2:$O$400 = FALSE)), """")"),"☆Womantype[全]")</f>
        <v>☆Womantype[全]</v>
      </c>
      <c r="S143" s="11" t="str">
        <f>IFERROR(__xludf.DUMMYFUNCTION("iferror(FILTER('リスト'!$D:$D, ('リスト'!$A:$A = R$1) * ('リスト'!$B:$B = $A143)))"),"")</f>
        <v/>
      </c>
      <c r="T143" s="7">
        <f>SUM(S143:S156)</f>
        <v>0</v>
      </c>
      <c r="U143" s="7" t="str">
        <f t="array" ref="U143">IFERROR(XLOOKUP(R143, 'リスト'!$C:$C, 'リスト'!$M:$M, ""), "")</f>
        <v>内</v>
      </c>
      <c r="V143" s="7" t="str">
        <f t="array" ref="V143">IFERROR(XLOOKUP(R143, 'リスト'!$C:$C, 'リスト'!$N:$N, ""), "")</f>
        <v>平</v>
      </c>
      <c r="W143" s="10" t="str">
        <f>IFERROR(__xludf.DUMMYFUNCTION("IFERROR(FILTER('リスト'!$C$2:$C$400, ('リスト'!$A$2:$A$400 = CHOOSE(WEEKDAY(W$1), ""日"", ""月"", ""火"", ""水"", ""木"", ""金"", ""土"")) * ('リスト'!$B$2:$B$400 = $A143) * ('リスト'!$E$2:$E$400 = ""毎週配信"") * ('リスト'!$O$2:$O$400 = FALSE)), """")"),"横浜駅で働く")</f>
        <v>横浜駅で働く</v>
      </c>
      <c r="X143" s="11" t="str">
        <f>IFERROR(__xludf.DUMMYFUNCTION("iferror(FILTER('リスト'!$D:$D, ('リスト'!$A:$A = W$1) * ('リスト'!$B:$B = $A143)))"),"")</f>
        <v/>
      </c>
      <c r="Y143" s="7">
        <f>SUM(X143:X156)</f>
        <v>0</v>
      </c>
      <c r="Z143" s="7" t="str">
        <f t="array" ref="Z143">IFERROR(XLOOKUP(W143, 'リスト'!$C:$C, 'リスト'!$M:$M, ""), "")</f>
        <v>R</v>
      </c>
      <c r="AA143" s="7" t="str">
        <f t="array" ref="AA143">IFERROR(XLOOKUP(W143, 'リスト'!$C:$C, 'リスト'!$N:$N, ""), "")</f>
        <v/>
      </c>
      <c r="AB143" s="10" t="str">
        <f>IFERROR(__xludf.DUMMYFUNCTION("IFERROR(FILTER('リスト'!$C$2:$C$400, ('リスト'!$A$2:$A$400 = CHOOSE(WEEKDAY(AB$1), ""日"", ""月"", ""火"", ""水"", ""木"", ""金"", ""土"")) * ('リスト'!$B$2:$B$400 = $A143) * ('リスト'!$E$2:$E$400 = ""毎週配信"") * ('リスト'!$O$2:$O$400 = FALSE)), """")"),"☆IT派遣［全］")</f>
        <v>☆IT派遣［全］</v>
      </c>
      <c r="AC143" s="11" t="str">
        <f>IFERROR(__xludf.DUMMYFUNCTION("iferror(FILTER('リスト'!$D:$D, ('リスト'!$A:$A = AB$1) * ('リスト'!$B:$B = $A143)))"),"")</f>
        <v/>
      </c>
      <c r="AD143" s="7">
        <f>SUM(AC143:AC156)</f>
        <v>0</v>
      </c>
      <c r="AE143" s="7" t="str">
        <f t="array" ref="AE143">IFERROR(XLOOKUP(AB143, 'リスト'!$C:$C, 'リスト'!$M:$M, ""), "")</f>
        <v>内</v>
      </c>
      <c r="AF143" s="7" t="str">
        <f t="array" ref="AF143">IFERROR(XLOOKUP(AB143, 'リスト'!$C:$C, 'リスト'!$N:$N, ""), "")</f>
        <v>平</v>
      </c>
      <c r="AG143" s="10" t="str">
        <f>IFERROR(__xludf.DUMMYFUNCTION("IFERROR(FILTER('リスト'!$C$2:$C$400, ('リスト'!$A$2:$A$400 = CHOOSE(WEEKDAY(AG$1), ""日"", ""月"", ""火"", ""水"", ""木"", ""金"", ""土"")) * ('リスト'!$B$2:$B$400 = $A143) * ('リスト'!$E$2:$E$400 = ""毎週配信"") * ('リスト'!$O$2:$O$400 = FALSE)), """")"),"単独求人訴求メルマガ_C")</f>
        <v>単独求人訴求メルマガ_C</v>
      </c>
      <c r="AH143" s="11" t="str">
        <f>IFERROR(__xludf.DUMMYFUNCTION("iferror(FILTER('リスト'!$D:$D, ('リスト'!$A:$A = AG$1) * ('リスト'!$B:$B = $A143)))"),"")</f>
        <v/>
      </c>
      <c r="AI143" s="7">
        <f>SUM(AH143:AH156)</f>
        <v>0</v>
      </c>
      <c r="AJ143" s="7" t="str">
        <f t="array" ref="AJ143">IFERROR(XLOOKUP(AG143, 'リスト'!$C:$C, 'リスト'!$M:$M, ""), "")</f>
        <v>石</v>
      </c>
      <c r="AK143" s="7" t="str">
        <f t="array" ref="AK143">IFERROR(XLOOKUP(AG143, 'リスト'!$C:$C, 'リスト'!$N:$N, ""), "")</f>
        <v>武</v>
      </c>
    </row>
    <row r="144" ht="17.25" customHeight="1">
      <c r="A144" s="8"/>
      <c r="B144" s="9"/>
      <c r="C144" s="12" t="str">
        <f>IFERROR(__xludf.DUMMYFUNCTION("""COMPUTED_VALUE"""),"仙台_リモートOK_未経験")</f>
        <v>仙台_リモートOK_未経験</v>
      </c>
      <c r="D144" s="7"/>
      <c r="E144" s="7"/>
      <c r="F144" s="7" t="str">
        <f t="array" ref="F144">IFERROR(XLOOKUP(C144, 'リスト'!$C:$C, 'リスト'!$M:$M, ""), "")</f>
        <v>R</v>
      </c>
      <c r="G144" s="7" t="str">
        <f t="array" ref="G144">IFERROR(XLOOKUP(C144, 'リスト'!$C:$C, 'リスト'!$N:$N, ""), "")</f>
        <v/>
      </c>
      <c r="H144" s="12" t="str">
        <f>IFERROR(__xludf.DUMMYFUNCTION("""COMPUTED_VALUE"""),"☆推進課_35歳以上")</f>
        <v>☆推進課_35歳以上</v>
      </c>
      <c r="I144" s="7"/>
      <c r="J144" s="7"/>
      <c r="K144" s="7" t="str">
        <f t="array" ref="K144">IFERROR(XLOOKUP(H144, 'リスト'!$C:$C, 'リスト'!$M:$M, ""), "")</f>
        <v>荒</v>
      </c>
      <c r="L144" s="7" t="str">
        <f t="array" ref="L144">IFERROR(XLOOKUP(H144, 'リスト'!$C:$C, 'リスト'!$N:$N, ""), "")</f>
        <v>平</v>
      </c>
      <c r="M144" s="12" t="str">
        <f>IFERROR(__xludf.DUMMYFUNCTION("""COMPUTED_VALUE"""),"東海_リモート")</f>
        <v>東海_リモート</v>
      </c>
      <c r="N144" s="7"/>
      <c r="O144" s="7"/>
      <c r="P144" s="7" t="str">
        <f t="array" ref="P144">IFERROR(XLOOKUP(M144, 'リスト'!$C:$C, 'リスト'!$M:$M, ""), "")</f>
        <v>R</v>
      </c>
      <c r="Q144" s="7" t="str">
        <f t="array" ref="Q144">IFERROR(XLOOKUP(M144, 'リスト'!$C:$C, 'リスト'!$N:$N, ""), "")</f>
        <v/>
      </c>
      <c r="R144" s="12"/>
      <c r="S144" s="7"/>
      <c r="T144" s="7"/>
      <c r="U144" s="7" t="str">
        <f t="array" ref="U144">IFERROR(XLOOKUP(R144, 'リスト'!$C:$C, 'リスト'!$M:$M, ""), "")</f>
        <v/>
      </c>
      <c r="V144" s="7" t="str">
        <f t="array" ref="V144">IFERROR(XLOOKUP(R144, 'リスト'!$C:$C, 'リスト'!$N:$N, ""), "")</f>
        <v/>
      </c>
      <c r="W144" s="12" t="str">
        <f>IFERROR(__xludf.DUMMYFUNCTION("""COMPUTED_VALUE"""),"札幌駅で働く")</f>
        <v>札幌駅で働く</v>
      </c>
      <c r="X144" s="7"/>
      <c r="Y144" s="7"/>
      <c r="Z144" s="7" t="str">
        <f t="array" ref="Z144">IFERROR(XLOOKUP(W144, 'リスト'!$C:$C, 'リスト'!$M:$M, ""), "")</f>
        <v>R</v>
      </c>
      <c r="AA144" s="7" t="str">
        <f t="array" ref="AA144">IFERROR(XLOOKUP(W144, 'リスト'!$C:$C, 'リスト'!$N:$N, ""), "")</f>
        <v/>
      </c>
      <c r="AB144" s="12" t="str">
        <f>IFERROR(__xludf.DUMMYFUNCTION("""COMPUTED_VALUE"""),"事務・営業職経験者向け")</f>
        <v>事務・営業職経験者向け</v>
      </c>
      <c r="AC144" s="7"/>
      <c r="AD144" s="7"/>
      <c r="AE144" s="7" t="str">
        <f t="array" ref="AE144">IFERROR(XLOOKUP(AB144, 'リスト'!$C:$C, 'リスト'!$M:$M, ""), "")</f>
        <v>R</v>
      </c>
      <c r="AF144" s="7" t="str">
        <f t="array" ref="AF144">IFERROR(XLOOKUP(AB144, 'リスト'!$C:$C, 'リスト'!$N:$N, ""), "")</f>
        <v/>
      </c>
      <c r="AG144" s="12"/>
      <c r="AH144" s="7"/>
      <c r="AI144" s="7"/>
      <c r="AJ144" s="7" t="str">
        <f t="array" ref="AJ144">IFERROR(XLOOKUP(AG144, 'リスト'!$C:$C, 'リスト'!$M:$M, ""), "")</f>
        <v/>
      </c>
      <c r="AK144" s="7" t="str">
        <f t="array" ref="AK144">IFERROR(XLOOKUP(AG144, 'リスト'!$C:$C, 'リスト'!$N:$N, ""), "")</f>
        <v/>
      </c>
    </row>
    <row r="145" ht="17.25" customHeight="1">
      <c r="A145" s="8"/>
      <c r="B145" s="9"/>
      <c r="C145" s="10" t="str">
        <f>IFERROR(__xludf.DUMMYFUNCTION("""COMPUTED_VALUE"""),"大阪_リモートOK_未経験")</f>
        <v>大阪_リモートOK_未経験</v>
      </c>
      <c r="D145" s="13"/>
      <c r="E145" s="7"/>
      <c r="F145" s="7" t="str">
        <f t="array" ref="F145">IFERROR(XLOOKUP(C145, 'リスト'!$C:$C, 'リスト'!$M:$M, ""), "")</f>
        <v>R</v>
      </c>
      <c r="G145" s="7" t="str">
        <f t="array" ref="G145">IFERROR(XLOOKUP(C145, 'リスト'!$C:$C, 'リスト'!$N:$N, ""), "")</f>
        <v/>
      </c>
      <c r="H145" s="10" t="str">
        <f>IFERROR(__xludf.DUMMYFUNCTION("""COMPUTED_VALUE"""),"☆推進課_関西")</f>
        <v>☆推進課_関西</v>
      </c>
      <c r="I145" s="13"/>
      <c r="J145" s="7"/>
      <c r="K145" s="7" t="str">
        <f t="array" ref="K145">IFERROR(XLOOKUP(H145, 'リスト'!$C:$C, 'リスト'!$M:$M, ""), "")</f>
        <v>荒</v>
      </c>
      <c r="L145" s="7" t="str">
        <f t="array" ref="L145">IFERROR(XLOOKUP(H145, 'リスト'!$C:$C, 'リスト'!$N:$N, ""), "")</f>
        <v>平</v>
      </c>
      <c r="M145" s="10"/>
      <c r="N145" s="13"/>
      <c r="O145" s="7"/>
      <c r="P145" s="7" t="str">
        <f t="array" ref="P145">IFERROR(XLOOKUP(M145, 'リスト'!$C:$C, 'リスト'!$M:$M, ""), "")</f>
        <v/>
      </c>
      <c r="Q145" s="7" t="str">
        <f t="array" ref="Q145">IFERROR(XLOOKUP(M145, 'リスト'!$C:$C, 'リスト'!$N:$N, ""), "")</f>
        <v/>
      </c>
      <c r="R145" s="10"/>
      <c r="S145" s="13"/>
      <c r="T145" s="7"/>
      <c r="U145" s="7" t="str">
        <f t="array" ref="U145">IFERROR(XLOOKUP(R145, 'リスト'!$C:$C, 'リスト'!$M:$M, ""), "")</f>
        <v/>
      </c>
      <c r="V145" s="7" t="str">
        <f t="array" ref="V145">IFERROR(XLOOKUP(R145, 'リスト'!$C:$C, 'リスト'!$N:$N, ""), "")</f>
        <v/>
      </c>
      <c r="W145" s="10" t="str">
        <f>IFERROR(__xludf.DUMMYFUNCTION("""COMPUTED_VALUE"""),"新大阪駅・本町駅で働く")</f>
        <v>新大阪駅・本町駅で働く</v>
      </c>
      <c r="X145" s="13"/>
      <c r="Y145" s="7"/>
      <c r="Z145" s="7" t="str">
        <f t="array" ref="Z145">IFERROR(XLOOKUP(W145, 'リスト'!$C:$C, 'リスト'!$M:$M, ""), "")</f>
        <v>R</v>
      </c>
      <c r="AA145" s="7" t="str">
        <f t="array" ref="AA145">IFERROR(XLOOKUP(W145, 'リスト'!$C:$C, 'リスト'!$N:$N, ""), "")</f>
        <v/>
      </c>
      <c r="AB145" s="10"/>
      <c r="AC145" s="13"/>
      <c r="AD145" s="7"/>
      <c r="AE145" s="7" t="str">
        <f t="array" ref="AE145">IFERROR(XLOOKUP(AB145, 'リスト'!$C:$C, 'リスト'!$M:$M, ""), "")</f>
        <v/>
      </c>
      <c r="AF145" s="7" t="str">
        <f t="array" ref="AF145">IFERROR(XLOOKUP(AB145, 'リスト'!$C:$C, 'リスト'!$N:$N, ""), "")</f>
        <v/>
      </c>
      <c r="AG145" s="10"/>
      <c r="AH145" s="13"/>
      <c r="AI145" s="7"/>
      <c r="AJ145" s="7" t="str">
        <f t="array" ref="AJ145">IFERROR(XLOOKUP(AG145, 'リスト'!$C:$C, 'リスト'!$M:$M, ""), "")</f>
        <v/>
      </c>
      <c r="AK145" s="7" t="str">
        <f t="array" ref="AK145">IFERROR(XLOOKUP(AG145, 'リスト'!$C:$C, 'リスト'!$N:$N, ""), "")</f>
        <v/>
      </c>
    </row>
    <row r="146" ht="17.25" customHeight="1">
      <c r="A146" s="8"/>
      <c r="B146" s="9"/>
      <c r="C146" s="14" t="str">
        <f>IFERROR(__xludf.DUMMYFUNCTION("""COMPUTED_VALUE"""),"単独求人訴求メルマガ_B")</f>
        <v>単独求人訴求メルマガ_B</v>
      </c>
      <c r="D146" s="15"/>
      <c r="E146" s="7"/>
      <c r="F146" s="7" t="str">
        <f t="array" ref="F146">IFERROR(XLOOKUP(C146, 'リスト'!$C:$C, 'リスト'!$M:$M, ""), "")</f>
        <v>武</v>
      </c>
      <c r="G146" s="7" t="str">
        <f t="array" ref="G146">IFERROR(XLOOKUP(C146, 'リスト'!$C:$C, 'リスト'!$N:$N, ""), "")</f>
        <v>部</v>
      </c>
      <c r="H146" s="14" t="str">
        <f>IFERROR(__xludf.DUMMYFUNCTION("""COMPUTED_VALUE"""),"掲載終了間近_人気求人ランキング")</f>
        <v>掲載終了間近_人気求人ランキング</v>
      </c>
      <c r="I146" s="15"/>
      <c r="J146" s="7"/>
      <c r="K146" s="7" t="str">
        <f t="array" ref="K146">IFERROR(XLOOKUP(H146, 'リスト'!$C:$C, 'リスト'!$M:$M, ""), "")</f>
        <v>武</v>
      </c>
      <c r="L146" s="7" t="str">
        <f t="array" ref="L146">IFERROR(XLOOKUP(H146, 'リスト'!$C:$C, 'リスト'!$N:$N, ""), "")</f>
        <v>部</v>
      </c>
      <c r="M146" s="14"/>
      <c r="N146" s="15"/>
      <c r="O146" s="7"/>
      <c r="P146" s="7" t="str">
        <f t="array" ref="P146">IFERROR(XLOOKUP(M146, 'リスト'!$C:$C, 'リスト'!$M:$M, ""), "")</f>
        <v/>
      </c>
      <c r="Q146" s="7" t="str">
        <f t="array" ref="Q146">IFERROR(XLOOKUP(M146, 'リスト'!$C:$C, 'リスト'!$N:$N, ""), "")</f>
        <v/>
      </c>
      <c r="R146" s="14"/>
      <c r="S146" s="15"/>
      <c r="T146" s="7"/>
      <c r="U146" s="7" t="str">
        <f t="array" ref="U146">IFERROR(XLOOKUP(R146, 'リスト'!$C:$C, 'リスト'!$M:$M, ""), "")</f>
        <v/>
      </c>
      <c r="V146" s="7" t="str">
        <f t="array" ref="V146">IFERROR(XLOOKUP(R146, 'リスト'!$C:$C, 'リスト'!$N:$N, ""), "")</f>
        <v/>
      </c>
      <c r="W146" s="14" t="str">
        <f>IFERROR(__xludf.DUMMYFUNCTION("""COMPUTED_VALUE"""),"仙台駅で働く")</f>
        <v>仙台駅で働く</v>
      </c>
      <c r="X146" s="15"/>
      <c r="Y146" s="7"/>
      <c r="Z146" s="7" t="str">
        <f t="array" ref="Z146">IFERROR(XLOOKUP(W146, 'リスト'!$C:$C, 'リスト'!$M:$M, ""), "")</f>
        <v>R</v>
      </c>
      <c r="AA146" s="7" t="str">
        <f t="array" ref="AA146">IFERROR(XLOOKUP(W146, 'リスト'!$C:$C, 'リスト'!$N:$N, ""), "")</f>
        <v/>
      </c>
      <c r="AB146" s="14"/>
      <c r="AC146" s="15"/>
      <c r="AD146" s="7"/>
      <c r="AE146" s="7" t="str">
        <f t="array" ref="AE146">IFERROR(XLOOKUP(AB146, 'リスト'!$C:$C, 'リスト'!$M:$M, ""), "")</f>
        <v/>
      </c>
      <c r="AF146" s="7" t="str">
        <f t="array" ref="AF146">IFERROR(XLOOKUP(AB146, 'リスト'!$C:$C, 'リスト'!$N:$N, ""), "")</f>
        <v/>
      </c>
      <c r="AG146" s="14"/>
      <c r="AH146" s="15"/>
      <c r="AI146" s="7"/>
      <c r="AJ146" s="7" t="str">
        <f t="array" ref="AJ146">IFERROR(XLOOKUP(AG146, 'リスト'!$C:$C, 'リスト'!$M:$M, ""), "")</f>
        <v/>
      </c>
      <c r="AK146" s="7" t="str">
        <f t="array" ref="AK146">IFERROR(XLOOKUP(AG146, 'リスト'!$C:$C, 'リスト'!$N:$N, ""), "")</f>
        <v/>
      </c>
    </row>
    <row r="147" ht="17.25" customHeight="1">
      <c r="A147" s="8"/>
      <c r="B147" s="9"/>
      <c r="C147" s="14" t="str">
        <f>IFERROR(__xludf.DUMMYFUNCTION("""COMPUTED_VALUE"""),"福岡_リモートOK_未経験")</f>
        <v>福岡_リモートOK_未経験</v>
      </c>
      <c r="D147" s="13"/>
      <c r="E147" s="7"/>
      <c r="F147" s="7"/>
      <c r="G147" s="7"/>
      <c r="H147" s="14"/>
      <c r="I147" s="13"/>
      <c r="J147" s="7"/>
      <c r="K147" s="7"/>
      <c r="L147" s="7"/>
      <c r="M147" s="14"/>
      <c r="N147" s="13"/>
      <c r="O147" s="7"/>
      <c r="P147" s="7"/>
      <c r="Q147" s="7"/>
      <c r="R147" s="14"/>
      <c r="S147" s="13"/>
      <c r="T147" s="7"/>
      <c r="U147" s="7"/>
      <c r="V147" s="7"/>
      <c r="W147" s="14" t="str">
        <f>IFERROR(__xludf.DUMMYFUNCTION("""COMPUTED_VALUE"""),"大宮浦和で働く")</f>
        <v>大宮浦和で働く</v>
      </c>
      <c r="X147" s="13"/>
      <c r="Y147" s="7"/>
      <c r="Z147" s="7"/>
      <c r="AA147" s="7"/>
      <c r="AB147" s="14"/>
      <c r="AC147" s="13"/>
      <c r="AD147" s="7"/>
      <c r="AE147" s="7"/>
      <c r="AF147" s="7"/>
      <c r="AG147" s="14"/>
      <c r="AH147" s="13"/>
      <c r="AI147" s="7"/>
      <c r="AJ147" s="7"/>
      <c r="AK147" s="7"/>
    </row>
    <row r="148" ht="17.25" customHeight="1">
      <c r="A148" s="8"/>
      <c r="B148" s="9"/>
      <c r="C148" s="14"/>
      <c r="D148" s="13"/>
      <c r="E148" s="7"/>
      <c r="F148" s="7"/>
      <c r="G148" s="7"/>
      <c r="H148" s="14"/>
      <c r="I148" s="13"/>
      <c r="J148" s="7"/>
      <c r="K148" s="7"/>
      <c r="L148" s="7"/>
      <c r="M148" s="14"/>
      <c r="N148" s="13"/>
      <c r="O148" s="7"/>
      <c r="P148" s="7"/>
      <c r="Q148" s="7"/>
      <c r="R148" s="14"/>
      <c r="S148" s="13"/>
      <c r="T148" s="7"/>
      <c r="U148" s="7"/>
      <c r="V148" s="7"/>
      <c r="W148" s="14" t="str">
        <f>IFERROR(__xludf.DUMMYFUNCTION("""COMPUTED_VALUE"""),"博多区で働く")</f>
        <v>博多区で働く</v>
      </c>
      <c r="X148" s="13"/>
      <c r="Y148" s="7"/>
      <c r="Z148" s="7"/>
      <c r="AA148" s="7"/>
      <c r="AB148" s="14"/>
      <c r="AC148" s="13"/>
      <c r="AD148" s="7"/>
      <c r="AE148" s="7"/>
      <c r="AF148" s="7"/>
      <c r="AG148" s="14"/>
      <c r="AH148" s="13"/>
      <c r="AI148" s="7"/>
      <c r="AJ148" s="7"/>
      <c r="AK148" s="7"/>
    </row>
    <row r="149" ht="17.25" customHeight="1">
      <c r="A149" s="8"/>
      <c r="B149" s="9"/>
      <c r="C149" s="14"/>
      <c r="D149" s="13"/>
      <c r="E149" s="7"/>
      <c r="F149" s="7"/>
      <c r="G149" s="7"/>
      <c r="H149" s="14"/>
      <c r="I149" s="13"/>
      <c r="J149" s="7"/>
      <c r="K149" s="7"/>
      <c r="L149" s="7"/>
      <c r="M149" s="14"/>
      <c r="N149" s="13"/>
      <c r="O149" s="7"/>
      <c r="P149" s="7"/>
      <c r="Q149" s="7"/>
      <c r="R149" s="14"/>
      <c r="S149" s="13"/>
      <c r="T149" s="7"/>
      <c r="U149" s="7"/>
      <c r="V149" s="7"/>
      <c r="W149" s="14"/>
      <c r="X149" s="13"/>
      <c r="Y149" s="7"/>
      <c r="Z149" s="7"/>
      <c r="AA149" s="7"/>
      <c r="AB149" s="14"/>
      <c r="AC149" s="13"/>
      <c r="AD149" s="7"/>
      <c r="AE149" s="7"/>
      <c r="AF149" s="7"/>
      <c r="AG149" s="14"/>
      <c r="AH149" s="13"/>
      <c r="AI149" s="7"/>
      <c r="AJ149" s="7"/>
      <c r="AK149" s="7"/>
    </row>
    <row r="150" ht="17.25" customHeight="1">
      <c r="A150" s="8"/>
      <c r="B150" s="9"/>
      <c r="C150" s="14"/>
      <c r="D150" s="13"/>
      <c r="E150" s="7"/>
      <c r="F150" s="7"/>
      <c r="G150" s="7"/>
      <c r="H150" s="14"/>
      <c r="I150" s="13"/>
      <c r="J150" s="7"/>
      <c r="K150" s="7"/>
      <c r="L150" s="7"/>
      <c r="M150" s="14"/>
      <c r="N150" s="13"/>
      <c r="O150" s="7"/>
      <c r="P150" s="7"/>
      <c r="Q150" s="7"/>
      <c r="R150" s="14"/>
      <c r="S150" s="13"/>
      <c r="T150" s="7"/>
      <c r="U150" s="7"/>
      <c r="V150" s="7"/>
      <c r="W150" s="14"/>
      <c r="X150" s="13"/>
      <c r="Y150" s="7"/>
      <c r="Z150" s="7"/>
      <c r="AA150" s="7"/>
      <c r="AB150" s="14"/>
      <c r="AC150" s="13"/>
      <c r="AD150" s="7"/>
      <c r="AE150" s="7"/>
      <c r="AF150" s="7"/>
      <c r="AG150" s="14"/>
      <c r="AH150" s="13"/>
      <c r="AI150" s="7"/>
      <c r="AJ150" s="7"/>
      <c r="AK150" s="7"/>
    </row>
    <row r="151" ht="17.25" customHeight="1">
      <c r="A151" s="8"/>
      <c r="B151" s="9" t="s">
        <v>6</v>
      </c>
      <c r="C151" s="10" t="str">
        <f>IFERROR(__xludf.DUMMYFUNCTION("iferror(FILTER('新規'!$C:$C, ('新規'!$A:$A = C$1) * ('新規'!$B:$B = $A143)))"),"")</f>
        <v/>
      </c>
      <c r="D151" s="11" t="str">
        <f>IFERROR(__xludf.DUMMYFUNCTION("IFERROR(FILTER('新規'!$D$2:$D$400, ('新規'!$A$2:$A$400 = CHOOSE(WEEKDAY(C$1), ""日"", ""月"", ""火"", ""水"", ""木"", ""金"", ""土"")) * ('新規'!$B$2:$B$400 = $A$3) * ('新規'!$O$2:$O$400 = FALSE)), """")"),"")</f>
        <v/>
      </c>
      <c r="E151" s="7"/>
      <c r="F151" s="7" t="str">
        <f>IFERROR(__xludf.DUMMYFUNCTION("IFERROR(FILTER('新規'!$M$2:$M$400, ('新規'!$A$2:$A$400 = CHOOSE(WEEKDAY(C$1), ""日"", ""月"", ""火"", ""水"", ""木"", ""金"", ""土"")) * ('新規'!$B$2:$B$400 = $A$3) * ('新規'!$O$2:$O$400 = FALSE)), """")"),"")</f>
        <v/>
      </c>
      <c r="G151" s="7" t="str">
        <f>IFERROR(__xludf.DUMMYFUNCTION("IFERROR(FILTER('新規'!$N$2:$N$400, ('新規'!$A$2:$A$400 = CHOOSE(WEEKDAY(C$1), ""日"", ""月"", ""火"", ""水"", ""木"", ""金"", ""土"")) * ('新規'!$B$2:$B$400 = $A$3) * ('新規'!$O$2:$O$400 = FALSE)), """")"),"")</f>
        <v/>
      </c>
      <c r="H151" s="10" t="str">
        <f>IFERROR(__xludf.DUMMYFUNCTION("iferror(FILTER('新規'!$C:$C, ('新規'!$A:$A = H$1) * ('新規'!$B:$B = $A143)))"),"")</f>
        <v/>
      </c>
      <c r="I151" s="11" t="str">
        <f>IFERROR(__xludf.DUMMYFUNCTION("IFERROR(FILTER('新規'!$D$2:$D$400, ('新規'!$A$2:$A$400 = CHOOSE(WEEKDAY(H$1), ""日"", ""月"", ""火"", ""水"", ""木"", ""金"", ""土"")) * ('新規'!$B$2:$B$400 = $A$3) * ('新規'!$O$2:$O$400 = FALSE)), """")"),"")</f>
        <v/>
      </c>
      <c r="J151" s="7"/>
      <c r="K151" s="7" t="str">
        <f>IFERROR(__xludf.DUMMYFUNCTION("IFERROR(FILTER('新規'!$M$2:$M$400, ('新規'!$A$2:$A$400 = CHOOSE(WEEKDAY(H$1), ""日"", ""月"", ""火"", ""水"", ""木"", ""金"", ""土"")) * ('新規'!$B$2:$B$400 = $A$3) * ('新規'!$O$2:$O$400 = FALSE)), """")"),"")</f>
        <v/>
      </c>
      <c r="L151" s="7" t="str">
        <f>IFERROR(__xludf.DUMMYFUNCTION("IFERROR(FILTER('新規'!$N$2:$N$400, ('新規'!$A$2:$A$400 = CHOOSE(WEEKDAY(H$1), ""日"", ""月"", ""火"", ""水"", ""木"", ""金"", ""土"")) * ('新規'!$B$2:$B$400 = $A$3) * ('新規'!$O$2:$O$400 = FALSE)), """")"),"")</f>
        <v/>
      </c>
      <c r="M151" s="10" t="str">
        <f>IFERROR(__xludf.DUMMYFUNCTION("iferror(FILTER('新規'!$C:$C, ('新規'!$A:$A = M$1) * ('新規'!$B:$B = $A143)))"),"")</f>
        <v/>
      </c>
      <c r="N151" s="11" t="str">
        <f>IFERROR(__xludf.DUMMYFUNCTION("IFERROR(FILTER('新規'!$D$2:$D$400, ('新規'!$A$2:$A$400 = CHOOSE(WEEKDAY(M$1), ""日"", ""月"", ""火"", ""水"", ""木"", ""金"", ""土"")) * ('新規'!$B$2:$B$400 = $A$3) * ('新規'!$O$2:$O$400 = FALSE)), """")"),"")</f>
        <v/>
      </c>
      <c r="O151" s="7"/>
      <c r="P151" s="7" t="str">
        <f>IFERROR(__xludf.DUMMYFUNCTION("IFERROR(FILTER('新規'!$M$2:$M$400, ('新規'!$A$2:$A$400 = CHOOSE(WEEKDAY(M$1), ""日"", ""月"", ""火"", ""水"", ""木"", ""金"", ""土"")) * ('新規'!$B$2:$B$400 = $A$3) * ('新規'!$O$2:$O$400 = FALSE)), """")"),"")</f>
        <v/>
      </c>
      <c r="Q151" s="7" t="str">
        <f>IFERROR(__xludf.DUMMYFUNCTION("IFERROR(FILTER('新規'!$N$2:$N$400, ('新規'!$A$2:$A$400 = CHOOSE(WEEKDAY(M$1), ""日"", ""月"", ""火"", ""水"", ""木"", ""金"", ""土"")) * ('新規'!$B$2:$B$400 = $A$3) * ('新規'!$O$2:$O$400 = FALSE)), """")"),"")</f>
        <v/>
      </c>
      <c r="R151" s="10" t="str">
        <f>IFERROR(__xludf.DUMMYFUNCTION("iferror(FILTER('新規'!$C:$C, ('新規'!$A:$A = R$1) * ('新規'!$B:$B = $A143)))"),"")</f>
        <v/>
      </c>
      <c r="S151" s="11" t="str">
        <f>IFERROR(__xludf.DUMMYFUNCTION("IFERROR(FILTER('新規'!$D$2:$D$400, ('新規'!$A$2:$A$400 = CHOOSE(WEEKDAY(R$1), ""日"", ""月"", ""火"", ""水"", ""木"", ""金"", ""土"")) * ('新規'!$B$2:$B$400 = $A$3) * ('新規'!$O$2:$O$400 = FALSE)), """")"),"")</f>
        <v/>
      </c>
      <c r="T151" s="7"/>
      <c r="U151" s="7" t="str">
        <f>IFERROR(__xludf.DUMMYFUNCTION("IFERROR(FILTER('新規'!$M$2:$M$400, ('新規'!$A$2:$A$400 = CHOOSE(WEEKDAY(R$1), ""日"", ""月"", ""火"", ""水"", ""木"", ""金"", ""土"")) * ('新規'!$B$2:$B$400 = $A$3) * ('新規'!$O$2:$O$400 = FALSE)), """")"),"")</f>
        <v/>
      </c>
      <c r="V151" s="7" t="str">
        <f>IFERROR(__xludf.DUMMYFUNCTION("IFERROR(FILTER('新規'!$N$2:$N$400, ('新規'!$A$2:$A$400 = CHOOSE(WEEKDAY(R$1), ""日"", ""月"", ""火"", ""水"", ""木"", ""金"", ""土"")) * ('新規'!$B$2:$B$400 = $A$3) * ('新規'!$O$2:$O$400 = FALSE)), """")"),"")</f>
        <v/>
      </c>
      <c r="W151" s="10" t="str">
        <f>IFERROR(__xludf.DUMMYFUNCTION("iferror(FILTER('新規'!$C:$C, ('新規'!$A:$A = W$1) * ('新規'!$B:$B = $A143)))"),"首都圏_アドバイザー・カウンセラー_未経験")</f>
        <v>首都圏_アドバイザー・カウンセラー_未経験</v>
      </c>
      <c r="X151" s="11" t="str">
        <f>IFERROR(__xludf.DUMMYFUNCTION("IFERROR(FILTER('新規'!$D$2:$D$400, ('新規'!$A$2:$A$400 = CHOOSE(WEEKDAY(W$1), ""日"", ""月"", ""火"", ""水"", ""木"", ""金"", ""土"")) * ('新規'!$B$2:$B$400 = $A$3) * ('新規'!$O$2:$O$400 = FALSE)), """")"),"")</f>
        <v/>
      </c>
      <c r="Y151" s="7"/>
      <c r="Z151" s="7" t="str">
        <f>IFERROR(__xludf.DUMMYFUNCTION("IFERROR(FILTER('新規'!$M$2:$M$400, ('新規'!$A$2:$A$400 = CHOOSE(WEEKDAY(W$1), ""日"", ""月"", ""火"", ""水"", ""木"", ""金"", ""土"")) * ('新規'!$B$2:$B$400 = $A$3) * ('新規'!$O$2:$O$400 = FALSE)), """")"),"")</f>
        <v/>
      </c>
      <c r="AA151" s="7" t="str">
        <f>IFERROR(__xludf.DUMMYFUNCTION("IFERROR(FILTER('新規'!$N$2:$N$400, ('新規'!$A$2:$A$400 = CHOOSE(WEEKDAY(W$1), ""日"", ""月"", ""火"", ""水"", ""木"", ""金"", ""土"")) * ('新規'!$B$2:$B$400 = $A$3) * ('新規'!$O$2:$O$400 = FALSE)), """")"),"")</f>
        <v/>
      </c>
      <c r="AB151" s="10" t="str">
        <f>IFERROR(__xludf.DUMMYFUNCTION("iferror(FILTER('新規'!$C:$C, ('新規'!$A:$A = AB$1) * ('新規'!$B:$B = $A143)))"),"お祝い金あり")</f>
        <v>お祝い金あり</v>
      </c>
      <c r="AC151" s="11" t="str">
        <f>IFERROR(__xludf.DUMMYFUNCTION("IFERROR(FILTER('新規'!$D$2:$D$400, ('新規'!$A$2:$A$400 = CHOOSE(WEEKDAY(AB$1), ""日"", ""月"", ""火"", ""水"", ""木"", ""金"", ""土"")) * ('新規'!$B$2:$B$400 = $A$3) * ('新規'!$O$2:$O$400 = FALSE)), """")"),"")</f>
        <v/>
      </c>
      <c r="AD151" s="7"/>
      <c r="AE151" s="7" t="str">
        <f>IFERROR(__xludf.DUMMYFUNCTION("IFERROR(FILTER('新規'!$M$2:$M$400, ('新規'!$A$2:$A$400 = CHOOSE(WEEKDAY(AB$1), ""日"", ""月"", ""火"", ""水"", ""木"", ""金"", ""土"")) * ('新規'!$B$2:$B$400 = $A$3) * ('新規'!$O$2:$O$400 = FALSE)), """")"),"")</f>
        <v/>
      </c>
      <c r="AF151" s="7" t="str">
        <f>IFERROR(__xludf.DUMMYFUNCTION("IFERROR(FILTER('新規'!$N$2:$N$400, ('新規'!$A$2:$A$400 = CHOOSE(WEEKDAY(AB$1), ""日"", ""月"", ""火"", ""水"", ""木"", ""金"", ""土"")) * ('新規'!$B$2:$B$400 = $A$3) * ('新規'!$O$2:$O$400 = FALSE)), """")"),"")</f>
        <v/>
      </c>
      <c r="AG151" s="10" t="str">
        <f>IFERROR(__xludf.DUMMYFUNCTION("iferror(FILTER('新規'!$C:$C, ('新規'!$A:$A = AG$1) * ('新規'!$B:$B = $A143)))"),"ふるさと納税メルマガ")</f>
        <v>ふるさと納税メルマガ</v>
      </c>
      <c r="AH151" s="11" t="str">
        <f>IFERROR(__xludf.DUMMYFUNCTION("IFERROR(FILTER('新規'!$D$2:$D$400, ('新規'!$A$2:$A$400 = CHOOSE(WEEKDAY(AG$1), ""日"", ""月"", ""火"", ""水"", ""木"", ""金"", ""土"")) * ('新規'!$B$2:$B$400 = $A$3) * ('新規'!$O$2:$O$400 = FALSE)), """")"),"")</f>
        <v/>
      </c>
      <c r="AI151" s="7"/>
      <c r="AJ151" s="7" t="str">
        <f>IFERROR(__xludf.DUMMYFUNCTION("IFERROR(FILTER('新規'!$M$2:$M$400, ('新規'!$A$2:$A$400 = CHOOSE(WEEKDAY(AG$1), ""日"", ""月"", ""火"", ""水"", ""木"", ""金"", ""土"")) * ('新規'!$B$2:$B$400 = $A$3) * ('新規'!$O$2:$O$400 = FALSE)), """")"),"")</f>
        <v/>
      </c>
      <c r="AK151" s="7" t="str">
        <f>IFERROR(__xludf.DUMMYFUNCTION("IFERROR(FILTER('新規'!$N$2:$N$400, ('新規'!$A$2:$A$400 = CHOOSE(WEEKDAY(AG$1), ""日"", ""月"", ""火"", ""水"", ""木"", ""金"", ""土"")) * ('新規'!$B$2:$B$400 = $A$3) * ('新規'!$O$2:$O$400 = FALSE)), """")"),"")</f>
        <v/>
      </c>
    </row>
    <row r="152" ht="17.25" customHeight="1">
      <c r="A152" s="8"/>
      <c r="B152" s="9"/>
      <c r="C152" s="17"/>
      <c r="D152" s="7"/>
      <c r="E152" s="7"/>
      <c r="F152" s="7" t="str">
        <f t="array" ref="F152">IFERROR(XLOOKUP(C152, 'リスト'!$C:$C, 'リスト'!$M:$M, ""), "")</f>
        <v/>
      </c>
      <c r="G152" s="7" t="str">
        <f t="array" ref="G152">IFERROR(XLOOKUP(C152, 'リスト'!$C:$C, 'リスト'!$N:$N, ""), "")</f>
        <v/>
      </c>
      <c r="H152" s="17"/>
      <c r="I152" s="7"/>
      <c r="J152" s="7"/>
      <c r="K152" s="7" t="str">
        <f t="array" ref="K152">IFERROR(XLOOKUP(H152, 'リスト'!$C:$C, 'リスト'!$M:$M, ""), "")</f>
        <v/>
      </c>
      <c r="L152" s="7" t="str">
        <f t="array" ref="L152">IFERROR(XLOOKUP(H152, 'リスト'!$C:$C, 'リスト'!$N:$N, ""), "")</f>
        <v/>
      </c>
      <c r="M152" s="17"/>
      <c r="N152" s="7"/>
      <c r="O152" s="7"/>
      <c r="P152" s="7" t="str">
        <f t="array" ref="P152">IFERROR(XLOOKUP(M152, 'リスト'!$C:$C, 'リスト'!$M:$M, ""), "")</f>
        <v/>
      </c>
      <c r="Q152" s="7" t="str">
        <f t="array" ref="Q152">IFERROR(XLOOKUP(M152, 'リスト'!$C:$C, 'リスト'!$N:$N, ""), "")</f>
        <v/>
      </c>
      <c r="R152" s="17"/>
      <c r="S152" s="7"/>
      <c r="T152" s="7"/>
      <c r="U152" s="7" t="str">
        <f t="array" ref="U152">IFERROR(XLOOKUP(R152, 'リスト'!$C:$C, 'リスト'!$M:$M, ""), "")</f>
        <v/>
      </c>
      <c r="V152" s="7" t="str">
        <f t="array" ref="V152">IFERROR(XLOOKUP(R152, 'リスト'!$C:$C, 'リスト'!$N:$N, ""), "")</f>
        <v/>
      </c>
      <c r="W152" s="17"/>
      <c r="X152" s="7"/>
      <c r="Y152" s="7"/>
      <c r="Z152" s="7" t="str">
        <f t="array" ref="Z152">IFERROR(XLOOKUP(W152, 'リスト'!$C:$C, 'リスト'!$M:$M, ""), "")</f>
        <v/>
      </c>
      <c r="AA152" s="7" t="str">
        <f t="array" ref="AA152">IFERROR(XLOOKUP(W152, 'リスト'!$C:$C, 'リスト'!$N:$N, ""), "")</f>
        <v/>
      </c>
      <c r="AB152" s="17"/>
      <c r="AC152" s="7"/>
      <c r="AD152" s="7"/>
      <c r="AE152" s="7" t="str">
        <f t="array" ref="AE152">IFERROR(XLOOKUP(AB152, 'リスト'!$C:$C, 'リスト'!$M:$M, ""), "")</f>
        <v/>
      </c>
      <c r="AF152" s="7" t="str">
        <f t="array" ref="AF152">IFERROR(XLOOKUP(AB152, 'リスト'!$C:$C, 'リスト'!$N:$N, ""), "")</f>
        <v/>
      </c>
      <c r="AG152" s="17" t="str">
        <f>IFERROR(__xludf.DUMMYFUNCTION("""COMPUTED_VALUE"""),"美容クリニックで働く")</f>
        <v>美容クリニックで働く</v>
      </c>
      <c r="AH152" s="7"/>
      <c r="AI152" s="7"/>
      <c r="AJ152" s="7" t="str">
        <f t="array" ref="AJ152">IFERROR(XLOOKUP(AG152, 'リスト'!$C:$C, 'リスト'!$M:$M, ""), "")</f>
        <v/>
      </c>
      <c r="AK152" s="7" t="str">
        <f t="array" ref="AK152">IFERROR(XLOOKUP(AG152, 'リスト'!$C:$C, 'リスト'!$N:$N, ""), "")</f>
        <v/>
      </c>
    </row>
    <row r="153" ht="17.25" customHeight="1">
      <c r="A153" s="8"/>
      <c r="B153" s="9"/>
      <c r="C153" s="17"/>
      <c r="D153" s="7"/>
      <c r="E153" s="7"/>
      <c r="F153" s="7" t="str">
        <f t="array" ref="F153">IFERROR(XLOOKUP(C153, 'リスト'!$C:$C, 'リスト'!$M:$M, ""), "")</f>
        <v/>
      </c>
      <c r="G153" s="7" t="str">
        <f t="array" ref="G153">IFERROR(XLOOKUP(C153, 'リスト'!$C:$C, 'リスト'!$N:$N, ""), "")</f>
        <v/>
      </c>
      <c r="H153" s="17"/>
      <c r="I153" s="7"/>
      <c r="J153" s="7"/>
      <c r="K153" s="7" t="str">
        <f t="array" ref="K153">IFERROR(XLOOKUP(H153, 'リスト'!$C:$C, 'リスト'!$M:$M, ""), "")</f>
        <v/>
      </c>
      <c r="L153" s="7" t="str">
        <f t="array" ref="L153">IFERROR(XLOOKUP(H153, 'リスト'!$C:$C, 'リスト'!$N:$N, ""), "")</f>
        <v/>
      </c>
      <c r="M153" s="17"/>
      <c r="N153" s="7"/>
      <c r="O153" s="7"/>
      <c r="P153" s="7" t="str">
        <f t="array" ref="P153">IFERROR(XLOOKUP(M153, 'リスト'!$C:$C, 'リスト'!$M:$M, ""), "")</f>
        <v/>
      </c>
      <c r="Q153" s="7" t="str">
        <f t="array" ref="Q153">IFERROR(XLOOKUP(M153, 'リスト'!$C:$C, 'リスト'!$N:$N, ""), "")</f>
        <v/>
      </c>
      <c r="R153" s="17"/>
      <c r="S153" s="7"/>
      <c r="T153" s="7"/>
      <c r="U153" s="7" t="str">
        <f t="array" ref="U153">IFERROR(XLOOKUP(R153, 'リスト'!$C:$C, 'リスト'!$M:$M, ""), "")</f>
        <v/>
      </c>
      <c r="V153" s="7" t="str">
        <f t="array" ref="V153">IFERROR(XLOOKUP(R153, 'リスト'!$C:$C, 'リスト'!$N:$N, ""), "")</f>
        <v/>
      </c>
      <c r="W153" s="17"/>
      <c r="X153" s="7"/>
      <c r="Y153" s="7"/>
      <c r="Z153" s="7" t="str">
        <f t="array" ref="Z153">IFERROR(XLOOKUP(W153, 'リスト'!$C:$C, 'リスト'!$M:$M, ""), "")</f>
        <v/>
      </c>
      <c r="AA153" s="7" t="str">
        <f t="array" ref="AA153">IFERROR(XLOOKUP(W153, 'リスト'!$C:$C, 'リスト'!$N:$N, ""), "")</f>
        <v/>
      </c>
      <c r="AB153" s="17"/>
      <c r="AC153" s="7"/>
      <c r="AD153" s="7"/>
      <c r="AE153" s="7" t="str">
        <f t="array" ref="AE153">IFERROR(XLOOKUP(AB153, 'リスト'!$C:$C, 'リスト'!$M:$M, ""), "")</f>
        <v/>
      </c>
      <c r="AF153" s="7" t="str">
        <f t="array" ref="AF153">IFERROR(XLOOKUP(AB153, 'リスト'!$C:$C, 'リスト'!$N:$N, ""), "")</f>
        <v/>
      </c>
      <c r="AG153" s="17"/>
      <c r="AH153" s="7"/>
      <c r="AI153" s="7"/>
      <c r="AJ153" s="7" t="str">
        <f t="array" ref="AJ153">IFERROR(XLOOKUP(AG153, 'リスト'!$C:$C, 'リスト'!$M:$M, ""), "")</f>
        <v/>
      </c>
      <c r="AK153" s="7" t="str">
        <f t="array" ref="AK153">IFERROR(XLOOKUP(AG153, 'リスト'!$C:$C, 'リスト'!$N:$N, ""), "")</f>
        <v/>
      </c>
    </row>
    <row r="154" ht="17.25" customHeight="1">
      <c r="A154" s="8"/>
      <c r="B154" s="9"/>
      <c r="C154" s="17"/>
      <c r="D154" s="7"/>
      <c r="E154" s="7"/>
      <c r="F154" s="7" t="str">
        <f t="array" ref="F154">IFERROR(XLOOKUP(C154, 'リスト'!$C:$C, 'リスト'!$M:$M, ""), "")</f>
        <v/>
      </c>
      <c r="G154" s="7" t="str">
        <f t="array" ref="G154">IFERROR(XLOOKUP(C154, 'リスト'!$C:$C, 'リスト'!$N:$N, ""), "")</f>
        <v/>
      </c>
      <c r="H154" s="17"/>
      <c r="I154" s="7"/>
      <c r="J154" s="7"/>
      <c r="K154" s="7" t="str">
        <f t="array" ref="K154">IFERROR(XLOOKUP(H154, 'リスト'!$C:$C, 'リスト'!$M:$M, ""), "")</f>
        <v/>
      </c>
      <c r="L154" s="7" t="str">
        <f t="array" ref="L154">IFERROR(XLOOKUP(H154, 'リスト'!$C:$C, 'リスト'!$N:$N, ""), "")</f>
        <v/>
      </c>
      <c r="M154" s="17"/>
      <c r="N154" s="7"/>
      <c r="O154" s="7"/>
      <c r="P154" s="7" t="str">
        <f t="array" ref="P154">IFERROR(XLOOKUP(M154, 'リスト'!$C:$C, 'リスト'!$M:$M, ""), "")</f>
        <v/>
      </c>
      <c r="Q154" s="7" t="str">
        <f t="array" ref="Q154">IFERROR(XLOOKUP(M154, 'リスト'!$C:$C, 'リスト'!$N:$N, ""), "")</f>
        <v/>
      </c>
      <c r="R154" s="17"/>
      <c r="S154" s="7"/>
      <c r="T154" s="7"/>
      <c r="U154" s="7" t="str">
        <f t="array" ref="U154">IFERROR(XLOOKUP(R154, 'リスト'!$C:$C, 'リスト'!$M:$M, ""), "")</f>
        <v/>
      </c>
      <c r="V154" s="7" t="str">
        <f t="array" ref="V154">IFERROR(XLOOKUP(R154, 'リスト'!$C:$C, 'リスト'!$N:$N, ""), "")</f>
        <v/>
      </c>
      <c r="W154" s="17"/>
      <c r="X154" s="7"/>
      <c r="Y154" s="7"/>
      <c r="Z154" s="7" t="str">
        <f t="array" ref="Z154">IFERROR(XLOOKUP(W154, 'リスト'!$C:$C, 'リスト'!$M:$M, ""), "")</f>
        <v/>
      </c>
      <c r="AA154" s="7" t="str">
        <f t="array" ref="AA154">IFERROR(XLOOKUP(W154, 'リスト'!$C:$C, 'リスト'!$N:$N, ""), "")</f>
        <v/>
      </c>
      <c r="AB154" s="17"/>
      <c r="AC154" s="7"/>
      <c r="AD154" s="7"/>
      <c r="AE154" s="7" t="str">
        <f t="array" ref="AE154">IFERROR(XLOOKUP(AB154, 'リスト'!$C:$C, 'リスト'!$M:$M, ""), "")</f>
        <v/>
      </c>
      <c r="AF154" s="7" t="str">
        <f t="array" ref="AF154">IFERROR(XLOOKUP(AB154, 'リスト'!$C:$C, 'リスト'!$N:$N, ""), "")</f>
        <v/>
      </c>
      <c r="AG154" s="17"/>
      <c r="AH154" s="7"/>
      <c r="AI154" s="7"/>
      <c r="AJ154" s="7" t="str">
        <f t="array" ref="AJ154">IFERROR(XLOOKUP(AG154, 'リスト'!$C:$C, 'リスト'!$M:$M, ""), "")</f>
        <v/>
      </c>
      <c r="AK154" s="7" t="str">
        <f t="array" ref="AK154">IFERROR(XLOOKUP(AG154, 'リスト'!$C:$C, 'リスト'!$N:$N, ""), "")</f>
        <v/>
      </c>
    </row>
    <row r="155" ht="17.25" customHeight="1">
      <c r="A155" s="8"/>
      <c r="B155" s="9"/>
      <c r="C155" s="17"/>
      <c r="D155" s="7"/>
      <c r="E155" s="7"/>
      <c r="F155" s="7" t="str">
        <f t="array" ref="F155">IFERROR(XLOOKUP(C155, 'リスト'!$C:$C, 'リスト'!$M:$M, ""), "")</f>
        <v/>
      </c>
      <c r="G155" s="7" t="str">
        <f t="array" ref="G155">IFERROR(XLOOKUP(C155, 'リスト'!$C:$C, 'リスト'!$N:$N, ""), "")</f>
        <v/>
      </c>
      <c r="H155" s="17"/>
      <c r="I155" s="7"/>
      <c r="J155" s="7"/>
      <c r="K155" s="7" t="str">
        <f t="array" ref="K155">IFERROR(XLOOKUP(H155, 'リスト'!$C:$C, 'リスト'!$M:$M, ""), "")</f>
        <v/>
      </c>
      <c r="L155" s="7" t="str">
        <f t="array" ref="L155">IFERROR(XLOOKUP(H155, 'リスト'!$C:$C, 'リスト'!$N:$N, ""), "")</f>
        <v/>
      </c>
      <c r="M155" s="17"/>
      <c r="N155" s="7"/>
      <c r="O155" s="7"/>
      <c r="P155" s="7" t="str">
        <f t="array" ref="P155">IFERROR(XLOOKUP(M155, 'リスト'!$C:$C, 'リスト'!$M:$M, ""), "")</f>
        <v/>
      </c>
      <c r="Q155" s="7" t="str">
        <f t="array" ref="Q155">IFERROR(XLOOKUP(M155, 'リスト'!$C:$C, 'リスト'!$N:$N, ""), "")</f>
        <v/>
      </c>
      <c r="R155" s="17"/>
      <c r="S155" s="7"/>
      <c r="T155" s="7"/>
      <c r="U155" s="7" t="str">
        <f t="array" ref="U155">IFERROR(XLOOKUP(R155, 'リスト'!$C:$C, 'リスト'!$M:$M, ""), "")</f>
        <v/>
      </c>
      <c r="V155" s="7" t="str">
        <f t="array" ref="V155">IFERROR(XLOOKUP(R155, 'リスト'!$C:$C, 'リスト'!$N:$N, ""), "")</f>
        <v/>
      </c>
      <c r="W155" s="17"/>
      <c r="X155" s="7"/>
      <c r="Y155" s="7"/>
      <c r="Z155" s="7" t="str">
        <f t="array" ref="Z155">IFERROR(XLOOKUP(W155, 'リスト'!$C:$C, 'リスト'!$M:$M, ""), "")</f>
        <v/>
      </c>
      <c r="AA155" s="7" t="str">
        <f t="array" ref="AA155">IFERROR(XLOOKUP(W155, 'リスト'!$C:$C, 'リスト'!$N:$N, ""), "")</f>
        <v/>
      </c>
      <c r="AB155" s="17"/>
      <c r="AC155" s="7"/>
      <c r="AD155" s="7"/>
      <c r="AE155" s="7" t="str">
        <f t="array" ref="AE155">IFERROR(XLOOKUP(AB155, 'リスト'!$C:$C, 'リスト'!$M:$M, ""), "")</f>
        <v/>
      </c>
      <c r="AF155" s="7" t="str">
        <f t="array" ref="AF155">IFERROR(XLOOKUP(AB155, 'リスト'!$C:$C, 'リスト'!$N:$N, ""), "")</f>
        <v/>
      </c>
      <c r="AG155" s="17"/>
      <c r="AH155" s="7"/>
      <c r="AI155" s="7"/>
      <c r="AJ155" s="7" t="str">
        <f t="array" ref="AJ155">IFERROR(XLOOKUP(AG155, 'リスト'!$C:$C, 'リスト'!$M:$M, ""), "")</f>
        <v/>
      </c>
      <c r="AK155" s="7" t="str">
        <f t="array" ref="AK155">IFERROR(XLOOKUP(AG155, 'リスト'!$C:$C, 'リスト'!$N:$N, ""), "")</f>
        <v/>
      </c>
    </row>
    <row r="156" ht="17.25" customHeight="1">
      <c r="A156" s="8"/>
      <c r="B156" s="9" t="s">
        <v>7</v>
      </c>
      <c r="C156" s="10" t="str">
        <f>"◇ポジションマッチ A" &amp; MOD(INT(($C$1 - '特殊配信マスタ'!$A$1) / 7), 3) + 1</f>
        <v>◇ポジションマッチ A2</v>
      </c>
      <c r="D156" s="11" t="str">
        <f>IFERROR(__xludf.DUMMYFUNCTION("IFERROR(TEXTJOIN(CHAR(10), TRUE, FILTER('特殊配信マスタ'!$C:$E, #REF!=D$1)), """")"),"")</f>
        <v/>
      </c>
      <c r="E156" s="7" t="str">
        <f>IFERROR(__xludf.DUMMYFUNCTION("IFERROR(TEXTJOIN(CHAR(10), TRUE, FILTER('特殊配信マスタ'!$C:$E, #REF!=E$1)), """")"),"")</f>
        <v/>
      </c>
      <c r="F156" s="7" t="str">
        <f t="array" ref="F156">IFERROR(XLOOKUP(C156, INDEX('特殊配信マスタ'!$C$3:$E$8, 0, MAX(1, ROW()-14)), '特殊配信マスタ'!$M$3:$N$8, ""),"")</f>
        <v/>
      </c>
      <c r="G156" s="7"/>
      <c r="H156" s="10" t="str">
        <f>"◇ポジションマッチ A" &amp; MOD(INT(($C$1 - '特殊配信マスタ'!$A$1) / 7), 3) + 1</f>
        <v>◇ポジションマッチ A2</v>
      </c>
      <c r="I156" s="11" t="str">
        <f>IFERROR(__xludf.DUMMYFUNCTION("IFERROR(TEXTJOIN(CHAR(10), TRUE, FILTER('特殊配信マスタ'!$C:$E, #REF!=I$1)), """")"),"")</f>
        <v/>
      </c>
      <c r="J156" s="7" t="str">
        <f>IFERROR(__xludf.DUMMYFUNCTION("IFERROR(TEXTJOIN(CHAR(10), TRUE, FILTER('特殊配信マスタ'!$C:$E, #REF!=J$1)), """")"),"")</f>
        <v/>
      </c>
      <c r="K156" s="7" t="str">
        <f t="array" ref="K156">IFERROR(XLOOKUP(H156, INDEX('特殊配信マスタ'!$C$3:$E$8, 0, MAX(1, ROW()-14)), '特殊配信マスタ'!$M$3:$N$8, ""),"")</f>
        <v/>
      </c>
      <c r="L156" s="7"/>
      <c r="M156" s="10" t="str">
        <f>"◇ポジションマッチ A" &amp; MOD(INT(($C$1 - '特殊配信マスタ'!$A$1) / 7), 3) + 1</f>
        <v>◇ポジションマッチ A2</v>
      </c>
      <c r="N156" s="11" t="str">
        <f>IFERROR(__xludf.DUMMYFUNCTION("IFERROR(TEXTJOIN(CHAR(10), TRUE, FILTER('特殊配信マスタ'!$C:$E, #REF!=N$1)), """")"),"")</f>
        <v/>
      </c>
      <c r="O156" s="7" t="str">
        <f>IFERROR(__xludf.DUMMYFUNCTION("IFERROR(TEXTJOIN(CHAR(10), TRUE, FILTER('特殊配信マスタ'!$C:$E, #REF!=O$1)), """")"),"")</f>
        <v/>
      </c>
      <c r="P156" s="7" t="str">
        <f t="array" ref="P156">IFERROR(XLOOKUP(M156, INDEX('特殊配信マスタ'!$C$3:$E$8, 0, MAX(1, ROW()-14)), '特殊配信マスタ'!$M$3:$N$8, ""),"")</f>
        <v/>
      </c>
      <c r="Q156" s="7"/>
      <c r="R156" s="10" t="str">
        <f>"◇ポジションマッチ A" &amp; MOD(INT(($C$1 - '特殊配信マスタ'!$A$1) / 7), 3) + 1</f>
        <v>◇ポジションマッチ A2</v>
      </c>
      <c r="S156" s="11" t="str">
        <f>IFERROR(__xludf.DUMMYFUNCTION("IFERROR(TEXTJOIN(CHAR(10), TRUE, FILTER('特殊配信マスタ'!$C:$E, #REF!=S$1)), """")"),"")</f>
        <v/>
      </c>
      <c r="T156" s="7" t="str">
        <f>IFERROR(__xludf.DUMMYFUNCTION("IFERROR(TEXTJOIN(CHAR(10), TRUE, FILTER('特殊配信マスタ'!$C:$E, #REF!=T$1)), """")"),"")</f>
        <v/>
      </c>
      <c r="U156" s="7" t="str">
        <f t="array" ref="U156">IFERROR(XLOOKUP(R156, INDEX('特殊配信マスタ'!$C$3:$E$8, 0, MAX(1, ROW()-14)), '特殊配信マスタ'!$M$3:$N$8, ""),"")</f>
        <v/>
      </c>
      <c r="V156" s="7"/>
      <c r="W156" s="10" t="str">
        <f>"◇ポジションマッチ A" &amp; MOD(INT(($C$1 - '特殊配信マスタ'!$A$1) / 7), 3) + 1</f>
        <v>◇ポジションマッチ A2</v>
      </c>
      <c r="X156" s="11" t="str">
        <f>IFERROR(__xludf.DUMMYFUNCTION("IFERROR(TEXTJOIN(CHAR(10), TRUE, FILTER('特殊配信マスタ'!$C:$E, #REF!=X$1)), """")"),"")</f>
        <v/>
      </c>
      <c r="Y156" s="7" t="str">
        <f>IFERROR(__xludf.DUMMYFUNCTION("IFERROR(TEXTJOIN(CHAR(10), TRUE, FILTER('特殊配信マスタ'!$C:$E, #REF!=Y$1)), """")"),"")</f>
        <v/>
      </c>
      <c r="Z156" s="7" t="str">
        <f t="array" ref="Z156">IFERROR(XLOOKUP(W156, INDEX('特殊配信マスタ'!$C$3:$E$8, 0, MAX(1, ROW()-14)), '特殊配信マスタ'!$M$3:$N$8, ""),"")</f>
        <v/>
      </c>
      <c r="AA156" s="7"/>
      <c r="AB156" s="10" t="str">
        <f>"◇ポジションマッチ A" &amp; MOD(INT(($C$1 - '特殊配信マスタ'!$A$1) / 7), 3) + 1</f>
        <v>◇ポジションマッチ A2</v>
      </c>
      <c r="AC156" s="11" t="str">
        <f>IFERROR(__xludf.DUMMYFUNCTION("IFERROR(TEXTJOIN(CHAR(10), TRUE, FILTER('特殊配信マスタ'!$C:$E, #REF!=AC$1)), """")"),"")</f>
        <v/>
      </c>
      <c r="AD156" s="7" t="str">
        <f>IFERROR(__xludf.DUMMYFUNCTION("IFERROR(TEXTJOIN(CHAR(10), TRUE, FILTER('特殊配信マスタ'!$C:$E, #REF!=AD$1)), """")"),"")</f>
        <v/>
      </c>
      <c r="AE156" s="7" t="str">
        <f t="array" ref="AE156">IFERROR(XLOOKUP(AB156, INDEX('特殊配信マスタ'!$C$3:$E$8, 0, MAX(1, ROW()-14)), '特殊配信マスタ'!$M$3:$N$8, ""),"")</f>
        <v/>
      </c>
      <c r="AF156" s="7"/>
      <c r="AG156" s="10" t="str">
        <f>"◇ポジションマッチ A" &amp; MOD(INT(($C$1 - '特殊配信マスタ'!$A$1) / 7), 3) + 1</f>
        <v>◇ポジションマッチ A2</v>
      </c>
      <c r="AH156" s="11" t="str">
        <f>IFERROR(__xludf.DUMMYFUNCTION("IFERROR(TEXTJOIN(CHAR(10), TRUE, FILTER('特殊配信マスタ'!$C:$E, #REF!=AH$1)), """")"),"")</f>
        <v/>
      </c>
      <c r="AI156" s="7" t="str">
        <f>IFERROR(__xludf.DUMMYFUNCTION("IFERROR(TEXTJOIN(CHAR(10), TRUE, FILTER('特殊配信マスタ'!$C:$E, #REF!=AI$1)), """")"),"")</f>
        <v/>
      </c>
      <c r="AJ156" s="7" t="str">
        <f t="array" ref="AJ156">IFERROR(XLOOKUP(AG156, INDEX('特殊配信マスタ'!$C$3:$E$8, 0, MAX(1, ROW()-14)), '特殊配信マスタ'!$M$3:$N$8, ""),"")</f>
        <v/>
      </c>
      <c r="AK156" s="7"/>
    </row>
    <row r="157" ht="17.25" customHeight="1">
      <c r="A157" s="8"/>
      <c r="B157" s="9"/>
      <c r="C157" s="10" t="str">
        <f>"◇ポジションマッチ_36歳以上 A" &amp; MOD(INT(($C$1 - '特殊配信マスタ'!$A$1) / 7), 3) + 1</f>
        <v>◇ポジションマッチ_36歳以上 A2</v>
      </c>
      <c r="D157" s="11"/>
      <c r="E157" s="7"/>
      <c r="F157" s="7" t="str">
        <f t="array" ref="F157">IFERROR(XLOOKUP(C157, INDEX('特殊配信マスタ'!$C$3:$E$8, 0, MAX(1, ROW()-14)), '特殊配信マスタ'!$M$3:$N$8, ""),"")</f>
        <v/>
      </c>
      <c r="G157" s="7"/>
      <c r="H157" s="10" t="str">
        <f>"◇ポジションマッチ_36歳以上 A" &amp; MOD(INT(($C$1 - '特殊配信マスタ'!$A$1) / 7), 3) + 1</f>
        <v>◇ポジションマッチ_36歳以上 A2</v>
      </c>
      <c r="I157" s="11"/>
      <c r="J157" s="7"/>
      <c r="K157" s="7" t="str">
        <f t="array" ref="K157">IFERROR(XLOOKUP(H157, INDEX('特殊配信マスタ'!$C$3:$E$8, 0, MAX(1, ROW()-14)), '特殊配信マスタ'!$M$3:$N$8, ""),"")</f>
        <v/>
      </c>
      <c r="L157" s="7"/>
      <c r="M157" s="10" t="str">
        <f>"◇ポジションマッチ_36歳以上 A" &amp; MOD(INT(($C$1 - '特殊配信マスタ'!$A$1) / 7), 3) + 1</f>
        <v>◇ポジションマッチ_36歳以上 A2</v>
      </c>
      <c r="N157" s="11"/>
      <c r="O157" s="7"/>
      <c r="P157" s="7" t="str">
        <f t="array" ref="P157">IFERROR(XLOOKUP(M157, INDEX('特殊配信マスタ'!$C$3:$E$8, 0, MAX(1, ROW()-14)), '特殊配信マスタ'!$M$3:$N$8, ""),"")</f>
        <v/>
      </c>
      <c r="Q157" s="7"/>
      <c r="R157" s="10" t="str">
        <f>"◇ポジションマッチ_36歳以上 A" &amp; MOD(INT(($C$1 - '特殊配信マスタ'!$A$1) / 7), 3) + 1</f>
        <v>◇ポジションマッチ_36歳以上 A2</v>
      </c>
      <c r="S157" s="11"/>
      <c r="T157" s="7"/>
      <c r="U157" s="7" t="str">
        <f t="array" ref="U157">IFERROR(XLOOKUP(R157, INDEX('特殊配信マスタ'!$C$3:$E$8, 0, MAX(1, ROW()-14)), '特殊配信マスタ'!$M$3:$N$8, ""),"")</f>
        <v/>
      </c>
      <c r="V157" s="7"/>
      <c r="W157" s="10" t="str">
        <f>"◇ポジションマッチ_36歳以上 A" &amp; MOD(INT(($C$1 - '特殊配信マスタ'!$A$1) / 7), 3) + 1</f>
        <v>◇ポジションマッチ_36歳以上 A2</v>
      </c>
      <c r="X157" s="11"/>
      <c r="Y157" s="7"/>
      <c r="Z157" s="7" t="str">
        <f t="array" ref="Z157">IFERROR(XLOOKUP(W157, INDEX('特殊配信マスタ'!$C$3:$E$8, 0, MAX(1, ROW()-14)), '特殊配信マスタ'!$M$3:$N$8, ""),"")</f>
        <v/>
      </c>
      <c r="AA157" s="7"/>
      <c r="AB157" s="10" t="str">
        <f>"◇ポジションマッチ_36歳以上 A" &amp; MOD(INT(($C$1 - '特殊配信マスタ'!$A$1) / 7), 3) + 1</f>
        <v>◇ポジションマッチ_36歳以上 A2</v>
      </c>
      <c r="AC157" s="11"/>
      <c r="AD157" s="7"/>
      <c r="AE157" s="7" t="str">
        <f t="array" ref="AE157">IFERROR(XLOOKUP(AB157, INDEX('特殊配信マスタ'!$C$3:$E$8, 0, MAX(1, ROW()-14)), '特殊配信マスタ'!$M$3:$N$8, ""),"")</f>
        <v/>
      </c>
      <c r="AF157" s="7"/>
      <c r="AG157" s="10" t="str">
        <f>"◇ポジションマッチ_36歳以上 A" &amp; MOD(INT(($C$1 - '特殊配信マスタ'!$A$1) / 7), 3) + 1</f>
        <v>◇ポジションマッチ_36歳以上 A2</v>
      </c>
      <c r="AH157" s="11"/>
      <c r="AI157" s="7"/>
      <c r="AJ157" s="7" t="str">
        <f t="array" ref="AJ157">IFERROR(XLOOKUP(AG157, INDEX('特殊配信マスタ'!$C$3:$E$8, 0, MAX(1, ROW()-14)), '特殊配信マスタ'!$M$3:$N$8, ""),"")</f>
        <v/>
      </c>
      <c r="AK157" s="7"/>
    </row>
    <row r="158" ht="17.25" customHeight="1">
      <c r="A158" s="8">
        <f>A143+1</f>
        <v>18</v>
      </c>
      <c r="B158" s="9" t="s">
        <v>5</v>
      </c>
      <c r="C158" s="18" t="str">
        <f>IFERROR(__xludf.DUMMYFUNCTION("IFERROR(FILTER('リスト'!$C$2:$C$400, ('リスト'!$A$2:$A$400 = CHOOSE(WEEKDAY(C$1), ""日"", ""月"", ""火"", ""水"", ""木"", ""金"", ""土"")) * ('リスト'!$B$2:$B$400 = $A158) * ('リスト'!$E$2:$E$400 = ""毎週配信"") * ('リスト'!$O$2:$O$400 = FALSE)), """")"),"☆エンジニア_経験_首都圏版")</f>
        <v>☆エンジニア_経験_首都圏版</v>
      </c>
      <c r="D158" s="11" t="str">
        <f>IFERROR(__xludf.DUMMYFUNCTION("iferror(FILTER('リスト'!$D:$D, ('リスト'!$A:$A = C$1) * ('リスト'!$B:$B = $A158)))"),"")</f>
        <v/>
      </c>
      <c r="E158" s="7">
        <f>SUM(D158:D171)</f>
        <v>0</v>
      </c>
      <c r="F158" s="7" t="str">
        <f t="array" ref="F158">IFERROR(XLOOKUP(C158, 'リスト'!$C:$C, 'リスト'!$M:$M, ""), "")</f>
        <v>部</v>
      </c>
      <c r="G158" s="7" t="str">
        <f t="array" ref="G158">IFERROR(XLOOKUP(C158, 'リスト'!$C:$C, 'リスト'!$N:$N, ""), "")</f>
        <v>内</v>
      </c>
      <c r="H158" s="18" t="str">
        <f>IFERROR(__xludf.DUMMYFUNCTION("IFERROR(FILTER('リスト'!$C$2:$C$400, ('リスト'!$A$2:$A$400 = CHOOSE(WEEKDAY(H$1), ""日"", ""月"", ""火"", ""水"", ""木"", ""金"", ""土"")) * ('リスト'!$B$2:$B$400 = $A158) * ('リスト'!$E$2:$E$400 = ""毎週配信"") * ('リスト'!$O$2:$O$400 = FALSE)), """")"),"☆営業_経験_首都圏版")</f>
        <v>☆営業_経験_首都圏版</v>
      </c>
      <c r="I158" s="11" t="str">
        <f>IFERROR(__xludf.DUMMYFUNCTION("iferror(FILTER('リスト'!$D:$D, ('リスト'!$A:$A = H$1) * ('リスト'!$B:$B = $A158)))"),"")</f>
        <v/>
      </c>
      <c r="J158" s="7">
        <f>SUM(I158:I171)</f>
        <v>0</v>
      </c>
      <c r="K158" s="7" t="str">
        <f t="array" ref="K158">IFERROR(XLOOKUP(H158, 'リスト'!$C:$C, 'リスト'!$M:$M, ""), "")</f>
        <v>部</v>
      </c>
      <c r="L158" s="7" t="str">
        <f t="array" ref="L158">IFERROR(XLOOKUP(H158, 'リスト'!$C:$C, 'リスト'!$N:$N, ""), "")</f>
        <v>荒</v>
      </c>
      <c r="M158" s="10" t="str">
        <f>IFERROR(__xludf.DUMMYFUNCTION("IFERROR(FILTER('リスト'!$C$2:$C$400, ('リスト'!$A$2:$A$400 = CHOOSE(WEEKDAY(M$1), ""日"", ""月"", ""火"", ""水"", ""木"", ""金"", ""土"")) * ('リスト'!$B$2:$B$400 = $A158) * ('リスト'!$E$2:$E$400 = ""毎週配信"") * ('リスト'!$O$2:$O$400 = FALSE)), """")"),"☆販サ_経験_35歳以上_首都圏版")</f>
        <v>☆販サ_経験_35歳以上_首都圏版</v>
      </c>
      <c r="N158" s="11" t="str">
        <f>IFERROR(__xludf.DUMMYFUNCTION("iferror(FILTER('リスト'!$D:$D, ('リスト'!$A:$A = M$1) * ('リスト'!$B:$B = $A158)))"),"")</f>
        <v/>
      </c>
      <c r="O158" s="7">
        <f>SUM(N158:N171)</f>
        <v>0</v>
      </c>
      <c r="P158" s="7" t="str">
        <f t="array" ref="P158">IFERROR(XLOOKUP(M158, 'リスト'!$C:$C, 'リスト'!$M:$M, ""), "")</f>
        <v>部</v>
      </c>
      <c r="Q158" s="7" t="str">
        <f t="array" ref="Q158">IFERROR(XLOOKUP(M158, 'リスト'!$C:$C, 'リスト'!$N:$N, ""), "")</f>
        <v>平</v>
      </c>
      <c r="R158" s="10" t="str">
        <f>IFERROR(__xludf.DUMMYFUNCTION("IFERROR(FILTER('リスト'!$C$2:$C$400, ('リスト'!$A$2:$A$400 = CHOOSE(WEEKDAY(R$1), ""日"", ""月"", ""火"", ""水"", ""木"", ""金"", ""土"")) * ('リスト'!$B$2:$B$400 = $A158) * ('リスト'!$E$2:$E$400 = ""毎週配信"") * ('リスト'!$O$2:$O$400 = FALSE)), """")"),"")</f>
        <v/>
      </c>
      <c r="S158" s="11" t="str">
        <f>IFERROR(__xludf.DUMMYFUNCTION("iferror(FILTER('リスト'!$D:$D, ('リスト'!$A:$A = R$1) * ('リスト'!$B:$B = $A158)))"),"")</f>
        <v/>
      </c>
      <c r="T158" s="7">
        <f>SUM(S158:S171)</f>
        <v>0</v>
      </c>
      <c r="U158" s="7" t="str">
        <f t="array" ref="U158">IFERROR(XLOOKUP(R158, 'リスト'!$C:$C, 'リスト'!$M:$M, ""), "")</f>
        <v/>
      </c>
      <c r="V158" s="7" t="str">
        <f t="array" ref="V158">IFERROR(XLOOKUP(R158, 'リスト'!$C:$C, 'リスト'!$N:$N, ""), "")</f>
        <v/>
      </c>
      <c r="W158" s="10" t="str">
        <f>IFERROR(__xludf.DUMMYFUNCTION("IFERROR(FILTER('リスト'!$C$2:$C$400, ('リスト'!$A$2:$A$400 = CHOOSE(WEEKDAY(W$1), ""日"", ""月"", ""火"", ""水"", ""木"", ""金"", ""土"")) * ('リスト'!$B$2:$B$400 = $A158) * ('リスト'!$E$2:$E$400 = ""毎週配信"") * ('リスト'!$O$2:$O$400 = FALSE)), """")"),"関西限定事務求人特集")</f>
        <v>関西限定事務求人特集</v>
      </c>
      <c r="X158" s="11" t="str">
        <f>IFERROR(__xludf.DUMMYFUNCTION("iferror(FILTER('リスト'!$D:$D, ('リスト'!$A:$A = W$1) * ('リスト'!$B:$B = $A158)))"),"")</f>
        <v/>
      </c>
      <c r="Y158" s="7">
        <f>SUM(X158:X171)</f>
        <v>0</v>
      </c>
      <c r="Z158" s="7" t="str">
        <f t="array" ref="Z158">IFERROR(XLOOKUP(W158, 'リスト'!$C:$C, 'リスト'!$M:$M, ""), "")</f>
        <v>R</v>
      </c>
      <c r="AA158" s="7" t="str">
        <f t="array" ref="AA158">IFERROR(XLOOKUP(W158, 'リスト'!$C:$C, 'リスト'!$N:$N, ""), "")</f>
        <v/>
      </c>
      <c r="AB158" s="10" t="str">
        <f>IFERROR(__xludf.DUMMYFUNCTION("IFERROR(FILTER('リスト'!$C$2:$C$400, ('リスト'!$A$2:$A$400 = CHOOSE(WEEKDAY(AB$1), ""日"", ""月"", ""火"", ""水"", ""木"", ""金"", ""土"")) * ('リスト'!$B$2:$B$400 = $A158) * ('リスト'!$E$2:$E$400 = ""毎週配信"") * ('リスト'!$O$2:$O$400 = FALSE)), """")"),"プライベート重視_35歳以上")</f>
        <v>プライベート重視_35歳以上</v>
      </c>
      <c r="AC158" s="11" t="str">
        <f>IFERROR(__xludf.DUMMYFUNCTION("iferror(FILTER('リスト'!$D:$D, ('リスト'!$A:$A = AB$1) * ('リスト'!$B:$B = $A158)))"),"")</f>
        <v/>
      </c>
      <c r="AD158" s="7">
        <f>SUM(AC158:AC171)</f>
        <v>0</v>
      </c>
      <c r="AE158" s="7" t="str">
        <f t="array" ref="AE158">IFERROR(XLOOKUP(AB158, 'リスト'!$C:$C, 'リスト'!$M:$M, ""), "")</f>
        <v>R</v>
      </c>
      <c r="AF158" s="7" t="str">
        <f t="array" ref="AF158">IFERROR(XLOOKUP(AB158, 'リスト'!$C:$C, 'リスト'!$N:$N, ""), "")</f>
        <v/>
      </c>
      <c r="AG158" s="10" t="str">
        <f>IFERROR(__xludf.DUMMYFUNCTION("IFERROR(FILTER('リスト'!$C$2:$C$400, ('リスト'!$A$2:$A$400 = CHOOSE(WEEKDAY(AG$1), ""日"", ""月"", ""火"", ""水"", ""木"", ""金"", ""土"")) * ('リスト'!$B$2:$B$400 = $A158) * ('リスト'!$E$2:$E$400 = ""毎週配信"") * ('リスト'!$O$2:$O$400 = FALSE)), """")"),"事務_経験_35歳以上_首都圏版")</f>
        <v>事務_経験_35歳以上_首都圏版</v>
      </c>
      <c r="AH158" s="11" t="str">
        <f>IFERROR(__xludf.DUMMYFUNCTION("iferror(FILTER('リスト'!$D:$D, ('リスト'!$A:$A = AG$1) * ('リスト'!$B:$B = $A158)))"),"")</f>
        <v/>
      </c>
      <c r="AI158" s="7">
        <f>SUM(AH158:AH171)</f>
        <v>0</v>
      </c>
      <c r="AJ158" s="7" t="str">
        <f t="array" ref="AJ158">IFERROR(XLOOKUP(AG158, 'リスト'!$C:$C, 'リスト'!$M:$M, ""), "")</f>
        <v>R</v>
      </c>
      <c r="AK158" s="7" t="str">
        <f t="array" ref="AK158">IFERROR(XLOOKUP(AG158, 'リスト'!$C:$C, 'リスト'!$N:$N, ""), "")</f>
        <v/>
      </c>
    </row>
    <row r="159" ht="17.25" customHeight="1">
      <c r="A159" s="8"/>
      <c r="B159" s="9"/>
      <c r="C159" s="12" t="str">
        <f>IFERROR(__xludf.DUMMYFUNCTION("""COMPUTED_VALUE"""),"☆エンジニア_未経験_首都圏版")</f>
        <v>☆エンジニア_未経験_首都圏版</v>
      </c>
      <c r="D159" s="7"/>
      <c r="E159" s="7"/>
      <c r="F159" s="7" t="str">
        <f t="array" ref="F159">IFERROR(XLOOKUP(C159, 'リスト'!$C:$C, 'リスト'!$M:$M, ""), "")</f>
        <v>部</v>
      </c>
      <c r="G159" s="7" t="str">
        <f t="array" ref="G159">IFERROR(XLOOKUP(C159, 'リスト'!$C:$C, 'リスト'!$N:$N, ""), "")</f>
        <v>内</v>
      </c>
      <c r="H159" s="12" t="str">
        <f>IFERROR(__xludf.DUMMYFUNCTION("""COMPUTED_VALUE"""),"☆営業_未経験_首都圏版")</f>
        <v>☆営業_未経験_首都圏版</v>
      </c>
      <c r="I159" s="7"/>
      <c r="J159" s="7"/>
      <c r="K159" s="7" t="str">
        <f t="array" ref="K159">IFERROR(XLOOKUP(H159, 'リスト'!$C:$C, 'リスト'!$M:$M, ""), "")</f>
        <v>部</v>
      </c>
      <c r="L159" s="7" t="str">
        <f t="array" ref="L159">IFERROR(XLOOKUP(H159, 'リスト'!$C:$C, 'リスト'!$N:$N, ""), "")</f>
        <v>荒</v>
      </c>
      <c r="M159" s="12" t="str">
        <f>IFERROR(__xludf.DUMMYFUNCTION("""COMPUTED_VALUE"""),"☆販サ_経験_35歳以上_全国版")</f>
        <v>☆販サ_経験_35歳以上_全国版</v>
      </c>
      <c r="N159" s="7"/>
      <c r="O159" s="7"/>
      <c r="P159" s="7" t="str">
        <f t="array" ref="P159">IFERROR(XLOOKUP(M159, 'リスト'!$C:$C, 'リスト'!$M:$M, ""), "")</f>
        <v>部</v>
      </c>
      <c r="Q159" s="7" t="str">
        <f t="array" ref="Q159">IFERROR(XLOOKUP(M159, 'リスト'!$C:$C, 'リスト'!$N:$N, ""), "")</f>
        <v>平</v>
      </c>
      <c r="R159" s="12"/>
      <c r="S159" s="7"/>
      <c r="T159" s="7"/>
      <c r="U159" s="7" t="str">
        <f t="array" ref="U159">IFERROR(XLOOKUP(R159, 'リスト'!$C:$C, 'リスト'!$M:$M, ""), "")</f>
        <v/>
      </c>
      <c r="V159" s="7" t="str">
        <f t="array" ref="V159">IFERROR(XLOOKUP(R159, 'リスト'!$C:$C, 'リスト'!$N:$N, ""), "")</f>
        <v/>
      </c>
      <c r="W159" s="12" t="str">
        <f>IFERROR(__xludf.DUMMYFUNCTION("""COMPUTED_VALUE"""),"賞与3ヶ月以上×リモート_ランキング")</f>
        <v>賞与3ヶ月以上×リモート_ランキング</v>
      </c>
      <c r="X159" s="7"/>
      <c r="Y159" s="7"/>
      <c r="Z159" s="7" t="str">
        <f t="array" ref="Z159">IFERROR(XLOOKUP(W159, 'リスト'!$C:$C, 'リスト'!$M:$M, ""), "")</f>
        <v>R</v>
      </c>
      <c r="AA159" s="7" t="str">
        <f t="array" ref="AA159">IFERROR(XLOOKUP(W159, 'リスト'!$C:$C, 'リスト'!$N:$N, ""), "")</f>
        <v/>
      </c>
      <c r="AB159" s="12" t="str">
        <f>IFERROR(__xludf.DUMMYFUNCTION("""COMPUTED_VALUE"""),"月曜日はリモート×フレックスで働く")</f>
        <v>月曜日はリモート×フレックスで働く</v>
      </c>
      <c r="AC159" s="7"/>
      <c r="AD159" s="7"/>
      <c r="AE159" s="7" t="str">
        <f t="array" ref="AE159">IFERROR(XLOOKUP(AB159, 'リスト'!$C:$C, 'リスト'!$M:$M, ""), "")</f>
        <v>R</v>
      </c>
      <c r="AF159" s="7" t="str">
        <f t="array" ref="AF159">IFERROR(XLOOKUP(AB159, 'リスト'!$C:$C, 'リスト'!$N:$N, ""), "")</f>
        <v/>
      </c>
      <c r="AG159" s="12" t="str">
        <f>IFERROR(__xludf.DUMMYFUNCTION("""COMPUTED_VALUE"""),"事務_未経験_35歳以上_首都圏版")</f>
        <v>事務_未経験_35歳以上_首都圏版</v>
      </c>
      <c r="AH159" s="7"/>
      <c r="AI159" s="7"/>
      <c r="AJ159" s="7" t="str">
        <f t="array" ref="AJ159">IFERROR(XLOOKUP(AG159, 'リスト'!$C:$C, 'リスト'!$M:$M, ""), "")</f>
        <v>R</v>
      </c>
      <c r="AK159" s="7" t="str">
        <f t="array" ref="AK159">IFERROR(XLOOKUP(AG159, 'リスト'!$C:$C, 'リスト'!$N:$N, ""), "")</f>
        <v/>
      </c>
    </row>
    <row r="160" ht="17.25" customHeight="1">
      <c r="A160" s="8"/>
      <c r="B160" s="9"/>
      <c r="C160" s="10"/>
      <c r="D160" s="13"/>
      <c r="E160" s="7"/>
      <c r="F160" s="7" t="str">
        <f t="array" ref="F160">IFERROR(XLOOKUP(C160, 'リスト'!$C:$C, 'リスト'!$M:$M, ""), "")</f>
        <v/>
      </c>
      <c r="G160" s="7" t="str">
        <f t="array" ref="G160">IFERROR(XLOOKUP(C160, 'リスト'!$C:$C, 'リスト'!$N:$N, ""), "")</f>
        <v/>
      </c>
      <c r="H160" s="10" t="str">
        <f>IFERROR(__xludf.DUMMYFUNCTION("""COMPUTED_VALUE"""),"駅直結_事務")</f>
        <v>駅直結_事務</v>
      </c>
      <c r="I160" s="13"/>
      <c r="J160" s="7"/>
      <c r="K160" s="7" t="str">
        <f t="array" ref="K160">IFERROR(XLOOKUP(H160, 'リスト'!$C:$C, 'リスト'!$M:$M, ""), "")</f>
        <v>R</v>
      </c>
      <c r="L160" s="7" t="str">
        <f t="array" ref="L160">IFERROR(XLOOKUP(H160, 'リスト'!$C:$C, 'リスト'!$N:$N, ""), "")</f>
        <v/>
      </c>
      <c r="M160" s="18" t="str">
        <f>IFERROR(__xludf.DUMMYFUNCTION("""COMPUTED_VALUE"""),"☆販サ_経験_首都圏版")</f>
        <v>☆販サ_経験_首都圏版</v>
      </c>
      <c r="N160" s="13"/>
      <c r="O160" s="7"/>
      <c r="P160" s="7" t="str">
        <f t="array" ref="P160">IFERROR(XLOOKUP(M160, 'リスト'!$C:$C, 'リスト'!$M:$M, ""), "")</f>
        <v>部</v>
      </c>
      <c r="Q160" s="7" t="str">
        <f t="array" ref="Q160">IFERROR(XLOOKUP(M160, 'リスト'!$C:$C, 'リスト'!$N:$N, ""), "")</f>
        <v>平</v>
      </c>
      <c r="R160" s="10"/>
      <c r="S160" s="13"/>
      <c r="T160" s="7"/>
      <c r="U160" s="7" t="str">
        <f t="array" ref="U160">IFERROR(XLOOKUP(R160, 'リスト'!$C:$C, 'リスト'!$M:$M, ""), "")</f>
        <v/>
      </c>
      <c r="V160" s="7" t="str">
        <f t="array" ref="V160">IFERROR(XLOOKUP(R160, 'リスト'!$C:$C, 'リスト'!$N:$N, ""), "")</f>
        <v/>
      </c>
      <c r="W160" s="10"/>
      <c r="X160" s="13"/>
      <c r="Y160" s="7"/>
      <c r="Z160" s="7" t="str">
        <f t="array" ref="Z160">IFERROR(XLOOKUP(W160, 'リスト'!$C:$C, 'リスト'!$M:$M, ""), "")</f>
        <v/>
      </c>
      <c r="AA160" s="7" t="str">
        <f t="array" ref="AA160">IFERROR(XLOOKUP(W160, 'リスト'!$C:$C, 'リスト'!$N:$N, ""), "")</f>
        <v/>
      </c>
      <c r="AB160" s="10"/>
      <c r="AC160" s="13"/>
      <c r="AD160" s="7"/>
      <c r="AE160" s="7" t="str">
        <f t="array" ref="AE160">IFERROR(XLOOKUP(AB160, 'リスト'!$C:$C, 'リスト'!$M:$M, ""), "")</f>
        <v/>
      </c>
      <c r="AF160" s="7" t="str">
        <f t="array" ref="AF160">IFERROR(XLOOKUP(AB160, 'リスト'!$C:$C, 'リスト'!$N:$N, ""), "")</f>
        <v/>
      </c>
      <c r="AG160" s="10" t="str">
        <f>IFERROR(__xludf.DUMMYFUNCTION("""COMPUTED_VALUE"""),"事務_未経験_休眠会員_首都圏版")</f>
        <v>事務_未経験_休眠会員_首都圏版</v>
      </c>
      <c r="AH160" s="13"/>
      <c r="AI160" s="7"/>
      <c r="AJ160" s="7" t="str">
        <f t="array" ref="AJ160">IFERROR(XLOOKUP(AG160, 'リスト'!$C:$C, 'リスト'!$M:$M, ""), "")</f>
        <v>R</v>
      </c>
      <c r="AK160" s="7" t="str">
        <f t="array" ref="AK160">IFERROR(XLOOKUP(AG160, 'リスト'!$C:$C, 'リスト'!$N:$N, ""), "")</f>
        <v/>
      </c>
    </row>
    <row r="161" ht="17.25" customHeight="1">
      <c r="A161" s="8"/>
      <c r="B161" s="9"/>
      <c r="C161" s="14"/>
      <c r="D161" s="15"/>
      <c r="E161" s="7"/>
      <c r="F161" s="7" t="str">
        <f t="array" ref="F161">IFERROR(XLOOKUP(C161, 'リスト'!$C:$C, 'リスト'!$M:$M, ""), "")</f>
        <v/>
      </c>
      <c r="G161" s="7" t="str">
        <f t="array" ref="G161">IFERROR(XLOOKUP(C161, 'リスト'!$C:$C, 'リスト'!$N:$N, ""), "")</f>
        <v/>
      </c>
      <c r="H161" s="14"/>
      <c r="I161" s="15"/>
      <c r="J161" s="7"/>
      <c r="K161" s="7" t="str">
        <f t="array" ref="K161">IFERROR(XLOOKUP(H161, 'リスト'!$C:$C, 'リスト'!$M:$M, ""), "")</f>
        <v/>
      </c>
      <c r="L161" s="7" t="str">
        <f t="array" ref="L161">IFERROR(XLOOKUP(H161, 'リスト'!$C:$C, 'リスト'!$N:$N, ""), "")</f>
        <v/>
      </c>
      <c r="M161" s="14" t="str">
        <f>IFERROR(__xludf.DUMMYFUNCTION("""COMPUTED_VALUE"""),"☆販サ_経験_全国版")</f>
        <v>☆販サ_経験_全国版</v>
      </c>
      <c r="N161" s="15"/>
      <c r="O161" s="7"/>
      <c r="P161" s="7" t="str">
        <f t="array" ref="P161">IFERROR(XLOOKUP(M161, 'リスト'!$C:$C, 'リスト'!$M:$M, ""), "")</f>
        <v>部</v>
      </c>
      <c r="Q161" s="7" t="str">
        <f t="array" ref="Q161">IFERROR(XLOOKUP(M161, 'リスト'!$C:$C, 'リスト'!$N:$N, ""), "")</f>
        <v>平</v>
      </c>
      <c r="R161" s="14"/>
      <c r="S161" s="15"/>
      <c r="T161" s="7"/>
      <c r="U161" s="7" t="str">
        <f t="array" ref="U161">IFERROR(XLOOKUP(R161, 'リスト'!$C:$C, 'リスト'!$M:$M, ""), "")</f>
        <v/>
      </c>
      <c r="V161" s="7" t="str">
        <f t="array" ref="V161">IFERROR(XLOOKUP(R161, 'リスト'!$C:$C, 'リスト'!$N:$N, ""), "")</f>
        <v/>
      </c>
      <c r="W161" s="14"/>
      <c r="X161" s="15"/>
      <c r="Y161" s="7"/>
      <c r="Z161" s="7" t="str">
        <f t="array" ref="Z161">IFERROR(XLOOKUP(W161, 'リスト'!$C:$C, 'リスト'!$M:$M, ""), "")</f>
        <v/>
      </c>
      <c r="AA161" s="7" t="str">
        <f t="array" ref="AA161">IFERROR(XLOOKUP(W161, 'リスト'!$C:$C, 'リスト'!$N:$N, ""), "")</f>
        <v/>
      </c>
      <c r="AB161" s="14"/>
      <c r="AC161" s="15"/>
      <c r="AD161" s="7"/>
      <c r="AE161" s="7" t="str">
        <f t="array" ref="AE161">IFERROR(XLOOKUP(AB161, 'リスト'!$C:$C, 'リスト'!$M:$M, ""), "")</f>
        <v/>
      </c>
      <c r="AF161" s="7" t="str">
        <f t="array" ref="AF161">IFERROR(XLOOKUP(AB161, 'リスト'!$C:$C, 'リスト'!$N:$N, ""), "")</f>
        <v/>
      </c>
      <c r="AG161" s="14" t="str">
        <f>IFERROR(__xludf.DUMMYFUNCTION("""COMPUTED_VALUE"""),"自己PR不要_フルリモート")</f>
        <v>自己PR不要_フルリモート</v>
      </c>
      <c r="AH161" s="15"/>
      <c r="AI161" s="7"/>
      <c r="AJ161" s="7" t="str">
        <f t="array" ref="AJ161">IFERROR(XLOOKUP(AG161, 'リスト'!$C:$C, 'リスト'!$M:$M, ""), "")</f>
        <v>R</v>
      </c>
      <c r="AK161" s="7" t="str">
        <f t="array" ref="AK161">IFERROR(XLOOKUP(AG161, 'リスト'!$C:$C, 'リスト'!$N:$N, ""), "")</f>
        <v/>
      </c>
    </row>
    <row r="162" ht="17.25" customHeight="1">
      <c r="A162" s="8"/>
      <c r="B162" s="9"/>
      <c r="C162" s="14"/>
      <c r="D162" s="13"/>
      <c r="E162" s="7"/>
      <c r="F162" s="7"/>
      <c r="G162" s="7"/>
      <c r="H162" s="14"/>
      <c r="I162" s="13"/>
      <c r="J162" s="7"/>
      <c r="K162" s="7"/>
      <c r="L162" s="7"/>
      <c r="M162" s="14" t="str">
        <f>IFERROR(__xludf.DUMMYFUNCTION("""COMPUTED_VALUE"""),"☆販サ_未経験_35歳以上_首都圏版")</f>
        <v>☆販サ_未経験_35歳以上_首都圏版</v>
      </c>
      <c r="N162" s="13"/>
      <c r="O162" s="7"/>
      <c r="P162" s="7"/>
      <c r="Q162" s="7"/>
      <c r="R162" s="14"/>
      <c r="S162" s="13"/>
      <c r="T162" s="7"/>
      <c r="U162" s="7"/>
      <c r="V162" s="7"/>
      <c r="W162" s="14"/>
      <c r="X162" s="13"/>
      <c r="Y162" s="7"/>
      <c r="Z162" s="7"/>
      <c r="AA162" s="7"/>
      <c r="AB162" s="14"/>
      <c r="AC162" s="13"/>
      <c r="AD162" s="7"/>
      <c r="AE162" s="7"/>
      <c r="AF162" s="7"/>
      <c r="AG162" s="14" t="str">
        <f>IFERROR(__xludf.DUMMYFUNCTION("""COMPUTED_VALUE"""),"中国地方で働く")</f>
        <v>中国地方で働く</v>
      </c>
      <c r="AH162" s="13"/>
      <c r="AI162" s="7"/>
      <c r="AJ162" s="7"/>
      <c r="AK162" s="7"/>
    </row>
    <row r="163" ht="17.25" customHeight="1">
      <c r="A163" s="8"/>
      <c r="B163" s="9"/>
      <c r="C163" s="14"/>
      <c r="D163" s="13"/>
      <c r="E163" s="7"/>
      <c r="F163" s="7"/>
      <c r="G163" s="7"/>
      <c r="H163" s="14"/>
      <c r="I163" s="13"/>
      <c r="J163" s="7"/>
      <c r="K163" s="7"/>
      <c r="L163" s="7"/>
      <c r="M163" s="14" t="str">
        <f>IFERROR(__xludf.DUMMYFUNCTION("""COMPUTED_VALUE"""),"☆販サ_未経験_首都圏版")</f>
        <v>☆販サ_未経験_首都圏版</v>
      </c>
      <c r="N163" s="13"/>
      <c r="O163" s="7"/>
      <c r="P163" s="7"/>
      <c r="Q163" s="7"/>
      <c r="R163" s="14"/>
      <c r="S163" s="13"/>
      <c r="T163" s="7"/>
      <c r="U163" s="7"/>
      <c r="V163" s="7"/>
      <c r="W163" s="14"/>
      <c r="X163" s="13"/>
      <c r="Y163" s="7"/>
      <c r="Z163" s="7"/>
      <c r="AA163" s="7"/>
      <c r="AB163" s="14"/>
      <c r="AC163" s="13"/>
      <c r="AD163" s="7"/>
      <c r="AE163" s="7"/>
      <c r="AF163" s="7"/>
      <c r="AG163" s="14"/>
      <c r="AH163" s="13"/>
      <c r="AI163" s="7"/>
      <c r="AJ163" s="7"/>
      <c r="AK163" s="7"/>
    </row>
    <row r="164" ht="17.25" customHeight="1">
      <c r="A164" s="8"/>
      <c r="B164" s="9"/>
      <c r="C164" s="14"/>
      <c r="D164" s="13"/>
      <c r="E164" s="7"/>
      <c r="F164" s="7"/>
      <c r="G164" s="7"/>
      <c r="H164" s="14"/>
      <c r="I164" s="13"/>
      <c r="J164" s="7"/>
      <c r="K164" s="7"/>
      <c r="L164" s="7"/>
      <c r="M164" s="14" t="str">
        <f>IFERROR(__xludf.DUMMYFUNCTION("""COMPUTED_VALUE"""),"40代事務ランキング")</f>
        <v>40代事務ランキング</v>
      </c>
      <c r="N164" s="13"/>
      <c r="O164" s="7"/>
      <c r="P164" s="7"/>
      <c r="Q164" s="7"/>
      <c r="R164" s="14"/>
      <c r="S164" s="13"/>
      <c r="T164" s="7"/>
      <c r="U164" s="7"/>
      <c r="V164" s="7"/>
      <c r="W164" s="14"/>
      <c r="X164" s="13"/>
      <c r="Y164" s="7"/>
      <c r="Z164" s="7"/>
      <c r="AA164" s="7"/>
      <c r="AB164" s="14"/>
      <c r="AC164" s="13"/>
      <c r="AD164" s="7"/>
      <c r="AE164" s="7"/>
      <c r="AF164" s="7"/>
      <c r="AG164" s="14"/>
      <c r="AH164" s="13"/>
      <c r="AI164" s="7"/>
      <c r="AJ164" s="7"/>
      <c r="AK164" s="7"/>
    </row>
    <row r="165" ht="17.25" customHeight="1">
      <c r="A165" s="8"/>
      <c r="B165" s="9"/>
      <c r="C165" s="14"/>
      <c r="D165" s="13"/>
      <c r="E165" s="7"/>
      <c r="F165" s="7"/>
      <c r="G165" s="7"/>
      <c r="H165" s="14"/>
      <c r="I165" s="13"/>
      <c r="J165" s="7"/>
      <c r="K165" s="7"/>
      <c r="L165" s="7"/>
      <c r="M165" s="14"/>
      <c r="N165" s="13"/>
      <c r="O165" s="7"/>
      <c r="P165" s="7"/>
      <c r="Q165" s="7"/>
      <c r="R165" s="14"/>
      <c r="S165" s="13"/>
      <c r="T165" s="7"/>
      <c r="U165" s="7"/>
      <c r="V165" s="7"/>
      <c r="W165" s="14"/>
      <c r="X165" s="13"/>
      <c r="Y165" s="7"/>
      <c r="Z165" s="7"/>
      <c r="AA165" s="7"/>
      <c r="AB165" s="14"/>
      <c r="AC165" s="13"/>
      <c r="AD165" s="7"/>
      <c r="AE165" s="7"/>
      <c r="AF165" s="7"/>
      <c r="AG165" s="14"/>
      <c r="AH165" s="13"/>
      <c r="AI165" s="7"/>
      <c r="AJ165" s="7"/>
      <c r="AK165" s="7"/>
    </row>
    <row r="166" ht="17.25" customHeight="1">
      <c r="A166" s="8"/>
      <c r="B166" s="9" t="s">
        <v>6</v>
      </c>
      <c r="C166" s="10" t="str">
        <f>IFERROR(__xludf.DUMMYFUNCTION("iferror(FILTER('新規'!$C:$C, ('新規'!$A:$A = C$1) * ('新規'!$B:$B = $A158)))"),"スカウトリマインド")</f>
        <v>スカウトリマインド</v>
      </c>
      <c r="D166" s="11" t="str">
        <f>IFERROR(__xludf.DUMMYFUNCTION("IFERROR(FILTER('新規'!$D$2:$D$400, ('新規'!$A$2:$A$400 = CHOOSE(WEEKDAY(C$1), ""日"", ""月"", ""火"", ""水"", ""木"", ""金"", ""土"")) * ('新規'!$B$2:$B$400 = $A$3) * ('新規'!$O$2:$O$400 = FALSE)), """")"),"")</f>
        <v/>
      </c>
      <c r="E166" s="7"/>
      <c r="F166" s="7" t="str">
        <f>IFERROR(__xludf.DUMMYFUNCTION("IFERROR(FILTER('新規'!$M$2:$M$400, ('新規'!$A$2:$A$400 = CHOOSE(WEEKDAY(C$1), ""日"", ""月"", ""火"", ""水"", ""木"", ""金"", ""土"")) * ('新規'!$B$2:$B$400 = $A$3) * ('新規'!$O$2:$O$400 = FALSE)), """")"),"")</f>
        <v/>
      </c>
      <c r="G166" s="7" t="str">
        <f>IFERROR(__xludf.DUMMYFUNCTION("IFERROR(FILTER('新規'!$N$2:$N$400, ('新規'!$A$2:$A$400 = CHOOSE(WEEKDAY(C$1), ""日"", ""月"", ""火"", ""水"", ""木"", ""金"", ""土"")) * ('新規'!$B$2:$B$400 = $A$3) * ('新規'!$O$2:$O$400 = FALSE)), """")"),"")</f>
        <v/>
      </c>
      <c r="H166" s="10" t="str">
        <f>IFERROR(__xludf.DUMMYFUNCTION("iferror(FILTER('新規'!$C:$C, ('新規'!$A:$A = H$1) * ('新規'!$B:$B = $A158)))"),"")</f>
        <v/>
      </c>
      <c r="I166" s="11" t="str">
        <f>IFERROR(__xludf.DUMMYFUNCTION("IFERROR(FILTER('新規'!$D$2:$D$400, ('新規'!$A$2:$A$400 = CHOOSE(WEEKDAY(H$1), ""日"", ""月"", ""火"", ""水"", ""木"", ""金"", ""土"")) * ('新規'!$B$2:$B$400 = $A$3) * ('新規'!$O$2:$O$400 = FALSE)), """")"),"")</f>
        <v/>
      </c>
      <c r="J166" s="7"/>
      <c r="K166" s="7" t="str">
        <f>IFERROR(__xludf.DUMMYFUNCTION("IFERROR(FILTER('新規'!$M$2:$M$400, ('新規'!$A$2:$A$400 = CHOOSE(WEEKDAY(H$1), ""日"", ""月"", ""火"", ""水"", ""木"", ""金"", ""土"")) * ('新規'!$B$2:$B$400 = $A$3) * ('新規'!$O$2:$O$400 = FALSE)), """")"),"")</f>
        <v/>
      </c>
      <c r="L166" s="7" t="str">
        <f>IFERROR(__xludf.DUMMYFUNCTION("IFERROR(FILTER('新規'!$N$2:$N$400, ('新規'!$A$2:$A$400 = CHOOSE(WEEKDAY(H$1), ""日"", ""月"", ""火"", ""水"", ""木"", ""金"", ""土"")) * ('新規'!$B$2:$B$400 = $A$3) * ('新規'!$O$2:$O$400 = FALSE)), """")"),"")</f>
        <v/>
      </c>
      <c r="M166" s="10" t="str">
        <f>IFERROR(__xludf.DUMMYFUNCTION("iferror(FILTER('新規'!$C:$C, ('新規'!$A:$A = M$1) * ('新規'!$B:$B = $A158)))"),"")</f>
        <v/>
      </c>
      <c r="N166" s="11" t="str">
        <f>IFERROR(__xludf.DUMMYFUNCTION("IFERROR(FILTER('新規'!$D$2:$D$400, ('新規'!$A$2:$A$400 = CHOOSE(WEEKDAY(M$1), ""日"", ""月"", ""火"", ""水"", ""木"", ""金"", ""土"")) * ('新規'!$B$2:$B$400 = $A$3) * ('新規'!$O$2:$O$400 = FALSE)), """")"),"")</f>
        <v/>
      </c>
      <c r="O166" s="7"/>
      <c r="P166" s="7" t="str">
        <f>IFERROR(__xludf.DUMMYFUNCTION("IFERROR(FILTER('新規'!$M$2:$M$400, ('新規'!$A$2:$A$400 = CHOOSE(WEEKDAY(M$1), ""日"", ""月"", ""火"", ""水"", ""木"", ""金"", ""土"")) * ('新規'!$B$2:$B$400 = $A$3) * ('新規'!$O$2:$O$400 = FALSE)), """")"),"")</f>
        <v/>
      </c>
      <c r="Q166" s="7" t="str">
        <f>IFERROR(__xludf.DUMMYFUNCTION("IFERROR(FILTER('新規'!$N$2:$N$400, ('新規'!$A$2:$A$400 = CHOOSE(WEEKDAY(M$1), ""日"", ""月"", ""火"", ""水"", ""木"", ""金"", ""土"")) * ('新規'!$B$2:$B$400 = $A$3) * ('新規'!$O$2:$O$400 = FALSE)), """")"),"")</f>
        <v/>
      </c>
      <c r="R166" s="10" t="str">
        <f>IFERROR(__xludf.DUMMYFUNCTION("iferror(FILTER('新規'!$C:$C, ('新規'!$A:$A = R$1) * ('新規'!$B:$B = $A158)))"),"人気単独求人_おまとめメルマガ")</f>
        <v>人気単独求人_おまとめメルマガ</v>
      </c>
      <c r="S166" s="11" t="str">
        <f>IFERROR(__xludf.DUMMYFUNCTION("IFERROR(FILTER('新規'!$D$2:$D$400, ('新規'!$A$2:$A$400 = CHOOSE(WEEKDAY(R$1), ""日"", ""月"", ""火"", ""水"", ""木"", ""金"", ""土"")) * ('新規'!$B$2:$B$400 = $A$3) * ('新規'!$O$2:$O$400 = FALSE)), """")"),"")</f>
        <v/>
      </c>
      <c r="T166" s="7"/>
      <c r="U166" s="7" t="str">
        <f>IFERROR(__xludf.DUMMYFUNCTION("IFERROR(FILTER('新規'!$M$2:$M$400, ('新規'!$A$2:$A$400 = CHOOSE(WEEKDAY(R$1), ""日"", ""月"", ""火"", ""水"", ""木"", ""金"", ""土"")) * ('新規'!$B$2:$B$400 = $A$3) * ('新規'!$O$2:$O$400 = FALSE)), """")"),"")</f>
        <v/>
      </c>
      <c r="V166" s="7" t="str">
        <f>IFERROR(__xludf.DUMMYFUNCTION("IFERROR(FILTER('新規'!$N$2:$N$400, ('新規'!$A$2:$A$400 = CHOOSE(WEEKDAY(R$1), ""日"", ""月"", ""火"", ""水"", ""木"", ""金"", ""土"")) * ('新規'!$B$2:$B$400 = $A$3) * ('新規'!$O$2:$O$400 = FALSE)), """")"),"")</f>
        <v/>
      </c>
      <c r="W166" s="10" t="str">
        <f>IFERROR(__xludf.DUMMYFUNCTION("iferror(FILTER('新規'!$C:$C, ('新規'!$A:$A = W$1) * ('新規'!$B:$B = $A158)))"),"")</f>
        <v/>
      </c>
      <c r="X166" s="11" t="str">
        <f>IFERROR(__xludf.DUMMYFUNCTION("IFERROR(FILTER('新規'!$D$2:$D$400, ('新規'!$A$2:$A$400 = CHOOSE(WEEKDAY(W$1), ""日"", ""月"", ""火"", ""水"", ""木"", ""金"", ""土"")) * ('新規'!$B$2:$B$400 = $A$3) * ('新規'!$O$2:$O$400 = FALSE)), """")"),"")</f>
        <v/>
      </c>
      <c r="Y166" s="7"/>
      <c r="Z166" s="7" t="str">
        <f>IFERROR(__xludf.DUMMYFUNCTION("IFERROR(FILTER('新規'!$M$2:$M$400, ('新規'!$A$2:$A$400 = CHOOSE(WEEKDAY(W$1), ""日"", ""月"", ""火"", ""水"", ""木"", ""金"", ""土"")) * ('新規'!$B$2:$B$400 = $A$3) * ('新規'!$O$2:$O$400 = FALSE)), """")"),"")</f>
        <v/>
      </c>
      <c r="AA166" s="7" t="str">
        <f>IFERROR(__xludf.DUMMYFUNCTION("IFERROR(FILTER('新規'!$N$2:$N$400, ('新規'!$A$2:$A$400 = CHOOSE(WEEKDAY(W$1), ""日"", ""月"", ""火"", ""水"", ""木"", ""金"", ""土"")) * ('新規'!$B$2:$B$400 = $A$3) * ('新規'!$O$2:$O$400 = FALSE)), """")"),"")</f>
        <v/>
      </c>
      <c r="AB166" s="10" t="str">
        <f>IFERROR(__xludf.DUMMYFUNCTION("iferror(FILTER('新規'!$C:$C, ('新規'!$A:$A = AB$1) * ('新規'!$B:$B = $A158)))"),"増発_フレキシブル事務")</f>
        <v>増発_フレキシブル事務</v>
      </c>
      <c r="AC166" s="11" t="str">
        <f>IFERROR(__xludf.DUMMYFUNCTION("IFERROR(FILTER('新規'!$D$2:$D$400, ('新規'!$A$2:$A$400 = CHOOSE(WEEKDAY(AB$1), ""日"", ""月"", ""火"", ""水"", ""木"", ""金"", ""土"")) * ('新規'!$B$2:$B$400 = $A$3) * ('新規'!$O$2:$O$400 = FALSE)), """")"),"")</f>
        <v/>
      </c>
      <c r="AD166" s="7"/>
      <c r="AE166" s="7" t="str">
        <f>IFERROR(__xludf.DUMMYFUNCTION("IFERROR(FILTER('新規'!$M$2:$M$400, ('新規'!$A$2:$A$400 = CHOOSE(WEEKDAY(AB$1), ""日"", ""月"", ""火"", ""水"", ""木"", ""金"", ""土"")) * ('新規'!$B$2:$B$400 = $A$3) * ('新規'!$O$2:$O$400 = FALSE)), """")"),"")</f>
        <v/>
      </c>
      <c r="AF166" s="7" t="str">
        <f>IFERROR(__xludf.DUMMYFUNCTION("IFERROR(FILTER('新規'!$N$2:$N$400, ('新規'!$A$2:$A$400 = CHOOSE(WEEKDAY(AB$1), ""日"", ""月"", ""火"", ""水"", ""木"", ""金"", ""土"")) * ('新規'!$B$2:$B$400 = $A$3) * ('新規'!$O$2:$O$400 = FALSE)), """")"),"")</f>
        <v/>
      </c>
      <c r="AG166" s="10" t="str">
        <f>IFERROR(__xludf.DUMMYFUNCTION("iferror(FILTER('新規'!$C:$C, ('新規'!$A:$A = AG$1) * ('新規'!$B:$B = $A158)))"),"")</f>
        <v/>
      </c>
      <c r="AH166" s="11" t="str">
        <f>IFERROR(__xludf.DUMMYFUNCTION("IFERROR(FILTER('新規'!$D$2:$D$400, ('新規'!$A$2:$A$400 = CHOOSE(WEEKDAY(AG$1), ""日"", ""月"", ""火"", ""水"", ""木"", ""金"", ""土"")) * ('新規'!$B$2:$B$400 = $A$3) * ('新規'!$O$2:$O$400 = FALSE)), """")"),"")</f>
        <v/>
      </c>
      <c r="AI166" s="7"/>
      <c r="AJ166" s="7" t="str">
        <f>IFERROR(__xludf.DUMMYFUNCTION("IFERROR(FILTER('新規'!$M$2:$M$400, ('新規'!$A$2:$A$400 = CHOOSE(WEEKDAY(AG$1), ""日"", ""月"", ""火"", ""水"", ""木"", ""金"", ""土"")) * ('新規'!$B$2:$B$400 = $A$3) * ('新規'!$O$2:$O$400 = FALSE)), """")"),"")</f>
        <v/>
      </c>
      <c r="AK166" s="7" t="str">
        <f>IFERROR(__xludf.DUMMYFUNCTION("IFERROR(FILTER('新規'!$N$2:$N$400, ('新規'!$A$2:$A$400 = CHOOSE(WEEKDAY(AG$1), ""日"", ""月"", ""火"", ""水"", ""木"", ""金"", ""土"")) * ('新規'!$B$2:$B$400 = $A$3) * ('新規'!$O$2:$O$400 = FALSE)), """")"),"")</f>
        <v/>
      </c>
    </row>
    <row r="167" ht="17.25" customHeight="1">
      <c r="A167" s="8"/>
      <c r="B167" s="9"/>
      <c r="C167" s="17"/>
      <c r="D167" s="7"/>
      <c r="E167" s="7"/>
      <c r="F167" s="7" t="str">
        <f t="array" ref="F167">IFERROR(XLOOKUP(C167, 'リスト'!$C:$C, 'リスト'!$M:$M, ""), "")</f>
        <v/>
      </c>
      <c r="G167" s="7" t="str">
        <f t="array" ref="G167">IFERROR(XLOOKUP(C167, 'リスト'!$C:$C, 'リスト'!$N:$N, ""), "")</f>
        <v/>
      </c>
      <c r="H167" s="17"/>
      <c r="I167" s="7"/>
      <c r="J167" s="7"/>
      <c r="K167" s="7" t="str">
        <f t="array" ref="K167">IFERROR(XLOOKUP(H167, 'リスト'!$C:$C, 'リスト'!$M:$M, ""), "")</f>
        <v/>
      </c>
      <c r="L167" s="7" t="str">
        <f t="array" ref="L167">IFERROR(XLOOKUP(H167, 'リスト'!$C:$C, 'リスト'!$N:$N, ""), "")</f>
        <v/>
      </c>
      <c r="M167" s="17"/>
      <c r="N167" s="7"/>
      <c r="O167" s="7"/>
      <c r="P167" s="7" t="str">
        <f t="array" ref="P167">IFERROR(XLOOKUP(M167, 'リスト'!$C:$C, 'リスト'!$M:$M, ""), "")</f>
        <v/>
      </c>
      <c r="Q167" s="7" t="str">
        <f t="array" ref="Q167">IFERROR(XLOOKUP(M167, 'リスト'!$C:$C, 'リスト'!$N:$N, ""), "")</f>
        <v/>
      </c>
      <c r="R167" s="17"/>
      <c r="S167" s="7"/>
      <c r="T167" s="7"/>
      <c r="U167" s="7" t="str">
        <f t="array" ref="U167">IFERROR(XLOOKUP(R167, 'リスト'!$C:$C, 'リスト'!$M:$M, ""), "")</f>
        <v/>
      </c>
      <c r="V167" s="7" t="str">
        <f t="array" ref="V167">IFERROR(XLOOKUP(R167, 'リスト'!$C:$C, 'リスト'!$N:$N, ""), "")</f>
        <v/>
      </c>
      <c r="W167" s="17"/>
      <c r="X167" s="7"/>
      <c r="Y167" s="7"/>
      <c r="Z167" s="7" t="str">
        <f t="array" ref="Z167">IFERROR(XLOOKUP(W167, 'リスト'!$C:$C, 'リスト'!$M:$M, ""), "")</f>
        <v/>
      </c>
      <c r="AA167" s="7" t="str">
        <f t="array" ref="AA167">IFERROR(XLOOKUP(W167, 'リスト'!$C:$C, 'リスト'!$N:$N, ""), "")</f>
        <v/>
      </c>
      <c r="AB167" s="17"/>
      <c r="AC167" s="7"/>
      <c r="AD167" s="7"/>
      <c r="AE167" s="7" t="str">
        <f t="array" ref="AE167">IFERROR(XLOOKUP(AB167, 'リスト'!$C:$C, 'リスト'!$M:$M, ""), "")</f>
        <v/>
      </c>
      <c r="AF167" s="7" t="str">
        <f t="array" ref="AF167">IFERROR(XLOOKUP(AB167, 'リスト'!$C:$C, 'リスト'!$N:$N, ""), "")</f>
        <v/>
      </c>
      <c r="AG167" s="17"/>
      <c r="AH167" s="7"/>
      <c r="AI167" s="7"/>
      <c r="AJ167" s="7" t="str">
        <f t="array" ref="AJ167">IFERROR(XLOOKUP(AG167, 'リスト'!$C:$C, 'リスト'!$M:$M, ""), "")</f>
        <v/>
      </c>
      <c r="AK167" s="7" t="str">
        <f t="array" ref="AK167">IFERROR(XLOOKUP(AG167, 'リスト'!$C:$C, 'リスト'!$N:$N, ""), "")</f>
        <v/>
      </c>
    </row>
    <row r="168" ht="17.25" customHeight="1">
      <c r="A168" s="8"/>
      <c r="B168" s="9"/>
      <c r="C168" s="17"/>
      <c r="D168" s="7"/>
      <c r="E168" s="7"/>
      <c r="F168" s="7" t="str">
        <f t="array" ref="F168">IFERROR(XLOOKUP(C168, 'リスト'!$C:$C, 'リスト'!$M:$M, ""), "")</f>
        <v/>
      </c>
      <c r="G168" s="7" t="str">
        <f t="array" ref="G168">IFERROR(XLOOKUP(C168, 'リスト'!$C:$C, 'リスト'!$N:$N, ""), "")</f>
        <v/>
      </c>
      <c r="H168" s="17"/>
      <c r="I168" s="7"/>
      <c r="J168" s="7"/>
      <c r="K168" s="7" t="str">
        <f t="array" ref="K168">IFERROR(XLOOKUP(H168, 'リスト'!$C:$C, 'リスト'!$M:$M, ""), "")</f>
        <v/>
      </c>
      <c r="L168" s="7" t="str">
        <f t="array" ref="L168">IFERROR(XLOOKUP(H168, 'リスト'!$C:$C, 'リスト'!$N:$N, ""), "")</f>
        <v/>
      </c>
      <c r="M168" s="17"/>
      <c r="N168" s="7"/>
      <c r="O168" s="7"/>
      <c r="P168" s="7" t="str">
        <f t="array" ref="P168">IFERROR(XLOOKUP(M168, 'リスト'!$C:$C, 'リスト'!$M:$M, ""), "")</f>
        <v/>
      </c>
      <c r="Q168" s="7" t="str">
        <f t="array" ref="Q168">IFERROR(XLOOKUP(M168, 'リスト'!$C:$C, 'リスト'!$N:$N, ""), "")</f>
        <v/>
      </c>
      <c r="R168" s="17"/>
      <c r="S168" s="7"/>
      <c r="T168" s="7"/>
      <c r="U168" s="7" t="str">
        <f t="array" ref="U168">IFERROR(XLOOKUP(R168, 'リスト'!$C:$C, 'リスト'!$M:$M, ""), "")</f>
        <v/>
      </c>
      <c r="V168" s="7" t="str">
        <f t="array" ref="V168">IFERROR(XLOOKUP(R168, 'リスト'!$C:$C, 'リスト'!$N:$N, ""), "")</f>
        <v/>
      </c>
      <c r="W168" s="17"/>
      <c r="X168" s="7"/>
      <c r="Y168" s="7"/>
      <c r="Z168" s="7" t="str">
        <f t="array" ref="Z168">IFERROR(XLOOKUP(W168, 'リスト'!$C:$C, 'リスト'!$M:$M, ""), "")</f>
        <v/>
      </c>
      <c r="AA168" s="7" t="str">
        <f t="array" ref="AA168">IFERROR(XLOOKUP(W168, 'リスト'!$C:$C, 'リスト'!$N:$N, ""), "")</f>
        <v/>
      </c>
      <c r="AB168" s="17"/>
      <c r="AC168" s="7"/>
      <c r="AD168" s="7"/>
      <c r="AE168" s="7" t="str">
        <f t="array" ref="AE168">IFERROR(XLOOKUP(AB168, 'リスト'!$C:$C, 'リスト'!$M:$M, ""), "")</f>
        <v/>
      </c>
      <c r="AF168" s="7" t="str">
        <f t="array" ref="AF168">IFERROR(XLOOKUP(AB168, 'リスト'!$C:$C, 'リスト'!$N:$N, ""), "")</f>
        <v/>
      </c>
      <c r="AG168" s="17"/>
      <c r="AH168" s="7"/>
      <c r="AI168" s="7"/>
      <c r="AJ168" s="7" t="str">
        <f t="array" ref="AJ168">IFERROR(XLOOKUP(AG168, 'リスト'!$C:$C, 'リスト'!$M:$M, ""), "")</f>
        <v/>
      </c>
      <c r="AK168" s="7" t="str">
        <f t="array" ref="AK168">IFERROR(XLOOKUP(AG168, 'リスト'!$C:$C, 'リスト'!$N:$N, ""), "")</f>
        <v/>
      </c>
    </row>
    <row r="169" ht="17.25" customHeight="1">
      <c r="A169" s="8"/>
      <c r="B169" s="9"/>
      <c r="C169" s="17"/>
      <c r="D169" s="7"/>
      <c r="E169" s="7"/>
      <c r="F169" s="7" t="str">
        <f t="array" ref="F169">IFERROR(XLOOKUP(C169, 'リスト'!$C:$C, 'リスト'!$M:$M, ""), "")</f>
        <v/>
      </c>
      <c r="G169" s="7" t="str">
        <f t="array" ref="G169">IFERROR(XLOOKUP(C169, 'リスト'!$C:$C, 'リスト'!$N:$N, ""), "")</f>
        <v/>
      </c>
      <c r="H169" s="17"/>
      <c r="I169" s="7"/>
      <c r="J169" s="7"/>
      <c r="K169" s="7" t="str">
        <f t="array" ref="K169">IFERROR(XLOOKUP(H169, 'リスト'!$C:$C, 'リスト'!$M:$M, ""), "")</f>
        <v/>
      </c>
      <c r="L169" s="7" t="str">
        <f t="array" ref="L169">IFERROR(XLOOKUP(H169, 'リスト'!$C:$C, 'リスト'!$N:$N, ""), "")</f>
        <v/>
      </c>
      <c r="M169" s="17"/>
      <c r="N169" s="7"/>
      <c r="O169" s="7"/>
      <c r="P169" s="7" t="str">
        <f t="array" ref="P169">IFERROR(XLOOKUP(M169, 'リスト'!$C:$C, 'リスト'!$M:$M, ""), "")</f>
        <v/>
      </c>
      <c r="Q169" s="7" t="str">
        <f t="array" ref="Q169">IFERROR(XLOOKUP(M169, 'リスト'!$C:$C, 'リスト'!$N:$N, ""), "")</f>
        <v/>
      </c>
      <c r="R169" s="17"/>
      <c r="S169" s="7"/>
      <c r="T169" s="7"/>
      <c r="U169" s="7" t="str">
        <f t="array" ref="U169">IFERROR(XLOOKUP(R169, 'リスト'!$C:$C, 'リスト'!$M:$M, ""), "")</f>
        <v/>
      </c>
      <c r="V169" s="7" t="str">
        <f t="array" ref="V169">IFERROR(XLOOKUP(R169, 'リスト'!$C:$C, 'リスト'!$N:$N, ""), "")</f>
        <v/>
      </c>
      <c r="W169" s="17"/>
      <c r="X169" s="7"/>
      <c r="Y169" s="7"/>
      <c r="Z169" s="7" t="str">
        <f t="array" ref="Z169">IFERROR(XLOOKUP(W169, 'リスト'!$C:$C, 'リスト'!$M:$M, ""), "")</f>
        <v/>
      </c>
      <c r="AA169" s="7" t="str">
        <f t="array" ref="AA169">IFERROR(XLOOKUP(W169, 'リスト'!$C:$C, 'リスト'!$N:$N, ""), "")</f>
        <v/>
      </c>
      <c r="AB169" s="17"/>
      <c r="AC169" s="7"/>
      <c r="AD169" s="7"/>
      <c r="AE169" s="7" t="str">
        <f t="array" ref="AE169">IFERROR(XLOOKUP(AB169, 'リスト'!$C:$C, 'リスト'!$M:$M, ""), "")</f>
        <v/>
      </c>
      <c r="AF169" s="7" t="str">
        <f t="array" ref="AF169">IFERROR(XLOOKUP(AB169, 'リスト'!$C:$C, 'リスト'!$N:$N, ""), "")</f>
        <v/>
      </c>
      <c r="AG169" s="17"/>
      <c r="AH169" s="7"/>
      <c r="AI169" s="7"/>
      <c r="AJ169" s="7" t="str">
        <f t="array" ref="AJ169">IFERROR(XLOOKUP(AG169, 'リスト'!$C:$C, 'リスト'!$M:$M, ""), "")</f>
        <v/>
      </c>
      <c r="AK169" s="7" t="str">
        <f t="array" ref="AK169">IFERROR(XLOOKUP(AG169, 'リスト'!$C:$C, 'リスト'!$N:$N, ""), "")</f>
        <v/>
      </c>
    </row>
    <row r="170" ht="17.25" customHeight="1">
      <c r="A170" s="8"/>
      <c r="B170" s="9"/>
      <c r="C170" s="17"/>
      <c r="D170" s="7"/>
      <c r="E170" s="7"/>
      <c r="F170" s="7" t="str">
        <f t="array" ref="F170">IFERROR(XLOOKUP(C170, 'リスト'!$C:$C, 'リスト'!$M:$M, ""), "")</f>
        <v/>
      </c>
      <c r="G170" s="7" t="str">
        <f t="array" ref="G170">IFERROR(XLOOKUP(C170, 'リスト'!$C:$C, 'リスト'!$N:$N, ""), "")</f>
        <v/>
      </c>
      <c r="H170" s="17"/>
      <c r="I170" s="7"/>
      <c r="J170" s="7"/>
      <c r="K170" s="7" t="str">
        <f t="array" ref="K170">IFERROR(XLOOKUP(H170, 'リスト'!$C:$C, 'リスト'!$M:$M, ""), "")</f>
        <v/>
      </c>
      <c r="L170" s="7" t="str">
        <f t="array" ref="L170">IFERROR(XLOOKUP(H170, 'リスト'!$C:$C, 'リスト'!$N:$N, ""), "")</f>
        <v/>
      </c>
      <c r="M170" s="17"/>
      <c r="N170" s="7"/>
      <c r="O170" s="7"/>
      <c r="P170" s="7" t="str">
        <f t="array" ref="P170">IFERROR(XLOOKUP(M170, 'リスト'!$C:$C, 'リスト'!$M:$M, ""), "")</f>
        <v/>
      </c>
      <c r="Q170" s="7" t="str">
        <f t="array" ref="Q170">IFERROR(XLOOKUP(M170, 'リスト'!$C:$C, 'リスト'!$N:$N, ""), "")</f>
        <v/>
      </c>
      <c r="R170" s="17"/>
      <c r="S170" s="7"/>
      <c r="T170" s="7"/>
      <c r="U170" s="7" t="str">
        <f t="array" ref="U170">IFERROR(XLOOKUP(R170, 'リスト'!$C:$C, 'リスト'!$M:$M, ""), "")</f>
        <v/>
      </c>
      <c r="V170" s="7" t="str">
        <f t="array" ref="V170">IFERROR(XLOOKUP(R170, 'リスト'!$C:$C, 'リスト'!$N:$N, ""), "")</f>
        <v/>
      </c>
      <c r="W170" s="17"/>
      <c r="X170" s="7"/>
      <c r="Y170" s="7"/>
      <c r="Z170" s="7" t="str">
        <f t="array" ref="Z170">IFERROR(XLOOKUP(W170, 'リスト'!$C:$C, 'リスト'!$M:$M, ""), "")</f>
        <v/>
      </c>
      <c r="AA170" s="7" t="str">
        <f t="array" ref="AA170">IFERROR(XLOOKUP(W170, 'リスト'!$C:$C, 'リスト'!$N:$N, ""), "")</f>
        <v/>
      </c>
      <c r="AB170" s="17"/>
      <c r="AC170" s="7"/>
      <c r="AD170" s="7"/>
      <c r="AE170" s="7" t="str">
        <f t="array" ref="AE170">IFERROR(XLOOKUP(AB170, 'リスト'!$C:$C, 'リスト'!$M:$M, ""), "")</f>
        <v/>
      </c>
      <c r="AF170" s="7" t="str">
        <f t="array" ref="AF170">IFERROR(XLOOKUP(AB170, 'リスト'!$C:$C, 'リスト'!$N:$N, ""), "")</f>
        <v/>
      </c>
      <c r="AG170" s="17"/>
      <c r="AH170" s="7"/>
      <c r="AI170" s="7"/>
      <c r="AJ170" s="7" t="str">
        <f t="array" ref="AJ170">IFERROR(XLOOKUP(AG170, 'リスト'!$C:$C, 'リスト'!$M:$M, ""), "")</f>
        <v/>
      </c>
      <c r="AK170" s="7" t="str">
        <f t="array" ref="AK170">IFERROR(XLOOKUP(AG170, 'リスト'!$C:$C, 'リスト'!$N:$N, ""), "")</f>
        <v/>
      </c>
    </row>
    <row r="171" ht="17.25" customHeight="1">
      <c r="A171" s="8"/>
      <c r="B171" s="9" t="s">
        <v>7</v>
      </c>
      <c r="C171" s="10" t="str">
        <f>"◇ポジションマッチ A" &amp; MOD(INT(($C$1 - '特殊配信マスタ'!$A$1) / 7), 3) + 1</f>
        <v>◇ポジションマッチ A2</v>
      </c>
      <c r="D171" s="11" t="str">
        <f>IFERROR(__xludf.DUMMYFUNCTION("IFERROR(TEXTJOIN(CHAR(10), TRUE, FILTER('特殊配信マスタ'!$C:$E, #REF!=D$1)), """")"),"")</f>
        <v/>
      </c>
      <c r="E171" s="7" t="str">
        <f>IFERROR(__xludf.DUMMYFUNCTION("IFERROR(TEXTJOIN(CHAR(10), TRUE, FILTER('特殊配信マスタ'!$C:$E, #REF!=E$1)), """")"),"")</f>
        <v/>
      </c>
      <c r="F171" s="7" t="str">
        <f t="array" ref="F171">IFERROR(XLOOKUP(C171, INDEX('特殊配信マスタ'!$C$3:$E$8, 0, MAX(1, ROW()-14)), '特殊配信マスタ'!$M$3:$N$8, ""),"")</f>
        <v/>
      </c>
      <c r="G171" s="7"/>
      <c r="H171" s="10" t="str">
        <f>"◇ポジションマッチ A" &amp; MOD(INT(($C$1 - '特殊配信マスタ'!$A$1) / 7), 3) + 1</f>
        <v>◇ポジションマッチ A2</v>
      </c>
      <c r="I171" s="11" t="str">
        <f>IFERROR(__xludf.DUMMYFUNCTION("IFERROR(TEXTJOIN(CHAR(10), TRUE, FILTER('特殊配信マスタ'!$C:$E, #REF!=I$1)), """")"),"")</f>
        <v/>
      </c>
      <c r="J171" s="7" t="str">
        <f>IFERROR(__xludf.DUMMYFUNCTION("IFERROR(TEXTJOIN(CHAR(10), TRUE, FILTER('特殊配信マスタ'!$C:$E, #REF!=J$1)), """")"),"")</f>
        <v/>
      </c>
      <c r="K171" s="7" t="str">
        <f t="array" ref="K171">IFERROR(XLOOKUP(H171, INDEX('特殊配信マスタ'!$C$3:$E$8, 0, MAX(1, ROW()-14)), '特殊配信マスタ'!$M$3:$N$8, ""),"")</f>
        <v/>
      </c>
      <c r="L171" s="7"/>
      <c r="M171" s="10" t="str">
        <f>"◇ポジションマッチ A" &amp; MOD(INT(($C$1 - '特殊配信マスタ'!$A$1) / 7), 3) + 1</f>
        <v>◇ポジションマッチ A2</v>
      </c>
      <c r="N171" s="11" t="str">
        <f>IFERROR(__xludf.DUMMYFUNCTION("IFERROR(TEXTJOIN(CHAR(10), TRUE, FILTER('特殊配信マスタ'!$C:$E, #REF!=N$1)), """")"),"")</f>
        <v/>
      </c>
      <c r="O171" s="7" t="str">
        <f>IFERROR(__xludf.DUMMYFUNCTION("IFERROR(TEXTJOIN(CHAR(10), TRUE, FILTER('特殊配信マスタ'!$C:$E, #REF!=O$1)), """")"),"")</f>
        <v/>
      </c>
      <c r="P171" s="7" t="str">
        <f t="array" ref="P171">IFERROR(XLOOKUP(M171, INDEX('特殊配信マスタ'!$C$3:$E$8, 0, MAX(1, ROW()-14)), '特殊配信マスタ'!$M$3:$N$8, ""),"")</f>
        <v/>
      </c>
      <c r="Q171" s="7"/>
      <c r="R171" s="10" t="str">
        <f>"◇ポジションマッチ A" &amp; MOD(INT(($C$1 - '特殊配信マスタ'!$A$1) / 7), 3) + 1</f>
        <v>◇ポジションマッチ A2</v>
      </c>
      <c r="S171" s="11" t="str">
        <f>IFERROR(__xludf.DUMMYFUNCTION("IFERROR(TEXTJOIN(CHAR(10), TRUE, FILTER('特殊配信マスタ'!$C:$E, #REF!=S$1)), """")"),"")</f>
        <v/>
      </c>
      <c r="T171" s="7" t="str">
        <f>IFERROR(__xludf.DUMMYFUNCTION("IFERROR(TEXTJOIN(CHAR(10), TRUE, FILTER('特殊配信マスタ'!$C:$E, #REF!=T$1)), """")"),"")</f>
        <v/>
      </c>
      <c r="U171" s="7" t="str">
        <f t="array" ref="U171">IFERROR(XLOOKUP(R171, INDEX('特殊配信マスタ'!$C$3:$E$8, 0, MAX(1, ROW()-14)), '特殊配信マスタ'!$M$3:$N$8, ""),"")</f>
        <v/>
      </c>
      <c r="V171" s="7"/>
      <c r="W171" s="10" t="str">
        <f>"◇ポジションマッチ A" &amp; MOD(INT(($C$1 - '特殊配信マスタ'!$A$1) / 7), 3) + 1</f>
        <v>◇ポジションマッチ A2</v>
      </c>
      <c r="X171" s="11" t="str">
        <f>IFERROR(__xludf.DUMMYFUNCTION("IFERROR(TEXTJOIN(CHAR(10), TRUE, FILTER('特殊配信マスタ'!$C:$E, #REF!=X$1)), """")"),"")</f>
        <v/>
      </c>
      <c r="Y171" s="7" t="str">
        <f>IFERROR(__xludf.DUMMYFUNCTION("IFERROR(TEXTJOIN(CHAR(10), TRUE, FILTER('特殊配信マスタ'!$C:$E, #REF!=Y$1)), """")"),"")</f>
        <v/>
      </c>
      <c r="Z171" s="7" t="str">
        <f t="array" ref="Z171">IFERROR(XLOOKUP(W171, INDEX('特殊配信マスタ'!$C$3:$E$8, 0, MAX(1, ROW()-14)), '特殊配信マスタ'!$M$3:$N$8, ""),"")</f>
        <v/>
      </c>
      <c r="AA171" s="7"/>
      <c r="AB171" s="10" t="str">
        <f>"◇ポジションマッチ A" &amp; MOD(INT(($C$1 - '特殊配信マスタ'!$A$1) / 7), 3) + 1</f>
        <v>◇ポジションマッチ A2</v>
      </c>
      <c r="AC171" s="11" t="str">
        <f>IFERROR(__xludf.DUMMYFUNCTION("IFERROR(TEXTJOIN(CHAR(10), TRUE, FILTER('特殊配信マスタ'!$C:$E, #REF!=AC$1)), """")"),"")</f>
        <v/>
      </c>
      <c r="AD171" s="7" t="str">
        <f>IFERROR(__xludf.DUMMYFUNCTION("IFERROR(TEXTJOIN(CHAR(10), TRUE, FILTER('特殊配信マスタ'!$C:$E, #REF!=AD$1)), """")"),"")</f>
        <v/>
      </c>
      <c r="AE171" s="7" t="str">
        <f t="array" ref="AE171">IFERROR(XLOOKUP(AB171, INDEX('特殊配信マスタ'!$C$3:$E$8, 0, MAX(1, ROW()-14)), '特殊配信マスタ'!$M$3:$N$8, ""),"")</f>
        <v/>
      </c>
      <c r="AF171" s="7"/>
      <c r="AG171" s="10" t="str">
        <f>"◇ポジションマッチ A" &amp; MOD(INT(($C$1 - '特殊配信マスタ'!$A$1) / 7), 3) + 1</f>
        <v>◇ポジションマッチ A2</v>
      </c>
      <c r="AH171" s="11" t="str">
        <f>IFERROR(__xludf.DUMMYFUNCTION("IFERROR(TEXTJOIN(CHAR(10), TRUE, FILTER('特殊配信マスタ'!$C:$E, #REF!=AH$1)), """")"),"")</f>
        <v/>
      </c>
      <c r="AI171" s="7" t="str">
        <f>IFERROR(__xludf.DUMMYFUNCTION("IFERROR(TEXTJOIN(CHAR(10), TRUE, FILTER('特殊配信マスタ'!$C:$E, #REF!=AI$1)), """")"),"")</f>
        <v/>
      </c>
      <c r="AJ171" s="7" t="str">
        <f t="array" ref="AJ171">IFERROR(XLOOKUP(AG171, INDEX('特殊配信マスタ'!$C$3:$E$8, 0, MAX(1, ROW()-14)), '特殊配信マスタ'!$M$3:$N$8, ""),"")</f>
        <v/>
      </c>
      <c r="AK171" s="7"/>
    </row>
    <row r="172" ht="17.25" customHeight="1">
      <c r="A172" s="8"/>
      <c r="B172" s="9"/>
      <c r="C172" s="10" t="str">
        <f>"◇ポジションマッチ_36歳以上 A" &amp; MOD(INT(($C$1 - '特殊配信マスタ'!$A$1) / 7), 3) + 1</f>
        <v>◇ポジションマッチ_36歳以上 A2</v>
      </c>
      <c r="D172" s="11"/>
      <c r="E172" s="7"/>
      <c r="F172" s="7" t="str">
        <f t="array" ref="F172">IFERROR(XLOOKUP(C172, INDEX('特殊配信マスタ'!$C$3:$E$8, 0, MAX(1, ROW()-14)), '特殊配信マスタ'!$M$3:$N$8, ""),"")</f>
        <v/>
      </c>
      <c r="G172" s="7"/>
      <c r="H172" s="10" t="str">
        <f>"◇ポジションマッチ_36歳以上 A" &amp; MOD(INT(($C$1 - '特殊配信マスタ'!$A$1) / 7), 3) + 1</f>
        <v>◇ポジションマッチ_36歳以上 A2</v>
      </c>
      <c r="I172" s="11"/>
      <c r="J172" s="7"/>
      <c r="K172" s="7" t="str">
        <f t="array" ref="K172">IFERROR(XLOOKUP(H172, INDEX('特殊配信マスタ'!$C$3:$E$8, 0, MAX(1, ROW()-14)), '特殊配信マスタ'!$M$3:$N$8, ""),"")</f>
        <v/>
      </c>
      <c r="L172" s="7"/>
      <c r="M172" s="10" t="str">
        <f>"◇ポジションマッチ_36歳以上 A" &amp; MOD(INT(($C$1 - '特殊配信マスタ'!$A$1) / 7), 3) + 1</f>
        <v>◇ポジションマッチ_36歳以上 A2</v>
      </c>
      <c r="N172" s="11"/>
      <c r="O172" s="7"/>
      <c r="P172" s="7" t="str">
        <f t="array" ref="P172">IFERROR(XLOOKUP(M172, INDEX('特殊配信マスタ'!$C$3:$E$8, 0, MAX(1, ROW()-14)), '特殊配信マスタ'!$M$3:$N$8, ""),"")</f>
        <v/>
      </c>
      <c r="Q172" s="7"/>
      <c r="R172" s="10" t="str">
        <f>"◇ポジションマッチ_36歳以上 A" &amp; MOD(INT(($C$1 - '特殊配信マスタ'!$A$1) / 7), 3) + 1</f>
        <v>◇ポジションマッチ_36歳以上 A2</v>
      </c>
      <c r="S172" s="11"/>
      <c r="T172" s="7"/>
      <c r="U172" s="7" t="str">
        <f t="array" ref="U172">IFERROR(XLOOKUP(R172, INDEX('特殊配信マスタ'!$C$3:$E$8, 0, MAX(1, ROW()-14)), '特殊配信マスタ'!$M$3:$N$8, ""),"")</f>
        <v/>
      </c>
      <c r="V172" s="7"/>
      <c r="W172" s="10" t="str">
        <f>"◇ポジションマッチ_36歳以上 A" &amp; MOD(INT(($C$1 - '特殊配信マスタ'!$A$1) / 7), 3) + 1</f>
        <v>◇ポジションマッチ_36歳以上 A2</v>
      </c>
      <c r="X172" s="11"/>
      <c r="Y172" s="7"/>
      <c r="Z172" s="7" t="str">
        <f t="array" ref="Z172">IFERROR(XLOOKUP(W172, INDEX('特殊配信マスタ'!$C$3:$E$8, 0, MAX(1, ROW()-14)), '特殊配信マスタ'!$M$3:$N$8, ""),"")</f>
        <v/>
      </c>
      <c r="AA172" s="7"/>
      <c r="AB172" s="10" t="str">
        <f>"◇ポジションマッチ_36歳以上 A" &amp; MOD(INT(($C$1 - '特殊配信マスタ'!$A$1) / 7), 3) + 1</f>
        <v>◇ポジションマッチ_36歳以上 A2</v>
      </c>
      <c r="AC172" s="11"/>
      <c r="AD172" s="7"/>
      <c r="AE172" s="7" t="str">
        <f t="array" ref="AE172">IFERROR(XLOOKUP(AB172, INDEX('特殊配信マスタ'!$C$3:$E$8, 0, MAX(1, ROW()-14)), '特殊配信マスタ'!$M$3:$N$8, ""),"")</f>
        <v/>
      </c>
      <c r="AF172" s="7"/>
      <c r="AG172" s="10" t="str">
        <f>"◇ポジションマッチ_36歳以上 A" &amp; MOD(INT(($C$1 - '特殊配信マスタ'!$A$1) / 7), 3) + 1</f>
        <v>◇ポジションマッチ_36歳以上 A2</v>
      </c>
      <c r="AH172" s="11"/>
      <c r="AI172" s="7"/>
      <c r="AJ172" s="7" t="str">
        <f t="array" ref="AJ172">IFERROR(XLOOKUP(AG172, INDEX('特殊配信マスタ'!$C$3:$E$8, 0, MAX(1, ROW()-14)), '特殊配信マスタ'!$M$3:$N$8, ""),"")</f>
        <v/>
      </c>
      <c r="AK172" s="7"/>
    </row>
    <row r="173" ht="17.25" customHeight="1">
      <c r="A173" s="8">
        <f>A158+1</f>
        <v>19</v>
      </c>
      <c r="B173" s="9" t="s">
        <v>5</v>
      </c>
      <c r="C173" s="10" t="str">
        <f>IFERROR(__xludf.DUMMYFUNCTION("IFERROR(FILTER('リスト'!$C$2:$C$400, ('リスト'!$A$2:$A$400 = CHOOSE(WEEKDAY(C$1), ""日"", ""月"", ""火"", ""水"", ""木"", ""金"", ""土"")) * ('リスト'!$B$2:$B$400 = $A173) * ('リスト'!$E$2:$E$400 = ""毎週配信"") * ('リスト'!$O$2:$O$400 = FALSE)), """")"),"35歳以上向け_関西 A")</f>
        <v>35歳以上向け_関西 A</v>
      </c>
      <c r="D173" s="11" t="str">
        <f>IFERROR(__xludf.DUMMYFUNCTION("iferror(FILTER('リスト'!$D:$D, ('リスト'!$A:$A = C$1) * ('リスト'!$B:$B = $A173)))"),"")</f>
        <v/>
      </c>
      <c r="E173" s="7">
        <f>SUM(D173:D186)</f>
        <v>0</v>
      </c>
      <c r="F173" s="7" t="str">
        <f t="array" ref="F173">IFERROR(XLOOKUP(C173, 'リスト'!$C:$C, 'リスト'!$M:$M, ""), "")</f>
        <v>R</v>
      </c>
      <c r="G173" s="7" t="str">
        <f t="array" ref="G173">IFERROR(XLOOKUP(C173, 'リスト'!$C:$C, 'リスト'!$N:$N, ""), "")</f>
        <v/>
      </c>
      <c r="H173" s="10" t="str">
        <f>IFERROR(__xludf.DUMMYFUNCTION("IFERROR(FILTER('リスト'!$C$2:$C$400, ('リスト'!$A$2:$A$400 = CHOOSE(WEEKDAY(H$1), ""日"", ""月"", ""火"", ""水"", ""木"", ""金"", ""土"")) * ('リスト'!$B$2:$B$400 = $A173) * ('リスト'!$E$2:$E$400 = ""毎週配信"") * ('リスト'!$O$2:$O$400 = FALSE)), """")"),"フルリモート×正社員")</f>
        <v>フルリモート×正社員</v>
      </c>
      <c r="I173" s="11" t="str">
        <f>IFERROR(__xludf.DUMMYFUNCTION("iferror(FILTER('リスト'!$D:$D, ('リスト'!$A:$A = H$1) * ('リスト'!$B:$B = $A173)))"),"")</f>
        <v/>
      </c>
      <c r="J173" s="7">
        <f>SUM(I173:I186)</f>
        <v>0</v>
      </c>
      <c r="K173" s="7" t="str">
        <f t="array" ref="K173">IFERROR(XLOOKUP(H173, 'リスト'!$C:$C, 'リスト'!$M:$M, ""), "")</f>
        <v>R</v>
      </c>
      <c r="L173" s="7" t="str">
        <f t="array" ref="L173">IFERROR(XLOOKUP(H173, 'リスト'!$C:$C, 'リスト'!$N:$N, ""), "")</f>
        <v/>
      </c>
      <c r="M173" s="10" t="str">
        <f>IFERROR(__xludf.DUMMYFUNCTION("IFERROR(FILTER('リスト'!$C$2:$C$400, ('リスト'!$A$2:$A$400 = CHOOSE(WEEKDAY(M$1), ""日"", ""月"", ""火"", ""水"", ""木"", ""金"", ""土"")) * ('リスト'!$B$2:$B$400 = $A173) * ('リスト'!$E$2:$E$400 = ""毎週配信"") * ('リスト'!$O$2:$O$400 = FALSE)), """")"),"未経験エンジニア希望向け_首都圏")</f>
        <v>未経験エンジニア希望向け_首都圏</v>
      </c>
      <c r="N173" s="11" t="str">
        <f>IFERROR(__xludf.DUMMYFUNCTION("iferror(FILTER('リスト'!$D:$D, ('リスト'!$A:$A = M$1) * ('リスト'!$B:$B = $A173)))"),"")</f>
        <v/>
      </c>
      <c r="O173" s="7">
        <f>SUM(N173:N186)</f>
        <v>0</v>
      </c>
      <c r="P173" s="7" t="str">
        <f t="array" ref="P173">IFERROR(XLOOKUP(M173, 'リスト'!$C:$C, 'リスト'!$M:$M, ""), "")</f>
        <v>R</v>
      </c>
      <c r="Q173" s="7" t="str">
        <f t="array" ref="Q173">IFERROR(XLOOKUP(M173, 'リスト'!$C:$C, 'リスト'!$N:$N, ""), "")</f>
        <v/>
      </c>
      <c r="R173" s="10" t="str">
        <f>IFERROR(__xludf.DUMMYFUNCTION("IFERROR(FILTER('リスト'!$C$2:$C$400, ('リスト'!$A$2:$A$400 = CHOOSE(WEEKDAY(R$1), ""日"", ""月"", ""火"", ""水"", ""木"", ""金"", ""土"")) * ('リスト'!$B$2:$B$400 = $A173) * ('リスト'!$E$2:$E$400 = ""毎週配信"") * ('リスト'!$O$2:$O$400 = FALSE)), """")"),"経験_アパレル・コスメ")</f>
        <v>経験_アパレル・コスメ</v>
      </c>
      <c r="S173" s="11" t="str">
        <f>IFERROR(__xludf.DUMMYFUNCTION("iferror(FILTER('リスト'!$D:$D, ('リスト'!$A:$A = R$1) * ('リスト'!$B:$B = $A173)))"),"")</f>
        <v/>
      </c>
      <c r="T173" s="7">
        <f>SUM(S173:S186)</f>
        <v>0</v>
      </c>
      <c r="U173" s="7" t="str">
        <f t="array" ref="U173">IFERROR(XLOOKUP(R173, 'リスト'!$C:$C, 'リスト'!$M:$M, ""), "")</f>
        <v>R</v>
      </c>
      <c r="V173" s="7" t="str">
        <f t="array" ref="V173">IFERROR(XLOOKUP(R173, 'リスト'!$C:$C, 'リスト'!$N:$N, ""), "")</f>
        <v/>
      </c>
      <c r="W173" s="10" t="str">
        <f>IFERROR(__xludf.DUMMYFUNCTION("IFERROR(FILTER('リスト'!$C$2:$C$400, ('リスト'!$A$2:$A$400 = CHOOSE(WEEKDAY(W$1), ""日"", ""月"", ""火"", ""水"", ""木"", ""金"", ""土"")) * ('リスト'!$B$2:$B$400 = $A173) * ('リスト'!$E$2:$E$400 = ""毎週配信"") * ('リスト'!$O$2:$O$400 = FALSE)), """")"),"フルリモート×未経験歓迎")</f>
        <v>フルリモート×未経験歓迎</v>
      </c>
      <c r="X173" s="11" t="str">
        <f>IFERROR(__xludf.DUMMYFUNCTION("iferror(FILTER('リスト'!$D:$D, ('リスト'!$A:$A = W$1) * ('リスト'!$B:$B = $A173)))"),"")</f>
        <v/>
      </c>
      <c r="Y173" s="7">
        <f>SUM(X173:X186)</f>
        <v>0</v>
      </c>
      <c r="Z173" s="7" t="str">
        <f t="array" ref="Z173">IFERROR(XLOOKUP(W173, 'リスト'!$C:$C, 'リスト'!$M:$M, ""), "")</f>
        <v>R</v>
      </c>
      <c r="AA173" s="7" t="str">
        <f t="array" ref="AA173">IFERROR(XLOOKUP(W173, 'リスト'!$C:$C, 'リスト'!$N:$N, ""), "")</f>
        <v/>
      </c>
      <c r="AB173" s="10" t="str">
        <f>IFERROR(__xludf.DUMMYFUNCTION("IFERROR(FILTER('リスト'!$C$2:$C$400, ('リスト'!$A$2:$A$400 = CHOOSE(WEEKDAY(AB$1), ""日"", ""月"", ""火"", ""水"", ""木"", ""金"", ""土"")) * ('リスト'!$B$2:$B$400 = $A173) * ('リスト'!$E$2:$E$400 = ""毎週配信"") * ('リスト'!$O$2:$O$400 = FALSE)), """")"),"☆TP部メルマガ")</f>
        <v>☆TP部メルマガ</v>
      </c>
      <c r="AC173" s="11" t="str">
        <f>IFERROR(__xludf.DUMMYFUNCTION("iferror(FILTER('リスト'!$D:$D, ('リスト'!$A:$A = AB$1) * ('リスト'!$B:$B = $A173)))"),"")</f>
        <v/>
      </c>
      <c r="AD173" s="7">
        <f>SUM(AC173:AC186)</f>
        <v>0</v>
      </c>
      <c r="AE173" s="7" t="str">
        <f t="array" ref="AE173">IFERROR(XLOOKUP(AB173, 'リスト'!$C:$C, 'リスト'!$M:$M, ""), "")</f>
        <v>荒</v>
      </c>
      <c r="AF173" s="7" t="str">
        <f t="array" ref="AF173">IFERROR(XLOOKUP(AB173, 'リスト'!$C:$C, 'リスト'!$N:$N, ""), "")</f>
        <v>平</v>
      </c>
      <c r="AG173" s="10" t="str">
        <f>IFERROR(__xludf.DUMMYFUNCTION("IFERROR(FILTER('リスト'!$C$2:$C$400, ('リスト'!$A$2:$A$400 = CHOOSE(WEEKDAY(AG$1), ""日"", ""月"", ""火"", ""水"", ""木"", ""金"", ""土"")) * ('リスト'!$B$2:$B$400 = $A173) * ('リスト'!$E$2:$E$400 = ""毎週配信"") * ('リスト'!$O$2:$O$400 = FALSE)), """")"),"関西‗超好条件_事務")</f>
        <v>関西‗超好条件_事務</v>
      </c>
      <c r="AH173" s="11" t="str">
        <f>IFERROR(__xludf.DUMMYFUNCTION("iferror(FILTER('リスト'!$D:$D, ('リスト'!$A:$A = AG$1) * ('リスト'!$B:$B = $A173)))"),"")</f>
        <v/>
      </c>
      <c r="AI173" s="7">
        <f>SUM(AH173:AH186)</f>
        <v>0</v>
      </c>
      <c r="AJ173" s="7" t="str">
        <f t="array" ref="AJ173">IFERROR(XLOOKUP(AG173, 'リスト'!$C:$C, 'リスト'!$M:$M, ""), "")</f>
        <v>部</v>
      </c>
      <c r="AK173" s="7" t="str">
        <f t="array" ref="AK173">IFERROR(XLOOKUP(AG173, 'リスト'!$C:$C, 'リスト'!$N:$N, ""), "")</f>
        <v>武</v>
      </c>
    </row>
    <row r="174" ht="17.25" customHeight="1">
      <c r="A174" s="8"/>
      <c r="B174" s="9"/>
      <c r="C174" s="12" t="str">
        <f>IFERROR(__xludf.DUMMYFUNCTION("""COMPUTED_VALUE"""),"40代ラスト転職")</f>
        <v>40代ラスト転職</v>
      </c>
      <c r="D174" s="7"/>
      <c r="E174" s="7"/>
      <c r="F174" s="7" t="str">
        <f t="array" ref="F174">IFERROR(XLOOKUP(C174, 'リスト'!$C:$C, 'リスト'!$M:$M, ""), "")</f>
        <v>R</v>
      </c>
      <c r="G174" s="7" t="str">
        <f t="array" ref="G174">IFERROR(XLOOKUP(C174, 'リスト'!$C:$C, 'リスト'!$N:$N, ""), "")</f>
        <v/>
      </c>
      <c r="H174" s="12" t="str">
        <f>IFERROR(__xludf.DUMMYFUNCTION("""COMPUTED_VALUE"""),"渋谷・恵比寿勤務_事務")</f>
        <v>渋谷・恵比寿勤務_事務</v>
      </c>
      <c r="I174" s="7"/>
      <c r="J174" s="7"/>
      <c r="K174" s="7" t="str">
        <f t="array" ref="K174">IFERROR(XLOOKUP(H174, 'リスト'!$C:$C, 'リスト'!$M:$M, ""), "")</f>
        <v>R</v>
      </c>
      <c r="L174" s="7" t="str">
        <f t="array" ref="L174">IFERROR(XLOOKUP(H174, 'リスト'!$C:$C, 'リスト'!$N:$N, ""), "")</f>
        <v/>
      </c>
      <c r="M174" s="12"/>
      <c r="N174" s="7"/>
      <c r="O174" s="7"/>
      <c r="P174" s="7" t="str">
        <f t="array" ref="P174">IFERROR(XLOOKUP(M174, 'リスト'!$C:$C, 'リスト'!$M:$M, ""), "")</f>
        <v/>
      </c>
      <c r="Q174" s="7" t="str">
        <f t="array" ref="Q174">IFERROR(XLOOKUP(M174, 'リスト'!$C:$C, 'リスト'!$N:$N, ""), "")</f>
        <v/>
      </c>
      <c r="R174" s="12" t="str">
        <f>IFERROR(__xludf.DUMMYFUNCTION("""COMPUTED_VALUE"""),"経験_一般事務")</f>
        <v>経験_一般事務</v>
      </c>
      <c r="S174" s="7"/>
      <c r="T174" s="7"/>
      <c r="U174" s="7" t="str">
        <f t="array" ref="U174">IFERROR(XLOOKUP(R174, 'リスト'!$C:$C, 'リスト'!$M:$M, ""), "")</f>
        <v>R</v>
      </c>
      <c r="V174" s="7" t="str">
        <f t="array" ref="V174">IFERROR(XLOOKUP(R174, 'リスト'!$C:$C, 'リスト'!$N:$N, ""), "")</f>
        <v/>
      </c>
      <c r="W174" s="12"/>
      <c r="X174" s="7"/>
      <c r="Y174" s="7"/>
      <c r="Z174" s="7" t="str">
        <f t="array" ref="Z174">IFERROR(XLOOKUP(W174, 'リスト'!$C:$C, 'リスト'!$M:$M, ""), "")</f>
        <v/>
      </c>
      <c r="AA174" s="7" t="str">
        <f t="array" ref="AA174">IFERROR(XLOOKUP(W174, 'リスト'!$C:$C, 'リスト'!$N:$N, ""), "")</f>
        <v/>
      </c>
      <c r="AB174" s="12" t="str">
        <f>IFERROR(__xludf.DUMMYFUNCTION("""COMPUTED_VALUE"""),"☆TP部メルマガ_未就業")</f>
        <v>☆TP部メルマガ_未就業</v>
      </c>
      <c r="AC174" s="7"/>
      <c r="AD174" s="7"/>
      <c r="AE174" s="7" t="str">
        <f t="array" ref="AE174">IFERROR(XLOOKUP(AB174, 'リスト'!$C:$C, 'リスト'!$M:$M, ""), "")</f>
        <v>荒</v>
      </c>
      <c r="AF174" s="7" t="str">
        <f t="array" ref="AF174">IFERROR(XLOOKUP(AB174, 'リスト'!$C:$C, 'リスト'!$N:$N, ""), "")</f>
        <v>平</v>
      </c>
      <c r="AG174" s="12" t="str">
        <f>IFERROR(__xludf.DUMMYFUNCTION("""COMPUTED_VALUE"""),"自己PR不要_35歳以上")</f>
        <v>自己PR不要_35歳以上</v>
      </c>
      <c r="AH174" s="7"/>
      <c r="AI174" s="7"/>
      <c r="AJ174" s="7" t="str">
        <f t="array" ref="AJ174">IFERROR(XLOOKUP(AG174, 'リスト'!$C:$C, 'リスト'!$M:$M, ""), "")</f>
        <v>R</v>
      </c>
      <c r="AK174" s="7" t="str">
        <f t="array" ref="AK174">IFERROR(XLOOKUP(AG174, 'リスト'!$C:$C, 'リスト'!$N:$N, ""), "")</f>
        <v/>
      </c>
    </row>
    <row r="175" ht="17.25" customHeight="1">
      <c r="A175" s="8"/>
      <c r="B175" s="9"/>
      <c r="C175" s="10" t="str">
        <f>IFERROR(__xludf.DUMMYFUNCTION("""COMPUTED_VALUE"""),"TP部_営業_現住所")</f>
        <v>TP部_営業_現住所</v>
      </c>
      <c r="D175" s="13"/>
      <c r="E175" s="7"/>
      <c r="F175" s="7" t="str">
        <f t="array" ref="F175">IFERROR(XLOOKUP(C175, 'リスト'!$C:$C, 'リスト'!$M:$M, ""), "")</f>
        <v>R</v>
      </c>
      <c r="G175" s="7" t="str">
        <f t="array" ref="G175">IFERROR(XLOOKUP(C175, 'リスト'!$C:$C, 'リスト'!$N:$N, ""), "")</f>
        <v/>
      </c>
      <c r="H175" s="10" t="str">
        <f>IFERROR(__xludf.DUMMYFUNCTION("""COMPUTED_VALUE"""),"未経験_研修・資格_エンジニア系_首都圏")</f>
        <v>未経験_研修・資格_エンジニア系_首都圏</v>
      </c>
      <c r="I175" s="13"/>
      <c r="J175" s="7"/>
      <c r="K175" s="7" t="str">
        <f t="array" ref="K175">IFERROR(XLOOKUP(H175, 'リスト'!$C:$C, 'リスト'!$M:$M, ""), "")</f>
        <v>R</v>
      </c>
      <c r="L175" s="7" t="str">
        <f t="array" ref="L175">IFERROR(XLOOKUP(H175, 'リスト'!$C:$C, 'リスト'!$N:$N, ""), "")</f>
        <v/>
      </c>
      <c r="M175" s="10"/>
      <c r="N175" s="13"/>
      <c r="O175" s="7"/>
      <c r="P175" s="7" t="str">
        <f t="array" ref="P175">IFERROR(XLOOKUP(M175, 'リスト'!$C:$C, 'リスト'!$M:$M, ""), "")</f>
        <v/>
      </c>
      <c r="Q175" s="7" t="str">
        <f t="array" ref="Q175">IFERROR(XLOOKUP(M175, 'リスト'!$C:$C, 'リスト'!$N:$N, ""), "")</f>
        <v/>
      </c>
      <c r="R175" s="10" t="str">
        <f>IFERROR(__xludf.DUMMYFUNCTION("""COMPUTED_VALUE"""),"経験_営業")</f>
        <v>経験_営業</v>
      </c>
      <c r="S175" s="13"/>
      <c r="T175" s="7"/>
      <c r="U175" s="7" t="str">
        <f t="array" ref="U175">IFERROR(XLOOKUP(R175, 'リスト'!$C:$C, 'リスト'!$M:$M, ""), "")</f>
        <v>R</v>
      </c>
      <c r="V175" s="7" t="str">
        <f t="array" ref="V175">IFERROR(XLOOKUP(R175, 'リスト'!$C:$C, 'リスト'!$N:$N, ""), "")</f>
        <v/>
      </c>
      <c r="W175" s="10"/>
      <c r="X175" s="13"/>
      <c r="Y175" s="7"/>
      <c r="Z175" s="7" t="str">
        <f t="array" ref="Z175">IFERROR(XLOOKUP(W175, 'リスト'!$C:$C, 'リスト'!$M:$M, ""), "")</f>
        <v/>
      </c>
      <c r="AA175" s="7" t="str">
        <f t="array" ref="AA175">IFERROR(XLOOKUP(W175, 'リスト'!$C:$C, 'リスト'!$N:$N, ""), "")</f>
        <v/>
      </c>
      <c r="AB175" s="10" t="str">
        <f>IFERROR(__xludf.DUMMYFUNCTION("""COMPUTED_VALUE"""),"ランキング_販サ（フロント）_希望")</f>
        <v>ランキング_販サ（フロント）_希望</v>
      </c>
      <c r="AC175" s="13"/>
      <c r="AD175" s="7"/>
      <c r="AE175" s="7" t="str">
        <f t="array" ref="AE175">IFERROR(XLOOKUP(AB175, 'リスト'!$C:$C, 'リスト'!$M:$M, ""), "")</f>
        <v>R</v>
      </c>
      <c r="AF175" s="7" t="str">
        <f t="array" ref="AF175">IFERROR(XLOOKUP(AB175, 'リスト'!$C:$C, 'リスト'!$N:$N, ""), "")</f>
        <v/>
      </c>
      <c r="AG175" s="10" t="str">
        <f>IFERROR(__xludf.DUMMYFUNCTION("""COMPUTED_VALUE"""),"全国_超好条件_事務")</f>
        <v>全国_超好条件_事務</v>
      </c>
      <c r="AH175" s="13"/>
      <c r="AI175" s="7"/>
      <c r="AJ175" s="7" t="str">
        <f t="array" ref="AJ175">IFERROR(XLOOKUP(AG175, 'リスト'!$C:$C, 'リスト'!$M:$M, ""), "")</f>
        <v>R</v>
      </c>
      <c r="AK175" s="7" t="str">
        <f t="array" ref="AK175">IFERROR(XLOOKUP(AG175, 'リスト'!$C:$C, 'リスト'!$N:$N, ""), "")</f>
        <v/>
      </c>
    </row>
    <row r="176" ht="17.25" customHeight="1">
      <c r="A176" s="8"/>
      <c r="B176" s="9"/>
      <c r="C176" s="14" t="str">
        <f>IFERROR(__xludf.DUMMYFUNCTION("""COMPUTED_VALUE"""),"フルリモート_全国_エンジニア")</f>
        <v>フルリモート_全国_エンジニア</v>
      </c>
      <c r="D176" s="15"/>
      <c r="E176" s="7"/>
      <c r="F176" s="7" t="str">
        <f t="array" ref="F176">IFERROR(XLOOKUP(C176, 'リスト'!$C:$C, 'リスト'!$M:$M, ""), "")</f>
        <v>R</v>
      </c>
      <c r="G176" s="7" t="str">
        <f t="array" ref="G176">IFERROR(XLOOKUP(C176, 'リスト'!$C:$C, 'リスト'!$N:$N, ""), "")</f>
        <v/>
      </c>
      <c r="H176" s="14" t="str">
        <f>IFERROR(__xludf.DUMMYFUNCTION("""COMPUTED_VALUE"""),"六本木勤務")</f>
        <v>六本木勤務</v>
      </c>
      <c r="I176" s="15"/>
      <c r="J176" s="7"/>
      <c r="K176" s="7" t="str">
        <f t="array" ref="K176">IFERROR(XLOOKUP(H176, 'リスト'!$C:$C, 'リスト'!$M:$M, ""), "")</f>
        <v>R</v>
      </c>
      <c r="L176" s="7" t="str">
        <f t="array" ref="L176">IFERROR(XLOOKUP(H176, 'リスト'!$C:$C, 'リスト'!$N:$N, ""), "")</f>
        <v/>
      </c>
      <c r="M176" s="14"/>
      <c r="N176" s="15"/>
      <c r="O176" s="7"/>
      <c r="P176" s="7" t="str">
        <f t="array" ref="P176">IFERROR(XLOOKUP(M176, 'リスト'!$C:$C, 'リスト'!$M:$M, ""), "")</f>
        <v/>
      </c>
      <c r="Q176" s="7" t="str">
        <f t="array" ref="Q176">IFERROR(XLOOKUP(M176, 'リスト'!$C:$C, 'リスト'!$N:$N, ""), "")</f>
        <v/>
      </c>
      <c r="R176" s="14"/>
      <c r="S176" s="15"/>
      <c r="T176" s="7"/>
      <c r="U176" s="7" t="str">
        <f t="array" ref="U176">IFERROR(XLOOKUP(R176, 'リスト'!$C:$C, 'リスト'!$M:$M, ""), "")</f>
        <v/>
      </c>
      <c r="V176" s="7" t="str">
        <f t="array" ref="V176">IFERROR(XLOOKUP(R176, 'リスト'!$C:$C, 'リスト'!$N:$N, ""), "")</f>
        <v/>
      </c>
      <c r="W176" s="14"/>
      <c r="X176" s="15"/>
      <c r="Y176" s="7"/>
      <c r="Z176" s="7" t="str">
        <f t="array" ref="Z176">IFERROR(XLOOKUP(W176, 'リスト'!$C:$C, 'リスト'!$M:$M, ""), "")</f>
        <v/>
      </c>
      <c r="AA176" s="7" t="str">
        <f t="array" ref="AA176">IFERROR(XLOOKUP(W176, 'リスト'!$C:$C, 'リスト'!$N:$N, ""), "")</f>
        <v/>
      </c>
      <c r="AB176" s="14" t="str">
        <f>IFERROR(__xludf.DUMMYFUNCTION("""COMPUTED_VALUE"""),"上場_営業経験")</f>
        <v>上場_営業経験</v>
      </c>
      <c r="AC176" s="15"/>
      <c r="AD176" s="7"/>
      <c r="AE176" s="7" t="str">
        <f t="array" ref="AE176">IFERROR(XLOOKUP(AB176, 'リスト'!$C:$C, 'リスト'!$M:$M, ""), "")</f>
        <v>R</v>
      </c>
      <c r="AF176" s="7" t="str">
        <f t="array" ref="AF176">IFERROR(XLOOKUP(AB176, 'リスト'!$C:$C, 'リスト'!$N:$N, ""), "")</f>
        <v/>
      </c>
      <c r="AG176" s="14" t="str">
        <f>IFERROR(__xludf.DUMMYFUNCTION("""COMPUTED_VALUE"""),"超好条件_エンジニア")</f>
        <v>超好条件_エンジニア</v>
      </c>
      <c r="AH176" s="15"/>
      <c r="AI176" s="7"/>
      <c r="AJ176" s="7" t="str">
        <f t="array" ref="AJ176">IFERROR(XLOOKUP(AG176, 'リスト'!$C:$C, 'リスト'!$M:$M, ""), "")</f>
        <v>部</v>
      </c>
      <c r="AK176" s="7" t="str">
        <f t="array" ref="AK176">IFERROR(XLOOKUP(AG176, 'リスト'!$C:$C, 'リスト'!$N:$N, ""), "")</f>
        <v>石</v>
      </c>
    </row>
    <row r="177" ht="17.25" customHeight="1">
      <c r="A177" s="8"/>
      <c r="B177" s="9"/>
      <c r="C177" s="14" t="str">
        <f>IFERROR(__xludf.DUMMYFUNCTION("""COMPUTED_VALUE"""),"フルリモート_全国_営業")</f>
        <v>フルリモート_全国_営業</v>
      </c>
      <c r="D177" s="13"/>
      <c r="E177" s="7"/>
      <c r="F177" s="7"/>
      <c r="G177" s="7"/>
      <c r="H177" s="14"/>
      <c r="I177" s="13"/>
      <c r="J177" s="7"/>
      <c r="K177" s="7"/>
      <c r="L177" s="7"/>
      <c r="M177" s="14"/>
      <c r="N177" s="13"/>
      <c r="O177" s="7"/>
      <c r="P177" s="7"/>
      <c r="Q177" s="7"/>
      <c r="R177" s="14"/>
      <c r="S177" s="13"/>
      <c r="T177" s="7"/>
      <c r="U177" s="7"/>
      <c r="V177" s="7"/>
      <c r="W177" s="14"/>
      <c r="X177" s="13"/>
      <c r="Y177" s="7"/>
      <c r="Z177" s="7"/>
      <c r="AA177" s="7"/>
      <c r="AB177" s="14" t="str">
        <f>IFERROR(__xludf.DUMMYFUNCTION("""COMPUTED_VALUE"""),"上場_事務経験")</f>
        <v>上場_事務経験</v>
      </c>
      <c r="AC177" s="13"/>
      <c r="AD177" s="7"/>
      <c r="AE177" s="7"/>
      <c r="AF177" s="7"/>
      <c r="AG177" s="14"/>
      <c r="AH177" s="13"/>
      <c r="AI177" s="7"/>
      <c r="AJ177" s="7"/>
      <c r="AK177" s="7"/>
    </row>
    <row r="178" ht="17.25" customHeight="1">
      <c r="A178" s="8"/>
      <c r="B178" s="9"/>
      <c r="C178" s="14" t="str">
        <f>IFERROR(__xludf.DUMMYFUNCTION("""COMPUTED_VALUE"""),"フルリモート_全国_事務")</f>
        <v>フルリモート_全国_事務</v>
      </c>
      <c r="D178" s="13"/>
      <c r="E178" s="7"/>
      <c r="F178" s="7"/>
      <c r="G178" s="7"/>
      <c r="H178" s="14"/>
      <c r="I178" s="13"/>
      <c r="J178" s="7"/>
      <c r="K178" s="7"/>
      <c r="L178" s="7"/>
      <c r="M178" s="14"/>
      <c r="N178" s="13"/>
      <c r="O178" s="7"/>
      <c r="P178" s="7"/>
      <c r="Q178" s="7"/>
      <c r="R178" s="14"/>
      <c r="S178" s="13"/>
      <c r="T178" s="7"/>
      <c r="U178" s="7"/>
      <c r="V178" s="7"/>
      <c r="W178" s="14"/>
      <c r="X178" s="13"/>
      <c r="Y178" s="7"/>
      <c r="Z178" s="7"/>
      <c r="AA178" s="7"/>
      <c r="AB178" s="14" t="str">
        <f>IFERROR(__xludf.DUMMYFUNCTION("""COMPUTED_VALUE"""),"上場_販サ経験")</f>
        <v>上場_販サ経験</v>
      </c>
      <c r="AC178" s="13"/>
      <c r="AD178" s="7"/>
      <c r="AE178" s="7"/>
      <c r="AF178" s="7"/>
      <c r="AG178" s="14"/>
      <c r="AH178" s="13"/>
      <c r="AI178" s="7"/>
      <c r="AJ178" s="7"/>
      <c r="AK178" s="7"/>
    </row>
    <row r="179" ht="17.25" customHeight="1">
      <c r="A179" s="8"/>
      <c r="B179" s="9"/>
      <c r="C179" s="14" t="str">
        <f>IFERROR(__xludf.DUMMYFUNCTION("""COMPUTED_VALUE"""),"未経験_研修・資格_事務系_関西")</f>
        <v>未経験_研修・資格_事務系_関西</v>
      </c>
      <c r="D179" s="13"/>
      <c r="E179" s="7"/>
      <c r="F179" s="7"/>
      <c r="G179" s="7"/>
      <c r="H179" s="14"/>
      <c r="I179" s="13"/>
      <c r="J179" s="7"/>
      <c r="K179" s="7"/>
      <c r="L179" s="7"/>
      <c r="M179" s="14"/>
      <c r="N179" s="13"/>
      <c r="O179" s="7"/>
      <c r="P179" s="7"/>
      <c r="Q179" s="7"/>
      <c r="R179" s="14"/>
      <c r="S179" s="13"/>
      <c r="T179" s="7"/>
      <c r="U179" s="7"/>
      <c r="V179" s="7"/>
      <c r="W179" s="14"/>
      <c r="X179" s="13"/>
      <c r="Y179" s="7"/>
      <c r="Z179" s="7"/>
      <c r="AA179" s="7"/>
      <c r="AB179" s="14"/>
      <c r="AC179" s="13"/>
      <c r="AD179" s="7"/>
      <c r="AE179" s="7"/>
      <c r="AF179" s="7"/>
      <c r="AG179" s="14"/>
      <c r="AH179" s="13"/>
      <c r="AI179" s="7"/>
      <c r="AJ179" s="7"/>
      <c r="AK179" s="7"/>
    </row>
    <row r="180" ht="17.25" customHeight="1">
      <c r="A180" s="8"/>
      <c r="B180" s="9"/>
      <c r="C180" s="14" t="str">
        <f>IFERROR(__xludf.DUMMYFUNCTION("""COMPUTED_VALUE"""),"未経験_研修・資格_事務系_首都圏")</f>
        <v>未経験_研修・資格_事務系_首都圏</v>
      </c>
      <c r="D180" s="13"/>
      <c r="E180" s="7"/>
      <c r="F180" s="7"/>
      <c r="G180" s="7"/>
      <c r="H180" s="14"/>
      <c r="I180" s="13"/>
      <c r="J180" s="7"/>
      <c r="K180" s="7"/>
      <c r="L180" s="7"/>
      <c r="M180" s="14"/>
      <c r="N180" s="13"/>
      <c r="O180" s="7"/>
      <c r="P180" s="7"/>
      <c r="Q180" s="7"/>
      <c r="R180" s="14"/>
      <c r="S180" s="13"/>
      <c r="T180" s="7"/>
      <c r="U180" s="7"/>
      <c r="V180" s="7"/>
      <c r="W180" s="14"/>
      <c r="X180" s="13"/>
      <c r="Y180" s="7"/>
      <c r="Z180" s="7"/>
      <c r="AA180" s="7"/>
      <c r="AB180" s="14"/>
      <c r="AC180" s="13"/>
      <c r="AD180" s="7"/>
      <c r="AE180" s="7"/>
      <c r="AF180" s="7"/>
      <c r="AG180" s="14"/>
      <c r="AH180" s="13"/>
      <c r="AI180" s="7"/>
      <c r="AJ180" s="7"/>
      <c r="AK180" s="7"/>
    </row>
    <row r="181" ht="17.25" customHeight="1">
      <c r="A181" s="8"/>
      <c r="B181" s="9" t="s">
        <v>6</v>
      </c>
      <c r="C181" s="10" t="str">
        <f>IFERROR(__xludf.DUMMYFUNCTION("iferror(FILTER('新規'!$C:$C, ('新規'!$A:$A = C$1) * ('新規'!$B:$B = $A173)))"),"")</f>
        <v/>
      </c>
      <c r="D181" s="11" t="str">
        <f>IFERROR(__xludf.DUMMYFUNCTION("IFERROR(FILTER('新規'!$D$2:$D$400, ('新規'!$A$2:$A$400 = CHOOSE(WEEKDAY(C$1), ""日"", ""月"", ""火"", ""水"", ""木"", ""金"", ""土"")) * ('新規'!$B$2:$B$400 = $A$3) * ('新規'!$O$2:$O$400 = FALSE)), """")"),"")</f>
        <v/>
      </c>
      <c r="E181" s="7"/>
      <c r="F181" s="7" t="str">
        <f>IFERROR(__xludf.DUMMYFUNCTION("IFERROR(FILTER('新規'!$M$2:$M$400, ('新規'!$A$2:$A$400 = CHOOSE(WEEKDAY(C$1), ""日"", ""月"", ""火"", ""水"", ""木"", ""金"", ""土"")) * ('新規'!$B$2:$B$400 = $A$3) * ('新規'!$O$2:$O$400 = FALSE)), """")"),"")</f>
        <v/>
      </c>
      <c r="G181" s="7" t="str">
        <f>IFERROR(__xludf.DUMMYFUNCTION("IFERROR(FILTER('新規'!$N$2:$N$400, ('新規'!$A$2:$A$400 = CHOOSE(WEEKDAY(C$1), ""日"", ""月"", ""火"", ""水"", ""木"", ""金"", ""土"")) * ('新規'!$B$2:$B$400 = $A$3) * ('新規'!$O$2:$O$400 = FALSE)), """")"),"")</f>
        <v/>
      </c>
      <c r="H181" s="10" t="str">
        <f>IFERROR(__xludf.DUMMYFUNCTION("iferror(FILTER('新規'!$C:$C, ('新規'!$A:$A = H$1) * ('新規'!$B:$B = $A173)))"),"アプリ人気")</f>
        <v>アプリ人気</v>
      </c>
      <c r="I181" s="11" t="str">
        <f>IFERROR(__xludf.DUMMYFUNCTION("IFERROR(FILTER('新規'!$D$2:$D$400, ('新規'!$A$2:$A$400 = CHOOSE(WEEKDAY(H$1), ""日"", ""月"", ""火"", ""水"", ""木"", ""金"", ""土"")) * ('新規'!$B$2:$B$400 = $A$3) * ('新規'!$O$2:$O$400 = FALSE)), """")"),"")</f>
        <v/>
      </c>
      <c r="J181" s="7"/>
      <c r="K181" s="7" t="str">
        <f>IFERROR(__xludf.DUMMYFUNCTION("IFERROR(FILTER('新規'!$M$2:$M$400, ('新規'!$A$2:$A$400 = CHOOSE(WEEKDAY(H$1), ""日"", ""月"", ""火"", ""水"", ""木"", ""金"", ""土"")) * ('新規'!$B$2:$B$400 = $A$3) * ('新規'!$O$2:$O$400 = FALSE)), """")"),"")</f>
        <v/>
      </c>
      <c r="L181" s="7" t="str">
        <f>IFERROR(__xludf.DUMMYFUNCTION("IFERROR(FILTER('新規'!$N$2:$N$400, ('新規'!$A$2:$A$400 = CHOOSE(WEEKDAY(H$1), ""日"", ""月"", ""火"", ""水"", ""木"", ""金"", ""土"")) * ('新規'!$B$2:$B$400 = $A$3) * ('新規'!$O$2:$O$400 = FALSE)), """")"),"")</f>
        <v/>
      </c>
      <c r="M181" s="10" t="str">
        <f>IFERROR(__xludf.DUMMYFUNCTION("iferror(FILTER('新規'!$C:$C, ('新規'!$A:$A = M$1) * ('新規'!$B:$B = $A173)))"),"フルリモートランキング_新規30日以降")</f>
        <v>フルリモートランキング_新規30日以降</v>
      </c>
      <c r="N181" s="11" t="str">
        <f>IFERROR(__xludf.DUMMYFUNCTION("IFERROR(FILTER('新規'!$D$2:$D$400, ('新規'!$A$2:$A$400 = CHOOSE(WEEKDAY(M$1), ""日"", ""月"", ""火"", ""水"", ""木"", ""金"", ""土"")) * ('新規'!$B$2:$B$400 = $A$3) * ('新規'!$O$2:$O$400 = FALSE)), """")"),"")</f>
        <v/>
      </c>
      <c r="O181" s="7"/>
      <c r="P181" s="7" t="str">
        <f>IFERROR(__xludf.DUMMYFUNCTION("IFERROR(FILTER('新規'!$M$2:$M$400, ('新規'!$A$2:$A$400 = CHOOSE(WEEKDAY(M$1), ""日"", ""月"", ""火"", ""水"", ""木"", ""金"", ""土"")) * ('新規'!$B$2:$B$400 = $A$3) * ('新規'!$O$2:$O$400 = FALSE)), """")"),"")</f>
        <v/>
      </c>
      <c r="Q181" s="7" t="str">
        <f>IFERROR(__xludf.DUMMYFUNCTION("IFERROR(FILTER('新規'!$N$2:$N$400, ('新規'!$A$2:$A$400 = CHOOSE(WEEKDAY(M$1), ""日"", ""月"", ""火"", ""水"", ""木"", ""金"", ""土"")) * ('新規'!$B$2:$B$400 = $A$3) * ('新規'!$O$2:$O$400 = FALSE)), """")"),"")</f>
        <v/>
      </c>
      <c r="R181" s="10" t="str">
        <f>IFERROR(__xludf.DUMMYFUNCTION("iferror(FILTER('新規'!$C:$C, ('新規'!$A:$A = R$1) * ('新規'!$B:$B = $A173)))"),"内定まで最短")</f>
        <v>内定まで最短</v>
      </c>
      <c r="S181" s="11" t="str">
        <f>IFERROR(__xludf.DUMMYFUNCTION("IFERROR(FILTER('新規'!$D$2:$D$400, ('新規'!$A$2:$A$400 = CHOOSE(WEEKDAY(R$1), ""日"", ""月"", ""火"", ""水"", ""木"", ""金"", ""土"")) * ('新規'!$B$2:$B$400 = $A$3) * ('新規'!$O$2:$O$400 = FALSE)), """")"),"")</f>
        <v/>
      </c>
      <c r="T181" s="7"/>
      <c r="U181" s="7" t="str">
        <f>IFERROR(__xludf.DUMMYFUNCTION("IFERROR(FILTER('新規'!$M$2:$M$400, ('新規'!$A$2:$A$400 = CHOOSE(WEEKDAY(R$1), ""日"", ""月"", ""火"", ""水"", ""木"", ""金"", ""土"")) * ('新規'!$B$2:$B$400 = $A$3) * ('新規'!$O$2:$O$400 = FALSE)), """")"),"")</f>
        <v/>
      </c>
      <c r="V181" s="7" t="str">
        <f>IFERROR(__xludf.DUMMYFUNCTION("IFERROR(FILTER('新規'!$N$2:$N$400, ('新規'!$A$2:$A$400 = CHOOSE(WEEKDAY(R$1), ""日"", ""月"", ""火"", ""水"", ""木"", ""金"", ""土"")) * ('新規'!$B$2:$B$400 = $A$3) * ('新規'!$O$2:$O$400 = FALSE)), """")"),"")</f>
        <v/>
      </c>
      <c r="W181" s="10" t="str">
        <f>IFERROR(__xludf.DUMMYFUNCTION("iferror(FILTER('新規'!$C:$C, ('新規'!$A:$A = W$1) * ('新規'!$B:$B = $A173)))"),"")</f>
        <v/>
      </c>
      <c r="X181" s="11" t="str">
        <f>IFERROR(__xludf.DUMMYFUNCTION("IFERROR(FILTER('新規'!$D$2:$D$400, ('新規'!$A$2:$A$400 = CHOOSE(WEEKDAY(W$1), ""日"", ""月"", ""火"", ""水"", ""木"", ""金"", ""土"")) * ('新規'!$B$2:$B$400 = $A$3) * ('新規'!$O$2:$O$400 = FALSE)), """")"),"")</f>
        <v/>
      </c>
      <c r="Y181" s="7"/>
      <c r="Z181" s="7" t="str">
        <f>IFERROR(__xludf.DUMMYFUNCTION("IFERROR(FILTER('新規'!$M$2:$M$400, ('新規'!$A$2:$A$400 = CHOOSE(WEEKDAY(W$1), ""日"", ""月"", ""火"", ""水"", ""木"", ""金"", ""土"")) * ('新規'!$B$2:$B$400 = $A$3) * ('新規'!$O$2:$O$400 = FALSE)), """")"),"")</f>
        <v/>
      </c>
      <c r="AA181" s="7" t="str">
        <f>IFERROR(__xludf.DUMMYFUNCTION("IFERROR(FILTER('新規'!$N$2:$N$400, ('新規'!$A$2:$A$400 = CHOOSE(WEEKDAY(W$1), ""日"", ""月"", ""火"", ""水"", ""木"", ""金"", ""土"")) * ('新規'!$B$2:$B$400 = $A$3) * ('新規'!$O$2:$O$400 = FALSE)), """")"),"")</f>
        <v/>
      </c>
      <c r="AB181" s="10" t="str">
        <f>IFERROR(__xludf.DUMMYFUNCTION("iferror(FILTER('新規'!$C:$C, ('新規'!$A:$A = AB$1) * ('新規'!$B:$B = $A173)))"),"")</f>
        <v/>
      </c>
      <c r="AC181" s="11" t="str">
        <f>IFERROR(__xludf.DUMMYFUNCTION("IFERROR(FILTER('新規'!$D$2:$D$400, ('新規'!$A$2:$A$400 = CHOOSE(WEEKDAY(AB$1), ""日"", ""月"", ""火"", ""水"", ""木"", ""金"", ""土"")) * ('新規'!$B$2:$B$400 = $A$3) * ('新規'!$O$2:$O$400 = FALSE)), """")"),"")</f>
        <v/>
      </c>
      <c r="AD181" s="7"/>
      <c r="AE181" s="7" t="str">
        <f>IFERROR(__xludf.DUMMYFUNCTION("IFERROR(FILTER('新規'!$M$2:$M$400, ('新規'!$A$2:$A$400 = CHOOSE(WEEKDAY(AB$1), ""日"", ""月"", ""火"", ""水"", ""木"", ""金"", ""土"")) * ('新規'!$B$2:$B$400 = $A$3) * ('新規'!$O$2:$O$400 = FALSE)), """")"),"")</f>
        <v/>
      </c>
      <c r="AF181" s="7" t="str">
        <f>IFERROR(__xludf.DUMMYFUNCTION("IFERROR(FILTER('新規'!$N$2:$N$400, ('新規'!$A$2:$A$400 = CHOOSE(WEEKDAY(AB$1), ""日"", ""月"", ""火"", ""水"", ""木"", ""金"", ""土"")) * ('新規'!$B$2:$B$400 = $A$3) * ('新規'!$O$2:$O$400 = FALSE)), """")"),"")</f>
        <v/>
      </c>
      <c r="AG181" s="10" t="str">
        <f>IFERROR(__xludf.DUMMYFUNCTION("iferror(FILTER('新規'!$C:$C, ('新規'!$A:$A = AG$1) * ('新規'!$B:$B = $A173)))"),"")</f>
        <v/>
      </c>
      <c r="AH181" s="11" t="str">
        <f>IFERROR(__xludf.DUMMYFUNCTION("IFERROR(FILTER('新規'!$D$2:$D$400, ('新規'!$A$2:$A$400 = CHOOSE(WEEKDAY(AG$1), ""日"", ""月"", ""火"", ""水"", ""木"", ""金"", ""土"")) * ('新規'!$B$2:$B$400 = $A$3) * ('新規'!$O$2:$O$400 = FALSE)), """")"),"")</f>
        <v/>
      </c>
      <c r="AI181" s="7"/>
      <c r="AJ181" s="7" t="str">
        <f>IFERROR(__xludf.DUMMYFUNCTION("IFERROR(FILTER('新規'!$M$2:$M$400, ('新規'!$A$2:$A$400 = CHOOSE(WEEKDAY(AG$1), ""日"", ""月"", ""火"", ""水"", ""木"", ""金"", ""土"")) * ('新規'!$B$2:$B$400 = $A$3) * ('新規'!$O$2:$O$400 = FALSE)), """")"),"")</f>
        <v/>
      </c>
      <c r="AK181" s="7" t="str">
        <f>IFERROR(__xludf.DUMMYFUNCTION("IFERROR(FILTER('新規'!$N$2:$N$400, ('新規'!$A$2:$A$400 = CHOOSE(WEEKDAY(AG$1), ""日"", ""月"", ""火"", ""水"", ""木"", ""金"", ""土"")) * ('新規'!$B$2:$B$400 = $A$3) * ('新規'!$O$2:$O$400 = FALSE)), """")"),"")</f>
        <v/>
      </c>
    </row>
    <row r="182" ht="17.25" customHeight="1">
      <c r="A182" s="8"/>
      <c r="B182" s="9"/>
      <c r="C182" s="17"/>
      <c r="D182" s="7"/>
      <c r="E182" s="7"/>
      <c r="F182" s="7" t="str">
        <f t="array" ref="F182">IFERROR(XLOOKUP(C182, 'リスト'!$C:$C, 'リスト'!$M:$M, ""), "")</f>
        <v/>
      </c>
      <c r="G182" s="7" t="str">
        <f t="array" ref="G182">IFERROR(XLOOKUP(C182, 'リスト'!$C:$C, 'リスト'!$N:$N, ""), "")</f>
        <v/>
      </c>
      <c r="H182" s="17"/>
      <c r="I182" s="7"/>
      <c r="J182" s="7"/>
      <c r="K182" s="7" t="str">
        <f t="array" ref="K182">IFERROR(XLOOKUP(H182, 'リスト'!$C:$C, 'リスト'!$M:$M, ""), "")</f>
        <v/>
      </c>
      <c r="L182" s="7" t="str">
        <f t="array" ref="L182">IFERROR(XLOOKUP(H182, 'リスト'!$C:$C, 'リスト'!$N:$N, ""), "")</f>
        <v/>
      </c>
      <c r="M182" s="17"/>
      <c r="N182" s="7"/>
      <c r="O182" s="7"/>
      <c r="P182" s="7" t="str">
        <f t="array" ref="P182">IFERROR(XLOOKUP(M182, 'リスト'!$C:$C, 'リスト'!$M:$M, ""), "")</f>
        <v/>
      </c>
      <c r="Q182" s="7" t="str">
        <f t="array" ref="Q182">IFERROR(XLOOKUP(M182, 'リスト'!$C:$C, 'リスト'!$N:$N, ""), "")</f>
        <v/>
      </c>
      <c r="R182" s="17"/>
      <c r="S182" s="7"/>
      <c r="T182" s="7"/>
      <c r="U182" s="7" t="str">
        <f t="array" ref="U182">IFERROR(XLOOKUP(R182, 'リスト'!$C:$C, 'リスト'!$M:$M, ""), "")</f>
        <v/>
      </c>
      <c r="V182" s="7" t="str">
        <f t="array" ref="V182">IFERROR(XLOOKUP(R182, 'リスト'!$C:$C, 'リスト'!$N:$N, ""), "")</f>
        <v/>
      </c>
      <c r="W182" s="17"/>
      <c r="X182" s="7"/>
      <c r="Y182" s="7"/>
      <c r="Z182" s="7" t="str">
        <f t="array" ref="Z182">IFERROR(XLOOKUP(W182, 'リスト'!$C:$C, 'リスト'!$M:$M, ""), "")</f>
        <v/>
      </c>
      <c r="AA182" s="7" t="str">
        <f t="array" ref="AA182">IFERROR(XLOOKUP(W182, 'リスト'!$C:$C, 'リスト'!$N:$N, ""), "")</f>
        <v/>
      </c>
      <c r="AB182" s="17"/>
      <c r="AC182" s="7"/>
      <c r="AD182" s="7"/>
      <c r="AE182" s="7" t="str">
        <f t="array" ref="AE182">IFERROR(XLOOKUP(AB182, 'リスト'!$C:$C, 'リスト'!$M:$M, ""), "")</f>
        <v/>
      </c>
      <c r="AF182" s="7" t="str">
        <f t="array" ref="AF182">IFERROR(XLOOKUP(AB182, 'リスト'!$C:$C, 'リスト'!$N:$N, ""), "")</f>
        <v/>
      </c>
      <c r="AG182" s="17"/>
      <c r="AH182" s="7"/>
      <c r="AI182" s="7"/>
      <c r="AJ182" s="7" t="str">
        <f t="array" ref="AJ182">IFERROR(XLOOKUP(AG182, 'リスト'!$C:$C, 'リスト'!$M:$M, ""), "")</f>
        <v/>
      </c>
      <c r="AK182" s="7" t="str">
        <f t="array" ref="AK182">IFERROR(XLOOKUP(AG182, 'リスト'!$C:$C, 'リスト'!$N:$N, ""), "")</f>
        <v/>
      </c>
    </row>
    <row r="183" ht="17.25" customHeight="1">
      <c r="A183" s="8"/>
      <c r="B183" s="9"/>
      <c r="C183" s="17"/>
      <c r="D183" s="7"/>
      <c r="E183" s="7"/>
      <c r="F183" s="7" t="str">
        <f t="array" ref="F183">IFERROR(XLOOKUP(C183, 'リスト'!$C:$C, 'リスト'!$M:$M, ""), "")</f>
        <v/>
      </c>
      <c r="G183" s="7" t="str">
        <f t="array" ref="G183">IFERROR(XLOOKUP(C183, 'リスト'!$C:$C, 'リスト'!$N:$N, ""), "")</f>
        <v/>
      </c>
      <c r="H183" s="17"/>
      <c r="I183" s="7"/>
      <c r="J183" s="7"/>
      <c r="K183" s="7" t="str">
        <f t="array" ref="K183">IFERROR(XLOOKUP(H183, 'リスト'!$C:$C, 'リスト'!$M:$M, ""), "")</f>
        <v/>
      </c>
      <c r="L183" s="7" t="str">
        <f t="array" ref="L183">IFERROR(XLOOKUP(H183, 'リスト'!$C:$C, 'リスト'!$N:$N, ""), "")</f>
        <v/>
      </c>
      <c r="M183" s="17"/>
      <c r="N183" s="7"/>
      <c r="O183" s="7"/>
      <c r="P183" s="7" t="str">
        <f t="array" ref="P183">IFERROR(XLOOKUP(M183, 'リスト'!$C:$C, 'リスト'!$M:$M, ""), "")</f>
        <v/>
      </c>
      <c r="Q183" s="7" t="str">
        <f t="array" ref="Q183">IFERROR(XLOOKUP(M183, 'リスト'!$C:$C, 'リスト'!$N:$N, ""), "")</f>
        <v/>
      </c>
      <c r="R183" s="17"/>
      <c r="S183" s="7"/>
      <c r="T183" s="7"/>
      <c r="U183" s="7" t="str">
        <f t="array" ref="U183">IFERROR(XLOOKUP(R183, 'リスト'!$C:$C, 'リスト'!$M:$M, ""), "")</f>
        <v/>
      </c>
      <c r="V183" s="7" t="str">
        <f t="array" ref="V183">IFERROR(XLOOKUP(R183, 'リスト'!$C:$C, 'リスト'!$N:$N, ""), "")</f>
        <v/>
      </c>
      <c r="W183" s="17"/>
      <c r="X183" s="7"/>
      <c r="Y183" s="7"/>
      <c r="Z183" s="7" t="str">
        <f t="array" ref="Z183">IFERROR(XLOOKUP(W183, 'リスト'!$C:$C, 'リスト'!$M:$M, ""), "")</f>
        <v/>
      </c>
      <c r="AA183" s="7" t="str">
        <f t="array" ref="AA183">IFERROR(XLOOKUP(W183, 'リスト'!$C:$C, 'リスト'!$N:$N, ""), "")</f>
        <v/>
      </c>
      <c r="AB183" s="17"/>
      <c r="AC183" s="7"/>
      <c r="AD183" s="7"/>
      <c r="AE183" s="7" t="str">
        <f t="array" ref="AE183">IFERROR(XLOOKUP(AB183, 'リスト'!$C:$C, 'リスト'!$M:$M, ""), "")</f>
        <v/>
      </c>
      <c r="AF183" s="7" t="str">
        <f t="array" ref="AF183">IFERROR(XLOOKUP(AB183, 'リスト'!$C:$C, 'リスト'!$N:$N, ""), "")</f>
        <v/>
      </c>
      <c r="AG183" s="17"/>
      <c r="AH183" s="7"/>
      <c r="AI183" s="7"/>
      <c r="AJ183" s="7" t="str">
        <f t="array" ref="AJ183">IFERROR(XLOOKUP(AG183, 'リスト'!$C:$C, 'リスト'!$M:$M, ""), "")</f>
        <v/>
      </c>
      <c r="AK183" s="7" t="str">
        <f t="array" ref="AK183">IFERROR(XLOOKUP(AG183, 'リスト'!$C:$C, 'リスト'!$N:$N, ""), "")</f>
        <v/>
      </c>
    </row>
    <row r="184" ht="17.25" customHeight="1">
      <c r="A184" s="8"/>
      <c r="B184" s="9"/>
      <c r="C184" s="17"/>
      <c r="D184" s="7"/>
      <c r="E184" s="7"/>
      <c r="F184" s="7" t="str">
        <f t="array" ref="F184">IFERROR(XLOOKUP(C184, 'リスト'!$C:$C, 'リスト'!$M:$M, ""), "")</f>
        <v/>
      </c>
      <c r="G184" s="7" t="str">
        <f t="array" ref="G184">IFERROR(XLOOKUP(C184, 'リスト'!$C:$C, 'リスト'!$N:$N, ""), "")</f>
        <v/>
      </c>
      <c r="H184" s="17"/>
      <c r="I184" s="7"/>
      <c r="J184" s="7"/>
      <c r="K184" s="7" t="str">
        <f t="array" ref="K184">IFERROR(XLOOKUP(H184, 'リスト'!$C:$C, 'リスト'!$M:$M, ""), "")</f>
        <v/>
      </c>
      <c r="L184" s="7" t="str">
        <f t="array" ref="L184">IFERROR(XLOOKUP(H184, 'リスト'!$C:$C, 'リスト'!$N:$N, ""), "")</f>
        <v/>
      </c>
      <c r="M184" s="17"/>
      <c r="N184" s="7"/>
      <c r="O184" s="7"/>
      <c r="P184" s="7" t="str">
        <f t="array" ref="P184">IFERROR(XLOOKUP(M184, 'リスト'!$C:$C, 'リスト'!$M:$M, ""), "")</f>
        <v/>
      </c>
      <c r="Q184" s="7" t="str">
        <f t="array" ref="Q184">IFERROR(XLOOKUP(M184, 'リスト'!$C:$C, 'リスト'!$N:$N, ""), "")</f>
        <v/>
      </c>
      <c r="R184" s="17"/>
      <c r="S184" s="7"/>
      <c r="T184" s="7"/>
      <c r="U184" s="7" t="str">
        <f t="array" ref="U184">IFERROR(XLOOKUP(R184, 'リスト'!$C:$C, 'リスト'!$M:$M, ""), "")</f>
        <v/>
      </c>
      <c r="V184" s="7" t="str">
        <f t="array" ref="V184">IFERROR(XLOOKUP(R184, 'リスト'!$C:$C, 'リスト'!$N:$N, ""), "")</f>
        <v/>
      </c>
      <c r="W184" s="17"/>
      <c r="X184" s="7"/>
      <c r="Y184" s="7"/>
      <c r="Z184" s="7" t="str">
        <f t="array" ref="Z184">IFERROR(XLOOKUP(W184, 'リスト'!$C:$C, 'リスト'!$M:$M, ""), "")</f>
        <v/>
      </c>
      <c r="AA184" s="7" t="str">
        <f t="array" ref="AA184">IFERROR(XLOOKUP(W184, 'リスト'!$C:$C, 'リスト'!$N:$N, ""), "")</f>
        <v/>
      </c>
      <c r="AB184" s="17"/>
      <c r="AC184" s="7"/>
      <c r="AD184" s="7"/>
      <c r="AE184" s="7" t="str">
        <f t="array" ref="AE184">IFERROR(XLOOKUP(AB184, 'リスト'!$C:$C, 'リスト'!$M:$M, ""), "")</f>
        <v/>
      </c>
      <c r="AF184" s="7" t="str">
        <f t="array" ref="AF184">IFERROR(XLOOKUP(AB184, 'リスト'!$C:$C, 'リスト'!$N:$N, ""), "")</f>
        <v/>
      </c>
      <c r="AG184" s="17"/>
      <c r="AH184" s="7"/>
      <c r="AI184" s="7"/>
      <c r="AJ184" s="7" t="str">
        <f t="array" ref="AJ184">IFERROR(XLOOKUP(AG184, 'リスト'!$C:$C, 'リスト'!$M:$M, ""), "")</f>
        <v/>
      </c>
      <c r="AK184" s="7" t="str">
        <f t="array" ref="AK184">IFERROR(XLOOKUP(AG184, 'リスト'!$C:$C, 'リスト'!$N:$N, ""), "")</f>
        <v/>
      </c>
    </row>
    <row r="185" ht="17.25" customHeight="1">
      <c r="A185" s="8"/>
      <c r="B185" s="9"/>
      <c r="C185" s="17"/>
      <c r="D185" s="7"/>
      <c r="E185" s="7"/>
      <c r="F185" s="7" t="str">
        <f t="array" ref="F185">IFERROR(XLOOKUP(C185, 'リスト'!$C:$C, 'リスト'!$M:$M, ""), "")</f>
        <v/>
      </c>
      <c r="G185" s="7" t="str">
        <f t="array" ref="G185">IFERROR(XLOOKUP(C185, 'リスト'!$C:$C, 'リスト'!$N:$N, ""), "")</f>
        <v/>
      </c>
      <c r="H185" s="17"/>
      <c r="I185" s="7"/>
      <c r="J185" s="7"/>
      <c r="K185" s="7" t="str">
        <f t="array" ref="K185">IFERROR(XLOOKUP(H185, 'リスト'!$C:$C, 'リスト'!$M:$M, ""), "")</f>
        <v/>
      </c>
      <c r="L185" s="7" t="str">
        <f t="array" ref="L185">IFERROR(XLOOKUP(H185, 'リスト'!$C:$C, 'リスト'!$N:$N, ""), "")</f>
        <v/>
      </c>
      <c r="M185" s="17"/>
      <c r="N185" s="7"/>
      <c r="O185" s="7"/>
      <c r="P185" s="7" t="str">
        <f t="array" ref="P185">IFERROR(XLOOKUP(M185, 'リスト'!$C:$C, 'リスト'!$M:$M, ""), "")</f>
        <v/>
      </c>
      <c r="Q185" s="7" t="str">
        <f t="array" ref="Q185">IFERROR(XLOOKUP(M185, 'リスト'!$C:$C, 'リスト'!$N:$N, ""), "")</f>
        <v/>
      </c>
      <c r="R185" s="17"/>
      <c r="S185" s="7"/>
      <c r="T185" s="7"/>
      <c r="U185" s="7" t="str">
        <f t="array" ref="U185">IFERROR(XLOOKUP(R185, 'リスト'!$C:$C, 'リスト'!$M:$M, ""), "")</f>
        <v/>
      </c>
      <c r="V185" s="7" t="str">
        <f t="array" ref="V185">IFERROR(XLOOKUP(R185, 'リスト'!$C:$C, 'リスト'!$N:$N, ""), "")</f>
        <v/>
      </c>
      <c r="W185" s="17"/>
      <c r="X185" s="7"/>
      <c r="Y185" s="7"/>
      <c r="Z185" s="7" t="str">
        <f t="array" ref="Z185">IFERROR(XLOOKUP(W185, 'リスト'!$C:$C, 'リスト'!$M:$M, ""), "")</f>
        <v/>
      </c>
      <c r="AA185" s="7" t="str">
        <f t="array" ref="AA185">IFERROR(XLOOKUP(W185, 'リスト'!$C:$C, 'リスト'!$N:$N, ""), "")</f>
        <v/>
      </c>
      <c r="AB185" s="17"/>
      <c r="AC185" s="7"/>
      <c r="AD185" s="7"/>
      <c r="AE185" s="7" t="str">
        <f t="array" ref="AE185">IFERROR(XLOOKUP(AB185, 'リスト'!$C:$C, 'リスト'!$M:$M, ""), "")</f>
        <v/>
      </c>
      <c r="AF185" s="7" t="str">
        <f t="array" ref="AF185">IFERROR(XLOOKUP(AB185, 'リスト'!$C:$C, 'リスト'!$N:$N, ""), "")</f>
        <v/>
      </c>
      <c r="AG185" s="17"/>
      <c r="AH185" s="7"/>
      <c r="AI185" s="7"/>
      <c r="AJ185" s="7" t="str">
        <f t="array" ref="AJ185">IFERROR(XLOOKUP(AG185, 'リスト'!$C:$C, 'リスト'!$M:$M, ""), "")</f>
        <v/>
      </c>
      <c r="AK185" s="7" t="str">
        <f t="array" ref="AK185">IFERROR(XLOOKUP(AG185, 'リスト'!$C:$C, 'リスト'!$N:$N, ""), "")</f>
        <v/>
      </c>
    </row>
    <row r="186" ht="17.25" customHeight="1">
      <c r="A186" s="8"/>
      <c r="B186" s="9" t="s">
        <v>7</v>
      </c>
      <c r="C186" s="10" t="str">
        <f>"◇ポジションマッチ A" &amp; MOD(INT(($C$1 - '特殊配信マスタ'!$A$1) / 7), 3) + 1</f>
        <v>◇ポジションマッチ A2</v>
      </c>
      <c r="D186" s="11" t="str">
        <f>IFERROR(__xludf.DUMMYFUNCTION("IFERROR(TEXTJOIN(CHAR(10), TRUE, FILTER('特殊配信マスタ'!$C:$E, #REF!=D$1)), """")"),"")</f>
        <v/>
      </c>
      <c r="E186" s="7" t="str">
        <f>IFERROR(__xludf.DUMMYFUNCTION("IFERROR(TEXTJOIN(CHAR(10), TRUE, FILTER('特殊配信マスタ'!$C:$E, #REF!=E$1)), """")"),"")</f>
        <v/>
      </c>
      <c r="F186" s="7" t="str">
        <f t="array" ref="F186">IFERROR(XLOOKUP(C186, INDEX('特殊配信マスタ'!$C$3:$E$8, 0, MAX(1, ROW()-14)), '特殊配信マスタ'!$M$3:$N$8, ""),"")</f>
        <v/>
      </c>
      <c r="G186" s="7"/>
      <c r="H186" s="10" t="str">
        <f>"◇ポジションマッチ A" &amp; MOD(INT(($C$1 - '特殊配信マスタ'!$A$1) / 7), 3) + 1</f>
        <v>◇ポジションマッチ A2</v>
      </c>
      <c r="I186" s="11" t="str">
        <f>IFERROR(__xludf.DUMMYFUNCTION("IFERROR(TEXTJOIN(CHAR(10), TRUE, FILTER('特殊配信マスタ'!$C:$E, #REF!=I$1)), """")"),"")</f>
        <v/>
      </c>
      <c r="J186" s="7" t="str">
        <f>IFERROR(__xludf.DUMMYFUNCTION("IFERROR(TEXTJOIN(CHAR(10), TRUE, FILTER('特殊配信マスタ'!$C:$E, #REF!=J$1)), """")"),"")</f>
        <v/>
      </c>
      <c r="K186" s="7" t="str">
        <f t="array" ref="K186">IFERROR(XLOOKUP(H186, INDEX('特殊配信マスタ'!$C$3:$E$8, 0, MAX(1, ROW()-14)), '特殊配信マスタ'!$M$3:$N$8, ""),"")</f>
        <v/>
      </c>
      <c r="L186" s="7"/>
      <c r="M186" s="10" t="str">
        <f>"◇ポジションマッチ A" &amp; MOD(INT(($C$1 - '特殊配信マスタ'!$A$1) / 7), 3) + 1</f>
        <v>◇ポジションマッチ A2</v>
      </c>
      <c r="N186" s="11" t="str">
        <f>IFERROR(__xludf.DUMMYFUNCTION("IFERROR(TEXTJOIN(CHAR(10), TRUE, FILTER('特殊配信マスタ'!$C:$E, #REF!=N$1)), """")"),"")</f>
        <v/>
      </c>
      <c r="O186" s="7" t="str">
        <f>IFERROR(__xludf.DUMMYFUNCTION("IFERROR(TEXTJOIN(CHAR(10), TRUE, FILTER('特殊配信マスタ'!$C:$E, #REF!=O$1)), """")"),"")</f>
        <v/>
      </c>
      <c r="P186" s="7" t="str">
        <f t="array" ref="P186">IFERROR(XLOOKUP(M186, INDEX('特殊配信マスタ'!$C$3:$E$8, 0, MAX(1, ROW()-14)), '特殊配信マスタ'!$M$3:$N$8, ""),"")</f>
        <v/>
      </c>
      <c r="Q186" s="7"/>
      <c r="R186" s="10" t="str">
        <f>"◇ポジションマッチ A" &amp; MOD(INT(($C$1 - '特殊配信マスタ'!$A$1) / 7), 3) + 1</f>
        <v>◇ポジションマッチ A2</v>
      </c>
      <c r="S186" s="11" t="str">
        <f>IFERROR(__xludf.DUMMYFUNCTION("IFERROR(TEXTJOIN(CHAR(10), TRUE, FILTER('特殊配信マスタ'!$C:$E, #REF!=S$1)), """")"),"")</f>
        <v/>
      </c>
      <c r="T186" s="7" t="str">
        <f>IFERROR(__xludf.DUMMYFUNCTION("IFERROR(TEXTJOIN(CHAR(10), TRUE, FILTER('特殊配信マスタ'!$C:$E, #REF!=T$1)), """")"),"")</f>
        <v/>
      </c>
      <c r="U186" s="7" t="str">
        <f t="array" ref="U186">IFERROR(XLOOKUP(R186, INDEX('特殊配信マスタ'!$C$3:$E$8, 0, MAX(1, ROW()-14)), '特殊配信マスタ'!$M$3:$N$8, ""),"")</f>
        <v/>
      </c>
      <c r="V186" s="7"/>
      <c r="W186" s="10" t="str">
        <f>"◇ポジションマッチ A" &amp; MOD(INT(($C$1 - '特殊配信マスタ'!$A$1) / 7), 3) + 1</f>
        <v>◇ポジションマッチ A2</v>
      </c>
      <c r="X186" s="11" t="str">
        <f>IFERROR(__xludf.DUMMYFUNCTION("IFERROR(TEXTJOIN(CHAR(10), TRUE, FILTER('特殊配信マスタ'!$C:$E, #REF!=X$1)), """")"),"")</f>
        <v/>
      </c>
      <c r="Y186" s="7" t="str">
        <f>IFERROR(__xludf.DUMMYFUNCTION("IFERROR(TEXTJOIN(CHAR(10), TRUE, FILTER('特殊配信マスタ'!$C:$E, #REF!=Y$1)), """")"),"")</f>
        <v/>
      </c>
      <c r="Z186" s="7" t="str">
        <f t="array" ref="Z186">IFERROR(XLOOKUP(W186, INDEX('特殊配信マスタ'!$C$3:$E$8, 0, MAX(1, ROW()-14)), '特殊配信マスタ'!$M$3:$N$8, ""),"")</f>
        <v/>
      </c>
      <c r="AA186" s="7"/>
      <c r="AB186" s="10" t="str">
        <f>"◇ポジションマッチ A" &amp; MOD(INT(($C$1 - '特殊配信マスタ'!$A$1) / 7), 3) + 1</f>
        <v>◇ポジションマッチ A2</v>
      </c>
      <c r="AC186" s="11" t="str">
        <f>IFERROR(__xludf.DUMMYFUNCTION("IFERROR(TEXTJOIN(CHAR(10), TRUE, FILTER('特殊配信マスタ'!$C:$E, #REF!=AC$1)), """")"),"")</f>
        <v/>
      </c>
      <c r="AD186" s="7" t="str">
        <f>IFERROR(__xludf.DUMMYFUNCTION("IFERROR(TEXTJOIN(CHAR(10), TRUE, FILTER('特殊配信マスタ'!$C:$E, #REF!=AD$1)), """")"),"")</f>
        <v/>
      </c>
      <c r="AE186" s="7" t="str">
        <f t="array" ref="AE186">IFERROR(XLOOKUP(AB186, INDEX('特殊配信マスタ'!$C$3:$E$8, 0, MAX(1, ROW()-14)), '特殊配信マスタ'!$M$3:$N$8, ""),"")</f>
        <v/>
      </c>
      <c r="AF186" s="7"/>
      <c r="AG186" s="10" t="str">
        <f>"◇ポジションマッチ A" &amp; MOD(INT(($C$1 - '特殊配信マスタ'!$A$1) / 7), 3) + 1</f>
        <v>◇ポジションマッチ A2</v>
      </c>
      <c r="AH186" s="11" t="str">
        <f>IFERROR(__xludf.DUMMYFUNCTION("IFERROR(TEXTJOIN(CHAR(10), TRUE, FILTER('特殊配信マスタ'!$C:$E, #REF!=AH$1)), """")"),"")</f>
        <v/>
      </c>
      <c r="AI186" s="7" t="str">
        <f>IFERROR(__xludf.DUMMYFUNCTION("IFERROR(TEXTJOIN(CHAR(10), TRUE, FILTER('特殊配信マスタ'!$C:$E, #REF!=AI$1)), """")"),"")</f>
        <v/>
      </c>
      <c r="AJ186" s="7" t="str">
        <f t="array" ref="AJ186">IFERROR(XLOOKUP(AG186, INDEX('特殊配信マスタ'!$C$3:$E$8, 0, MAX(1, ROW()-14)), '特殊配信マスタ'!$M$3:$N$8, ""),"")</f>
        <v/>
      </c>
      <c r="AK186" s="7"/>
    </row>
    <row r="187" ht="17.25" customHeight="1">
      <c r="A187" s="8"/>
      <c r="B187" s="9"/>
      <c r="C187" s="10" t="str">
        <f>"◇ポジションマッチ_36歳以上 A" &amp; MOD(INT(($C$1 - '特殊配信マスタ'!$A$1) / 7), 3) + 1</f>
        <v>◇ポジションマッチ_36歳以上 A2</v>
      </c>
      <c r="D187" s="11"/>
      <c r="E187" s="7"/>
      <c r="F187" s="7" t="str">
        <f t="array" ref="F187">IFERROR(XLOOKUP(C187, INDEX('特殊配信マスタ'!$C$3:$E$8, 0, MAX(1, ROW()-14)), '特殊配信マスタ'!$M$3:$N$8, ""),"")</f>
        <v/>
      </c>
      <c r="G187" s="7"/>
      <c r="H187" s="10" t="str">
        <f>"◇ポジションマッチ_36歳以上 A" &amp; MOD(INT(($C$1 - '特殊配信マスタ'!$A$1) / 7), 3) + 1</f>
        <v>◇ポジションマッチ_36歳以上 A2</v>
      </c>
      <c r="I187" s="11"/>
      <c r="J187" s="7"/>
      <c r="K187" s="7" t="str">
        <f t="array" ref="K187">IFERROR(XLOOKUP(H187, INDEX('特殊配信マスタ'!$C$3:$E$8, 0, MAX(1, ROW()-14)), '特殊配信マスタ'!$M$3:$N$8, ""),"")</f>
        <v/>
      </c>
      <c r="L187" s="7"/>
      <c r="M187" s="10" t="str">
        <f>"◇ポジションマッチ_36歳以上 A" &amp; MOD(INT(($C$1 - '特殊配信マスタ'!$A$1) / 7), 3) + 1</f>
        <v>◇ポジションマッチ_36歳以上 A2</v>
      </c>
      <c r="N187" s="11"/>
      <c r="O187" s="7"/>
      <c r="P187" s="7" t="str">
        <f t="array" ref="P187">IFERROR(XLOOKUP(M187, INDEX('特殊配信マスタ'!$C$3:$E$8, 0, MAX(1, ROW()-14)), '特殊配信マスタ'!$M$3:$N$8, ""),"")</f>
        <v/>
      </c>
      <c r="Q187" s="7"/>
      <c r="R187" s="10" t="str">
        <f>"◇ポジションマッチ_36歳以上 A" &amp; MOD(INT(($C$1 - '特殊配信マスタ'!$A$1) / 7), 3) + 1</f>
        <v>◇ポジションマッチ_36歳以上 A2</v>
      </c>
      <c r="S187" s="11"/>
      <c r="T187" s="7"/>
      <c r="U187" s="7" t="str">
        <f t="array" ref="U187">IFERROR(XLOOKUP(R187, INDEX('特殊配信マスタ'!$C$3:$E$8, 0, MAX(1, ROW()-14)), '特殊配信マスタ'!$M$3:$N$8, ""),"")</f>
        <v/>
      </c>
      <c r="V187" s="7"/>
      <c r="W187" s="10" t="str">
        <f>"◇ポジションマッチ_36歳以上 A" &amp; MOD(INT(($C$1 - '特殊配信マスタ'!$A$1) / 7), 3) + 1</f>
        <v>◇ポジションマッチ_36歳以上 A2</v>
      </c>
      <c r="X187" s="11"/>
      <c r="Y187" s="7"/>
      <c r="Z187" s="7" t="str">
        <f t="array" ref="Z187">IFERROR(XLOOKUP(W187, INDEX('特殊配信マスタ'!$C$3:$E$8, 0, MAX(1, ROW()-14)), '特殊配信マスタ'!$M$3:$N$8, ""),"")</f>
        <v/>
      </c>
      <c r="AA187" s="7"/>
      <c r="AB187" s="10" t="str">
        <f>"◇ポジションマッチ_36歳以上 A" &amp; MOD(INT(($C$1 - '特殊配信マスタ'!$A$1) / 7), 3) + 1</f>
        <v>◇ポジションマッチ_36歳以上 A2</v>
      </c>
      <c r="AC187" s="11"/>
      <c r="AD187" s="7"/>
      <c r="AE187" s="7" t="str">
        <f t="array" ref="AE187">IFERROR(XLOOKUP(AB187, INDEX('特殊配信マスタ'!$C$3:$E$8, 0, MAX(1, ROW()-14)), '特殊配信マスタ'!$M$3:$N$8, ""),"")</f>
        <v/>
      </c>
      <c r="AF187" s="7"/>
      <c r="AG187" s="10" t="str">
        <f>"◇ポジションマッチ_36歳以上 A" &amp; MOD(INT(($C$1 - '特殊配信マスタ'!$A$1) / 7), 3) + 1</f>
        <v>◇ポジションマッチ_36歳以上 A2</v>
      </c>
      <c r="AH187" s="11"/>
      <c r="AI187" s="7"/>
      <c r="AJ187" s="7" t="str">
        <f t="array" ref="AJ187">IFERROR(XLOOKUP(AG187, INDEX('特殊配信マスタ'!$C$3:$E$8, 0, MAX(1, ROW()-14)), '特殊配信マスタ'!$M$3:$N$8, ""),"")</f>
        <v/>
      </c>
      <c r="AK187" s="7"/>
    </row>
    <row r="188" ht="17.25" customHeight="1">
      <c r="A188" s="8">
        <f>A173+1</f>
        <v>20</v>
      </c>
      <c r="B188" s="9" t="s">
        <v>5</v>
      </c>
      <c r="C188" s="10" t="str">
        <f>IFERROR(__xludf.DUMMYFUNCTION("IFERROR(FILTER('リスト'!$C$2:$C$400, ('リスト'!$A$2:$A$400 = CHOOSE(WEEKDAY(C$1), ""日"", ""月"", ""火"", ""水"", ""木"", ""金"", ""土"")) * ('リスト'!$B$2:$B$400 = $A188) * ('リスト'!$E$2:$E$400 = ""毎週配信"") * ('リスト'!$O$2:$O$400 = FALSE)), """")"),"当日新規会員")</f>
        <v>当日新規会員</v>
      </c>
      <c r="D188" s="11" t="str">
        <f>IFERROR(__xludf.DUMMYFUNCTION("iferror(FILTER('リスト'!$D:$D, ('リスト'!$A:$A = C$1) * ('リスト'!$B:$B = $A188)))"),"")</f>
        <v/>
      </c>
      <c r="E188" s="7">
        <f>SUM(D188:D201)</f>
        <v>0</v>
      </c>
      <c r="F188" s="7" t="str">
        <f t="array" ref="F188">IFERROR(XLOOKUP(C188, 'リスト'!$C:$C, 'リスト'!$M:$M, ""), "")</f>
        <v>荒</v>
      </c>
      <c r="G188" s="7" t="str">
        <f t="array" ref="G188">IFERROR(XLOOKUP(C188, 'リスト'!$C:$C, 'リスト'!$N:$N, ""), "")</f>
        <v>内</v>
      </c>
      <c r="H188" s="10" t="str">
        <f>IFERROR(__xludf.DUMMYFUNCTION("IFERROR(FILTER('リスト'!$C$2:$C$400, ('リスト'!$A$2:$A$400 = CHOOSE(WEEKDAY(H$1), ""日"", ""月"", ""火"", ""水"", ""木"", ""金"", ""土"")) * ('リスト'!$B$2:$B$400 = $A188) * ('リスト'!$E$2:$E$400 = ""毎週配信"") * ('リスト'!$O$2:$O$400 = FALSE)), """")"),"これから人気")</f>
        <v>これから人気</v>
      </c>
      <c r="I188" s="11" t="str">
        <f>IFERROR(__xludf.DUMMYFUNCTION("iferror(FILTER('リスト'!$D:$D, ('リスト'!$A:$A = H$1) * ('リスト'!$B:$B = $A188)))"),"")</f>
        <v/>
      </c>
      <c r="J188" s="7">
        <f>SUM(I188:I201)</f>
        <v>0</v>
      </c>
      <c r="K188" s="7" t="str">
        <f t="array" ref="K188">IFERROR(XLOOKUP(H188, 'リスト'!$C:$C, 'リスト'!$M:$M, ""), "")</f>
        <v>R</v>
      </c>
      <c r="L188" s="7" t="str">
        <f t="array" ref="L188">IFERROR(XLOOKUP(H188, 'リスト'!$C:$C, 'リスト'!$N:$N, ""), "")</f>
        <v/>
      </c>
      <c r="M188" s="10" t="str">
        <f>IFERROR(__xludf.DUMMYFUNCTION("IFERROR(FILTER('リスト'!$C$2:$C$400, ('リスト'!$A$2:$A$400 = CHOOSE(WEEKDAY(M$1), ""日"", ""月"", ""火"", ""水"", ""木"", ""金"", ""土"")) * ('リスト'!$B$2:$B$400 = $A188) * ('リスト'!$E$2:$E$400 = ""毎週配信"") * ('リスト'!$O$2:$O$400 = FALSE)), """")"),"事務職 A")</f>
        <v>事務職 A</v>
      </c>
      <c r="N188" s="11" t="str">
        <f>IFERROR(__xludf.DUMMYFUNCTION("iferror(FILTER('リスト'!$D:$D, ('リスト'!$A:$A = M$1) * ('リスト'!$B:$B = $A188)))"),"")</f>
        <v/>
      </c>
      <c r="O188" s="7">
        <f>SUM(N188:N201)</f>
        <v>0</v>
      </c>
      <c r="P188" s="7" t="str">
        <f t="array" ref="P188">IFERROR(XLOOKUP(M188, 'リスト'!$C:$C, 'リスト'!$M:$M, ""), "")</f>
        <v>R</v>
      </c>
      <c r="Q188" s="7" t="str">
        <f t="array" ref="Q188">IFERROR(XLOOKUP(M188, 'リスト'!$C:$C, 'リスト'!$N:$N, ""), "")</f>
        <v/>
      </c>
      <c r="R188" s="10" t="str">
        <f>IFERROR(__xludf.DUMMYFUNCTION("IFERROR(FILTER('リスト'!$C$2:$C$400, ('リスト'!$A$2:$A$400 = CHOOSE(WEEKDAY(R$1), ""日"", ""月"", ""火"", ""水"", ""木"", ""金"", ""土"")) * ('リスト'!$B$2:$B$400 = $A188) * ('リスト'!$E$2:$E$400 = ""毎週配信"") * ('リスト'!$O$2:$O$400 = FALSE)), """")"),"残業したくない")</f>
        <v>残業したくない</v>
      </c>
      <c r="S188" s="11" t="str">
        <f>IFERROR(__xludf.DUMMYFUNCTION("iferror(FILTER('リスト'!$D:$D, ('リスト'!$A:$A = R$1) * ('リスト'!$B:$B = $A188)))"),"")</f>
        <v/>
      </c>
      <c r="T188" s="7">
        <f>SUM(S188:S201)</f>
        <v>0</v>
      </c>
      <c r="U188" s="7" t="str">
        <f t="array" ref="U188">IFERROR(XLOOKUP(R188, 'リスト'!$C:$C, 'リスト'!$M:$M, ""), "")</f>
        <v>R</v>
      </c>
      <c r="V188" s="7" t="str">
        <f t="array" ref="V188">IFERROR(XLOOKUP(R188, 'リスト'!$C:$C, 'リスト'!$N:$N, ""), "")</f>
        <v/>
      </c>
      <c r="W188" s="10" t="str">
        <f>IFERROR(__xludf.DUMMYFUNCTION("IFERROR(FILTER('リスト'!$C$2:$C$400, ('リスト'!$A$2:$A$400 = CHOOSE(WEEKDAY(W$1), ""日"", ""月"", ""火"", ""水"", ""木"", ""金"", ""土"")) * ('リスト'!$B$2:$B$400 = $A188) * ('リスト'!$E$2:$E$400 = ""毎週配信"") * ('リスト'!$O$2:$O$400 = FALSE)), """")"),"35歳以上向け B")</f>
        <v>35歳以上向け B</v>
      </c>
      <c r="X188" s="11" t="str">
        <f>IFERROR(__xludf.DUMMYFUNCTION("iferror(FILTER('リスト'!$D:$D, ('リスト'!$A:$A = W$1) * ('リスト'!$B:$B = $A188)))"),"")</f>
        <v/>
      </c>
      <c r="Y188" s="7">
        <f>SUM(X188:X201)</f>
        <v>0</v>
      </c>
      <c r="Z188" s="7" t="str">
        <f t="array" ref="Z188">IFERROR(XLOOKUP(W188, 'リスト'!$C:$C, 'リスト'!$M:$M, ""), "")</f>
        <v>R</v>
      </c>
      <c r="AA188" s="7" t="str">
        <f t="array" ref="AA188">IFERROR(XLOOKUP(W188, 'リスト'!$C:$C, 'リスト'!$N:$N, ""), "")</f>
        <v/>
      </c>
      <c r="AB188" s="10" t="str">
        <f>IFERROR(__xludf.DUMMYFUNCTION("IFERROR(FILTER('リスト'!$C$2:$C$400, ('リスト'!$A$2:$A$400 = CHOOSE(WEEKDAY(AB$1), ""日"", ""月"", ""火"", ""水"", ""木"", ""金"", ""土"")) * ('リスト'!$B$2:$B$400 = $A188) * ('リスト'!$E$2:$E$400 = ""毎週配信"") * ('リスト'!$O$2:$O$400 = FALSE)), """")"),"異業種提案_事務")</f>
        <v>異業種提案_事務</v>
      </c>
      <c r="AC188" s="11" t="str">
        <f>IFERROR(__xludf.DUMMYFUNCTION("iferror(FILTER('リスト'!$D:$D, ('リスト'!$A:$A = AB$1) * ('リスト'!$B:$B = $A188)))"),"")</f>
        <v/>
      </c>
      <c r="AD188" s="7">
        <f>SUM(AC188:AC201)</f>
        <v>0</v>
      </c>
      <c r="AE188" s="7" t="str">
        <f t="array" ref="AE188">IFERROR(XLOOKUP(AB188, 'リスト'!$C:$C, 'リスト'!$M:$M, ""), "")</f>
        <v>R</v>
      </c>
      <c r="AF188" s="7" t="str">
        <f t="array" ref="AF188">IFERROR(XLOOKUP(AB188, 'リスト'!$C:$C, 'リスト'!$N:$N, ""), "")</f>
        <v/>
      </c>
      <c r="AG188" s="10" t="str">
        <f>IFERROR(__xludf.DUMMYFUNCTION("IFERROR(FILTER('リスト'!$C$2:$C$400, ('リスト'!$A$2:$A$400 = CHOOSE(WEEKDAY(AG$1), ""日"", ""月"", ""火"", ""水"", ""木"", ""金"", ""土"")) * ('リスト'!$B$2:$B$400 = $A188) * ('リスト'!$E$2:$E$400 = ""毎週配信"") * ('リスト'!$O$2:$O$400 = FALSE)), """")"),"36歳以上正社員求人")</f>
        <v>36歳以上正社員求人</v>
      </c>
      <c r="AH188" s="11" t="str">
        <f>IFERROR(__xludf.DUMMYFUNCTION("iferror(FILTER('リスト'!$D:$D, ('リスト'!$A:$A = AG$1) * ('リスト'!$B:$B = $A188)))"),"")</f>
        <v/>
      </c>
      <c r="AI188" s="7">
        <f>SUM(AH188:AH201)</f>
        <v>0</v>
      </c>
      <c r="AJ188" s="7" t="str">
        <f t="array" ref="AJ188">IFERROR(XLOOKUP(AG188, 'リスト'!$C:$C, 'リスト'!$M:$M, ""), "")</f>
        <v>R</v>
      </c>
      <c r="AK188" s="7" t="str">
        <f t="array" ref="AK188">IFERROR(XLOOKUP(AG188, 'リスト'!$C:$C, 'リスト'!$N:$N, ""), "")</f>
        <v/>
      </c>
    </row>
    <row r="189" ht="17.25" customHeight="1">
      <c r="A189" s="8"/>
      <c r="B189" s="9"/>
      <c r="C189" s="12"/>
      <c r="D189" s="7"/>
      <c r="E189" s="7"/>
      <c r="F189" s="7" t="str">
        <f t="array" ref="F189">IFERROR(XLOOKUP(C189, 'リスト'!$C:$C, 'リスト'!$M:$M, ""), "")</f>
        <v/>
      </c>
      <c r="G189" s="7" t="str">
        <f t="array" ref="G189">IFERROR(XLOOKUP(C189, 'リスト'!$C:$C, 'リスト'!$N:$N, ""), "")</f>
        <v/>
      </c>
      <c r="H189" s="12" t="str">
        <f>IFERROR(__xludf.DUMMYFUNCTION("""COMPUTED_VALUE"""),"ユニークな福利厚生制度_B")</f>
        <v>ユニークな福利厚生制度_B</v>
      </c>
      <c r="I189" s="7"/>
      <c r="J189" s="7"/>
      <c r="K189" s="7" t="str">
        <f t="array" ref="K189">IFERROR(XLOOKUP(H189, 'リスト'!$C:$C, 'リスト'!$M:$M, ""), "")</f>
        <v>R</v>
      </c>
      <c r="L189" s="7" t="str">
        <f t="array" ref="L189">IFERROR(XLOOKUP(H189, 'リスト'!$C:$C, 'リスト'!$N:$N, ""), "")</f>
        <v/>
      </c>
      <c r="M189" s="12" t="str">
        <f>IFERROR(__xludf.DUMMYFUNCTION("""COMPUTED_VALUE"""),"事務職_35歳以上 A_ランキング")</f>
        <v>事務職_35歳以上 A_ランキング</v>
      </c>
      <c r="N189" s="7"/>
      <c r="O189" s="7"/>
      <c r="P189" s="7" t="str">
        <f t="array" ref="P189">IFERROR(XLOOKUP(M189, 'リスト'!$C:$C, 'リスト'!$M:$M, ""), "")</f>
        <v>R</v>
      </c>
      <c r="Q189" s="7" t="str">
        <f t="array" ref="Q189">IFERROR(XLOOKUP(M189, 'リスト'!$C:$C, 'リスト'!$N:$N, ""), "")</f>
        <v/>
      </c>
      <c r="R189" s="12" t="str">
        <f>IFERROR(__xludf.DUMMYFUNCTION("""COMPUTED_VALUE"""),"残業したくない_関西")</f>
        <v>残業したくない_関西</v>
      </c>
      <c r="S189" s="7"/>
      <c r="T189" s="7"/>
      <c r="U189" s="7" t="str">
        <f t="array" ref="U189">IFERROR(XLOOKUP(R189, 'リスト'!$C:$C, 'リスト'!$M:$M, ""), "")</f>
        <v>R</v>
      </c>
      <c r="V189" s="7" t="str">
        <f t="array" ref="V189">IFERROR(XLOOKUP(R189, 'リスト'!$C:$C, 'リスト'!$N:$N, ""), "")</f>
        <v/>
      </c>
      <c r="W189" s="12" t="str">
        <f>IFERROR(__xludf.DUMMYFUNCTION("""COMPUTED_VALUE"""),"35歳以上向け_関西 B")</f>
        <v>35歳以上向け_関西 B</v>
      </c>
      <c r="X189" s="7"/>
      <c r="Y189" s="7"/>
      <c r="Z189" s="7" t="str">
        <f t="array" ref="Z189">IFERROR(XLOOKUP(W189, 'リスト'!$C:$C, 'リスト'!$M:$M, ""), "")</f>
        <v>R</v>
      </c>
      <c r="AA189" s="7" t="str">
        <f t="array" ref="AA189">IFERROR(XLOOKUP(W189, 'リスト'!$C:$C, 'リスト'!$N:$N, ""), "")</f>
        <v/>
      </c>
      <c r="AB189" s="12" t="str">
        <f>IFERROR(__xludf.DUMMYFUNCTION("""COMPUTED_VALUE"""),"正社員_関西")</f>
        <v>正社員_関西</v>
      </c>
      <c r="AC189" s="7"/>
      <c r="AD189" s="7"/>
      <c r="AE189" s="7" t="str">
        <f t="array" ref="AE189">IFERROR(XLOOKUP(AB189, 'リスト'!$C:$C, 'リスト'!$M:$M, ""), "")</f>
        <v>R</v>
      </c>
      <c r="AF189" s="7" t="str">
        <f t="array" ref="AF189">IFERROR(XLOOKUP(AB189, 'リスト'!$C:$C, 'リスト'!$N:$N, ""), "")</f>
        <v/>
      </c>
      <c r="AG189" s="12" t="str">
        <f>IFERROR(__xludf.DUMMYFUNCTION("""COMPUTED_VALUE"""),"広報・マーケティング_リモート_未経験")</f>
        <v>広報・マーケティング_リモート_未経験</v>
      </c>
      <c r="AH189" s="7"/>
      <c r="AI189" s="7"/>
      <c r="AJ189" s="7" t="str">
        <f t="array" ref="AJ189">IFERROR(XLOOKUP(AG189, 'リスト'!$C:$C, 'リスト'!$M:$M, ""), "")</f>
        <v>R</v>
      </c>
      <c r="AK189" s="7" t="str">
        <f t="array" ref="AK189">IFERROR(XLOOKUP(AG189, 'リスト'!$C:$C, 'リスト'!$N:$N, ""), "")</f>
        <v/>
      </c>
    </row>
    <row r="190" ht="17.25" customHeight="1">
      <c r="A190" s="8"/>
      <c r="B190" s="9"/>
      <c r="C190" s="10"/>
      <c r="D190" s="13"/>
      <c r="E190" s="7"/>
      <c r="F190" s="7" t="str">
        <f t="array" ref="F190">IFERROR(XLOOKUP(C190, 'リスト'!$C:$C, 'リスト'!$M:$M, ""), "")</f>
        <v/>
      </c>
      <c r="G190" s="7" t="str">
        <f t="array" ref="G190">IFERROR(XLOOKUP(C190, 'リスト'!$C:$C, 'リスト'!$N:$N, ""), "")</f>
        <v/>
      </c>
      <c r="H190" s="10" t="str">
        <f>IFERROR(__xludf.DUMMYFUNCTION("""COMPUTED_VALUE"""),"大手上場_35歳以上 A")</f>
        <v>大手上場_35歳以上 A</v>
      </c>
      <c r="I190" s="13"/>
      <c r="J190" s="7"/>
      <c r="K190" s="7" t="str">
        <f t="array" ref="K190">IFERROR(XLOOKUP(H190, 'リスト'!$C:$C, 'リスト'!$M:$M, ""), "")</f>
        <v>R</v>
      </c>
      <c r="L190" s="7" t="str">
        <f t="array" ref="L190">IFERROR(XLOOKUP(H190, 'リスト'!$C:$C, 'リスト'!$N:$N, ""), "")</f>
        <v/>
      </c>
      <c r="M190" s="10" t="str">
        <f>IFERROR(__xludf.DUMMYFUNCTION("""COMPUTED_VALUE"""),"事務職_関西 A")</f>
        <v>事務職_関西 A</v>
      </c>
      <c r="N190" s="13"/>
      <c r="O190" s="7"/>
      <c r="P190" s="7" t="str">
        <f t="array" ref="P190">IFERROR(XLOOKUP(M190, 'リスト'!$C:$C, 'リスト'!$M:$M, ""), "")</f>
        <v>R</v>
      </c>
      <c r="Q190" s="7" t="str">
        <f t="array" ref="Q190">IFERROR(XLOOKUP(M190, 'リスト'!$C:$C, 'リスト'!$N:$N, ""), "")</f>
        <v/>
      </c>
      <c r="R190" s="10" t="str">
        <f>IFERROR(__xludf.DUMMYFUNCTION("""COMPUTED_VALUE"""),"住宅手当あり_首都圏")</f>
        <v>住宅手当あり_首都圏</v>
      </c>
      <c r="S190" s="13"/>
      <c r="T190" s="7"/>
      <c r="U190" s="7" t="str">
        <f t="array" ref="U190">IFERROR(XLOOKUP(R190, 'リスト'!$C:$C, 'リスト'!$M:$M, ""), "")</f>
        <v>R</v>
      </c>
      <c r="V190" s="7" t="str">
        <f t="array" ref="V190">IFERROR(XLOOKUP(R190, 'リスト'!$C:$C, 'リスト'!$N:$N, ""), "")</f>
        <v/>
      </c>
      <c r="W190" s="10" t="str">
        <f>IFERROR(__xludf.DUMMYFUNCTION("""COMPUTED_VALUE"""),"35歳未満_PV多い求人")</f>
        <v>35歳未満_PV多い求人</v>
      </c>
      <c r="X190" s="13"/>
      <c r="Y190" s="7"/>
      <c r="Z190" s="7" t="str">
        <f t="array" ref="Z190">IFERROR(XLOOKUP(W190, 'リスト'!$C:$C, 'リスト'!$M:$M, ""), "")</f>
        <v>R</v>
      </c>
      <c r="AA190" s="7" t="str">
        <f t="array" ref="AA190">IFERROR(XLOOKUP(W190, 'リスト'!$C:$C, 'リスト'!$N:$N, ""), "")</f>
        <v/>
      </c>
      <c r="AB190" s="10" t="str">
        <f>IFERROR(__xludf.DUMMYFUNCTION("""COMPUTED_VALUE"""),"当日新規会員")</f>
        <v>当日新規会員</v>
      </c>
      <c r="AC190" s="13"/>
      <c r="AD190" s="7"/>
      <c r="AE190" s="7" t="str">
        <f t="array" ref="AE190">IFERROR(XLOOKUP(AB190, 'リスト'!$C:$C, 'リスト'!$M:$M, ""), "")</f>
        <v>荒</v>
      </c>
      <c r="AF190" s="7" t="str">
        <f t="array" ref="AF190">IFERROR(XLOOKUP(AB190, 'リスト'!$C:$C, 'リスト'!$N:$N, ""), "")</f>
        <v>内</v>
      </c>
      <c r="AG190" s="10" t="str">
        <f>IFERROR(__xludf.DUMMYFUNCTION("""COMPUTED_VALUE"""),"国認定企業")</f>
        <v>国認定企業</v>
      </c>
      <c r="AH190" s="13"/>
      <c r="AI190" s="7"/>
      <c r="AJ190" s="7" t="str">
        <f t="array" ref="AJ190">IFERROR(XLOOKUP(AG190, 'リスト'!$C:$C, 'リスト'!$M:$M, ""), "")</f>
        <v>R</v>
      </c>
      <c r="AK190" s="7" t="str">
        <f t="array" ref="AK190">IFERROR(XLOOKUP(AG190, 'リスト'!$C:$C, 'リスト'!$N:$N, ""), "")</f>
        <v/>
      </c>
    </row>
    <row r="191" ht="17.25" customHeight="1">
      <c r="A191" s="8"/>
      <c r="B191" s="9"/>
      <c r="C191" s="14"/>
      <c r="D191" s="15"/>
      <c r="E191" s="7"/>
      <c r="F191" s="7" t="str">
        <f t="array" ref="F191">IFERROR(XLOOKUP(C191, 'リスト'!$C:$C, 'リスト'!$M:$M, ""), "")</f>
        <v/>
      </c>
      <c r="G191" s="7" t="str">
        <f t="array" ref="G191">IFERROR(XLOOKUP(C191, 'リスト'!$C:$C, 'リスト'!$N:$N, ""), "")</f>
        <v/>
      </c>
      <c r="H191" s="14" t="str">
        <f>IFERROR(__xludf.DUMMYFUNCTION("""COMPUTED_VALUE"""),"大手上場_関西 A")</f>
        <v>大手上場_関西 A</v>
      </c>
      <c r="I191" s="15"/>
      <c r="J191" s="7"/>
      <c r="K191" s="7" t="str">
        <f t="array" ref="K191">IFERROR(XLOOKUP(H191, 'リスト'!$C:$C, 'リスト'!$M:$M, ""), "")</f>
        <v>R</v>
      </c>
      <c r="L191" s="7" t="str">
        <f t="array" ref="L191">IFERROR(XLOOKUP(H191, 'リスト'!$C:$C, 'リスト'!$N:$N, ""), "")</f>
        <v/>
      </c>
      <c r="M191" s="14" t="str">
        <f>IFERROR(__xludf.DUMMYFUNCTION("""COMPUTED_VALUE"""),"首都圏_フルリモート_求人特集")</f>
        <v>首都圏_フルリモート_求人特集</v>
      </c>
      <c r="N191" s="15"/>
      <c r="O191" s="7"/>
      <c r="P191" s="7" t="str">
        <f t="array" ref="P191">IFERROR(XLOOKUP(M191, 'リスト'!$C:$C, 'リスト'!$M:$M, ""), "")</f>
        <v>R</v>
      </c>
      <c r="Q191" s="7" t="str">
        <f t="array" ref="Q191">IFERROR(XLOOKUP(M191, 'リスト'!$C:$C, 'リスト'!$N:$N, ""), "")</f>
        <v/>
      </c>
      <c r="R191" s="14" t="str">
        <f>IFERROR(__xludf.DUMMYFUNCTION("""COMPUTED_VALUE"""),"住宅手当あり_首都圏_35歳以上")</f>
        <v>住宅手当あり_首都圏_35歳以上</v>
      </c>
      <c r="S191" s="15"/>
      <c r="T191" s="7"/>
      <c r="U191" s="7" t="str">
        <f t="array" ref="U191">IFERROR(XLOOKUP(R191, 'リスト'!$C:$C, 'リスト'!$M:$M, ""), "")</f>
        <v>R</v>
      </c>
      <c r="V191" s="7" t="str">
        <f t="array" ref="V191">IFERROR(XLOOKUP(R191, 'リスト'!$C:$C, 'リスト'!$N:$N, ""), "")</f>
        <v/>
      </c>
      <c r="W191" s="14" t="str">
        <f>IFERROR(__xludf.DUMMYFUNCTION("""COMPUTED_VALUE"""),"当日新規会員")</f>
        <v>当日新規会員</v>
      </c>
      <c r="X191" s="15"/>
      <c r="Y191" s="7"/>
      <c r="Z191" s="7" t="str">
        <f t="array" ref="Z191">IFERROR(XLOOKUP(W191, 'リスト'!$C:$C, 'リスト'!$M:$M, ""), "")</f>
        <v>荒</v>
      </c>
      <c r="AA191" s="7" t="str">
        <f t="array" ref="AA191">IFERROR(XLOOKUP(W191, 'リスト'!$C:$C, 'リスト'!$N:$N, ""), "")</f>
        <v>内</v>
      </c>
      <c r="AB191" s="14"/>
      <c r="AC191" s="15"/>
      <c r="AD191" s="7"/>
      <c r="AE191" s="7" t="str">
        <f t="array" ref="AE191">IFERROR(XLOOKUP(AB191, 'リスト'!$C:$C, 'リスト'!$M:$M, ""), "")</f>
        <v/>
      </c>
      <c r="AF191" s="7" t="str">
        <f t="array" ref="AF191">IFERROR(XLOOKUP(AB191, 'リスト'!$C:$C, 'リスト'!$N:$N, ""), "")</f>
        <v/>
      </c>
      <c r="AG191" s="14" t="str">
        <f>IFERROR(__xludf.DUMMYFUNCTION("""COMPUTED_VALUE"""),"新規会員向け_フルリモート×未経験歓迎")</f>
        <v>新規会員向け_フルリモート×未経験歓迎</v>
      </c>
      <c r="AH191" s="15"/>
      <c r="AI191" s="7"/>
      <c r="AJ191" s="7" t="str">
        <f t="array" ref="AJ191">IFERROR(XLOOKUP(AG191, 'リスト'!$C:$C, 'リスト'!$M:$M, ""), "")</f>
        <v>R</v>
      </c>
      <c r="AK191" s="7" t="str">
        <f t="array" ref="AK191">IFERROR(XLOOKUP(AG191, 'リスト'!$C:$C, 'リスト'!$N:$N, ""), "")</f>
        <v/>
      </c>
    </row>
    <row r="192" ht="17.25" customHeight="1">
      <c r="A192" s="8"/>
      <c r="B192" s="9"/>
      <c r="C192" s="14"/>
      <c r="D192" s="13"/>
      <c r="E192" s="7"/>
      <c r="F192" s="7"/>
      <c r="G192" s="7"/>
      <c r="H192" s="14" t="str">
        <f>IFERROR(__xludf.DUMMYFUNCTION("""COMPUTED_VALUE"""),"大手上場_第二新卒 A")</f>
        <v>大手上場_第二新卒 A</v>
      </c>
      <c r="I192" s="13"/>
      <c r="J192" s="7"/>
      <c r="K192" s="7"/>
      <c r="L192" s="7"/>
      <c r="M192" s="14" t="str">
        <f>IFERROR(__xludf.DUMMYFUNCTION("""COMPUTED_VALUE"""),"当日新規会員")</f>
        <v>当日新規会員</v>
      </c>
      <c r="N192" s="13"/>
      <c r="O192" s="7"/>
      <c r="P192" s="7"/>
      <c r="Q192" s="7"/>
      <c r="R192" s="14" t="str">
        <f>IFERROR(__xludf.DUMMYFUNCTION("""COMPUTED_VALUE"""),"当日新規会員")</f>
        <v>当日新規会員</v>
      </c>
      <c r="S192" s="13"/>
      <c r="T192" s="7"/>
      <c r="U192" s="7"/>
      <c r="V192" s="7"/>
      <c r="W192" s="14"/>
      <c r="X192" s="13"/>
      <c r="Y192" s="7"/>
      <c r="Z192" s="7"/>
      <c r="AA192" s="7"/>
      <c r="AB192" s="14"/>
      <c r="AC192" s="13"/>
      <c r="AD192" s="7"/>
      <c r="AE192" s="7"/>
      <c r="AF192" s="7"/>
      <c r="AG192" s="14" t="str">
        <f>IFERROR(__xludf.DUMMYFUNCTION("""COMPUTED_VALUE"""),"当日新規会員")</f>
        <v>当日新規会員</v>
      </c>
      <c r="AH192" s="13"/>
      <c r="AI192" s="7"/>
      <c r="AJ192" s="7"/>
      <c r="AK192" s="7"/>
    </row>
    <row r="193" ht="17.25" customHeight="1">
      <c r="A193" s="8"/>
      <c r="B193" s="9"/>
      <c r="C193" s="14"/>
      <c r="D193" s="13"/>
      <c r="E193" s="7"/>
      <c r="F193" s="7"/>
      <c r="G193" s="7"/>
      <c r="H193" s="14" t="str">
        <f>IFERROR(__xludf.DUMMYFUNCTION("""COMPUTED_VALUE"""),"当日新規会員")</f>
        <v>当日新規会員</v>
      </c>
      <c r="I193" s="13"/>
      <c r="J193" s="7"/>
      <c r="K193" s="7"/>
      <c r="L193" s="7"/>
      <c r="M193" s="14" t="str">
        <f>IFERROR(__xludf.DUMMYFUNCTION("""COMPUTED_VALUE"""),"未経験_研修・資格_クリエイティブ系_埼玉神奈川千葉")</f>
        <v>未経験_研修・資格_クリエイティブ系_埼玉神奈川千葉</v>
      </c>
      <c r="N193" s="13"/>
      <c r="O193" s="7"/>
      <c r="P193" s="7"/>
      <c r="Q193" s="7"/>
      <c r="R193" s="14"/>
      <c r="S193" s="13"/>
      <c r="T193" s="7"/>
      <c r="U193" s="7"/>
      <c r="V193" s="7"/>
      <c r="W193" s="14"/>
      <c r="X193" s="13"/>
      <c r="Y193" s="7"/>
      <c r="Z193" s="7"/>
      <c r="AA193" s="7"/>
      <c r="AB193" s="14"/>
      <c r="AC193" s="13"/>
      <c r="AD193" s="7"/>
      <c r="AE193" s="7"/>
      <c r="AF193" s="7"/>
      <c r="AG193" s="14" t="str">
        <f>IFERROR(__xludf.DUMMYFUNCTION("""COMPUTED_VALUE"""),"不動産×事務")</f>
        <v>不動産×事務</v>
      </c>
      <c r="AH193" s="13"/>
      <c r="AI193" s="7"/>
      <c r="AJ193" s="7"/>
      <c r="AK193" s="7"/>
    </row>
    <row r="194" ht="17.25" customHeight="1">
      <c r="A194" s="8"/>
      <c r="B194" s="9"/>
      <c r="C194" s="14"/>
      <c r="D194" s="13"/>
      <c r="E194" s="7"/>
      <c r="F194" s="7"/>
      <c r="G194" s="7"/>
      <c r="H194" s="14"/>
      <c r="I194" s="13"/>
      <c r="J194" s="7"/>
      <c r="K194" s="7"/>
      <c r="L194" s="7"/>
      <c r="M194" s="14" t="str">
        <f>IFERROR(__xludf.DUMMYFUNCTION("""COMPUTED_VALUE"""),"未経験_研修・資格_クリエイティブ系_東京")</f>
        <v>未経験_研修・資格_クリエイティブ系_東京</v>
      </c>
      <c r="N194" s="13"/>
      <c r="O194" s="7"/>
      <c r="P194" s="7"/>
      <c r="Q194" s="7"/>
      <c r="R194" s="14"/>
      <c r="S194" s="13"/>
      <c r="T194" s="7"/>
      <c r="U194" s="7"/>
      <c r="V194" s="7"/>
      <c r="W194" s="14"/>
      <c r="X194" s="13"/>
      <c r="Y194" s="7"/>
      <c r="Z194" s="7"/>
      <c r="AA194" s="7"/>
      <c r="AB194" s="14"/>
      <c r="AC194" s="13"/>
      <c r="AD194" s="7"/>
      <c r="AE194" s="7"/>
      <c r="AF194" s="7"/>
      <c r="AG194" s="14"/>
      <c r="AH194" s="13"/>
      <c r="AI194" s="7"/>
      <c r="AJ194" s="7"/>
      <c r="AK194" s="7"/>
    </row>
    <row r="195" ht="17.25" customHeight="1">
      <c r="A195" s="8"/>
      <c r="B195" s="9"/>
      <c r="C195" s="14"/>
      <c r="D195" s="13"/>
      <c r="E195" s="7"/>
      <c r="F195" s="7"/>
      <c r="G195" s="7"/>
      <c r="H195" s="14"/>
      <c r="I195" s="13"/>
      <c r="J195" s="7"/>
      <c r="K195" s="7"/>
      <c r="L195" s="7"/>
      <c r="M195" s="14"/>
      <c r="N195" s="13"/>
      <c r="O195" s="7"/>
      <c r="P195" s="7"/>
      <c r="Q195" s="7"/>
      <c r="R195" s="14"/>
      <c r="S195" s="13"/>
      <c r="T195" s="7"/>
      <c r="U195" s="7"/>
      <c r="V195" s="7"/>
      <c r="W195" s="14"/>
      <c r="X195" s="13"/>
      <c r="Y195" s="7"/>
      <c r="Z195" s="7"/>
      <c r="AA195" s="7"/>
      <c r="AB195" s="14"/>
      <c r="AC195" s="13"/>
      <c r="AD195" s="7"/>
      <c r="AE195" s="7"/>
      <c r="AF195" s="7"/>
      <c r="AG195" s="14"/>
      <c r="AH195" s="13"/>
      <c r="AI195" s="7"/>
      <c r="AJ195" s="7"/>
      <c r="AK195" s="7"/>
    </row>
    <row r="196" ht="17.25" customHeight="1">
      <c r="A196" s="8"/>
      <c r="B196" s="9" t="s">
        <v>6</v>
      </c>
      <c r="C196" s="10" t="str">
        <f>IFERROR(__xludf.DUMMYFUNCTION("iferror(FILTER('新規'!$C:$C, ('新規'!$A:$A = C$1) * ('新規'!$B:$B = $A188)))"),"")</f>
        <v/>
      </c>
      <c r="D196" s="11" t="str">
        <f>IFERROR(__xludf.DUMMYFUNCTION("IFERROR(FILTER('新規'!$D$2:$D$400, ('新規'!$A$2:$A$400 = CHOOSE(WEEKDAY(C$1), ""日"", ""月"", ""火"", ""水"", ""木"", ""金"", ""土"")) * ('新規'!$B$2:$B$400 = $A$3) * ('新規'!$O$2:$O$400 = FALSE)), """")"),"")</f>
        <v/>
      </c>
      <c r="E196" s="7"/>
      <c r="F196" s="7" t="str">
        <f>IFERROR(__xludf.DUMMYFUNCTION("IFERROR(FILTER('新規'!$M$2:$M$400, ('新規'!$A$2:$A$400 = CHOOSE(WEEKDAY(C$1), ""日"", ""月"", ""火"", ""水"", ""木"", ""金"", ""土"")) * ('新規'!$B$2:$B$400 = $A$3) * ('新規'!$O$2:$O$400 = FALSE)), """")"),"")</f>
        <v/>
      </c>
      <c r="G196" s="7" t="str">
        <f>IFERROR(__xludf.DUMMYFUNCTION("IFERROR(FILTER('新規'!$N$2:$N$400, ('新規'!$A$2:$A$400 = CHOOSE(WEEKDAY(C$1), ""日"", ""月"", ""火"", ""水"", ""木"", ""金"", ""土"")) * ('新規'!$B$2:$B$400 = $A$3) * ('新規'!$O$2:$O$400 = FALSE)), """")"),"")</f>
        <v/>
      </c>
      <c r="H196" s="10" t="str">
        <f>IFERROR(__xludf.DUMMYFUNCTION("iferror(FILTER('新規'!$C:$C, ('新規'!$A:$A = H$1) * ('新規'!$B:$B = $A188)))"),"")</f>
        <v/>
      </c>
      <c r="I196" s="11" t="str">
        <f>IFERROR(__xludf.DUMMYFUNCTION("IFERROR(FILTER('新規'!$D$2:$D$400, ('新規'!$A$2:$A$400 = CHOOSE(WEEKDAY(H$1), ""日"", ""月"", ""火"", ""水"", ""木"", ""金"", ""土"")) * ('新規'!$B$2:$B$400 = $A$3) * ('新規'!$O$2:$O$400 = FALSE)), """")"),"")</f>
        <v/>
      </c>
      <c r="J196" s="7"/>
      <c r="K196" s="7" t="str">
        <f>IFERROR(__xludf.DUMMYFUNCTION("IFERROR(FILTER('新規'!$M$2:$M$400, ('新規'!$A$2:$A$400 = CHOOSE(WEEKDAY(H$1), ""日"", ""月"", ""火"", ""水"", ""木"", ""金"", ""土"")) * ('新規'!$B$2:$B$400 = $A$3) * ('新規'!$O$2:$O$400 = FALSE)), """")"),"")</f>
        <v/>
      </c>
      <c r="L196" s="7" t="str">
        <f>IFERROR(__xludf.DUMMYFUNCTION("IFERROR(FILTER('新規'!$N$2:$N$400, ('新規'!$A$2:$A$400 = CHOOSE(WEEKDAY(H$1), ""日"", ""月"", ""火"", ""水"", ""木"", ""金"", ""土"")) * ('新規'!$B$2:$B$400 = $A$3) * ('新規'!$O$2:$O$400 = FALSE)), """")"),"")</f>
        <v/>
      </c>
      <c r="M196" s="10" t="str">
        <f>IFERROR(__xludf.DUMMYFUNCTION("iferror(FILTER('新規'!$C:$C, ('新規'!$A:$A = M$1) * ('新規'!$B:$B = $A188)))"),"")</f>
        <v/>
      </c>
      <c r="N196" s="11" t="str">
        <f>IFERROR(__xludf.DUMMYFUNCTION("IFERROR(FILTER('新規'!$D$2:$D$400, ('新規'!$A$2:$A$400 = CHOOSE(WEEKDAY(M$1), ""日"", ""月"", ""火"", ""水"", ""木"", ""金"", ""土"")) * ('新規'!$B$2:$B$400 = $A$3) * ('新規'!$O$2:$O$400 = FALSE)), """")"),"")</f>
        <v/>
      </c>
      <c r="O196" s="7"/>
      <c r="P196" s="7" t="str">
        <f>IFERROR(__xludf.DUMMYFUNCTION("IFERROR(FILTER('新規'!$M$2:$M$400, ('新規'!$A$2:$A$400 = CHOOSE(WEEKDAY(M$1), ""日"", ""月"", ""火"", ""水"", ""木"", ""金"", ""土"")) * ('新規'!$B$2:$B$400 = $A$3) * ('新規'!$O$2:$O$400 = FALSE)), """")"),"")</f>
        <v/>
      </c>
      <c r="Q196" s="7" t="str">
        <f>IFERROR(__xludf.DUMMYFUNCTION("IFERROR(FILTER('新規'!$N$2:$N$400, ('新規'!$A$2:$A$400 = CHOOSE(WEEKDAY(M$1), ""日"", ""月"", ""火"", ""水"", ""木"", ""金"", ""土"")) * ('新規'!$B$2:$B$400 = $A$3) * ('新規'!$O$2:$O$400 = FALSE)), """")"),"")</f>
        <v/>
      </c>
      <c r="R196" s="10" t="str">
        <f>IFERROR(__xludf.DUMMYFUNCTION("iferror(FILTER('新規'!$C:$C, ('新規'!$A:$A = R$1) * ('新規'!$B:$B = $A188)))"),"有給取得率")</f>
        <v>有給取得率</v>
      </c>
      <c r="S196" s="11" t="str">
        <f>IFERROR(__xludf.DUMMYFUNCTION("IFERROR(FILTER('新規'!$D$2:$D$400, ('新規'!$A$2:$A$400 = CHOOSE(WEEKDAY(R$1), ""日"", ""月"", ""火"", ""水"", ""木"", ""金"", ""土"")) * ('新規'!$B$2:$B$400 = $A$3) * ('新規'!$O$2:$O$400 = FALSE)), """")"),"")</f>
        <v/>
      </c>
      <c r="T196" s="7"/>
      <c r="U196" s="7" t="str">
        <f>IFERROR(__xludf.DUMMYFUNCTION("IFERROR(FILTER('新規'!$M$2:$M$400, ('新規'!$A$2:$A$400 = CHOOSE(WEEKDAY(R$1), ""日"", ""月"", ""火"", ""水"", ""木"", ""金"", ""土"")) * ('新規'!$B$2:$B$400 = $A$3) * ('新規'!$O$2:$O$400 = FALSE)), """")"),"")</f>
        <v/>
      </c>
      <c r="V196" s="7" t="str">
        <f>IFERROR(__xludf.DUMMYFUNCTION("IFERROR(FILTER('新規'!$N$2:$N$400, ('新規'!$A$2:$A$400 = CHOOSE(WEEKDAY(R$1), ""日"", ""月"", ""火"", ""水"", ""木"", ""金"", ""土"")) * ('新規'!$B$2:$B$400 = $A$3) * ('新規'!$O$2:$O$400 = FALSE)), """")"),"")</f>
        <v/>
      </c>
      <c r="W196" s="10" t="str">
        <f>IFERROR(__xludf.DUMMYFUNCTION("iferror(FILTER('新規'!$C:$C, ('新規'!$A:$A = W$1) * ('新規'!$B:$B = $A188)))"),"")</f>
        <v/>
      </c>
      <c r="X196" s="11" t="str">
        <f>IFERROR(__xludf.DUMMYFUNCTION("IFERROR(FILTER('新規'!$D$2:$D$400, ('新規'!$A$2:$A$400 = CHOOSE(WEEKDAY(W$1), ""日"", ""月"", ""火"", ""水"", ""木"", ""金"", ""土"")) * ('新規'!$B$2:$B$400 = $A$3) * ('新規'!$O$2:$O$400 = FALSE)), """")"),"")</f>
        <v/>
      </c>
      <c r="Y196" s="7"/>
      <c r="Z196" s="7" t="str">
        <f>IFERROR(__xludf.DUMMYFUNCTION("IFERROR(FILTER('新規'!$M$2:$M$400, ('新規'!$A$2:$A$400 = CHOOSE(WEEKDAY(W$1), ""日"", ""月"", ""火"", ""水"", ""木"", ""金"", ""土"")) * ('新規'!$B$2:$B$400 = $A$3) * ('新規'!$O$2:$O$400 = FALSE)), """")"),"")</f>
        <v/>
      </c>
      <c r="AA196" s="7" t="str">
        <f>IFERROR(__xludf.DUMMYFUNCTION("IFERROR(FILTER('新規'!$N$2:$N$400, ('新規'!$A$2:$A$400 = CHOOSE(WEEKDAY(W$1), ""日"", ""月"", ""火"", ""水"", ""木"", ""金"", ""土"")) * ('新規'!$B$2:$B$400 = $A$3) * ('新規'!$O$2:$O$400 = FALSE)), """")"),"")</f>
        <v/>
      </c>
      <c r="AB196" s="10" t="str">
        <f>IFERROR(__xludf.DUMMYFUNCTION("iferror(FILTER('新規'!$C:$C, ('新規'!$A:$A = AB$1) * ('新規'!$B:$B = $A188)))"),"")</f>
        <v/>
      </c>
      <c r="AC196" s="11" t="str">
        <f>IFERROR(__xludf.DUMMYFUNCTION("IFERROR(FILTER('新規'!$D$2:$D$400, ('新規'!$A$2:$A$400 = CHOOSE(WEEKDAY(AB$1), ""日"", ""月"", ""火"", ""水"", ""木"", ""金"", ""土"")) * ('新規'!$B$2:$B$400 = $A$3) * ('新規'!$O$2:$O$400 = FALSE)), """")"),"")</f>
        <v/>
      </c>
      <c r="AD196" s="7"/>
      <c r="AE196" s="7" t="str">
        <f>IFERROR(__xludf.DUMMYFUNCTION("IFERROR(FILTER('新規'!$M$2:$M$400, ('新規'!$A$2:$A$400 = CHOOSE(WEEKDAY(AB$1), ""日"", ""月"", ""火"", ""水"", ""木"", ""金"", ""土"")) * ('新規'!$B$2:$B$400 = $A$3) * ('新規'!$O$2:$O$400 = FALSE)), """")"),"")</f>
        <v/>
      </c>
      <c r="AF196" s="7" t="str">
        <f>IFERROR(__xludf.DUMMYFUNCTION("IFERROR(FILTER('新規'!$N$2:$N$400, ('新規'!$A$2:$A$400 = CHOOSE(WEEKDAY(AB$1), ""日"", ""月"", ""火"", ""水"", ""木"", ""金"", ""土"")) * ('新規'!$B$2:$B$400 = $A$3) * ('新規'!$O$2:$O$400 = FALSE)), """")"),"")</f>
        <v/>
      </c>
      <c r="AG196" s="10" t="str">
        <f>IFERROR(__xludf.DUMMYFUNCTION("iferror(FILTER('新規'!$C:$C, ('新規'!$A:$A = AG$1) * ('新規'!$B:$B = $A188)))"),"保育士_幼稚園教諭")</f>
        <v>保育士_幼稚園教諭</v>
      </c>
      <c r="AH196" s="11" t="str">
        <f>IFERROR(__xludf.DUMMYFUNCTION("IFERROR(FILTER('新規'!$D$2:$D$400, ('新規'!$A$2:$A$400 = CHOOSE(WEEKDAY(AG$1), ""日"", ""月"", ""火"", ""水"", ""木"", ""金"", ""土"")) * ('新規'!$B$2:$B$400 = $A$3) * ('新規'!$O$2:$O$400 = FALSE)), """")"),"")</f>
        <v/>
      </c>
      <c r="AI196" s="7"/>
      <c r="AJ196" s="7" t="str">
        <f>IFERROR(__xludf.DUMMYFUNCTION("IFERROR(FILTER('新規'!$M$2:$M$400, ('新規'!$A$2:$A$400 = CHOOSE(WEEKDAY(AG$1), ""日"", ""月"", ""火"", ""水"", ""木"", ""金"", ""土"")) * ('新規'!$B$2:$B$400 = $A$3) * ('新規'!$O$2:$O$400 = FALSE)), """")"),"")</f>
        <v/>
      </c>
      <c r="AK196" s="7" t="str">
        <f>IFERROR(__xludf.DUMMYFUNCTION("IFERROR(FILTER('新規'!$N$2:$N$400, ('新規'!$A$2:$A$400 = CHOOSE(WEEKDAY(AG$1), ""日"", ""月"", ""火"", ""水"", ""木"", ""金"", ""土"")) * ('新規'!$B$2:$B$400 = $A$3) * ('新規'!$O$2:$O$400 = FALSE)), """")"),"")</f>
        <v/>
      </c>
    </row>
    <row r="197" ht="17.25" customHeight="1">
      <c r="A197" s="8"/>
      <c r="B197" s="9"/>
      <c r="C197" s="17"/>
      <c r="D197" s="7"/>
      <c r="E197" s="7"/>
      <c r="F197" s="7" t="str">
        <f t="array" ref="F197">IFERROR(XLOOKUP(C197, 'リスト'!$C:$C, 'リスト'!$M:$M, ""), "")</f>
        <v/>
      </c>
      <c r="G197" s="7" t="str">
        <f t="array" ref="G197">IFERROR(XLOOKUP(C197, 'リスト'!$C:$C, 'リスト'!$N:$N, ""), "")</f>
        <v/>
      </c>
      <c r="H197" s="17"/>
      <c r="I197" s="7"/>
      <c r="J197" s="7"/>
      <c r="K197" s="7" t="str">
        <f t="array" ref="K197">IFERROR(XLOOKUP(H197, 'リスト'!$C:$C, 'リスト'!$M:$M, ""), "")</f>
        <v/>
      </c>
      <c r="L197" s="7" t="str">
        <f t="array" ref="L197">IFERROR(XLOOKUP(H197, 'リスト'!$C:$C, 'リスト'!$N:$N, ""), "")</f>
        <v/>
      </c>
      <c r="M197" s="17"/>
      <c r="N197" s="7"/>
      <c r="O197" s="7"/>
      <c r="P197" s="7" t="str">
        <f t="array" ref="P197">IFERROR(XLOOKUP(M197, 'リスト'!$C:$C, 'リスト'!$M:$M, ""), "")</f>
        <v/>
      </c>
      <c r="Q197" s="7" t="str">
        <f t="array" ref="Q197">IFERROR(XLOOKUP(M197, 'リスト'!$C:$C, 'リスト'!$N:$N, ""), "")</f>
        <v/>
      </c>
      <c r="R197" s="17" t="str">
        <f>IFERROR(__xludf.DUMMYFUNCTION("""COMPUTED_VALUE"""),"有給取得率")</f>
        <v>有給取得率</v>
      </c>
      <c r="S197" s="7"/>
      <c r="T197" s="7"/>
      <c r="U197" s="7" t="str">
        <f t="array" ref="U197">IFERROR(XLOOKUP(R197, 'リスト'!$C:$C, 'リスト'!$M:$M, ""), "")</f>
        <v/>
      </c>
      <c r="V197" s="7" t="str">
        <f t="array" ref="V197">IFERROR(XLOOKUP(R197, 'リスト'!$C:$C, 'リスト'!$N:$N, ""), "")</f>
        <v/>
      </c>
      <c r="W197" s="17"/>
      <c r="X197" s="7"/>
      <c r="Y197" s="7"/>
      <c r="Z197" s="7" t="str">
        <f t="array" ref="Z197">IFERROR(XLOOKUP(W197, 'リスト'!$C:$C, 'リスト'!$M:$M, ""), "")</f>
        <v/>
      </c>
      <c r="AA197" s="7" t="str">
        <f t="array" ref="AA197">IFERROR(XLOOKUP(W197, 'リスト'!$C:$C, 'リスト'!$N:$N, ""), "")</f>
        <v/>
      </c>
      <c r="AB197" s="17"/>
      <c r="AC197" s="7"/>
      <c r="AD197" s="7"/>
      <c r="AE197" s="7" t="str">
        <f t="array" ref="AE197">IFERROR(XLOOKUP(AB197, 'リスト'!$C:$C, 'リスト'!$M:$M, ""), "")</f>
        <v/>
      </c>
      <c r="AF197" s="7" t="str">
        <f t="array" ref="AF197">IFERROR(XLOOKUP(AB197, 'リスト'!$C:$C, 'リスト'!$N:$N, ""), "")</f>
        <v/>
      </c>
      <c r="AG197" s="17" t="str">
        <f>IFERROR(__xludf.DUMMYFUNCTION("""COMPUTED_VALUE"""),"保育士_幼稚園教諭")</f>
        <v>保育士_幼稚園教諭</v>
      </c>
      <c r="AH197" s="7"/>
      <c r="AI197" s="7"/>
      <c r="AJ197" s="7" t="str">
        <f t="array" ref="AJ197">IFERROR(XLOOKUP(AG197, 'リスト'!$C:$C, 'リスト'!$M:$M, ""), "")</f>
        <v/>
      </c>
      <c r="AK197" s="7" t="str">
        <f t="array" ref="AK197">IFERROR(XLOOKUP(AG197, 'リスト'!$C:$C, 'リスト'!$N:$N, ""), "")</f>
        <v/>
      </c>
    </row>
    <row r="198" ht="17.25" customHeight="1">
      <c r="A198" s="8"/>
      <c r="B198" s="9"/>
      <c r="C198" s="17"/>
      <c r="D198" s="7"/>
      <c r="E198" s="7"/>
      <c r="F198" s="7" t="str">
        <f t="array" ref="F198">IFERROR(XLOOKUP(C198, 'リスト'!$C:$C, 'リスト'!$M:$M, ""), "")</f>
        <v/>
      </c>
      <c r="G198" s="7" t="str">
        <f t="array" ref="G198">IFERROR(XLOOKUP(C198, 'リスト'!$C:$C, 'リスト'!$N:$N, ""), "")</f>
        <v/>
      </c>
      <c r="H198" s="17"/>
      <c r="I198" s="7"/>
      <c r="J198" s="7"/>
      <c r="K198" s="7" t="str">
        <f t="array" ref="K198">IFERROR(XLOOKUP(H198, 'リスト'!$C:$C, 'リスト'!$M:$M, ""), "")</f>
        <v/>
      </c>
      <c r="L198" s="7" t="str">
        <f t="array" ref="L198">IFERROR(XLOOKUP(H198, 'リスト'!$C:$C, 'リスト'!$N:$N, ""), "")</f>
        <v/>
      </c>
      <c r="M198" s="17"/>
      <c r="N198" s="7"/>
      <c r="O198" s="7"/>
      <c r="P198" s="7" t="str">
        <f t="array" ref="P198">IFERROR(XLOOKUP(M198, 'リスト'!$C:$C, 'リスト'!$M:$M, ""), "")</f>
        <v/>
      </c>
      <c r="Q198" s="7" t="str">
        <f t="array" ref="Q198">IFERROR(XLOOKUP(M198, 'リスト'!$C:$C, 'リスト'!$N:$N, ""), "")</f>
        <v/>
      </c>
      <c r="R198" s="17"/>
      <c r="S198" s="7"/>
      <c r="T198" s="7"/>
      <c r="U198" s="7" t="str">
        <f t="array" ref="U198">IFERROR(XLOOKUP(R198, 'リスト'!$C:$C, 'リスト'!$M:$M, ""), "")</f>
        <v/>
      </c>
      <c r="V198" s="7" t="str">
        <f t="array" ref="V198">IFERROR(XLOOKUP(R198, 'リスト'!$C:$C, 'リスト'!$N:$N, ""), "")</f>
        <v/>
      </c>
      <c r="W198" s="17"/>
      <c r="X198" s="7"/>
      <c r="Y198" s="7"/>
      <c r="Z198" s="7" t="str">
        <f t="array" ref="Z198">IFERROR(XLOOKUP(W198, 'リスト'!$C:$C, 'リスト'!$M:$M, ""), "")</f>
        <v/>
      </c>
      <c r="AA198" s="7" t="str">
        <f t="array" ref="AA198">IFERROR(XLOOKUP(W198, 'リスト'!$C:$C, 'リスト'!$N:$N, ""), "")</f>
        <v/>
      </c>
      <c r="AB198" s="17"/>
      <c r="AC198" s="7"/>
      <c r="AD198" s="7"/>
      <c r="AE198" s="7" t="str">
        <f t="array" ref="AE198">IFERROR(XLOOKUP(AB198, 'リスト'!$C:$C, 'リスト'!$M:$M, ""), "")</f>
        <v/>
      </c>
      <c r="AF198" s="7" t="str">
        <f t="array" ref="AF198">IFERROR(XLOOKUP(AB198, 'リスト'!$C:$C, 'リスト'!$N:$N, ""), "")</f>
        <v/>
      </c>
      <c r="AG198" s="17"/>
      <c r="AH198" s="7"/>
      <c r="AI198" s="7"/>
      <c r="AJ198" s="7" t="str">
        <f t="array" ref="AJ198">IFERROR(XLOOKUP(AG198, 'リスト'!$C:$C, 'リスト'!$M:$M, ""), "")</f>
        <v/>
      </c>
      <c r="AK198" s="7" t="str">
        <f t="array" ref="AK198">IFERROR(XLOOKUP(AG198, 'リスト'!$C:$C, 'リスト'!$N:$N, ""), "")</f>
        <v/>
      </c>
    </row>
    <row r="199" ht="17.25" customHeight="1">
      <c r="A199" s="8"/>
      <c r="B199" s="9"/>
      <c r="C199" s="17"/>
      <c r="D199" s="7"/>
      <c r="E199" s="7"/>
      <c r="F199" s="7" t="str">
        <f t="array" ref="F199">IFERROR(XLOOKUP(C199, 'リスト'!$C:$C, 'リスト'!$M:$M, ""), "")</f>
        <v/>
      </c>
      <c r="G199" s="7" t="str">
        <f t="array" ref="G199">IFERROR(XLOOKUP(C199, 'リスト'!$C:$C, 'リスト'!$N:$N, ""), "")</f>
        <v/>
      </c>
      <c r="H199" s="17"/>
      <c r="I199" s="7"/>
      <c r="J199" s="7"/>
      <c r="K199" s="7" t="str">
        <f t="array" ref="K199">IFERROR(XLOOKUP(H199, 'リスト'!$C:$C, 'リスト'!$M:$M, ""), "")</f>
        <v/>
      </c>
      <c r="L199" s="7" t="str">
        <f t="array" ref="L199">IFERROR(XLOOKUP(H199, 'リスト'!$C:$C, 'リスト'!$N:$N, ""), "")</f>
        <v/>
      </c>
      <c r="M199" s="17"/>
      <c r="N199" s="7"/>
      <c r="O199" s="7"/>
      <c r="P199" s="7" t="str">
        <f t="array" ref="P199">IFERROR(XLOOKUP(M199, 'リスト'!$C:$C, 'リスト'!$M:$M, ""), "")</f>
        <v/>
      </c>
      <c r="Q199" s="7" t="str">
        <f t="array" ref="Q199">IFERROR(XLOOKUP(M199, 'リスト'!$C:$C, 'リスト'!$N:$N, ""), "")</f>
        <v/>
      </c>
      <c r="R199" s="17"/>
      <c r="S199" s="7"/>
      <c r="T199" s="7"/>
      <c r="U199" s="7" t="str">
        <f t="array" ref="U199">IFERROR(XLOOKUP(R199, 'リスト'!$C:$C, 'リスト'!$M:$M, ""), "")</f>
        <v/>
      </c>
      <c r="V199" s="7" t="str">
        <f t="array" ref="V199">IFERROR(XLOOKUP(R199, 'リスト'!$C:$C, 'リスト'!$N:$N, ""), "")</f>
        <v/>
      </c>
      <c r="W199" s="17"/>
      <c r="X199" s="7"/>
      <c r="Y199" s="7"/>
      <c r="Z199" s="7" t="str">
        <f t="array" ref="Z199">IFERROR(XLOOKUP(W199, 'リスト'!$C:$C, 'リスト'!$M:$M, ""), "")</f>
        <v/>
      </c>
      <c r="AA199" s="7" t="str">
        <f t="array" ref="AA199">IFERROR(XLOOKUP(W199, 'リスト'!$C:$C, 'リスト'!$N:$N, ""), "")</f>
        <v/>
      </c>
      <c r="AB199" s="17"/>
      <c r="AC199" s="7"/>
      <c r="AD199" s="7"/>
      <c r="AE199" s="7" t="str">
        <f t="array" ref="AE199">IFERROR(XLOOKUP(AB199, 'リスト'!$C:$C, 'リスト'!$M:$M, ""), "")</f>
        <v/>
      </c>
      <c r="AF199" s="7" t="str">
        <f t="array" ref="AF199">IFERROR(XLOOKUP(AB199, 'リスト'!$C:$C, 'リスト'!$N:$N, ""), "")</f>
        <v/>
      </c>
      <c r="AG199" s="17"/>
      <c r="AH199" s="7"/>
      <c r="AI199" s="7"/>
      <c r="AJ199" s="7" t="str">
        <f t="array" ref="AJ199">IFERROR(XLOOKUP(AG199, 'リスト'!$C:$C, 'リスト'!$M:$M, ""), "")</f>
        <v/>
      </c>
      <c r="AK199" s="7" t="str">
        <f t="array" ref="AK199">IFERROR(XLOOKUP(AG199, 'リスト'!$C:$C, 'リスト'!$N:$N, ""), "")</f>
        <v/>
      </c>
    </row>
    <row r="200" ht="17.25" customHeight="1">
      <c r="A200" s="8"/>
      <c r="B200" s="9"/>
      <c r="C200" s="17"/>
      <c r="D200" s="7"/>
      <c r="E200" s="7"/>
      <c r="F200" s="7" t="str">
        <f t="array" ref="F200">IFERROR(XLOOKUP(C200, 'リスト'!$C:$C, 'リスト'!$M:$M, ""), "")</f>
        <v/>
      </c>
      <c r="G200" s="7" t="str">
        <f t="array" ref="G200">IFERROR(XLOOKUP(C200, 'リスト'!$C:$C, 'リスト'!$N:$N, ""), "")</f>
        <v/>
      </c>
      <c r="H200" s="17"/>
      <c r="I200" s="7"/>
      <c r="J200" s="7"/>
      <c r="K200" s="7" t="str">
        <f t="array" ref="K200">IFERROR(XLOOKUP(H200, 'リスト'!$C:$C, 'リスト'!$M:$M, ""), "")</f>
        <v/>
      </c>
      <c r="L200" s="7" t="str">
        <f t="array" ref="L200">IFERROR(XLOOKUP(H200, 'リスト'!$C:$C, 'リスト'!$N:$N, ""), "")</f>
        <v/>
      </c>
      <c r="M200" s="17"/>
      <c r="N200" s="7"/>
      <c r="O200" s="7"/>
      <c r="P200" s="7" t="str">
        <f t="array" ref="P200">IFERROR(XLOOKUP(M200, 'リスト'!$C:$C, 'リスト'!$M:$M, ""), "")</f>
        <v/>
      </c>
      <c r="Q200" s="7" t="str">
        <f t="array" ref="Q200">IFERROR(XLOOKUP(M200, 'リスト'!$C:$C, 'リスト'!$N:$N, ""), "")</f>
        <v/>
      </c>
      <c r="R200" s="17"/>
      <c r="S200" s="7"/>
      <c r="T200" s="7"/>
      <c r="U200" s="7" t="str">
        <f t="array" ref="U200">IFERROR(XLOOKUP(R200, 'リスト'!$C:$C, 'リスト'!$M:$M, ""), "")</f>
        <v/>
      </c>
      <c r="V200" s="7" t="str">
        <f t="array" ref="V200">IFERROR(XLOOKUP(R200, 'リスト'!$C:$C, 'リスト'!$N:$N, ""), "")</f>
        <v/>
      </c>
      <c r="W200" s="17"/>
      <c r="X200" s="7"/>
      <c r="Y200" s="7"/>
      <c r="Z200" s="7" t="str">
        <f t="array" ref="Z200">IFERROR(XLOOKUP(W200, 'リスト'!$C:$C, 'リスト'!$M:$M, ""), "")</f>
        <v/>
      </c>
      <c r="AA200" s="7" t="str">
        <f t="array" ref="AA200">IFERROR(XLOOKUP(W200, 'リスト'!$C:$C, 'リスト'!$N:$N, ""), "")</f>
        <v/>
      </c>
      <c r="AB200" s="17"/>
      <c r="AC200" s="7"/>
      <c r="AD200" s="7"/>
      <c r="AE200" s="7" t="str">
        <f t="array" ref="AE200">IFERROR(XLOOKUP(AB200, 'リスト'!$C:$C, 'リスト'!$M:$M, ""), "")</f>
        <v/>
      </c>
      <c r="AF200" s="7" t="str">
        <f t="array" ref="AF200">IFERROR(XLOOKUP(AB200, 'リスト'!$C:$C, 'リスト'!$N:$N, ""), "")</f>
        <v/>
      </c>
      <c r="AG200" s="17"/>
      <c r="AH200" s="7"/>
      <c r="AI200" s="7"/>
      <c r="AJ200" s="7" t="str">
        <f t="array" ref="AJ200">IFERROR(XLOOKUP(AG200, 'リスト'!$C:$C, 'リスト'!$M:$M, ""), "")</f>
        <v/>
      </c>
      <c r="AK200" s="7" t="str">
        <f t="array" ref="AK200">IFERROR(XLOOKUP(AG200, 'リスト'!$C:$C, 'リスト'!$N:$N, ""), "")</f>
        <v/>
      </c>
    </row>
    <row r="201" ht="17.25" customHeight="1">
      <c r="A201" s="8"/>
      <c r="B201" s="9" t="s">
        <v>7</v>
      </c>
      <c r="C201" s="10" t="str">
        <f>"◇ポジションマッチ A" &amp; MOD(INT(($C$1 - '特殊配信マスタ'!$A$1) / 7), 3) + 1</f>
        <v>◇ポジションマッチ A2</v>
      </c>
      <c r="D201" s="11" t="str">
        <f>IFERROR(__xludf.DUMMYFUNCTION("IFERROR(TEXTJOIN(CHAR(10), TRUE, FILTER('特殊配信マスタ'!$C:$E, #REF!=D$1)), """")"),"")</f>
        <v/>
      </c>
      <c r="E201" s="7" t="str">
        <f>IFERROR(__xludf.DUMMYFUNCTION("IFERROR(TEXTJOIN(CHAR(10), TRUE, FILTER('特殊配信マスタ'!$C:$E, #REF!=E$1)), """")"),"")</f>
        <v/>
      </c>
      <c r="F201" s="7" t="str">
        <f t="array" ref="F201">IFERROR(XLOOKUP(C201, INDEX('特殊配信マスタ'!$C$3:$E$8, 0, MAX(1, ROW()-14)), '特殊配信マスタ'!$M$3:$N$8, ""),"")</f>
        <v/>
      </c>
      <c r="G201" s="7"/>
      <c r="H201" s="10" t="str">
        <f>"◇ポジションマッチ A" &amp; MOD(INT(($C$1 - '特殊配信マスタ'!$A$1) / 7), 3) + 1</f>
        <v>◇ポジションマッチ A2</v>
      </c>
      <c r="I201" s="11" t="str">
        <f>IFERROR(__xludf.DUMMYFUNCTION("IFERROR(TEXTJOIN(CHAR(10), TRUE, FILTER('特殊配信マスタ'!$C:$E, #REF!=I$1)), """")"),"")</f>
        <v/>
      </c>
      <c r="J201" s="7" t="str">
        <f>IFERROR(__xludf.DUMMYFUNCTION("IFERROR(TEXTJOIN(CHAR(10), TRUE, FILTER('特殊配信マスタ'!$C:$E, #REF!=J$1)), """")"),"")</f>
        <v/>
      </c>
      <c r="K201" s="7" t="str">
        <f t="array" ref="K201">IFERROR(XLOOKUP(H201, INDEX('特殊配信マスタ'!$C$3:$E$8, 0, MAX(1, ROW()-14)), '特殊配信マスタ'!$M$3:$N$8, ""),"")</f>
        <v/>
      </c>
      <c r="L201" s="7"/>
      <c r="M201" s="10" t="str">
        <f>"◇ポジションマッチ A" &amp; MOD(INT(($C$1 - '特殊配信マスタ'!$A$1) / 7), 3) + 1</f>
        <v>◇ポジションマッチ A2</v>
      </c>
      <c r="N201" s="11" t="str">
        <f>IFERROR(__xludf.DUMMYFUNCTION("IFERROR(TEXTJOIN(CHAR(10), TRUE, FILTER('特殊配信マスタ'!$C:$E, #REF!=N$1)), """")"),"")</f>
        <v/>
      </c>
      <c r="O201" s="7" t="str">
        <f>IFERROR(__xludf.DUMMYFUNCTION("IFERROR(TEXTJOIN(CHAR(10), TRUE, FILTER('特殊配信マスタ'!$C:$E, #REF!=O$1)), """")"),"")</f>
        <v/>
      </c>
      <c r="P201" s="7" t="str">
        <f t="array" ref="P201">IFERROR(XLOOKUP(M201, INDEX('特殊配信マスタ'!$C$3:$E$8, 0, MAX(1, ROW()-14)), '特殊配信マスタ'!$M$3:$N$8, ""),"")</f>
        <v/>
      </c>
      <c r="Q201" s="7"/>
      <c r="R201" s="10" t="str">
        <f>"◇ポジションマッチ A" &amp; MOD(INT(($C$1 - '特殊配信マスタ'!$A$1) / 7), 3) + 1</f>
        <v>◇ポジションマッチ A2</v>
      </c>
      <c r="S201" s="11" t="str">
        <f>IFERROR(__xludf.DUMMYFUNCTION("IFERROR(TEXTJOIN(CHAR(10), TRUE, FILTER('特殊配信マスタ'!$C:$E, #REF!=S$1)), """")"),"")</f>
        <v/>
      </c>
      <c r="T201" s="7" t="str">
        <f>IFERROR(__xludf.DUMMYFUNCTION("IFERROR(TEXTJOIN(CHAR(10), TRUE, FILTER('特殊配信マスタ'!$C:$E, #REF!=T$1)), """")"),"")</f>
        <v/>
      </c>
      <c r="U201" s="7" t="str">
        <f t="array" ref="U201">IFERROR(XLOOKUP(R201, INDEX('特殊配信マスタ'!$C$3:$E$8, 0, MAX(1, ROW()-14)), '特殊配信マスタ'!$M$3:$N$8, ""),"")</f>
        <v/>
      </c>
      <c r="V201" s="7"/>
      <c r="W201" s="10" t="str">
        <f>"◇ポジションマッチ A" &amp; MOD(INT(($C$1 - '特殊配信マスタ'!$A$1) / 7), 3) + 1</f>
        <v>◇ポジションマッチ A2</v>
      </c>
      <c r="X201" s="11" t="str">
        <f>IFERROR(__xludf.DUMMYFUNCTION("IFERROR(TEXTJOIN(CHAR(10), TRUE, FILTER('特殊配信マスタ'!$C:$E, #REF!=X$1)), """")"),"")</f>
        <v/>
      </c>
      <c r="Y201" s="7" t="str">
        <f>IFERROR(__xludf.DUMMYFUNCTION("IFERROR(TEXTJOIN(CHAR(10), TRUE, FILTER('特殊配信マスタ'!$C:$E, #REF!=Y$1)), """")"),"")</f>
        <v/>
      </c>
      <c r="Z201" s="7" t="str">
        <f t="array" ref="Z201">IFERROR(XLOOKUP(W201, INDEX('特殊配信マスタ'!$C$3:$E$8, 0, MAX(1, ROW()-14)), '特殊配信マスタ'!$M$3:$N$8, ""),"")</f>
        <v/>
      </c>
      <c r="AA201" s="7"/>
      <c r="AB201" s="10" t="str">
        <f>"◇ポジションマッチ A" &amp; MOD(INT(($C$1 - '特殊配信マスタ'!$A$1) / 7), 3) + 1</f>
        <v>◇ポジションマッチ A2</v>
      </c>
      <c r="AC201" s="11" t="str">
        <f>IFERROR(__xludf.DUMMYFUNCTION("IFERROR(TEXTJOIN(CHAR(10), TRUE, FILTER('特殊配信マスタ'!$C:$E, #REF!=AC$1)), """")"),"")</f>
        <v/>
      </c>
      <c r="AD201" s="7" t="str">
        <f>IFERROR(__xludf.DUMMYFUNCTION("IFERROR(TEXTJOIN(CHAR(10), TRUE, FILTER('特殊配信マスタ'!$C:$E, #REF!=AD$1)), """")"),"")</f>
        <v/>
      </c>
      <c r="AE201" s="7" t="str">
        <f t="array" ref="AE201">IFERROR(XLOOKUP(AB201, INDEX('特殊配信マスタ'!$C$3:$E$8, 0, MAX(1, ROW()-14)), '特殊配信マスタ'!$M$3:$N$8, ""),"")</f>
        <v/>
      </c>
      <c r="AF201" s="7"/>
      <c r="AG201" s="10" t="str">
        <f>"◇ポジションマッチ A" &amp; MOD(INT(($C$1 - '特殊配信マスタ'!$A$1) / 7), 3) + 1</f>
        <v>◇ポジションマッチ A2</v>
      </c>
      <c r="AH201" s="11" t="str">
        <f>IFERROR(__xludf.DUMMYFUNCTION("IFERROR(TEXTJOIN(CHAR(10), TRUE, FILTER('特殊配信マスタ'!$C:$E, #REF!=AH$1)), """")"),"")</f>
        <v/>
      </c>
      <c r="AI201" s="7" t="str">
        <f>IFERROR(__xludf.DUMMYFUNCTION("IFERROR(TEXTJOIN(CHAR(10), TRUE, FILTER('特殊配信マスタ'!$C:$E, #REF!=AI$1)), """")"),"")</f>
        <v/>
      </c>
      <c r="AJ201" s="7" t="str">
        <f t="array" ref="AJ201">IFERROR(XLOOKUP(AG201, INDEX('特殊配信マスタ'!$C$3:$E$8, 0, MAX(1, ROW()-14)), '特殊配信マスタ'!$M$3:$N$8, ""),"")</f>
        <v/>
      </c>
      <c r="AK201" s="7"/>
    </row>
    <row r="202" ht="17.25" customHeight="1">
      <c r="A202" s="8"/>
      <c r="B202" s="9"/>
      <c r="C202" s="10" t="str">
        <f>"◇ポジションマッチ_36歳以上 A" &amp; MOD(INT(($C$1 - '特殊配信マスタ'!$A$1) / 7), 3) + 1</f>
        <v>◇ポジションマッチ_36歳以上 A2</v>
      </c>
      <c r="D202" s="11"/>
      <c r="E202" s="7"/>
      <c r="F202" s="7" t="str">
        <f t="array" ref="F202">IFERROR(XLOOKUP(C202, INDEX('特殊配信マスタ'!$C$3:$E$8, 0, MAX(1, ROW()-14)), '特殊配信マスタ'!$M$3:$N$8, ""),"")</f>
        <v/>
      </c>
      <c r="G202" s="7"/>
      <c r="H202" s="10" t="str">
        <f>"◇ポジションマッチ_36歳以上 A" &amp; MOD(INT(($C$1 - '特殊配信マスタ'!$A$1) / 7), 3) + 1</f>
        <v>◇ポジションマッチ_36歳以上 A2</v>
      </c>
      <c r="I202" s="11"/>
      <c r="J202" s="7"/>
      <c r="K202" s="7" t="str">
        <f t="array" ref="K202">IFERROR(XLOOKUP(H202, INDEX('特殊配信マスタ'!$C$3:$E$8, 0, MAX(1, ROW()-14)), '特殊配信マスタ'!$M$3:$N$8, ""),"")</f>
        <v/>
      </c>
      <c r="L202" s="7"/>
      <c r="M202" s="10" t="str">
        <f>"◇ポジションマッチ_36歳以上 A" &amp; MOD(INT(($C$1 - '特殊配信マスタ'!$A$1) / 7), 3) + 1</f>
        <v>◇ポジションマッチ_36歳以上 A2</v>
      </c>
      <c r="N202" s="11"/>
      <c r="O202" s="7"/>
      <c r="P202" s="7" t="str">
        <f t="array" ref="P202">IFERROR(XLOOKUP(M202, INDEX('特殊配信マスタ'!$C$3:$E$8, 0, MAX(1, ROW()-14)), '特殊配信マスタ'!$M$3:$N$8, ""),"")</f>
        <v/>
      </c>
      <c r="Q202" s="7"/>
      <c r="R202" s="10" t="str">
        <f>"◇ポジションマッチ_36歳以上 A" &amp; MOD(INT(($C$1 - '特殊配信マスタ'!$A$1) / 7), 3) + 1</f>
        <v>◇ポジションマッチ_36歳以上 A2</v>
      </c>
      <c r="S202" s="11"/>
      <c r="T202" s="7"/>
      <c r="U202" s="7" t="str">
        <f t="array" ref="U202">IFERROR(XLOOKUP(R202, INDEX('特殊配信マスタ'!$C$3:$E$8, 0, MAX(1, ROW()-14)), '特殊配信マスタ'!$M$3:$N$8, ""),"")</f>
        <v/>
      </c>
      <c r="V202" s="7"/>
      <c r="W202" s="10" t="str">
        <f>"◇ポジションマッチ_36歳以上 A" &amp; MOD(INT(($C$1 - '特殊配信マスタ'!$A$1) / 7), 3) + 1</f>
        <v>◇ポジションマッチ_36歳以上 A2</v>
      </c>
      <c r="X202" s="11"/>
      <c r="Y202" s="7"/>
      <c r="Z202" s="7" t="str">
        <f t="array" ref="Z202">IFERROR(XLOOKUP(W202, INDEX('特殊配信マスタ'!$C$3:$E$8, 0, MAX(1, ROW()-14)), '特殊配信マスタ'!$M$3:$N$8, ""),"")</f>
        <v/>
      </c>
      <c r="AA202" s="7"/>
      <c r="AB202" s="10" t="str">
        <f>"◇ポジションマッチ_36歳以上 A" &amp; MOD(INT(($C$1 - '特殊配信マスタ'!$A$1) / 7), 3) + 1</f>
        <v>◇ポジションマッチ_36歳以上 A2</v>
      </c>
      <c r="AC202" s="11"/>
      <c r="AD202" s="7"/>
      <c r="AE202" s="7" t="str">
        <f t="array" ref="AE202">IFERROR(XLOOKUP(AB202, INDEX('特殊配信マスタ'!$C$3:$E$8, 0, MAX(1, ROW()-14)), '特殊配信マスタ'!$M$3:$N$8, ""),"")</f>
        <v/>
      </c>
      <c r="AF202" s="7"/>
      <c r="AG202" s="10" t="str">
        <f>"◇ポジションマッチ_36歳以上 A" &amp; MOD(INT(($C$1 - '特殊配信マスタ'!$A$1) / 7), 3) + 1</f>
        <v>◇ポジションマッチ_36歳以上 A2</v>
      </c>
      <c r="AH202" s="11"/>
      <c r="AI202" s="7"/>
      <c r="AJ202" s="7" t="str">
        <f t="array" ref="AJ202">IFERROR(XLOOKUP(AG202, INDEX('特殊配信マスタ'!$C$3:$E$8, 0, MAX(1, ROW()-14)), '特殊配信マスタ'!$M$3:$N$8, ""),"")</f>
        <v/>
      </c>
      <c r="AK202" s="7"/>
    </row>
    <row r="203" ht="17.25" customHeight="1">
      <c r="A203" s="8">
        <f>A188+1</f>
        <v>21</v>
      </c>
      <c r="B203" s="9" t="s">
        <v>5</v>
      </c>
      <c r="C203" s="10" t="str">
        <f>IFERROR(__xludf.DUMMYFUNCTION("IFERROR(FILTER('リスト'!$C$2:$C$400, ('リスト'!$A$2:$A$400 = CHOOSE(WEEKDAY(C$1), ""日"", ""月"", ""火"", ""水"", ""木"", ""金"", ""土"")) * ('リスト'!$B$2:$B$400 = $A203) * ('リスト'!$E$2:$E$400 = ""毎週配信"") * ('リスト'!$O$2:$O$400 = FALSE)), """")"),"WEB面接・コロナ対策")</f>
        <v>WEB面接・コロナ対策</v>
      </c>
      <c r="D203" s="11" t="str">
        <f>IFERROR(__xludf.DUMMYFUNCTION("iferror(FILTER('リスト'!$D:$D, ('リスト'!$A:$A = C$1) * ('リスト'!$B:$B = $A203)))"),"")</f>
        <v/>
      </c>
      <c r="E203" s="7">
        <f>SUM(D203:D216)</f>
        <v>0</v>
      </c>
      <c r="F203" s="7" t="str">
        <f t="array" ref="F203">IFERROR(XLOOKUP(C203, 'リスト'!$C:$C, 'リスト'!$M:$M, ""), "")</f>
        <v>R</v>
      </c>
      <c r="G203" s="7" t="str">
        <f t="array" ref="G203">IFERROR(XLOOKUP(C203, 'リスト'!$C:$C, 'リスト'!$N:$N, ""), "")</f>
        <v/>
      </c>
      <c r="H203" s="10" t="str">
        <f>IFERROR(__xludf.DUMMYFUNCTION("IFERROR(FILTER('リスト'!$C$2:$C$400, ('リスト'!$A$2:$A$400 = CHOOSE(WEEKDAY(H$1), ""日"", ""月"", ""火"", ""水"", ""木"", ""金"", ""土"")) * ('リスト'!$B$2:$B$400 = $A203) * ('リスト'!$E$2:$E$400 = ""毎週配信"") * ('リスト'!$O$2:$O$400 = FALSE)), """")"),"◇ウキにしか掲載していない求人")</f>
        <v>◇ウキにしか掲載していない求人</v>
      </c>
      <c r="I203" s="11" t="str">
        <f>IFERROR(__xludf.DUMMYFUNCTION("iferror(FILTER('リスト'!$D:$D, ('リスト'!$A:$A = H$1) * ('リスト'!$B:$B = $A203)))"),"")</f>
        <v/>
      </c>
      <c r="J203" s="7">
        <f>SUM(I203:I216)</f>
        <v>0</v>
      </c>
      <c r="K203" s="7" t="str">
        <f t="array" ref="K203">IFERROR(XLOOKUP(H203, 'リスト'!$C:$C, 'リスト'!$M:$M, ""), "")</f>
        <v>部</v>
      </c>
      <c r="L203" s="7" t="str">
        <f t="array" ref="L203">IFERROR(XLOOKUP(H203, 'リスト'!$C:$C, 'リスト'!$N:$N, ""), "")</f>
        <v>武</v>
      </c>
      <c r="M203" s="10" t="str">
        <f>IFERROR(__xludf.DUMMYFUNCTION("IFERROR(FILTER('リスト'!$C$2:$C$400, ('リスト'!$A$2:$A$400 = CHOOSE(WEEKDAY(M$1), ""日"", ""月"", ""火"", ""水"", ""木"", ""金"", ""土"")) * ('リスト'!$B$2:$B$400 = $A203) * ('リスト'!$E$2:$E$400 = ""毎週配信"") * ('リスト'!$O$2:$O$400 = FALSE)), """")"),"応募から1日_好条件事務ランキング")</f>
        <v>応募から1日_好条件事務ランキング</v>
      </c>
      <c r="N203" s="11" t="str">
        <f>IFERROR(__xludf.DUMMYFUNCTION("iferror(FILTER('リスト'!$D:$D, ('リスト'!$A:$A = M$1) * ('リスト'!$B:$B = $A203)))"),"")</f>
        <v/>
      </c>
      <c r="O203" s="7">
        <f>SUM(N203:N216)</f>
        <v>0</v>
      </c>
      <c r="P203" s="7" t="str">
        <f t="array" ref="P203">IFERROR(XLOOKUP(M203, 'リスト'!$C:$C, 'リスト'!$M:$M, ""), "")</f>
        <v>R</v>
      </c>
      <c r="Q203" s="7" t="str">
        <f t="array" ref="Q203">IFERROR(XLOOKUP(M203, 'リスト'!$C:$C, 'リスト'!$N:$N, ""), "")</f>
        <v/>
      </c>
      <c r="R203" s="10" t="str">
        <f>IFERROR(__xludf.DUMMYFUNCTION("IFERROR(FILTER('リスト'!$C$2:$C$400, ('リスト'!$A$2:$A$400 = CHOOSE(WEEKDAY(R$1), ""日"", ""月"", ""火"", ""水"", ""木"", ""金"", ""土"")) * ('リスト'!$B$2:$B$400 = $A203) * ('リスト'!$E$2:$E$400 = ""毎週配信"") * ('リスト'!$O$2:$O$400 = FALSE)), """")"),"ウルトラ好条件")</f>
        <v>ウルトラ好条件</v>
      </c>
      <c r="S203" s="11" t="str">
        <f>IFERROR(__xludf.DUMMYFUNCTION("iferror(FILTER('リスト'!$D:$D, ('リスト'!$A:$A = R$1) * ('リスト'!$B:$B = $A203)))"),"")</f>
        <v/>
      </c>
      <c r="T203" s="7">
        <f>SUM(S203:S216)</f>
        <v>0</v>
      </c>
      <c r="U203" s="7" t="str">
        <f t="array" ref="U203">IFERROR(XLOOKUP(R203, 'リスト'!$C:$C, 'リスト'!$M:$M, ""), "")</f>
        <v>R</v>
      </c>
      <c r="V203" s="7" t="str">
        <f t="array" ref="V203">IFERROR(XLOOKUP(R203, 'リスト'!$C:$C, 'リスト'!$N:$N, ""), "")</f>
        <v/>
      </c>
      <c r="W203" s="10" t="str">
        <f>IFERROR(__xludf.DUMMYFUNCTION("IFERROR(FILTER('リスト'!$C$2:$C$400, ('リスト'!$A$2:$A$400 = CHOOSE(WEEKDAY(W$1), ""日"", ""月"", ""火"", ""水"", ""木"", ""金"", ""土"")) * ('リスト'!$B$2:$B$400 = $A203) * ('リスト'!$E$2:$E$400 = ""毎週配信"") * ('リスト'!$O$2:$O$400 = FALSE)), """")"),"応募から1日_好条件事務ランキング")</f>
        <v>応募から1日_好条件事務ランキング</v>
      </c>
      <c r="X203" s="11" t="str">
        <f>IFERROR(__xludf.DUMMYFUNCTION("iferror(FILTER('リスト'!$D:$D, ('リスト'!$A:$A = W$1) * ('リスト'!$B:$B = $A203)))"),"")</f>
        <v/>
      </c>
      <c r="Y203" s="7">
        <f>SUM(X203:X216)</f>
        <v>0</v>
      </c>
      <c r="Z203" s="7" t="str">
        <f t="array" ref="Z203">IFERROR(XLOOKUP(W203, 'リスト'!$C:$C, 'リスト'!$M:$M, ""), "")</f>
        <v>R</v>
      </c>
      <c r="AA203" s="7" t="str">
        <f t="array" ref="AA203">IFERROR(XLOOKUP(W203, 'リスト'!$C:$C, 'リスト'!$N:$N, ""), "")</f>
        <v/>
      </c>
      <c r="AB203" s="10" t="str">
        <f>IFERROR(__xludf.DUMMYFUNCTION("IFERROR(FILTER('リスト'!$C$2:$C$400, ('リスト'!$A$2:$A$400 = CHOOSE(WEEKDAY(AB$1), ""日"", ""月"", ""火"", ""水"", ""木"", ""金"", ""土"")) * ('リスト'!$B$2:$B$400 = $A203) * ('リスト'!$E$2:$E$400 = ""毎週配信"") * ('リスト'!$O$2:$O$400 = FALSE)), """")"),"リモート_ランキング")</f>
        <v>リモート_ランキング</v>
      </c>
      <c r="AC203" s="11" t="str">
        <f>IFERROR(__xludf.DUMMYFUNCTION("iferror(FILTER('リスト'!$D:$D, ('リスト'!$A:$A = AB$1) * ('リスト'!$B:$B = $A203)))"),"")</f>
        <v/>
      </c>
      <c r="AD203" s="7">
        <f>SUM(AC203:AC216)</f>
        <v>0</v>
      </c>
      <c r="AE203" s="7" t="str">
        <f t="array" ref="AE203">IFERROR(XLOOKUP(AB203, 'リスト'!$C:$C, 'リスト'!$M:$M, ""), "")</f>
        <v>R</v>
      </c>
      <c r="AF203" s="7" t="str">
        <f t="array" ref="AF203">IFERROR(XLOOKUP(AB203, 'リスト'!$C:$C, 'リスト'!$N:$N, ""), "")</f>
        <v/>
      </c>
      <c r="AG203" s="10" t="str">
        <f>IFERROR(__xludf.DUMMYFUNCTION("IFERROR(FILTER('リスト'!$C$2:$C$400, ('リスト'!$A$2:$A$400 = CHOOSE(WEEKDAY(AG$1), ""日"", ""月"", ""火"", ""水"", ""木"", ""金"", ""土"")) * ('リスト'!$B$2:$B$400 = $A203) * ('リスト'!$E$2:$E$400 = ""毎週配信"") * ('リスト'!$O$2:$O$400 = FALSE)), """")"),"フルフレックス")</f>
        <v>フルフレックス</v>
      </c>
      <c r="AH203" s="11" t="str">
        <f>IFERROR(__xludf.DUMMYFUNCTION("iferror(FILTER('リスト'!$D:$D, ('リスト'!$A:$A = AG$1) * ('リスト'!$B:$B = $A203)))"),"")</f>
        <v/>
      </c>
      <c r="AI203" s="7">
        <f>SUM(AH203:AH216)</f>
        <v>0</v>
      </c>
      <c r="AJ203" s="7" t="str">
        <f t="array" ref="AJ203">IFERROR(XLOOKUP(AG203, 'リスト'!$C:$C, 'リスト'!$M:$M, ""), "")</f>
        <v>R</v>
      </c>
      <c r="AK203" s="7" t="str">
        <f t="array" ref="AK203">IFERROR(XLOOKUP(AG203, 'リスト'!$C:$C, 'リスト'!$N:$N, ""), "")</f>
        <v/>
      </c>
    </row>
    <row r="204" ht="17.25" customHeight="1">
      <c r="A204" s="8"/>
      <c r="B204" s="9"/>
      <c r="C204" s="12" t="str">
        <f>IFERROR(__xludf.DUMMYFUNCTION("""COMPUTED_VALUE"""),"ランキング_事務（貿易事務）_希望")</f>
        <v>ランキング_事務（貿易事務）_希望</v>
      </c>
      <c r="D204" s="7"/>
      <c r="E204" s="7"/>
      <c r="F204" s="7" t="str">
        <f t="array" ref="F204">IFERROR(XLOOKUP(C204, 'リスト'!$C:$C, 'リスト'!$M:$M, ""), "")</f>
        <v>R</v>
      </c>
      <c r="G204" s="7" t="str">
        <f t="array" ref="G204">IFERROR(XLOOKUP(C204, 'リスト'!$C:$C, 'リスト'!$N:$N, ""), "")</f>
        <v/>
      </c>
      <c r="H204" s="12" t="str">
        <f>IFERROR(__xludf.DUMMYFUNCTION("""COMPUTED_VALUE"""),"応募から1日_好条件事務ランキング")</f>
        <v>応募から1日_好条件事務ランキング</v>
      </c>
      <c r="I204" s="7"/>
      <c r="J204" s="7"/>
      <c r="K204" s="7" t="str">
        <f t="array" ref="K204">IFERROR(XLOOKUP(H204, 'リスト'!$C:$C, 'リスト'!$M:$M, ""), "")</f>
        <v>R</v>
      </c>
      <c r="L204" s="7" t="str">
        <f t="array" ref="L204">IFERROR(XLOOKUP(H204, 'リスト'!$C:$C, 'リスト'!$N:$N, ""), "")</f>
        <v/>
      </c>
      <c r="M204" s="12" t="str">
        <f>IFERROR(__xludf.DUMMYFUNCTION("""COMPUTED_VALUE"""),"応募から3日会員")</f>
        <v>応募から3日会員</v>
      </c>
      <c r="N204" s="7"/>
      <c r="O204" s="7"/>
      <c r="P204" s="7" t="str">
        <f t="array" ref="P204">IFERROR(XLOOKUP(M204, 'リスト'!$C:$C, 'リスト'!$M:$M, ""), "")</f>
        <v>R</v>
      </c>
      <c r="Q204" s="7" t="str">
        <f t="array" ref="Q204">IFERROR(XLOOKUP(M204, 'リスト'!$C:$C, 'リスト'!$N:$N, ""), "")</f>
        <v/>
      </c>
      <c r="R204" s="12" t="str">
        <f>IFERROR(__xludf.DUMMYFUNCTION("""COMPUTED_VALUE"""),"応募から1日_好条件事務ランキング")</f>
        <v>応募から1日_好条件事務ランキング</v>
      </c>
      <c r="S204" s="7"/>
      <c r="T204" s="7"/>
      <c r="U204" s="7" t="str">
        <f t="array" ref="U204">IFERROR(XLOOKUP(R204, 'リスト'!$C:$C, 'リスト'!$M:$M, ""), "")</f>
        <v>R</v>
      </c>
      <c r="V204" s="7" t="str">
        <f t="array" ref="V204">IFERROR(XLOOKUP(R204, 'リスト'!$C:$C, 'リスト'!$N:$N, ""), "")</f>
        <v/>
      </c>
      <c r="W204" s="12" t="str">
        <f>IFERROR(__xludf.DUMMYFUNCTION("""COMPUTED_VALUE"""),"応募から3日会員")</f>
        <v>応募から3日会員</v>
      </c>
      <c r="X204" s="7"/>
      <c r="Y204" s="7"/>
      <c r="Z204" s="7" t="str">
        <f t="array" ref="Z204">IFERROR(XLOOKUP(W204, 'リスト'!$C:$C, 'リスト'!$M:$M, ""), "")</f>
        <v>R</v>
      </c>
      <c r="AA204" s="7" t="str">
        <f t="array" ref="AA204">IFERROR(XLOOKUP(W204, 'リスト'!$C:$C, 'リスト'!$N:$N, ""), "")</f>
        <v/>
      </c>
      <c r="AB204" s="12" t="str">
        <f>IFERROR(__xludf.DUMMYFUNCTION("""COMPUTED_VALUE"""),"応募から1日_好条件事務ランキング")</f>
        <v>応募から1日_好条件事務ランキング</v>
      </c>
      <c r="AC204" s="7"/>
      <c r="AD204" s="7"/>
      <c r="AE204" s="7" t="str">
        <f t="array" ref="AE204">IFERROR(XLOOKUP(AB204, 'リスト'!$C:$C, 'リスト'!$M:$M, ""), "")</f>
        <v>R</v>
      </c>
      <c r="AF204" s="7" t="str">
        <f t="array" ref="AF204">IFERROR(XLOOKUP(AB204, 'リスト'!$C:$C, 'リスト'!$N:$N, ""), "")</f>
        <v/>
      </c>
      <c r="AG204" s="12" t="str">
        <f>IFERROR(__xludf.DUMMYFUNCTION("""COMPUTED_VALUE"""),"営業_カタカナ職業")</f>
        <v>営業_カタカナ職業</v>
      </c>
      <c r="AH204" s="7"/>
      <c r="AI204" s="7"/>
      <c r="AJ204" s="7" t="str">
        <f t="array" ref="AJ204">IFERROR(XLOOKUP(AG204, 'リスト'!$C:$C, 'リスト'!$M:$M, ""), "")</f>
        <v>R</v>
      </c>
      <c r="AK204" s="7" t="str">
        <f t="array" ref="AK204">IFERROR(XLOOKUP(AG204, 'リスト'!$C:$C, 'リスト'!$N:$N, ""), "")</f>
        <v/>
      </c>
    </row>
    <row r="205" ht="17.25" customHeight="1">
      <c r="A205" s="8"/>
      <c r="B205" s="9"/>
      <c r="C205" s="10" t="str">
        <f>IFERROR(__xludf.DUMMYFUNCTION("""COMPUTED_VALUE"""),"応募から1日_好条件事務ランキング")</f>
        <v>応募から1日_好条件事務ランキング</v>
      </c>
      <c r="D205" s="13"/>
      <c r="E205" s="7"/>
      <c r="F205" s="7" t="str">
        <f t="array" ref="F205">IFERROR(XLOOKUP(C205, 'リスト'!$C:$C, 'リスト'!$M:$M, ""), "")</f>
        <v>R</v>
      </c>
      <c r="G205" s="7" t="str">
        <f t="array" ref="G205">IFERROR(XLOOKUP(C205, 'リスト'!$C:$C, 'リスト'!$N:$N, ""), "")</f>
        <v/>
      </c>
      <c r="H205" s="10" t="str">
        <f>IFERROR(__xludf.DUMMYFUNCTION("""COMPUTED_VALUE"""),"応募から3日会員")</f>
        <v>応募から3日会員</v>
      </c>
      <c r="I205" s="13"/>
      <c r="J205" s="7"/>
      <c r="K205" s="7" t="str">
        <f t="array" ref="K205">IFERROR(XLOOKUP(H205, 'リスト'!$C:$C, 'リスト'!$M:$M, ""), "")</f>
        <v>R</v>
      </c>
      <c r="L205" s="7" t="str">
        <f t="array" ref="L205">IFERROR(XLOOKUP(H205, 'リスト'!$C:$C, 'リスト'!$N:$N, ""), "")</f>
        <v/>
      </c>
      <c r="M205" s="10" t="str">
        <f>IFERROR(__xludf.DUMMYFUNCTION("""COMPUTED_VALUE"""),"学歴不問×大手上場企業")</f>
        <v>学歴不問×大手上場企業</v>
      </c>
      <c r="N205" s="13"/>
      <c r="O205" s="7"/>
      <c r="P205" s="7" t="str">
        <f t="array" ref="P205">IFERROR(XLOOKUP(M205, 'リスト'!$C:$C, 'リスト'!$M:$M, ""), "")</f>
        <v>R</v>
      </c>
      <c r="Q205" s="7" t="str">
        <f t="array" ref="Q205">IFERROR(XLOOKUP(M205, 'リスト'!$C:$C, 'リスト'!$N:$N, ""), "")</f>
        <v/>
      </c>
      <c r="R205" s="10" t="str">
        <f>IFERROR(__xludf.DUMMYFUNCTION("""COMPUTED_VALUE"""),"応募から3日会員")</f>
        <v>応募から3日会員</v>
      </c>
      <c r="S205" s="13"/>
      <c r="T205" s="7"/>
      <c r="U205" s="7" t="str">
        <f t="array" ref="U205">IFERROR(XLOOKUP(R205, 'リスト'!$C:$C, 'リスト'!$M:$M, ""), "")</f>
        <v>R</v>
      </c>
      <c r="V205" s="7" t="str">
        <f t="array" ref="V205">IFERROR(XLOOKUP(R205, 'リスト'!$C:$C, 'リスト'!$N:$N, ""), "")</f>
        <v/>
      </c>
      <c r="W205" s="10" t="str">
        <f>IFERROR(__xludf.DUMMYFUNCTION("""COMPUTED_VALUE"""),"月給30万以上_ランキング")</f>
        <v>月給30万以上_ランキング</v>
      </c>
      <c r="X205" s="13"/>
      <c r="Y205" s="7"/>
      <c r="Z205" s="7" t="str">
        <f t="array" ref="Z205">IFERROR(XLOOKUP(W205, 'リスト'!$C:$C, 'リスト'!$M:$M, ""), "")</f>
        <v>R</v>
      </c>
      <c r="AA205" s="7" t="str">
        <f t="array" ref="AA205">IFERROR(XLOOKUP(W205, 'リスト'!$C:$C, 'リスト'!$N:$N, ""), "")</f>
        <v/>
      </c>
      <c r="AB205" s="10" t="str">
        <f>IFERROR(__xludf.DUMMYFUNCTION("""COMPUTED_VALUE"""),"応募から3日会員")</f>
        <v>応募から3日会員</v>
      </c>
      <c r="AC205" s="13"/>
      <c r="AD205" s="7"/>
      <c r="AE205" s="7" t="str">
        <f t="array" ref="AE205">IFERROR(XLOOKUP(AB205, 'リスト'!$C:$C, 'リスト'!$M:$M, ""), "")</f>
        <v>R</v>
      </c>
      <c r="AF205" s="7" t="str">
        <f t="array" ref="AF205">IFERROR(XLOOKUP(AB205, 'リスト'!$C:$C, 'リスト'!$N:$N, ""), "")</f>
        <v/>
      </c>
      <c r="AG205" s="10" t="str">
        <f>IFERROR(__xludf.DUMMYFUNCTION("""COMPUTED_VALUE"""),"応募から1日_好条件事務ランキング")</f>
        <v>応募から1日_好条件事務ランキング</v>
      </c>
      <c r="AH205" s="13"/>
      <c r="AI205" s="7"/>
      <c r="AJ205" s="7" t="str">
        <f t="array" ref="AJ205">IFERROR(XLOOKUP(AG205, 'リスト'!$C:$C, 'リスト'!$M:$M, ""), "")</f>
        <v>R</v>
      </c>
      <c r="AK205" s="7" t="str">
        <f t="array" ref="AK205">IFERROR(XLOOKUP(AG205, 'リスト'!$C:$C, 'リスト'!$N:$N, ""), "")</f>
        <v/>
      </c>
    </row>
    <row r="206" ht="17.25" customHeight="1">
      <c r="A206" s="8"/>
      <c r="B206" s="9"/>
      <c r="C206" s="14" t="str">
        <f>IFERROR(__xludf.DUMMYFUNCTION("""COMPUTED_VALUE"""),"応募から3日会員")</f>
        <v>応募から3日会員</v>
      </c>
      <c r="D206" s="15"/>
      <c r="E206" s="7"/>
      <c r="F206" s="7" t="str">
        <f t="array" ref="F206">IFERROR(XLOOKUP(C206, 'リスト'!$C:$C, 'リスト'!$M:$M, ""), "")</f>
        <v>R</v>
      </c>
      <c r="G206" s="7" t="str">
        <f t="array" ref="G206">IFERROR(XLOOKUP(C206, 'リスト'!$C:$C, 'リスト'!$N:$N, ""), "")</f>
        <v/>
      </c>
      <c r="H206" s="14" t="str">
        <f>IFERROR(__xludf.DUMMYFUNCTION("""COMPUTED_VALUE"""),"年収UP_営業")</f>
        <v>年収UP_営業</v>
      </c>
      <c r="I206" s="15"/>
      <c r="J206" s="7"/>
      <c r="K206" s="7" t="str">
        <f t="array" ref="K206">IFERROR(XLOOKUP(H206, 'リスト'!$C:$C, 'リスト'!$M:$M, ""), "")</f>
        <v>R</v>
      </c>
      <c r="L206" s="7" t="str">
        <f t="array" ref="L206">IFERROR(XLOOKUP(H206, 'リスト'!$C:$C, 'リスト'!$N:$N, ""), "")</f>
        <v/>
      </c>
      <c r="M206" s="14" t="str">
        <f>IFERROR(__xludf.DUMMYFUNCTION("""COMPUTED_VALUE"""),"新働きやすさ_A")</f>
        <v>新働きやすさ_A</v>
      </c>
      <c r="N206" s="15"/>
      <c r="O206" s="7"/>
      <c r="P206" s="7" t="str">
        <f t="array" ref="P206">IFERROR(XLOOKUP(M206, 'リスト'!$C:$C, 'リスト'!$M:$M, ""), "")</f>
        <v>R</v>
      </c>
      <c r="Q206" s="7" t="str">
        <f t="array" ref="Q206">IFERROR(XLOOKUP(M206, 'リスト'!$C:$C, 'リスト'!$N:$N, ""), "")</f>
        <v/>
      </c>
      <c r="R206" s="14" t="str">
        <f>IFERROR(__xludf.DUMMYFUNCTION("""COMPUTED_VALUE"""),"希望業種_人材サービス")</f>
        <v>希望業種_人材サービス</v>
      </c>
      <c r="S206" s="15"/>
      <c r="T206" s="7"/>
      <c r="U206" s="7" t="str">
        <f t="array" ref="U206">IFERROR(XLOOKUP(R206, 'リスト'!$C:$C, 'リスト'!$M:$M, ""), "")</f>
        <v>R</v>
      </c>
      <c r="V206" s="7" t="str">
        <f t="array" ref="V206">IFERROR(XLOOKUP(R206, 'リスト'!$C:$C, 'リスト'!$N:$N, ""), "")</f>
        <v/>
      </c>
      <c r="W206" s="14" t="str">
        <f>IFERROR(__xludf.DUMMYFUNCTION("""COMPUTED_VALUE"""),"検討中ランキング_クリエイティブ")</f>
        <v>検討中ランキング_クリエイティブ</v>
      </c>
      <c r="X206" s="15"/>
      <c r="Y206" s="7"/>
      <c r="Z206" s="7" t="str">
        <f t="array" ref="Z206">IFERROR(XLOOKUP(W206, 'リスト'!$C:$C, 'リスト'!$M:$M, ""), "")</f>
        <v>R</v>
      </c>
      <c r="AA206" s="7" t="str">
        <f t="array" ref="AA206">IFERROR(XLOOKUP(W206, 'リスト'!$C:$C, 'リスト'!$N:$N, ""), "")</f>
        <v/>
      </c>
      <c r="AB206" s="14" t="str">
        <f>IFERROR(__xludf.DUMMYFUNCTION("""COMPUTED_VALUE"""),"名駅・栄駅で働く")</f>
        <v>名駅・栄駅で働く</v>
      </c>
      <c r="AC206" s="15"/>
      <c r="AD206" s="7"/>
      <c r="AE206" s="7" t="str">
        <f t="array" ref="AE206">IFERROR(XLOOKUP(AB206, 'リスト'!$C:$C, 'リスト'!$M:$M, ""), "")</f>
        <v>R</v>
      </c>
      <c r="AF206" s="7" t="str">
        <f t="array" ref="AF206">IFERROR(XLOOKUP(AB206, 'リスト'!$C:$C, 'リスト'!$N:$N, ""), "")</f>
        <v/>
      </c>
      <c r="AG206" s="14" t="str">
        <f>IFERROR(__xludf.DUMMYFUNCTION("""COMPUTED_VALUE"""),"応募から3日会員")</f>
        <v>応募から3日会員</v>
      </c>
      <c r="AH206" s="15"/>
      <c r="AI206" s="7"/>
      <c r="AJ206" s="7" t="str">
        <f t="array" ref="AJ206">IFERROR(XLOOKUP(AG206, 'リスト'!$C:$C, 'リスト'!$M:$M, ""), "")</f>
        <v>R</v>
      </c>
      <c r="AK206" s="7" t="str">
        <f t="array" ref="AK206">IFERROR(XLOOKUP(AG206, 'リスト'!$C:$C, 'リスト'!$N:$N, ""), "")</f>
        <v/>
      </c>
    </row>
    <row r="207" ht="17.25" customHeight="1">
      <c r="A207" s="8"/>
      <c r="B207" s="9"/>
      <c r="C207" s="14"/>
      <c r="D207" s="13"/>
      <c r="E207" s="7"/>
      <c r="F207" s="7"/>
      <c r="G207" s="7"/>
      <c r="H207" s="14" t="str">
        <f>IFERROR(__xludf.DUMMYFUNCTION("""COMPUTED_VALUE"""),"年収UP_事務")</f>
        <v>年収UP_事務</v>
      </c>
      <c r="I207" s="13"/>
      <c r="J207" s="7"/>
      <c r="K207" s="7"/>
      <c r="L207" s="7"/>
      <c r="M207" s="14" t="str">
        <f>IFERROR(__xludf.DUMMYFUNCTION("""COMPUTED_VALUE"""),"新働きやすさ_A_関西")</f>
        <v>新働きやすさ_A_関西</v>
      </c>
      <c r="N207" s="13"/>
      <c r="O207" s="7"/>
      <c r="P207" s="7"/>
      <c r="Q207" s="7"/>
      <c r="R207" s="14"/>
      <c r="S207" s="13"/>
      <c r="T207" s="7"/>
      <c r="U207" s="7"/>
      <c r="V207" s="7"/>
      <c r="W207" s="14" t="str">
        <f>IFERROR(__xludf.DUMMYFUNCTION("""COMPUTED_VALUE"""),"検討中ランキング_販サ")</f>
        <v>検討中ランキング_販サ</v>
      </c>
      <c r="X207" s="13"/>
      <c r="Y207" s="7"/>
      <c r="Z207" s="7"/>
      <c r="AA207" s="7"/>
      <c r="AB207" s="14"/>
      <c r="AC207" s="13"/>
      <c r="AD207" s="7"/>
      <c r="AE207" s="7"/>
      <c r="AF207" s="7"/>
      <c r="AG207" s="14"/>
      <c r="AH207" s="13"/>
      <c r="AI207" s="7"/>
      <c r="AJ207" s="7"/>
      <c r="AK207" s="7"/>
    </row>
    <row r="208" ht="17.25" customHeight="1">
      <c r="A208" s="8"/>
      <c r="B208" s="9"/>
      <c r="C208" s="14"/>
      <c r="D208" s="13"/>
      <c r="E208" s="7"/>
      <c r="F208" s="7"/>
      <c r="G208" s="7"/>
      <c r="H208" s="14" t="str">
        <f>IFERROR(__xludf.DUMMYFUNCTION("""COMPUTED_VALUE"""),"年収UP_販サ")</f>
        <v>年収UP_販サ</v>
      </c>
      <c r="I208" s="13"/>
      <c r="J208" s="7"/>
      <c r="K208" s="7"/>
      <c r="L208" s="7"/>
      <c r="M208" s="14" t="str">
        <f>IFERROR(__xludf.DUMMYFUNCTION("""COMPUTED_VALUE"""),"髪色・服装自由_事務")</f>
        <v>髪色・服装自由_事務</v>
      </c>
      <c r="N208" s="13"/>
      <c r="O208" s="7"/>
      <c r="P208" s="7"/>
      <c r="Q208" s="7"/>
      <c r="R208" s="14"/>
      <c r="S208" s="13"/>
      <c r="T208" s="7"/>
      <c r="U208" s="7"/>
      <c r="V208" s="7"/>
      <c r="W208" s="14" t="str">
        <f>IFERROR(__xludf.DUMMYFUNCTION("""COMPUTED_VALUE"""),"事務（一般事務）_希望")</f>
        <v>事務（一般事務）_希望</v>
      </c>
      <c r="X208" s="13"/>
      <c r="Y208" s="7"/>
      <c r="Z208" s="7"/>
      <c r="AA208" s="7"/>
      <c r="AB208" s="14"/>
      <c r="AC208" s="13"/>
      <c r="AD208" s="7"/>
      <c r="AE208" s="7"/>
      <c r="AF208" s="7"/>
      <c r="AG208" s="14"/>
      <c r="AH208" s="13"/>
      <c r="AI208" s="7"/>
      <c r="AJ208" s="7"/>
      <c r="AK208" s="7"/>
    </row>
    <row r="209" ht="17.25" customHeight="1">
      <c r="A209" s="8"/>
      <c r="B209" s="9"/>
      <c r="C209" s="14"/>
      <c r="D209" s="13"/>
      <c r="E209" s="7"/>
      <c r="F209" s="7"/>
      <c r="G209" s="7"/>
      <c r="H209" s="14"/>
      <c r="I209" s="13"/>
      <c r="J209" s="7"/>
      <c r="K209" s="7"/>
      <c r="L209" s="7"/>
      <c r="M209" s="14"/>
      <c r="N209" s="13"/>
      <c r="O209" s="7"/>
      <c r="P209" s="7"/>
      <c r="Q209" s="7"/>
      <c r="R209" s="14"/>
      <c r="S209" s="13"/>
      <c r="T209" s="7"/>
      <c r="U209" s="7"/>
      <c r="V209" s="7"/>
      <c r="W209" s="14"/>
      <c r="X209" s="13"/>
      <c r="Y209" s="7"/>
      <c r="Z209" s="7"/>
      <c r="AA209" s="7"/>
      <c r="AB209" s="14"/>
      <c r="AC209" s="13"/>
      <c r="AD209" s="7"/>
      <c r="AE209" s="7"/>
      <c r="AF209" s="7"/>
      <c r="AG209" s="14"/>
      <c r="AH209" s="13"/>
      <c r="AI209" s="7"/>
      <c r="AJ209" s="7"/>
      <c r="AK209" s="7"/>
    </row>
    <row r="210" ht="17.25" customHeight="1">
      <c r="A210" s="8"/>
      <c r="B210" s="9"/>
      <c r="C210" s="14"/>
      <c r="D210" s="13"/>
      <c r="E210" s="7"/>
      <c r="F210" s="7"/>
      <c r="G210" s="7"/>
      <c r="H210" s="14"/>
      <c r="I210" s="13"/>
      <c r="J210" s="7"/>
      <c r="K210" s="7"/>
      <c r="L210" s="7"/>
      <c r="M210" s="14"/>
      <c r="N210" s="13"/>
      <c r="O210" s="7"/>
      <c r="P210" s="7"/>
      <c r="Q210" s="7"/>
      <c r="R210" s="14"/>
      <c r="S210" s="13"/>
      <c r="T210" s="7"/>
      <c r="U210" s="7"/>
      <c r="V210" s="7"/>
      <c r="W210" s="14"/>
      <c r="X210" s="13"/>
      <c r="Y210" s="7"/>
      <c r="Z210" s="7"/>
      <c r="AA210" s="7"/>
      <c r="AB210" s="14"/>
      <c r="AC210" s="13"/>
      <c r="AD210" s="7"/>
      <c r="AE210" s="7"/>
      <c r="AF210" s="7"/>
      <c r="AG210" s="14"/>
      <c r="AH210" s="13"/>
      <c r="AI210" s="7"/>
      <c r="AJ210" s="7"/>
      <c r="AK210" s="7"/>
    </row>
    <row r="211" ht="17.25" customHeight="1">
      <c r="A211" s="8"/>
      <c r="B211" s="9" t="s">
        <v>6</v>
      </c>
      <c r="C211" s="10" t="str">
        <f>IFERROR(__xludf.DUMMYFUNCTION("iferror(FILTER('新規'!$C:$C, ('新規'!$A:$A = C$1) * ('新規'!$B:$B = $A203)))"),"フルリモート×フレックス_エンジニア")</f>
        <v>フルリモート×フレックス_エンジニア</v>
      </c>
      <c r="D211" s="11" t="str">
        <f>IFERROR(__xludf.DUMMYFUNCTION("IFERROR(FILTER('新規'!$D$2:$D$400, ('新規'!$A$2:$A$400 = CHOOSE(WEEKDAY(C$1), ""日"", ""月"", ""火"", ""水"", ""木"", ""金"", ""土"")) * ('新規'!$B$2:$B$400 = $A$3) * ('新規'!$O$2:$O$400 = FALSE)), """")"),"")</f>
        <v/>
      </c>
      <c r="E211" s="7"/>
      <c r="F211" s="7" t="str">
        <f>IFERROR(__xludf.DUMMYFUNCTION("IFERROR(FILTER('新規'!$M$2:$M$400, ('新規'!$A$2:$A$400 = CHOOSE(WEEKDAY(C$1), ""日"", ""月"", ""火"", ""水"", ""木"", ""金"", ""土"")) * ('新規'!$B$2:$B$400 = $A$3) * ('新規'!$O$2:$O$400 = FALSE)), """")"),"")</f>
        <v/>
      </c>
      <c r="G211" s="7" t="str">
        <f>IFERROR(__xludf.DUMMYFUNCTION("IFERROR(FILTER('新規'!$N$2:$N$400, ('新規'!$A$2:$A$400 = CHOOSE(WEEKDAY(C$1), ""日"", ""月"", ""火"", ""水"", ""木"", ""金"", ""土"")) * ('新規'!$B$2:$B$400 = $A$3) * ('新規'!$O$2:$O$400 = FALSE)), """")"),"")</f>
        <v/>
      </c>
      <c r="H211" s="10" t="str">
        <f>IFERROR(__xludf.DUMMYFUNCTION("iferror(FILTER('新規'!$C:$C, ('新規'!$A:$A = H$1) * ('新規'!$B:$B = $A203)))"),"")</f>
        <v/>
      </c>
      <c r="I211" s="11" t="str">
        <f>IFERROR(__xludf.DUMMYFUNCTION("IFERROR(FILTER('新規'!$D$2:$D$400, ('新規'!$A$2:$A$400 = CHOOSE(WEEKDAY(H$1), ""日"", ""月"", ""火"", ""水"", ""木"", ""金"", ""土"")) * ('新規'!$B$2:$B$400 = $A$3) * ('新規'!$O$2:$O$400 = FALSE)), """")"),"")</f>
        <v/>
      </c>
      <c r="J211" s="7"/>
      <c r="K211" s="7" t="str">
        <f>IFERROR(__xludf.DUMMYFUNCTION("IFERROR(FILTER('新規'!$M$2:$M$400, ('新規'!$A$2:$A$400 = CHOOSE(WEEKDAY(H$1), ""日"", ""月"", ""火"", ""水"", ""木"", ""金"", ""土"")) * ('新規'!$B$2:$B$400 = $A$3) * ('新規'!$O$2:$O$400 = FALSE)), """")"),"")</f>
        <v/>
      </c>
      <c r="L211" s="7" t="str">
        <f>IFERROR(__xludf.DUMMYFUNCTION("IFERROR(FILTER('新規'!$N$2:$N$400, ('新規'!$A$2:$A$400 = CHOOSE(WEEKDAY(H$1), ""日"", ""月"", ""火"", ""水"", ""木"", ""金"", ""土"")) * ('新規'!$B$2:$B$400 = $A$3) * ('新規'!$O$2:$O$400 = FALSE)), """")"),"")</f>
        <v/>
      </c>
      <c r="M211" s="10" t="str">
        <f>IFERROR(__xludf.DUMMYFUNCTION("iferror(FILTER('新規'!$C:$C, ('新規'!$A:$A = M$1) * ('新規'!$B:$B = $A203)))"),"")</f>
        <v/>
      </c>
      <c r="N211" s="11" t="str">
        <f>IFERROR(__xludf.DUMMYFUNCTION("IFERROR(FILTER('新規'!$D$2:$D$400, ('新規'!$A$2:$A$400 = CHOOSE(WEEKDAY(M$1), ""日"", ""月"", ""火"", ""水"", ""木"", ""金"", ""土"")) * ('新規'!$B$2:$B$400 = $A$3) * ('新規'!$O$2:$O$400 = FALSE)), """")"),"")</f>
        <v/>
      </c>
      <c r="O211" s="7"/>
      <c r="P211" s="7" t="str">
        <f>IFERROR(__xludf.DUMMYFUNCTION("IFERROR(FILTER('新規'!$M$2:$M$400, ('新規'!$A$2:$A$400 = CHOOSE(WEEKDAY(M$1), ""日"", ""月"", ""火"", ""水"", ""木"", ""金"", ""土"")) * ('新規'!$B$2:$B$400 = $A$3) * ('新規'!$O$2:$O$400 = FALSE)), """")"),"")</f>
        <v/>
      </c>
      <c r="Q211" s="7" t="str">
        <f>IFERROR(__xludf.DUMMYFUNCTION("IFERROR(FILTER('新規'!$N$2:$N$400, ('新規'!$A$2:$A$400 = CHOOSE(WEEKDAY(M$1), ""日"", ""月"", ""火"", ""水"", ""木"", ""金"", ""土"")) * ('新規'!$B$2:$B$400 = $A$3) * ('新規'!$O$2:$O$400 = FALSE)), """")"),"")</f>
        <v/>
      </c>
      <c r="R211" s="10" t="str">
        <f>IFERROR(__xludf.DUMMYFUNCTION("iferror(FILTER('新規'!$C:$C, ('新規'!$A:$A = R$1) * ('新規'!$B:$B = $A203)))"),"")</f>
        <v/>
      </c>
      <c r="S211" s="11" t="str">
        <f>IFERROR(__xludf.DUMMYFUNCTION("IFERROR(FILTER('新規'!$D$2:$D$400, ('新規'!$A$2:$A$400 = CHOOSE(WEEKDAY(R$1), ""日"", ""月"", ""火"", ""水"", ""木"", ""金"", ""土"")) * ('新規'!$B$2:$B$400 = $A$3) * ('新規'!$O$2:$O$400 = FALSE)), """")"),"")</f>
        <v/>
      </c>
      <c r="T211" s="7"/>
      <c r="U211" s="7" t="str">
        <f>IFERROR(__xludf.DUMMYFUNCTION("IFERROR(FILTER('新規'!$M$2:$M$400, ('新規'!$A$2:$A$400 = CHOOSE(WEEKDAY(R$1), ""日"", ""月"", ""火"", ""水"", ""木"", ""金"", ""土"")) * ('新規'!$B$2:$B$400 = $A$3) * ('新規'!$O$2:$O$400 = FALSE)), """")"),"")</f>
        <v/>
      </c>
      <c r="V211" s="7" t="str">
        <f>IFERROR(__xludf.DUMMYFUNCTION("IFERROR(FILTER('新規'!$N$2:$N$400, ('新規'!$A$2:$A$400 = CHOOSE(WEEKDAY(R$1), ""日"", ""月"", ""火"", ""水"", ""木"", ""金"", ""土"")) * ('新規'!$B$2:$B$400 = $A$3) * ('新規'!$O$2:$O$400 = FALSE)), """")"),"")</f>
        <v/>
      </c>
      <c r="W211" s="10" t="str">
        <f>IFERROR(__xludf.DUMMYFUNCTION("iferror(FILTER('新規'!$C:$C, ('新規'!$A:$A = W$1) * ('新規'!$B:$B = $A203)))"),"")</f>
        <v/>
      </c>
      <c r="X211" s="11" t="str">
        <f>IFERROR(__xludf.DUMMYFUNCTION("IFERROR(FILTER('新規'!$D$2:$D$400, ('新規'!$A$2:$A$400 = CHOOSE(WEEKDAY(W$1), ""日"", ""月"", ""火"", ""水"", ""木"", ""金"", ""土"")) * ('新規'!$B$2:$B$400 = $A$3) * ('新規'!$O$2:$O$400 = FALSE)), """")"),"")</f>
        <v/>
      </c>
      <c r="Y211" s="7"/>
      <c r="Z211" s="7" t="str">
        <f>IFERROR(__xludf.DUMMYFUNCTION("IFERROR(FILTER('新規'!$M$2:$M$400, ('新規'!$A$2:$A$400 = CHOOSE(WEEKDAY(W$1), ""日"", ""月"", ""火"", ""水"", ""木"", ""金"", ""土"")) * ('新規'!$B$2:$B$400 = $A$3) * ('新規'!$O$2:$O$400 = FALSE)), """")"),"")</f>
        <v/>
      </c>
      <c r="AA211" s="7" t="str">
        <f>IFERROR(__xludf.DUMMYFUNCTION("IFERROR(FILTER('新規'!$N$2:$N$400, ('新規'!$A$2:$A$400 = CHOOSE(WEEKDAY(W$1), ""日"", ""月"", ""火"", ""水"", ""木"", ""金"", ""土"")) * ('新規'!$B$2:$B$400 = $A$3) * ('新規'!$O$2:$O$400 = FALSE)), """")"),"")</f>
        <v/>
      </c>
      <c r="AB211" s="10" t="str">
        <f>IFERROR(__xludf.DUMMYFUNCTION("iferror(FILTER('新規'!$C:$C, ('新規'!$A:$A = AB$1) * ('新規'!$B:$B = $A203)))"),"")</f>
        <v/>
      </c>
      <c r="AC211" s="11" t="str">
        <f>IFERROR(__xludf.DUMMYFUNCTION("IFERROR(FILTER('新規'!$D$2:$D$400, ('新規'!$A$2:$A$400 = CHOOSE(WEEKDAY(AB$1), ""日"", ""月"", ""火"", ""水"", ""木"", ""金"", ""土"")) * ('新規'!$B$2:$B$400 = $A$3) * ('新規'!$O$2:$O$400 = FALSE)), """")"),"")</f>
        <v/>
      </c>
      <c r="AD211" s="7"/>
      <c r="AE211" s="7" t="str">
        <f>IFERROR(__xludf.DUMMYFUNCTION("IFERROR(FILTER('新規'!$M$2:$M$400, ('新規'!$A$2:$A$400 = CHOOSE(WEEKDAY(AB$1), ""日"", ""月"", ""火"", ""水"", ""木"", ""金"", ""土"")) * ('新規'!$B$2:$B$400 = $A$3) * ('新規'!$O$2:$O$400 = FALSE)), """")"),"")</f>
        <v/>
      </c>
      <c r="AF211" s="7" t="str">
        <f>IFERROR(__xludf.DUMMYFUNCTION("IFERROR(FILTER('新規'!$N$2:$N$400, ('新規'!$A$2:$A$400 = CHOOSE(WEEKDAY(AB$1), ""日"", ""月"", ""火"", ""水"", ""木"", ""金"", ""土"")) * ('新規'!$B$2:$B$400 = $A$3) * ('新規'!$O$2:$O$400 = FALSE)), """")"),"")</f>
        <v/>
      </c>
      <c r="AG211" s="10" t="str">
        <f>IFERROR(__xludf.DUMMYFUNCTION("iferror(FILTER('新規'!$C:$C, ('新規'!$A:$A = AG$1) * ('新規'!$B:$B = $A203)))"),"")</f>
        <v/>
      </c>
      <c r="AH211" s="11" t="str">
        <f>IFERROR(__xludf.DUMMYFUNCTION("IFERROR(FILTER('新規'!$D$2:$D$400, ('新規'!$A$2:$A$400 = CHOOSE(WEEKDAY(AG$1), ""日"", ""月"", ""火"", ""水"", ""木"", ""金"", ""土"")) * ('新規'!$B$2:$B$400 = $A$3) * ('新規'!$O$2:$O$400 = FALSE)), """")"),"")</f>
        <v/>
      </c>
      <c r="AI211" s="7"/>
      <c r="AJ211" s="7" t="str">
        <f>IFERROR(__xludf.DUMMYFUNCTION("IFERROR(FILTER('新規'!$M$2:$M$400, ('新規'!$A$2:$A$400 = CHOOSE(WEEKDAY(AG$1), ""日"", ""月"", ""火"", ""水"", ""木"", ""金"", ""土"")) * ('新規'!$B$2:$B$400 = $A$3) * ('新規'!$O$2:$O$400 = FALSE)), """")"),"")</f>
        <v/>
      </c>
      <c r="AK211" s="7" t="str">
        <f>IFERROR(__xludf.DUMMYFUNCTION("IFERROR(FILTER('新規'!$N$2:$N$400, ('新規'!$A$2:$A$400 = CHOOSE(WEEKDAY(AG$1), ""日"", ""月"", ""火"", ""水"", ""木"", ""金"", ""土"")) * ('新規'!$B$2:$B$400 = $A$3) * ('新規'!$O$2:$O$400 = FALSE)), """")"),"")</f>
        <v/>
      </c>
    </row>
    <row r="212" ht="17.25" customHeight="1">
      <c r="A212" s="8"/>
      <c r="B212" s="9"/>
      <c r="C212" s="17" t="str">
        <f>IFERROR(__xludf.DUMMYFUNCTION("""COMPUTED_VALUE"""),"フルリモート×フレックス_エンジニア")</f>
        <v>フルリモート×フレックス_エンジニア</v>
      </c>
      <c r="D212" s="7"/>
      <c r="E212" s="7"/>
      <c r="F212" s="7" t="str">
        <f t="array" ref="F212">IFERROR(XLOOKUP(C212, 'リスト'!$C:$C, 'リスト'!$M:$M, ""), "")</f>
        <v/>
      </c>
      <c r="G212" s="7" t="str">
        <f t="array" ref="G212">IFERROR(XLOOKUP(C212, 'リスト'!$C:$C, 'リスト'!$N:$N, ""), "")</f>
        <v/>
      </c>
      <c r="H212" s="17"/>
      <c r="I212" s="7"/>
      <c r="J212" s="7"/>
      <c r="K212" s="7" t="str">
        <f t="array" ref="K212">IFERROR(XLOOKUP(H212, 'リスト'!$C:$C, 'リスト'!$M:$M, ""), "")</f>
        <v/>
      </c>
      <c r="L212" s="7" t="str">
        <f t="array" ref="L212">IFERROR(XLOOKUP(H212, 'リスト'!$C:$C, 'リスト'!$N:$N, ""), "")</f>
        <v/>
      </c>
      <c r="M212" s="17"/>
      <c r="N212" s="7"/>
      <c r="O212" s="7"/>
      <c r="P212" s="7" t="str">
        <f t="array" ref="P212">IFERROR(XLOOKUP(M212, 'リスト'!$C:$C, 'リスト'!$M:$M, ""), "")</f>
        <v/>
      </c>
      <c r="Q212" s="7" t="str">
        <f t="array" ref="Q212">IFERROR(XLOOKUP(M212, 'リスト'!$C:$C, 'リスト'!$N:$N, ""), "")</f>
        <v/>
      </c>
      <c r="R212" s="17"/>
      <c r="S212" s="7"/>
      <c r="T212" s="7"/>
      <c r="U212" s="7" t="str">
        <f t="array" ref="U212">IFERROR(XLOOKUP(R212, 'リスト'!$C:$C, 'リスト'!$M:$M, ""), "")</f>
        <v/>
      </c>
      <c r="V212" s="7" t="str">
        <f t="array" ref="V212">IFERROR(XLOOKUP(R212, 'リスト'!$C:$C, 'リスト'!$N:$N, ""), "")</f>
        <v/>
      </c>
      <c r="W212" s="17"/>
      <c r="X212" s="7"/>
      <c r="Y212" s="7"/>
      <c r="Z212" s="7" t="str">
        <f t="array" ref="Z212">IFERROR(XLOOKUP(W212, 'リスト'!$C:$C, 'リスト'!$M:$M, ""), "")</f>
        <v/>
      </c>
      <c r="AA212" s="7" t="str">
        <f t="array" ref="AA212">IFERROR(XLOOKUP(W212, 'リスト'!$C:$C, 'リスト'!$N:$N, ""), "")</f>
        <v/>
      </c>
      <c r="AB212" s="17"/>
      <c r="AC212" s="7"/>
      <c r="AD212" s="7"/>
      <c r="AE212" s="7" t="str">
        <f t="array" ref="AE212">IFERROR(XLOOKUP(AB212, 'リスト'!$C:$C, 'リスト'!$M:$M, ""), "")</f>
        <v/>
      </c>
      <c r="AF212" s="7" t="str">
        <f t="array" ref="AF212">IFERROR(XLOOKUP(AB212, 'リスト'!$C:$C, 'リスト'!$N:$N, ""), "")</f>
        <v/>
      </c>
      <c r="AG212" s="17"/>
      <c r="AH212" s="7"/>
      <c r="AI212" s="7"/>
      <c r="AJ212" s="7" t="str">
        <f t="array" ref="AJ212">IFERROR(XLOOKUP(AG212, 'リスト'!$C:$C, 'リスト'!$M:$M, ""), "")</f>
        <v/>
      </c>
      <c r="AK212" s="7" t="str">
        <f t="array" ref="AK212">IFERROR(XLOOKUP(AG212, 'リスト'!$C:$C, 'リスト'!$N:$N, ""), "")</f>
        <v/>
      </c>
    </row>
    <row r="213" ht="17.25" customHeight="1">
      <c r="A213" s="8"/>
      <c r="B213" s="9"/>
      <c r="C213" s="17"/>
      <c r="D213" s="7"/>
      <c r="E213" s="7"/>
      <c r="F213" s="7" t="str">
        <f t="array" ref="F213">IFERROR(XLOOKUP(C213, 'リスト'!$C:$C, 'リスト'!$M:$M, ""), "")</f>
        <v/>
      </c>
      <c r="G213" s="7" t="str">
        <f t="array" ref="G213">IFERROR(XLOOKUP(C213, 'リスト'!$C:$C, 'リスト'!$N:$N, ""), "")</f>
        <v/>
      </c>
      <c r="H213" s="17"/>
      <c r="I213" s="7"/>
      <c r="J213" s="7"/>
      <c r="K213" s="7" t="str">
        <f t="array" ref="K213">IFERROR(XLOOKUP(H213, 'リスト'!$C:$C, 'リスト'!$M:$M, ""), "")</f>
        <v/>
      </c>
      <c r="L213" s="7" t="str">
        <f t="array" ref="L213">IFERROR(XLOOKUP(H213, 'リスト'!$C:$C, 'リスト'!$N:$N, ""), "")</f>
        <v/>
      </c>
      <c r="M213" s="17"/>
      <c r="N213" s="7"/>
      <c r="O213" s="7"/>
      <c r="P213" s="7" t="str">
        <f t="array" ref="P213">IFERROR(XLOOKUP(M213, 'リスト'!$C:$C, 'リスト'!$M:$M, ""), "")</f>
        <v/>
      </c>
      <c r="Q213" s="7" t="str">
        <f t="array" ref="Q213">IFERROR(XLOOKUP(M213, 'リスト'!$C:$C, 'リスト'!$N:$N, ""), "")</f>
        <v/>
      </c>
      <c r="R213" s="17"/>
      <c r="S213" s="7"/>
      <c r="T213" s="7"/>
      <c r="U213" s="7" t="str">
        <f t="array" ref="U213">IFERROR(XLOOKUP(R213, 'リスト'!$C:$C, 'リスト'!$M:$M, ""), "")</f>
        <v/>
      </c>
      <c r="V213" s="7" t="str">
        <f t="array" ref="V213">IFERROR(XLOOKUP(R213, 'リスト'!$C:$C, 'リスト'!$N:$N, ""), "")</f>
        <v/>
      </c>
      <c r="W213" s="17"/>
      <c r="X213" s="7"/>
      <c r="Y213" s="7"/>
      <c r="Z213" s="7" t="str">
        <f t="array" ref="Z213">IFERROR(XLOOKUP(W213, 'リスト'!$C:$C, 'リスト'!$M:$M, ""), "")</f>
        <v/>
      </c>
      <c r="AA213" s="7" t="str">
        <f t="array" ref="AA213">IFERROR(XLOOKUP(W213, 'リスト'!$C:$C, 'リスト'!$N:$N, ""), "")</f>
        <v/>
      </c>
      <c r="AB213" s="17"/>
      <c r="AC213" s="7"/>
      <c r="AD213" s="7"/>
      <c r="AE213" s="7" t="str">
        <f t="array" ref="AE213">IFERROR(XLOOKUP(AB213, 'リスト'!$C:$C, 'リスト'!$M:$M, ""), "")</f>
        <v/>
      </c>
      <c r="AF213" s="7" t="str">
        <f t="array" ref="AF213">IFERROR(XLOOKUP(AB213, 'リスト'!$C:$C, 'リスト'!$N:$N, ""), "")</f>
        <v/>
      </c>
      <c r="AG213" s="17"/>
      <c r="AH213" s="7"/>
      <c r="AI213" s="7"/>
      <c r="AJ213" s="7" t="str">
        <f t="array" ref="AJ213">IFERROR(XLOOKUP(AG213, 'リスト'!$C:$C, 'リスト'!$M:$M, ""), "")</f>
        <v/>
      </c>
      <c r="AK213" s="7" t="str">
        <f t="array" ref="AK213">IFERROR(XLOOKUP(AG213, 'リスト'!$C:$C, 'リスト'!$N:$N, ""), "")</f>
        <v/>
      </c>
    </row>
    <row r="214" ht="17.25" customHeight="1">
      <c r="A214" s="8"/>
      <c r="B214" s="9"/>
      <c r="C214" s="17"/>
      <c r="D214" s="7"/>
      <c r="E214" s="7"/>
      <c r="F214" s="7" t="str">
        <f t="array" ref="F214">IFERROR(XLOOKUP(C214, 'リスト'!$C:$C, 'リスト'!$M:$M, ""), "")</f>
        <v/>
      </c>
      <c r="G214" s="7" t="str">
        <f t="array" ref="G214">IFERROR(XLOOKUP(C214, 'リスト'!$C:$C, 'リスト'!$N:$N, ""), "")</f>
        <v/>
      </c>
      <c r="H214" s="17"/>
      <c r="I214" s="7"/>
      <c r="J214" s="7"/>
      <c r="K214" s="7" t="str">
        <f t="array" ref="K214">IFERROR(XLOOKUP(H214, 'リスト'!$C:$C, 'リスト'!$M:$M, ""), "")</f>
        <v/>
      </c>
      <c r="L214" s="7" t="str">
        <f t="array" ref="L214">IFERROR(XLOOKUP(H214, 'リスト'!$C:$C, 'リスト'!$N:$N, ""), "")</f>
        <v/>
      </c>
      <c r="M214" s="17"/>
      <c r="N214" s="7"/>
      <c r="O214" s="7"/>
      <c r="P214" s="7" t="str">
        <f t="array" ref="P214">IFERROR(XLOOKUP(M214, 'リスト'!$C:$C, 'リスト'!$M:$M, ""), "")</f>
        <v/>
      </c>
      <c r="Q214" s="7" t="str">
        <f t="array" ref="Q214">IFERROR(XLOOKUP(M214, 'リスト'!$C:$C, 'リスト'!$N:$N, ""), "")</f>
        <v/>
      </c>
      <c r="R214" s="17"/>
      <c r="S214" s="7"/>
      <c r="T214" s="7"/>
      <c r="U214" s="7" t="str">
        <f t="array" ref="U214">IFERROR(XLOOKUP(R214, 'リスト'!$C:$C, 'リスト'!$M:$M, ""), "")</f>
        <v/>
      </c>
      <c r="V214" s="7" t="str">
        <f t="array" ref="V214">IFERROR(XLOOKUP(R214, 'リスト'!$C:$C, 'リスト'!$N:$N, ""), "")</f>
        <v/>
      </c>
      <c r="W214" s="17"/>
      <c r="X214" s="7"/>
      <c r="Y214" s="7"/>
      <c r="Z214" s="7" t="str">
        <f t="array" ref="Z214">IFERROR(XLOOKUP(W214, 'リスト'!$C:$C, 'リスト'!$M:$M, ""), "")</f>
        <v/>
      </c>
      <c r="AA214" s="7" t="str">
        <f t="array" ref="AA214">IFERROR(XLOOKUP(W214, 'リスト'!$C:$C, 'リスト'!$N:$N, ""), "")</f>
        <v/>
      </c>
      <c r="AB214" s="17"/>
      <c r="AC214" s="7"/>
      <c r="AD214" s="7"/>
      <c r="AE214" s="7" t="str">
        <f t="array" ref="AE214">IFERROR(XLOOKUP(AB214, 'リスト'!$C:$C, 'リスト'!$M:$M, ""), "")</f>
        <v/>
      </c>
      <c r="AF214" s="7" t="str">
        <f t="array" ref="AF214">IFERROR(XLOOKUP(AB214, 'リスト'!$C:$C, 'リスト'!$N:$N, ""), "")</f>
        <v/>
      </c>
      <c r="AG214" s="17"/>
      <c r="AH214" s="7"/>
      <c r="AI214" s="7"/>
      <c r="AJ214" s="7" t="str">
        <f t="array" ref="AJ214">IFERROR(XLOOKUP(AG214, 'リスト'!$C:$C, 'リスト'!$M:$M, ""), "")</f>
        <v/>
      </c>
      <c r="AK214" s="7" t="str">
        <f t="array" ref="AK214">IFERROR(XLOOKUP(AG214, 'リスト'!$C:$C, 'リスト'!$N:$N, ""), "")</f>
        <v/>
      </c>
    </row>
    <row r="215" ht="17.25" customHeight="1">
      <c r="A215" s="8"/>
      <c r="B215" s="9"/>
      <c r="C215" s="17"/>
      <c r="D215" s="7"/>
      <c r="E215" s="7"/>
      <c r="F215" s="7" t="str">
        <f t="array" ref="F215">IFERROR(XLOOKUP(C215, 'リスト'!$C:$C, 'リスト'!$M:$M, ""), "")</f>
        <v/>
      </c>
      <c r="G215" s="7" t="str">
        <f t="array" ref="G215">IFERROR(XLOOKUP(C215, 'リスト'!$C:$C, 'リスト'!$N:$N, ""), "")</f>
        <v/>
      </c>
      <c r="H215" s="17"/>
      <c r="I215" s="7"/>
      <c r="J215" s="7"/>
      <c r="K215" s="7" t="str">
        <f t="array" ref="K215">IFERROR(XLOOKUP(H215, 'リスト'!$C:$C, 'リスト'!$M:$M, ""), "")</f>
        <v/>
      </c>
      <c r="L215" s="7" t="str">
        <f t="array" ref="L215">IFERROR(XLOOKUP(H215, 'リスト'!$C:$C, 'リスト'!$N:$N, ""), "")</f>
        <v/>
      </c>
      <c r="M215" s="17"/>
      <c r="N215" s="7"/>
      <c r="O215" s="7"/>
      <c r="P215" s="7" t="str">
        <f t="array" ref="P215">IFERROR(XLOOKUP(M215, 'リスト'!$C:$C, 'リスト'!$M:$M, ""), "")</f>
        <v/>
      </c>
      <c r="Q215" s="7" t="str">
        <f t="array" ref="Q215">IFERROR(XLOOKUP(M215, 'リスト'!$C:$C, 'リスト'!$N:$N, ""), "")</f>
        <v/>
      </c>
      <c r="R215" s="17"/>
      <c r="S215" s="7"/>
      <c r="T215" s="7"/>
      <c r="U215" s="7" t="str">
        <f t="array" ref="U215">IFERROR(XLOOKUP(R215, 'リスト'!$C:$C, 'リスト'!$M:$M, ""), "")</f>
        <v/>
      </c>
      <c r="V215" s="7" t="str">
        <f t="array" ref="V215">IFERROR(XLOOKUP(R215, 'リスト'!$C:$C, 'リスト'!$N:$N, ""), "")</f>
        <v/>
      </c>
      <c r="W215" s="17"/>
      <c r="X215" s="7"/>
      <c r="Y215" s="7"/>
      <c r="Z215" s="7" t="str">
        <f t="array" ref="Z215">IFERROR(XLOOKUP(W215, 'リスト'!$C:$C, 'リスト'!$M:$M, ""), "")</f>
        <v/>
      </c>
      <c r="AA215" s="7" t="str">
        <f t="array" ref="AA215">IFERROR(XLOOKUP(W215, 'リスト'!$C:$C, 'リスト'!$N:$N, ""), "")</f>
        <v/>
      </c>
      <c r="AB215" s="17"/>
      <c r="AC215" s="7"/>
      <c r="AD215" s="7"/>
      <c r="AE215" s="7" t="str">
        <f t="array" ref="AE215">IFERROR(XLOOKUP(AB215, 'リスト'!$C:$C, 'リスト'!$M:$M, ""), "")</f>
        <v/>
      </c>
      <c r="AF215" s="7" t="str">
        <f t="array" ref="AF215">IFERROR(XLOOKUP(AB215, 'リスト'!$C:$C, 'リスト'!$N:$N, ""), "")</f>
        <v/>
      </c>
      <c r="AG215" s="17"/>
      <c r="AH215" s="7"/>
      <c r="AI215" s="7"/>
      <c r="AJ215" s="7" t="str">
        <f t="array" ref="AJ215">IFERROR(XLOOKUP(AG215, 'リスト'!$C:$C, 'リスト'!$M:$M, ""), "")</f>
        <v/>
      </c>
      <c r="AK215" s="7" t="str">
        <f t="array" ref="AK215">IFERROR(XLOOKUP(AG215, 'リスト'!$C:$C, 'リスト'!$N:$N, ""), "")</f>
        <v/>
      </c>
    </row>
    <row r="216" ht="17.25" customHeight="1">
      <c r="A216" s="8"/>
      <c r="B216" s="9" t="s">
        <v>7</v>
      </c>
      <c r="C216" s="10" t="str">
        <f>"◇ポジションマッチ A" &amp; MOD(INT(($C$1 - '特殊配信マスタ'!$A$1) / 7), 3) + 1</f>
        <v>◇ポジションマッチ A2</v>
      </c>
      <c r="D216" s="11" t="str">
        <f>IFERROR(__xludf.DUMMYFUNCTION("IFERROR(TEXTJOIN(CHAR(10), TRUE, FILTER('特殊配信マスタ'!$C:$E, #REF!=D$1)), """")"),"")</f>
        <v/>
      </c>
      <c r="E216" s="7" t="str">
        <f>IFERROR(__xludf.DUMMYFUNCTION("IFERROR(TEXTJOIN(CHAR(10), TRUE, FILTER('特殊配信マスタ'!$C:$E, #REF!=E$1)), """")"),"")</f>
        <v/>
      </c>
      <c r="F216" s="7" t="str">
        <f t="array" ref="F216">IFERROR(XLOOKUP(C216, INDEX('特殊配信マスタ'!$C$3:$E$8, 0, MAX(1, ROW()-14)), '特殊配信マスタ'!$M$3:$N$8, ""),"")</f>
        <v/>
      </c>
      <c r="G216" s="7"/>
      <c r="H216" s="10" t="str">
        <f>"◇ポジションマッチ A" &amp; MOD(INT(($C$1 - '特殊配信マスタ'!$A$1) / 7), 3) + 1</f>
        <v>◇ポジションマッチ A2</v>
      </c>
      <c r="I216" s="11" t="str">
        <f>IFERROR(__xludf.DUMMYFUNCTION("IFERROR(TEXTJOIN(CHAR(10), TRUE, FILTER('特殊配信マスタ'!$C:$E, #REF!=I$1)), """")"),"")</f>
        <v/>
      </c>
      <c r="J216" s="7" t="str">
        <f>IFERROR(__xludf.DUMMYFUNCTION("IFERROR(TEXTJOIN(CHAR(10), TRUE, FILTER('特殊配信マスタ'!$C:$E, #REF!=J$1)), """")"),"")</f>
        <v/>
      </c>
      <c r="K216" s="7" t="str">
        <f t="array" ref="K216">IFERROR(XLOOKUP(H216, INDEX('特殊配信マスタ'!$C$3:$E$8, 0, MAX(1, ROW()-14)), '特殊配信マスタ'!$M$3:$N$8, ""),"")</f>
        <v/>
      </c>
      <c r="L216" s="7"/>
      <c r="M216" s="10" t="str">
        <f>"◇ポジションマッチ A" &amp; MOD(INT(($C$1 - '特殊配信マスタ'!$A$1) / 7), 3) + 1</f>
        <v>◇ポジションマッチ A2</v>
      </c>
      <c r="N216" s="11" t="str">
        <f>IFERROR(__xludf.DUMMYFUNCTION("IFERROR(TEXTJOIN(CHAR(10), TRUE, FILTER('特殊配信マスタ'!$C:$E, #REF!=N$1)), """")"),"")</f>
        <v/>
      </c>
      <c r="O216" s="7" t="str">
        <f>IFERROR(__xludf.DUMMYFUNCTION("IFERROR(TEXTJOIN(CHAR(10), TRUE, FILTER('特殊配信マスタ'!$C:$E, #REF!=O$1)), """")"),"")</f>
        <v/>
      </c>
      <c r="P216" s="7" t="str">
        <f t="array" ref="P216">IFERROR(XLOOKUP(M216, INDEX('特殊配信マスタ'!$C$3:$E$8, 0, MAX(1, ROW()-14)), '特殊配信マスタ'!$M$3:$N$8, ""),"")</f>
        <v/>
      </c>
      <c r="Q216" s="7"/>
      <c r="R216" s="10" t="str">
        <f>"◇ポジションマッチ A" &amp; MOD(INT(($C$1 - '特殊配信マスタ'!$A$1) / 7), 3) + 1</f>
        <v>◇ポジションマッチ A2</v>
      </c>
      <c r="S216" s="11" t="str">
        <f>IFERROR(__xludf.DUMMYFUNCTION("IFERROR(TEXTJOIN(CHAR(10), TRUE, FILTER('特殊配信マスタ'!$C:$E, #REF!=S$1)), """")"),"")</f>
        <v/>
      </c>
      <c r="T216" s="7" t="str">
        <f>IFERROR(__xludf.DUMMYFUNCTION("IFERROR(TEXTJOIN(CHAR(10), TRUE, FILTER('特殊配信マスタ'!$C:$E, #REF!=T$1)), """")"),"")</f>
        <v/>
      </c>
      <c r="U216" s="7" t="str">
        <f t="array" ref="U216">IFERROR(XLOOKUP(R216, INDEX('特殊配信マスタ'!$C$3:$E$8, 0, MAX(1, ROW()-14)), '特殊配信マスタ'!$M$3:$N$8, ""),"")</f>
        <v/>
      </c>
      <c r="V216" s="7"/>
      <c r="W216" s="10" t="str">
        <f>"◇ポジションマッチ A" &amp; MOD(INT(($C$1 - '特殊配信マスタ'!$A$1) / 7), 3) + 1</f>
        <v>◇ポジションマッチ A2</v>
      </c>
      <c r="X216" s="11" t="str">
        <f>IFERROR(__xludf.DUMMYFUNCTION("IFERROR(TEXTJOIN(CHAR(10), TRUE, FILTER('特殊配信マスタ'!$C:$E, #REF!=X$1)), """")"),"")</f>
        <v/>
      </c>
      <c r="Y216" s="7" t="str">
        <f>IFERROR(__xludf.DUMMYFUNCTION("IFERROR(TEXTJOIN(CHAR(10), TRUE, FILTER('特殊配信マスタ'!$C:$E, #REF!=Y$1)), """")"),"")</f>
        <v/>
      </c>
      <c r="Z216" s="7" t="str">
        <f t="array" ref="Z216">IFERROR(XLOOKUP(W216, INDEX('特殊配信マスタ'!$C$3:$E$8, 0, MAX(1, ROW()-14)), '特殊配信マスタ'!$M$3:$N$8, ""),"")</f>
        <v/>
      </c>
      <c r="AA216" s="7"/>
      <c r="AB216" s="10" t="str">
        <f>"◇ポジションマッチ A" &amp; MOD(INT(($C$1 - '特殊配信マスタ'!$A$1) / 7), 3) + 1</f>
        <v>◇ポジションマッチ A2</v>
      </c>
      <c r="AC216" s="11" t="str">
        <f>IFERROR(__xludf.DUMMYFUNCTION("IFERROR(TEXTJOIN(CHAR(10), TRUE, FILTER('特殊配信マスタ'!$C:$E, #REF!=AC$1)), """")"),"")</f>
        <v/>
      </c>
      <c r="AD216" s="7" t="str">
        <f>IFERROR(__xludf.DUMMYFUNCTION("IFERROR(TEXTJOIN(CHAR(10), TRUE, FILTER('特殊配信マスタ'!$C:$E, #REF!=AD$1)), """")"),"")</f>
        <v/>
      </c>
      <c r="AE216" s="7" t="str">
        <f t="array" ref="AE216">IFERROR(XLOOKUP(AB216, INDEX('特殊配信マスタ'!$C$3:$E$8, 0, MAX(1, ROW()-14)), '特殊配信マスタ'!$M$3:$N$8, ""),"")</f>
        <v/>
      </c>
      <c r="AF216" s="7"/>
      <c r="AG216" s="10" t="str">
        <f>"◇ポジションマッチ A" &amp; MOD(INT(($C$1 - '特殊配信マスタ'!$A$1) / 7), 3) + 1</f>
        <v>◇ポジションマッチ A2</v>
      </c>
      <c r="AH216" s="11" t="str">
        <f>IFERROR(__xludf.DUMMYFUNCTION("IFERROR(TEXTJOIN(CHAR(10), TRUE, FILTER('特殊配信マスタ'!$C:$E, #REF!=AH$1)), """")"),"")</f>
        <v/>
      </c>
      <c r="AI216" s="7" t="str">
        <f>IFERROR(__xludf.DUMMYFUNCTION("IFERROR(TEXTJOIN(CHAR(10), TRUE, FILTER('特殊配信マスタ'!$C:$E, #REF!=AI$1)), """")"),"")</f>
        <v/>
      </c>
      <c r="AJ216" s="7" t="str">
        <f t="array" ref="AJ216">IFERROR(XLOOKUP(AG216, INDEX('特殊配信マスタ'!$C$3:$E$8, 0, MAX(1, ROW()-14)), '特殊配信マスタ'!$M$3:$N$8, ""),"")</f>
        <v/>
      </c>
      <c r="AK216" s="7"/>
    </row>
    <row r="217" ht="17.25" customHeight="1">
      <c r="A217" s="8"/>
      <c r="B217" s="9"/>
      <c r="C217" s="10" t="str">
        <f>"◇ポジションマッチ_36歳以上 A" &amp; MOD(INT(($C$1 - '特殊配信マスタ'!$A$1) / 7), 3) + 1</f>
        <v>◇ポジションマッチ_36歳以上 A2</v>
      </c>
      <c r="D217" s="11"/>
      <c r="E217" s="7"/>
      <c r="F217" s="7" t="str">
        <f t="array" ref="F217">IFERROR(XLOOKUP(C217, INDEX('特殊配信マスタ'!$C$3:$E$8, 0, MAX(1, ROW()-14)), '特殊配信マスタ'!$M$3:$N$8, ""),"")</f>
        <v/>
      </c>
      <c r="G217" s="7"/>
      <c r="H217" s="10" t="str">
        <f>"◇ポジションマッチ_36歳以上 A" &amp; MOD(INT(($C$1 - '特殊配信マスタ'!$A$1) / 7), 3) + 1</f>
        <v>◇ポジションマッチ_36歳以上 A2</v>
      </c>
      <c r="I217" s="11"/>
      <c r="J217" s="7"/>
      <c r="K217" s="7" t="str">
        <f t="array" ref="K217">IFERROR(XLOOKUP(H217, INDEX('特殊配信マスタ'!$C$3:$E$8, 0, MAX(1, ROW()-14)), '特殊配信マスタ'!$M$3:$N$8, ""),"")</f>
        <v/>
      </c>
      <c r="L217" s="7"/>
      <c r="M217" s="10" t="str">
        <f>"◇ポジションマッチ_36歳以上 A" &amp; MOD(INT(($C$1 - '特殊配信マスタ'!$A$1) / 7), 3) + 1</f>
        <v>◇ポジションマッチ_36歳以上 A2</v>
      </c>
      <c r="N217" s="11"/>
      <c r="O217" s="7"/>
      <c r="P217" s="7" t="str">
        <f t="array" ref="P217">IFERROR(XLOOKUP(M217, INDEX('特殊配信マスタ'!$C$3:$E$8, 0, MAX(1, ROW()-14)), '特殊配信マスタ'!$M$3:$N$8, ""),"")</f>
        <v/>
      </c>
      <c r="Q217" s="7"/>
      <c r="R217" s="10" t="str">
        <f>"◇ポジションマッチ_36歳以上 A" &amp; MOD(INT(($C$1 - '特殊配信マスタ'!$A$1) / 7), 3) + 1</f>
        <v>◇ポジションマッチ_36歳以上 A2</v>
      </c>
      <c r="S217" s="11"/>
      <c r="T217" s="7"/>
      <c r="U217" s="7" t="str">
        <f t="array" ref="U217">IFERROR(XLOOKUP(R217, INDEX('特殊配信マスタ'!$C$3:$E$8, 0, MAX(1, ROW()-14)), '特殊配信マスタ'!$M$3:$N$8, ""),"")</f>
        <v/>
      </c>
      <c r="V217" s="7"/>
      <c r="W217" s="10" t="str">
        <f>"◇ポジションマッチ_36歳以上 A" &amp; MOD(INT(($C$1 - '特殊配信マスタ'!$A$1) / 7), 3) + 1</f>
        <v>◇ポジションマッチ_36歳以上 A2</v>
      </c>
      <c r="X217" s="11"/>
      <c r="Y217" s="7"/>
      <c r="Z217" s="7" t="str">
        <f t="array" ref="Z217">IFERROR(XLOOKUP(W217, INDEX('特殊配信マスタ'!$C$3:$E$8, 0, MAX(1, ROW()-14)), '特殊配信マスタ'!$M$3:$N$8, ""),"")</f>
        <v/>
      </c>
      <c r="AA217" s="7"/>
      <c r="AB217" s="10" t="str">
        <f>"◇ポジションマッチ_36歳以上 A" &amp; MOD(INT(($C$1 - '特殊配信マスタ'!$A$1) / 7), 3) + 1</f>
        <v>◇ポジションマッチ_36歳以上 A2</v>
      </c>
      <c r="AC217" s="11"/>
      <c r="AD217" s="7"/>
      <c r="AE217" s="7" t="str">
        <f t="array" ref="AE217">IFERROR(XLOOKUP(AB217, INDEX('特殊配信マスタ'!$C$3:$E$8, 0, MAX(1, ROW()-14)), '特殊配信マスタ'!$M$3:$N$8, ""),"")</f>
        <v/>
      </c>
      <c r="AF217" s="7"/>
      <c r="AG217" s="10" t="str">
        <f>"◇ポジションマッチ_36歳以上 A" &amp; MOD(INT(($C$1 - '特殊配信マスタ'!$A$1) / 7), 3) + 1</f>
        <v>◇ポジションマッチ_36歳以上 A2</v>
      </c>
      <c r="AH217" s="11"/>
      <c r="AI217" s="7"/>
      <c r="AJ217" s="7" t="str">
        <f t="array" ref="AJ217">IFERROR(XLOOKUP(AG217, INDEX('特殊配信マスタ'!$C$3:$E$8, 0, MAX(1, ROW()-14)), '特殊配信マスタ'!$M$3:$N$8, ""),"")</f>
        <v/>
      </c>
      <c r="AK217" s="7"/>
    </row>
  </sheetData>
  <conditionalFormatting sqref="AG3:AK203">
    <cfRule type="expression" dxfId="0" priority="1" stopIfTrue="1">
      <formula>IFNA(VLOOKUP($AG3, INDIRECT("リスト!$C$2:$O$400"), 13, 0), FALSE)</formula>
    </cfRule>
  </conditionalFormatting>
  <conditionalFormatting sqref="W3:AA203">
    <cfRule type="expression" dxfId="0" priority="2" stopIfTrue="1">
      <formula>IFNA(VLOOKUP($W3, INDIRECT("リスト!$C$2:$O$400"), 13, 0), FALSE)</formula>
    </cfRule>
  </conditionalFormatting>
  <conditionalFormatting sqref="R3:V203">
    <cfRule type="expression" dxfId="0" priority="3" stopIfTrue="1">
      <formula>IFNA(VLOOKUP($R3, INDIRECT("リスト!$C$2:$O$400"), 13, 0), FALSE)</formula>
    </cfRule>
  </conditionalFormatting>
  <conditionalFormatting sqref="C3:AK217">
    <cfRule type="expression" dxfId="0" priority="4" stopIfTrue="1">
      <formula>IFNA(VLOOKUP($C3, INDIRECT("リスト!$C$2:$O$400"), 13, 0), FALSE)</formula>
    </cfRule>
  </conditionalFormatting>
  <conditionalFormatting sqref="AB3:AF203">
    <cfRule type="expression" dxfId="0" priority="5" stopIfTrue="1">
      <formula>IFNA(VLOOKUP($AB3, INDIRECT("リスト!$C$2:$O$400"), 13, 0), FALSE)</formula>
    </cfRule>
  </conditionalFormatting>
  <conditionalFormatting sqref="M3:Q203">
    <cfRule type="expression" dxfId="0" priority="6" stopIfTrue="1">
      <formula>IFNA(VLOOKUP($M3, INDIRECT("リスト!$C$2:$O$400"), 13, 0), FALSE)</formula>
    </cfRule>
  </conditionalFormatting>
  <conditionalFormatting sqref="H3:L203 M16:AK20">
    <cfRule type="expression" dxfId="0" priority="7" stopIfTrue="1">
      <formula>IFNA(VLOOKUP($H3, INDIRECT("リスト!$C$2:$O$400"), 13, 0), FALSE)</formula>
    </cfRule>
  </conditionalFormatting>
  <conditionalFormatting sqref="C3:AK217">
    <cfRule type="expression" dxfId="1" priority="8" stopIfTrue="1">
      <formula>AND(MOD(COLUMN()-3, 5)=0, IFERROR(VLOOKUP(C3, INDIRECT("リスト!$C$2:$O"), 13, FALSE), FALSE))</formula>
    </cfRule>
  </conditionalFormatting>
  <conditionalFormatting sqref="C3:AK217">
    <cfRule type="expression" dxfId="2" priority="9" stopIfTrue="1">
      <formula>AND(MOD(COLUMN()-3, 5)=0, IFERROR(VLOOKUP(C3, INDIRECT("リスト!$C$2:$E"), 3, FALSE), "")="隔週A")</formula>
    </cfRule>
  </conditionalFormatting>
  <conditionalFormatting sqref="F3:G217 H3:J204 K3:L217 M3:O204 P3:Q217 R3:T204 U3:V217 W3:Y204 Z3:AA217 AB3:AD204 AE3:AF217 AG3:AI204 AJ3:AK217">
    <cfRule type="expression" dxfId="3" priority="10">
      <formula>AND(MOD(COLUMN()-6, 5)=0, F3="R")</formula>
    </cfRule>
  </conditionalFormatting>
  <conditionalFormatting sqref="C3:AK217">
    <cfRule type="expression" dxfId="4" priority="11" stopIfTrue="1">
      <formula>AND(MOD(COLUMN()-3, 5)=0, IFERROR(VLOOKUP(C3, INDIRECT("リスト!$C$2:$E"), 3, FALSE), "")="隔週B")</formula>
    </cfRule>
  </conditionalFormatting>
  <conditionalFormatting sqref="F16:G217 K16:L217 P16:Q217 U16:V217 Z16:AA217 AE16:AF217 AJ16:AK217 C21:E217 H21:J217 M21:O217 R21:T217 W21:Y217 AB21:AD217 AG21:AI217">
    <cfRule type="expression" dxfId="5" priority="12" stopIfTrue="1">
      <formula>ISODD(INT((F$1-DATE(2026,4,14))/7))</formula>
    </cfRule>
  </conditionalFormatting>
  <conditionalFormatting sqref="A2:AK217">
    <cfRule type="expression" dxfId="6" priority="13" stopIfTrue="1">
      <formula>MOD(ROW(),2)=0</formula>
    </cfRule>
  </conditionalFormatting>
  <conditionalFormatting sqref="U3:U204">
    <cfRule type="cellIs" dxfId="7" priority="14" stopIfTrue="1" operator="equal">
      <formula>"R"</formula>
    </cfRule>
  </conditionalFormatting>
  <conditionalFormatting sqref="AE3:AE204">
    <cfRule type="cellIs" dxfId="7" priority="15" stopIfTrue="1" operator="equal">
      <formula>"R"</formula>
    </cfRule>
  </conditionalFormatting>
  <conditionalFormatting sqref="Z3:Z204">
    <cfRule type="cellIs" dxfId="7" priority="16" stopIfTrue="1" operator="equal">
      <formula>"R"</formula>
    </cfRule>
  </conditionalFormatting>
  <conditionalFormatting sqref="AJ3:AJ204">
    <cfRule type="cellIs" dxfId="7" priority="17" stopIfTrue="1" operator="equal">
      <formula>"R"</formula>
    </cfRule>
  </conditionalFormatting>
  <conditionalFormatting sqref="P3:P204">
    <cfRule type="cellIs" dxfId="7" priority="18" stopIfTrue="1" operator="equal">
      <formula>"R"</formula>
    </cfRule>
  </conditionalFormatting>
  <conditionalFormatting sqref="F3:F217 K3:K217 P3:P217 U3:U217 Z3:Z217 AE3:AE217 AJ3:AJ217">
    <cfRule type="cellIs" dxfId="7" priority="19" stopIfTrue="1" operator="equal">
      <formula>"R"</formula>
    </cfRule>
  </conditionalFormatting>
  <hyperlinks>
    <hyperlink r:id="rId1" location="gid=978158948" ref="AG9"/>
    <hyperlink r:id="rId2" location="gid=706137097" ref="M160"/>
  </hyperlinks>
  <printOptions gridLines="1" horizontalCentered="1"/>
  <pageMargins bottom="0.75" footer="0.0" header="0.0" left="0.25" right="0.25" top="0.75"/>
  <pageSetup fitToWidth="0" paperSize="8" cellComments="atEnd" orientation="landscape" pageOrder="overThenDown"/>
  <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25"/>
    <col customWidth="1" min="2" max="2" width="12.5"/>
    <col customWidth="1" min="3" max="4" width="37.63"/>
  </cols>
  <sheetData>
    <row r="1">
      <c r="A1" s="19" t="s">
        <v>8</v>
      </c>
      <c r="B1" s="20"/>
      <c r="C1" s="21"/>
      <c r="D1" s="21"/>
    </row>
    <row r="2">
      <c r="A2" s="20" t="s">
        <v>9</v>
      </c>
      <c r="B2" s="20" t="s">
        <v>10</v>
      </c>
      <c r="C2" s="21" t="s">
        <v>11</v>
      </c>
      <c r="D2" s="21" t="s">
        <v>12</v>
      </c>
    </row>
    <row r="3">
      <c r="A3" s="22" t="s">
        <v>13</v>
      </c>
      <c r="B3" s="23" t="s">
        <v>14</v>
      </c>
      <c r="C3" s="24" t="s">
        <v>15</v>
      </c>
      <c r="D3" s="25"/>
    </row>
    <row r="4">
      <c r="A4" s="22" t="s">
        <v>16</v>
      </c>
      <c r="B4" s="26" t="s">
        <v>17</v>
      </c>
      <c r="C4" s="25"/>
      <c r="D4" s="25"/>
    </row>
    <row r="5">
      <c r="A5" s="22" t="s">
        <v>18</v>
      </c>
      <c r="B5" s="27" t="s">
        <v>19</v>
      </c>
      <c r="C5" s="25"/>
      <c r="D5" s="25"/>
    </row>
    <row r="6">
      <c r="A6" s="19" t="s">
        <v>20</v>
      </c>
      <c r="B6" s="28" t="s">
        <v>21</v>
      </c>
      <c r="C6" s="19"/>
    </row>
    <row r="7">
      <c r="A7" s="19" t="s">
        <v>22</v>
      </c>
      <c r="C7" s="19" t="s">
        <v>23</v>
      </c>
    </row>
    <row r="8">
      <c r="A8" s="19" t="s">
        <v>24</v>
      </c>
      <c r="C8" s="19" t="s">
        <v>25</v>
      </c>
    </row>
    <row r="9">
      <c r="A9" s="29" t="s">
        <v>26</v>
      </c>
      <c r="B9" s="19" t="s">
        <v>27</v>
      </c>
      <c r="C9" s="19" t="s">
        <v>28</v>
      </c>
    </row>
    <row r="10">
      <c r="A10" s="29" t="s">
        <v>26</v>
      </c>
      <c r="B10" s="19" t="s">
        <v>29</v>
      </c>
      <c r="C10" s="19" t="s">
        <v>30</v>
      </c>
    </row>
    <row r="11">
      <c r="A11" s="19" t="s">
        <v>31</v>
      </c>
    </row>
    <row r="13">
      <c r="B13" s="19" t="s">
        <v>32</v>
      </c>
      <c r="Y13" s="30">
        <v>45420.0</v>
      </c>
    </row>
    <row r="14">
      <c r="B14" s="19" t="s">
        <v>33</v>
      </c>
      <c r="C14" s="19" t="s">
        <v>34</v>
      </c>
    </row>
    <row r="15">
      <c r="C15" s="19" t="s">
        <v>35</v>
      </c>
    </row>
    <row r="16">
      <c r="C16" s="19" t="s">
        <v>36</v>
      </c>
    </row>
    <row r="18">
      <c r="B18" s="19" t="s">
        <v>37</v>
      </c>
      <c r="C18" s="19" t="s">
        <v>38</v>
      </c>
    </row>
    <row r="19">
      <c r="C19" s="19" t="s">
        <v>39</v>
      </c>
    </row>
    <row r="20">
      <c r="C20" s="19" t="s">
        <v>40</v>
      </c>
    </row>
    <row r="22">
      <c r="B22" s="19" t="s">
        <v>41</v>
      </c>
      <c r="C22" s="19" t="s">
        <v>42</v>
      </c>
    </row>
    <row r="23">
      <c r="C23" s="19" t="s">
        <v>43</v>
      </c>
    </row>
    <row r="24">
      <c r="C24" s="19" t="s">
        <v>44</v>
      </c>
    </row>
    <row r="26">
      <c r="B26" s="19" t="s">
        <v>45</v>
      </c>
      <c r="C26" s="19" t="s">
        <v>46</v>
      </c>
    </row>
    <row r="27">
      <c r="C27" s="19" t="s">
        <v>47</v>
      </c>
    </row>
    <row r="28">
      <c r="C28" s="19" t="s">
        <v>48</v>
      </c>
    </row>
    <row r="29">
      <c r="C29" s="19" t="s">
        <v>49</v>
      </c>
    </row>
    <row r="31">
      <c r="B31" s="19" t="s">
        <v>50</v>
      </c>
      <c r="C31" s="19" t="s">
        <v>51</v>
      </c>
    </row>
    <row r="32">
      <c r="C32" s="19" t="s">
        <v>52</v>
      </c>
    </row>
    <row r="33">
      <c r="C33" s="19" t="s">
        <v>53</v>
      </c>
    </row>
    <row r="35">
      <c r="B35" s="19" t="s">
        <v>54</v>
      </c>
      <c r="C35" s="19" t="s">
        <v>55</v>
      </c>
    </row>
    <row r="36">
      <c r="C36" s="19" t="s">
        <v>56</v>
      </c>
    </row>
    <row r="37">
      <c r="C37" s="19" t="s">
        <v>57</v>
      </c>
    </row>
    <row r="38">
      <c r="C38" s="19" t="s">
        <v>58</v>
      </c>
    </row>
    <row r="39">
      <c r="C39" s="19" t="s">
        <v>59</v>
      </c>
    </row>
    <row r="41">
      <c r="B41" s="19" t="s">
        <v>60</v>
      </c>
      <c r="C41" s="19" t="s">
        <v>61</v>
      </c>
    </row>
    <row r="42">
      <c r="C42" s="19" t="s">
        <v>62</v>
      </c>
    </row>
    <row r="43">
      <c r="C43" s="19" t="s">
        <v>63</v>
      </c>
    </row>
    <row r="44">
      <c r="C44" s="19" t="s">
        <v>64</v>
      </c>
    </row>
    <row r="45">
      <c r="Q45" s="19" t="s">
        <v>65</v>
      </c>
    </row>
    <row r="46">
      <c r="B46" s="19" t="s">
        <v>66</v>
      </c>
      <c r="C46" s="19" t="s">
        <v>67</v>
      </c>
    </row>
    <row r="48">
      <c r="B48" s="19" t="s">
        <v>68</v>
      </c>
      <c r="C48" s="19" t="s">
        <v>69</v>
      </c>
    </row>
    <row r="49">
      <c r="C49" s="19" t="s">
        <v>70</v>
      </c>
    </row>
    <row r="50">
      <c r="C50" s="19" t="s">
        <v>71</v>
      </c>
    </row>
    <row r="51">
      <c r="C51" s="19" t="s">
        <v>72</v>
      </c>
    </row>
    <row r="52">
      <c r="C52" s="19" t="s">
        <v>73</v>
      </c>
    </row>
    <row r="53">
      <c r="C53" s="19" t="s">
        <v>74</v>
      </c>
    </row>
    <row r="54">
      <c r="M54" s="31" t="s">
        <v>75</v>
      </c>
    </row>
    <row r="55">
      <c r="B55" s="19" t="s">
        <v>76</v>
      </c>
      <c r="C55" s="19" t="s">
        <v>77</v>
      </c>
    </row>
    <row r="57">
      <c r="A57" s="19" t="s">
        <v>78</v>
      </c>
    </row>
    <row r="58">
      <c r="A58" s="19" t="s">
        <v>79</v>
      </c>
      <c r="B58" s="19" t="s">
        <v>80</v>
      </c>
    </row>
    <row r="59">
      <c r="A59" s="19" t="s">
        <v>81</v>
      </c>
      <c r="B59" s="19" t="s">
        <v>82</v>
      </c>
    </row>
    <row r="60">
      <c r="A60" s="19" t="s">
        <v>6</v>
      </c>
      <c r="B60" s="19" t="s">
        <v>83</v>
      </c>
    </row>
    <row r="64">
      <c r="A64" s="32" t="s">
        <v>84</v>
      </c>
    </row>
    <row r="65">
      <c r="A65" s="32" t="s">
        <v>85</v>
      </c>
    </row>
    <row r="67">
      <c r="A67" s="32" t="s">
        <v>86</v>
      </c>
    </row>
    <row r="69">
      <c r="A69" s="32" t="s">
        <v>87</v>
      </c>
    </row>
    <row r="71">
      <c r="A71" s="32" t="s">
        <v>88</v>
      </c>
    </row>
    <row r="72">
      <c r="A72" s="32" t="s">
        <v>89</v>
      </c>
    </row>
    <row r="74">
      <c r="A74" s="32" t="s">
        <v>90</v>
      </c>
    </row>
    <row r="76">
      <c r="A76" s="32" t="s">
        <v>91</v>
      </c>
    </row>
    <row r="78">
      <c r="A78" s="32" t="s">
        <v>92</v>
      </c>
    </row>
    <row r="80">
      <c r="A80" s="32" t="s">
        <v>93</v>
      </c>
    </row>
    <row r="81">
      <c r="A81" s="32" t="s">
        <v>94</v>
      </c>
    </row>
    <row r="83">
      <c r="A83" s="32" t="s">
        <v>95</v>
      </c>
    </row>
    <row r="85">
      <c r="A85" s="32" t="s">
        <v>96</v>
      </c>
    </row>
    <row r="87">
      <c r="A87" s="32" t="s">
        <v>97</v>
      </c>
    </row>
    <row r="89">
      <c r="A89" s="32" t="s">
        <v>98</v>
      </c>
    </row>
    <row r="91">
      <c r="A91" s="32" t="s">
        <v>99</v>
      </c>
    </row>
    <row r="93">
      <c r="A93" s="32" t="s">
        <v>100</v>
      </c>
    </row>
    <row r="94">
      <c r="A94" s="32" t="s">
        <v>101</v>
      </c>
    </row>
    <row r="96">
      <c r="A96" s="32" t="s">
        <v>102</v>
      </c>
    </row>
    <row r="98">
      <c r="A98" s="32" t="s">
        <v>103</v>
      </c>
    </row>
    <row r="100">
      <c r="A100" s="32" t="s">
        <v>104</v>
      </c>
    </row>
    <row r="101">
      <c r="A101" s="32" t="s">
        <v>105</v>
      </c>
    </row>
    <row r="102">
      <c r="A102" s="32" t="s">
        <v>106</v>
      </c>
    </row>
    <row r="104">
      <c r="A104" s="32" t="s">
        <v>107</v>
      </c>
    </row>
    <row r="106">
      <c r="A106" s="32" t="s">
        <v>108</v>
      </c>
    </row>
    <row r="108">
      <c r="A108" s="32" t="s">
        <v>109</v>
      </c>
    </row>
    <row r="109">
      <c r="A109" s="32" t="s">
        <v>110</v>
      </c>
    </row>
    <row r="111">
      <c r="A111" s="32" t="s">
        <v>111</v>
      </c>
    </row>
    <row r="113">
      <c r="A113" s="32" t="s">
        <v>112</v>
      </c>
    </row>
    <row r="115">
      <c r="A115" s="32" t="s">
        <v>113</v>
      </c>
    </row>
    <row r="117">
      <c r="A117" s="32" t="s">
        <v>114</v>
      </c>
    </row>
    <row r="119">
      <c r="A119" s="32" t="s">
        <v>115</v>
      </c>
    </row>
    <row r="120">
      <c r="A120" s="32" t="s">
        <v>116</v>
      </c>
    </row>
    <row r="121">
      <c r="A121" s="32" t="s">
        <v>117</v>
      </c>
      <c r="B121" s="32" t="s">
        <v>118</v>
      </c>
    </row>
    <row r="122">
      <c r="A122" s="32" t="s">
        <v>119</v>
      </c>
      <c r="B122" s="32" t="s">
        <v>120</v>
      </c>
    </row>
    <row r="123">
      <c r="A123" s="32" t="s">
        <v>121</v>
      </c>
      <c r="B123" s="32" t="s">
        <v>122</v>
      </c>
    </row>
    <row r="124">
      <c r="A124" s="32" t="s">
        <v>123</v>
      </c>
      <c r="B124" s="32" t="s">
        <v>124</v>
      </c>
    </row>
    <row r="125">
      <c r="A125" s="32" t="s">
        <v>125</v>
      </c>
      <c r="B125" s="32" t="s">
        <v>126</v>
      </c>
    </row>
    <row r="126">
      <c r="A126" s="32" t="s">
        <v>127</v>
      </c>
      <c r="B126" s="32" t="s">
        <v>128</v>
      </c>
    </row>
    <row r="127">
      <c r="A127" s="32" t="s">
        <v>129</v>
      </c>
    </row>
    <row r="129">
      <c r="A129" s="32" t="s">
        <v>130</v>
      </c>
    </row>
    <row r="131">
      <c r="A131" s="32" t="s">
        <v>131</v>
      </c>
    </row>
    <row r="133">
      <c r="A133" s="32" t="s">
        <v>132</v>
      </c>
    </row>
    <row r="135">
      <c r="A135" s="32" t="s">
        <v>133</v>
      </c>
    </row>
    <row r="137">
      <c r="A137" s="32" t="s">
        <v>134</v>
      </c>
    </row>
  </sheetData>
  <hyperlinks>
    <hyperlink r:id="rId1" ref="M54"/>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7.63"/>
    <col customWidth="1" min="3" max="3" width="35.13"/>
    <col customWidth="1" min="4" max="5" width="7.63"/>
    <col customWidth="1" min="6" max="6" width="12.63"/>
    <col customWidth="1" min="7" max="7" width="7.63"/>
    <col customWidth="1" min="8" max="10" width="12.63"/>
    <col customWidth="1" min="11" max="11" width="35.13"/>
    <col customWidth="1" min="12" max="15" width="7.63"/>
  </cols>
  <sheetData>
    <row r="1">
      <c r="A1" s="33" t="s">
        <v>135</v>
      </c>
      <c r="B1" s="34" t="s">
        <v>136</v>
      </c>
      <c r="C1" s="34" t="s">
        <v>0</v>
      </c>
      <c r="D1" s="35" t="s">
        <v>1</v>
      </c>
      <c r="E1" s="35" t="s">
        <v>137</v>
      </c>
      <c r="F1" s="35" t="s">
        <v>138</v>
      </c>
      <c r="G1" s="34" t="s">
        <v>139</v>
      </c>
      <c r="H1" s="34" t="s">
        <v>140</v>
      </c>
      <c r="I1" s="34" t="s">
        <v>141</v>
      </c>
      <c r="J1" s="34" t="s">
        <v>142</v>
      </c>
      <c r="K1" s="34" t="s">
        <v>143</v>
      </c>
      <c r="L1" s="34" t="s">
        <v>6</v>
      </c>
      <c r="M1" s="34" t="s">
        <v>3</v>
      </c>
      <c r="N1" s="34" t="s">
        <v>4</v>
      </c>
      <c r="O1" s="36" t="s">
        <v>144</v>
      </c>
    </row>
    <row r="2" ht="17.25" customHeight="1">
      <c r="A2" s="37" t="s">
        <v>145</v>
      </c>
      <c r="B2" s="38">
        <v>15.0</v>
      </c>
      <c r="C2" s="39" t="s">
        <v>146</v>
      </c>
      <c r="D2" s="13">
        <v>0.7</v>
      </c>
      <c r="E2" s="38" t="s">
        <v>147</v>
      </c>
      <c r="F2" s="40"/>
      <c r="G2" s="41" t="s">
        <v>148</v>
      </c>
      <c r="H2" s="41"/>
      <c r="I2" s="41"/>
      <c r="J2" s="41"/>
      <c r="K2" s="39"/>
      <c r="L2" s="13"/>
      <c r="M2" s="13" t="s">
        <v>149</v>
      </c>
      <c r="N2" s="13" t="s">
        <v>150</v>
      </c>
      <c r="O2" s="7" t="b">
        <f>IF(E2="隔週A", MOD(INT(('26414_編集版'!$C$1-DATE(2026,4,14))/7), 2)=1, IF(E2="隔週B", MOD(INT(('26414_編集版'!$C$1-DATE(2026,4,14))/7), 2)=0, FALSE))</f>
        <v>0</v>
      </c>
    </row>
    <row r="3" ht="17.25" customHeight="1">
      <c r="A3" s="37" t="s">
        <v>145</v>
      </c>
      <c r="B3" s="7">
        <v>9.0</v>
      </c>
      <c r="C3" s="39" t="s">
        <v>151</v>
      </c>
      <c r="D3" s="13">
        <v>0.4</v>
      </c>
      <c r="E3" s="38" t="s">
        <v>147</v>
      </c>
      <c r="F3" s="42"/>
      <c r="G3" s="41" t="s">
        <v>148</v>
      </c>
      <c r="H3" s="41"/>
      <c r="I3" s="41"/>
      <c r="J3" s="41"/>
      <c r="K3" s="39"/>
      <c r="L3" s="43"/>
      <c r="M3" s="43" t="s">
        <v>150</v>
      </c>
      <c r="N3" s="13" t="s">
        <v>152</v>
      </c>
      <c r="O3" s="7" t="b">
        <f>IF(E3="隔週A", MOD(INT(('26414_編集版'!$C$1-DATE(2026,4,14))/7), 2)=1, IF(E3="隔週B", MOD(INT(('26414_編集版'!$C$1-DATE(2026,4,14))/7), 2)=0, FALSE))</f>
        <v>0</v>
      </c>
    </row>
    <row r="4" ht="17.25" customHeight="1">
      <c r="A4" s="37" t="s">
        <v>145</v>
      </c>
      <c r="B4" s="7">
        <v>17.0</v>
      </c>
      <c r="C4" s="39" t="s">
        <v>153</v>
      </c>
      <c r="D4" s="7">
        <v>2.3</v>
      </c>
      <c r="E4" s="38" t="s">
        <v>147</v>
      </c>
      <c r="F4" s="8"/>
      <c r="G4" s="44" t="s">
        <v>148</v>
      </c>
      <c r="H4" s="44"/>
      <c r="I4" s="44"/>
      <c r="J4" s="44"/>
      <c r="K4" s="39"/>
      <c r="L4" s="7"/>
      <c r="M4" s="7" t="s">
        <v>150</v>
      </c>
      <c r="N4" s="7" t="s">
        <v>152</v>
      </c>
      <c r="O4" s="7" t="b">
        <f>IF(E4="隔週A", MOD(INT(('26414_編集版'!$C$1-DATE(2026,4,14))/7), 2)=1, IF(E4="隔週B", MOD(INT(('26414_編集版'!$C$1-DATE(2026,4,14))/7), 2)=0, FALSE))</f>
        <v>0</v>
      </c>
    </row>
    <row r="5" ht="17.25" customHeight="1">
      <c r="A5" s="37" t="s">
        <v>154</v>
      </c>
      <c r="B5" s="7">
        <v>18.0</v>
      </c>
      <c r="C5" s="39" t="s">
        <v>155</v>
      </c>
      <c r="D5" s="13">
        <v>8.5</v>
      </c>
      <c r="E5" s="38" t="s">
        <v>147</v>
      </c>
      <c r="F5" s="8"/>
      <c r="G5" s="7" t="s">
        <v>148</v>
      </c>
      <c r="H5" s="7"/>
      <c r="I5" s="7"/>
      <c r="J5" s="7"/>
      <c r="K5" s="39"/>
      <c r="L5" s="7"/>
      <c r="M5" s="7" t="s">
        <v>150</v>
      </c>
      <c r="N5" s="7" t="s">
        <v>152</v>
      </c>
      <c r="O5" s="7" t="b">
        <f>IF(E5="隔週A", MOD(INT(('26414_編集版'!$C$1-DATE(2026,4,14))/7), 2)=1, IF(E5="隔週B", MOD(INT(('26414_編集版'!$C$1-DATE(2026,4,14))/7), 2)=0, FALSE))</f>
        <v>0</v>
      </c>
    </row>
    <row r="6" ht="17.25" customHeight="1">
      <c r="A6" s="37" t="s">
        <v>156</v>
      </c>
      <c r="B6" s="7">
        <v>18.0</v>
      </c>
      <c r="C6" s="45" t="s">
        <v>157</v>
      </c>
      <c r="D6" s="7">
        <v>1.6</v>
      </c>
      <c r="E6" s="38" t="s">
        <v>147</v>
      </c>
      <c r="F6" s="8"/>
      <c r="G6" s="46" t="s">
        <v>148</v>
      </c>
      <c r="H6" s="46"/>
      <c r="I6" s="46"/>
      <c r="J6" s="46"/>
      <c r="K6" s="45"/>
      <c r="L6" s="7"/>
      <c r="M6" s="7" t="s">
        <v>158</v>
      </c>
      <c r="N6" s="7" t="s">
        <v>150</v>
      </c>
      <c r="O6" s="7" t="b">
        <f>IF(E6="隔週A", MOD(INT(('26414_編集版'!$C$1-DATE(2026,4,14))/7), 2)=1, IF(E6="隔週B", MOD(INT(('26414_編集版'!$C$1-DATE(2026,4,14))/7), 2)=0, FALSE))</f>
        <v>0</v>
      </c>
    </row>
    <row r="7" ht="17.25" customHeight="1">
      <c r="A7" s="37" t="s">
        <v>156</v>
      </c>
      <c r="B7" s="7">
        <v>19.0</v>
      </c>
      <c r="C7" s="13" t="s">
        <v>159</v>
      </c>
      <c r="D7" s="13">
        <v>0.7</v>
      </c>
      <c r="E7" s="38" t="s">
        <v>147</v>
      </c>
      <c r="F7" s="40"/>
      <c r="G7" s="41" t="s">
        <v>148</v>
      </c>
      <c r="H7" s="41"/>
      <c r="I7" s="41"/>
      <c r="J7" s="41"/>
      <c r="K7" s="13"/>
      <c r="L7" s="13"/>
      <c r="M7" s="13" t="s">
        <v>150</v>
      </c>
      <c r="N7" s="13" t="s">
        <v>160</v>
      </c>
      <c r="O7" s="7" t="b">
        <f>IF(E7="隔週A", MOD(INT(('26414_編集版'!$C$1-DATE(2026,4,14))/7), 2)=1, IF(E7="隔週B", MOD(INT(('26414_編集版'!$C$1-DATE(2026,4,14))/7), 2)=0, FALSE))</f>
        <v>0</v>
      </c>
    </row>
    <row r="8" ht="17.25" customHeight="1">
      <c r="A8" s="37" t="s">
        <v>156</v>
      </c>
      <c r="B8" s="7">
        <v>19.0</v>
      </c>
      <c r="C8" s="47" t="s">
        <v>161</v>
      </c>
      <c r="D8" s="13">
        <v>0.9</v>
      </c>
      <c r="E8" s="38" t="s">
        <v>147</v>
      </c>
      <c r="F8" s="40"/>
      <c r="G8" s="48" t="s">
        <v>148</v>
      </c>
      <c r="H8" s="48"/>
      <c r="I8" s="48"/>
      <c r="J8" s="48"/>
      <c r="K8" s="47"/>
      <c r="L8" s="13"/>
      <c r="M8" s="13" t="s">
        <v>150</v>
      </c>
      <c r="N8" s="13" t="s">
        <v>160</v>
      </c>
      <c r="O8" s="7" t="b">
        <f>IF(E8="隔週A", MOD(INT(('26414_編集版'!$C$1-DATE(2026,4,14))/7), 2)=1, IF(E8="隔週B", MOD(INT(('26414_編集版'!$C$1-DATE(2026,4,14))/7), 2)=0, FALSE))</f>
        <v>0</v>
      </c>
    </row>
    <row r="9" ht="17.25" customHeight="1">
      <c r="A9" s="37" t="s">
        <v>156</v>
      </c>
      <c r="B9" s="7">
        <v>19.0</v>
      </c>
      <c r="C9" s="47" t="s">
        <v>162</v>
      </c>
      <c r="D9" s="13">
        <v>0.6</v>
      </c>
      <c r="E9" s="38" t="s">
        <v>147</v>
      </c>
      <c r="F9" s="40"/>
      <c r="G9" s="48" t="s">
        <v>148</v>
      </c>
      <c r="H9" s="48"/>
      <c r="I9" s="48"/>
      <c r="J9" s="48"/>
      <c r="K9" s="47"/>
      <c r="L9" s="13"/>
      <c r="M9" s="13" t="s">
        <v>150</v>
      </c>
      <c r="N9" s="13" t="s">
        <v>160</v>
      </c>
      <c r="O9" s="7" t="b">
        <f>IF(E9="隔週A", MOD(INT(('26414_編集版'!$C$1-DATE(2026,4,14))/7), 2)=1, IF(E9="隔週B", MOD(INT(('26414_編集版'!$C$1-DATE(2026,4,14))/7), 2)=0, FALSE))</f>
        <v>0</v>
      </c>
    </row>
    <row r="10" ht="17.25" customHeight="1">
      <c r="A10" s="37" t="s">
        <v>156</v>
      </c>
      <c r="B10" s="7">
        <v>19.0</v>
      </c>
      <c r="C10" s="13" t="s">
        <v>163</v>
      </c>
      <c r="D10" s="7">
        <v>0.7</v>
      </c>
      <c r="E10" s="38" t="s">
        <v>147</v>
      </c>
      <c r="F10" s="8"/>
      <c r="G10" s="13" t="s">
        <v>148</v>
      </c>
      <c r="H10" s="13"/>
      <c r="I10" s="13"/>
      <c r="J10" s="13"/>
      <c r="K10" s="13"/>
      <c r="L10" s="7"/>
      <c r="M10" s="7" t="s">
        <v>150</v>
      </c>
      <c r="N10" s="7" t="s">
        <v>160</v>
      </c>
      <c r="O10" s="7" t="b">
        <f>IF(E10="隔週A", MOD(INT(('26414_編集版'!$C$1-DATE(2026,4,14))/7), 2)=1, IF(E10="隔週B", MOD(INT(('26414_編集版'!$C$1-DATE(2026,4,14))/7), 2)=0, FALSE))</f>
        <v>0</v>
      </c>
    </row>
    <row r="11" ht="17.25" customHeight="1">
      <c r="A11" s="37" t="s">
        <v>156</v>
      </c>
      <c r="B11" s="7">
        <v>19.0</v>
      </c>
      <c r="C11" s="47" t="s">
        <v>164</v>
      </c>
      <c r="D11" s="13">
        <v>1.0</v>
      </c>
      <c r="E11" s="38" t="s">
        <v>147</v>
      </c>
      <c r="F11" s="40"/>
      <c r="G11" s="48" t="s">
        <v>148</v>
      </c>
      <c r="H11" s="48"/>
      <c r="I11" s="48"/>
      <c r="J11" s="48"/>
      <c r="K11" s="47"/>
      <c r="L11" s="13"/>
      <c r="M11" s="13" t="s">
        <v>150</v>
      </c>
      <c r="N11" s="13" t="s">
        <v>160</v>
      </c>
      <c r="O11" s="7" t="b">
        <f>IF(E11="隔週A", MOD(INT(('26414_編集版'!$C$1-DATE(2026,4,14))/7), 2)=1, IF(E11="隔週B", MOD(INT(('26414_編集版'!$C$1-DATE(2026,4,14))/7), 2)=0, FALSE))</f>
        <v>0</v>
      </c>
    </row>
    <row r="12" ht="17.25" customHeight="1">
      <c r="A12" s="37" t="s">
        <v>165</v>
      </c>
      <c r="B12" s="7">
        <v>20.0</v>
      </c>
      <c r="C12" s="49" t="s">
        <v>166</v>
      </c>
      <c r="D12" s="38">
        <v>0.9</v>
      </c>
      <c r="E12" s="38" t="s">
        <v>147</v>
      </c>
      <c r="F12" s="8"/>
      <c r="G12" s="7" t="s">
        <v>148</v>
      </c>
      <c r="H12" s="7"/>
      <c r="I12" s="7"/>
      <c r="J12" s="7"/>
      <c r="K12" s="49"/>
      <c r="L12" s="7"/>
      <c r="M12" s="38" t="s">
        <v>150</v>
      </c>
      <c r="N12" s="38" t="s">
        <v>152</v>
      </c>
      <c r="O12" s="7" t="b">
        <f>IF(E12="隔週A", MOD(INT(('26414_編集版'!$C$1-DATE(2026,4,14))/7), 2)=1, IF(E12="隔週B", MOD(INT(('26414_編集版'!$C$1-DATE(2026,4,14))/7), 2)=0, FALSE))</f>
        <v>0</v>
      </c>
    </row>
    <row r="13" ht="17.25" customHeight="1">
      <c r="A13" s="37" t="s">
        <v>165</v>
      </c>
      <c r="B13" s="7">
        <v>19.0</v>
      </c>
      <c r="C13" s="50" t="s">
        <v>167</v>
      </c>
      <c r="D13" s="7">
        <v>1.9</v>
      </c>
      <c r="E13" s="38" t="s">
        <v>147</v>
      </c>
      <c r="F13" s="8"/>
      <c r="G13" s="46" t="s">
        <v>148</v>
      </c>
      <c r="H13" s="46"/>
      <c r="I13" s="46"/>
      <c r="J13" s="46"/>
      <c r="K13" s="51"/>
      <c r="L13" s="7"/>
      <c r="M13" s="38" t="s">
        <v>150</v>
      </c>
      <c r="N13" s="7" t="s">
        <v>152</v>
      </c>
      <c r="O13" s="7" t="b">
        <f>IF(E13="隔週A", MOD(INT(('26414_編集版'!$C$1-DATE(2026,4,14))/7), 2)=1, IF(E13="隔週B", MOD(INT(('26414_編集版'!$C$1-DATE(2026,4,14))/7), 2)=0, FALSE))</f>
        <v>0</v>
      </c>
    </row>
    <row r="14" ht="17.25" customHeight="1">
      <c r="A14" s="37" t="s">
        <v>165</v>
      </c>
      <c r="B14" s="7">
        <v>13.0</v>
      </c>
      <c r="C14" s="45" t="s">
        <v>168</v>
      </c>
      <c r="D14" s="7">
        <v>1.4</v>
      </c>
      <c r="E14" s="38" t="s">
        <v>147</v>
      </c>
      <c r="F14" s="8"/>
      <c r="G14" s="7" t="s">
        <v>148</v>
      </c>
      <c r="H14" s="7"/>
      <c r="I14" s="7"/>
      <c r="J14" s="7"/>
      <c r="K14" s="45"/>
      <c r="L14" s="7"/>
      <c r="M14" s="7" t="s">
        <v>152</v>
      </c>
      <c r="N14" s="7" t="s">
        <v>150</v>
      </c>
      <c r="O14" s="7" t="b">
        <f>IF(E14="隔週A", MOD(INT(('26414_編集版'!$C$1-DATE(2026,4,14))/7), 2)=1, IF(E14="隔週B", MOD(INT(('26414_編集版'!$C$1-DATE(2026,4,14))/7), 2)=0, FALSE))</f>
        <v>0</v>
      </c>
    </row>
    <row r="15" ht="17.25" customHeight="1">
      <c r="A15" s="37" t="s">
        <v>169</v>
      </c>
      <c r="B15" s="7">
        <v>11.0</v>
      </c>
      <c r="C15" s="41" t="s">
        <v>170</v>
      </c>
      <c r="D15" s="13">
        <v>2.0</v>
      </c>
      <c r="E15" s="38" t="s">
        <v>147</v>
      </c>
      <c r="F15" s="40"/>
      <c r="G15" s="13" t="s">
        <v>148</v>
      </c>
      <c r="H15" s="13"/>
      <c r="I15" s="13"/>
      <c r="J15" s="13"/>
      <c r="K15" s="41"/>
      <c r="L15" s="13"/>
      <c r="M15" s="13" t="s">
        <v>152</v>
      </c>
      <c r="N15" s="41" t="s">
        <v>149</v>
      </c>
      <c r="O15" s="7" t="b">
        <f>IF(E15="隔週A", MOD(INT(('26414_編集版'!$C$1-DATE(2026,4,14))/7), 2)=1, IF(E15="隔週B", MOD(INT(('26414_編集版'!$C$1-DATE(2026,4,14))/7), 2)=0, FALSE))</f>
        <v>0</v>
      </c>
    </row>
    <row r="16" ht="17.25" customHeight="1">
      <c r="A16" s="37" t="s">
        <v>169</v>
      </c>
      <c r="B16" s="7">
        <v>17.0</v>
      </c>
      <c r="C16" s="49" t="s">
        <v>171</v>
      </c>
      <c r="D16" s="7">
        <v>0.2</v>
      </c>
      <c r="E16" s="38" t="s">
        <v>147</v>
      </c>
      <c r="F16" s="8"/>
      <c r="G16" s="7" t="s">
        <v>148</v>
      </c>
      <c r="H16" s="7"/>
      <c r="I16" s="7"/>
      <c r="J16" s="7"/>
      <c r="K16" s="49"/>
      <c r="L16" s="7"/>
      <c r="M16" s="38" t="s">
        <v>150</v>
      </c>
      <c r="N16" s="38" t="s">
        <v>158</v>
      </c>
      <c r="O16" s="7" t="b">
        <f>IF(E16="隔週A", MOD(INT(('26414_編集版'!$C$1-DATE(2026,4,14))/7), 2)=1, IF(E16="隔週B", MOD(INT(('26414_編集版'!$C$1-DATE(2026,4,14))/7), 2)=0, FALSE))</f>
        <v>0</v>
      </c>
    </row>
    <row r="17" ht="17.25" customHeight="1">
      <c r="A17" s="37" t="s">
        <v>169</v>
      </c>
      <c r="B17" s="7">
        <v>17.0</v>
      </c>
      <c r="C17" s="49" t="s">
        <v>172</v>
      </c>
      <c r="D17" s="7">
        <v>0.1</v>
      </c>
      <c r="E17" s="38" t="s">
        <v>147</v>
      </c>
      <c r="F17" s="8"/>
      <c r="G17" s="7" t="s">
        <v>148</v>
      </c>
      <c r="H17" s="7"/>
      <c r="I17" s="7"/>
      <c r="J17" s="7"/>
      <c r="K17" s="49"/>
      <c r="L17" s="7"/>
      <c r="M17" s="38" t="s">
        <v>150</v>
      </c>
      <c r="N17" s="38" t="s">
        <v>158</v>
      </c>
      <c r="O17" s="7" t="b">
        <f>IF(E17="隔週A", MOD(INT(('26414_編集版'!$C$1-DATE(2026,4,14))/7), 2)=1, IF(E17="隔週B", MOD(INT(('26414_編集版'!$C$1-DATE(2026,4,14))/7), 2)=0, FALSE))</f>
        <v>0</v>
      </c>
    </row>
    <row r="18" ht="17.25" customHeight="1">
      <c r="A18" s="37" t="s">
        <v>169</v>
      </c>
      <c r="B18" s="7">
        <v>17.0</v>
      </c>
      <c r="C18" s="49" t="s">
        <v>173</v>
      </c>
      <c r="D18" s="7">
        <v>0.1</v>
      </c>
      <c r="E18" s="38" t="s">
        <v>147</v>
      </c>
      <c r="F18" s="8"/>
      <c r="G18" s="7" t="s">
        <v>148</v>
      </c>
      <c r="H18" s="7"/>
      <c r="I18" s="7"/>
      <c r="J18" s="7"/>
      <c r="K18" s="49"/>
      <c r="L18" s="7"/>
      <c r="M18" s="38" t="s">
        <v>150</v>
      </c>
      <c r="N18" s="38" t="s">
        <v>158</v>
      </c>
      <c r="O18" s="7" t="b">
        <f>IF(E18="隔週A", MOD(INT(('26414_編集版'!$C$1-DATE(2026,4,14))/7), 2)=1, IF(E18="隔週B", MOD(INT(('26414_編集版'!$C$1-DATE(2026,4,14))/7), 2)=0, FALSE))</f>
        <v>0</v>
      </c>
    </row>
    <row r="19" ht="17.25" customHeight="1">
      <c r="A19" s="37" t="s">
        <v>169</v>
      </c>
      <c r="B19" s="7">
        <v>12.0</v>
      </c>
      <c r="C19" s="52" t="s">
        <v>174</v>
      </c>
      <c r="D19" s="52">
        <v>1.6</v>
      </c>
      <c r="E19" s="38" t="s">
        <v>147</v>
      </c>
      <c r="F19" s="53"/>
      <c r="G19" s="52" t="s">
        <v>148</v>
      </c>
      <c r="H19" s="52"/>
      <c r="I19" s="52"/>
      <c r="J19" s="52"/>
      <c r="K19" s="52"/>
      <c r="L19" s="52"/>
      <c r="M19" s="52" t="s">
        <v>150</v>
      </c>
      <c r="N19" s="52" t="s">
        <v>152</v>
      </c>
      <c r="O19" s="7" t="b">
        <f>IF(E19="隔週A", MOD(INT(('26414_編集版'!$C$1-DATE(2026,4,14))/7), 2)=1, IF(E19="隔週B", MOD(INT(('26414_編集版'!$C$1-DATE(2026,4,14))/7), 2)=0, FALSE))</f>
        <v>0</v>
      </c>
    </row>
    <row r="20" ht="19.5" customHeight="1">
      <c r="A20" s="37" t="s">
        <v>169</v>
      </c>
      <c r="B20" s="7">
        <v>12.0</v>
      </c>
      <c r="C20" s="52" t="s">
        <v>175</v>
      </c>
      <c r="D20" s="52">
        <v>0.5</v>
      </c>
      <c r="E20" s="38" t="s">
        <v>147</v>
      </c>
      <c r="F20" s="53"/>
      <c r="G20" s="52" t="s">
        <v>148</v>
      </c>
      <c r="H20" s="52"/>
      <c r="I20" s="52"/>
      <c r="J20" s="52"/>
      <c r="K20" s="52"/>
      <c r="L20" s="52"/>
      <c r="M20" s="52" t="s">
        <v>150</v>
      </c>
      <c r="N20" s="52" t="s">
        <v>152</v>
      </c>
      <c r="O20" s="7" t="b">
        <f>IF(E20="隔週A", MOD(INT(('26414_編集版'!$C$1-DATE(2026,4,14))/7), 2)=1, IF(E20="隔週B", MOD(INT(('26414_編集版'!$C$1-DATE(2026,4,14))/7), 2)=0, FALSE))</f>
        <v>0</v>
      </c>
    </row>
    <row r="21" ht="19.5" customHeight="1">
      <c r="A21" s="37" t="s">
        <v>169</v>
      </c>
      <c r="B21" s="7">
        <v>19.0</v>
      </c>
      <c r="C21" s="54" t="s">
        <v>176</v>
      </c>
      <c r="D21" s="13">
        <v>0.3</v>
      </c>
      <c r="E21" s="38" t="s">
        <v>147</v>
      </c>
      <c r="F21" s="40"/>
      <c r="G21" s="48" t="s">
        <v>148</v>
      </c>
      <c r="H21" s="48"/>
      <c r="I21" s="48"/>
      <c r="J21" s="48"/>
      <c r="K21" s="54"/>
      <c r="L21" s="13"/>
      <c r="M21" s="13" t="s">
        <v>150</v>
      </c>
      <c r="N21" s="13" t="s">
        <v>152</v>
      </c>
      <c r="O21" s="7" t="b">
        <f>IF(E21="隔週A", MOD(INT(('26414_編集版'!$C$1-DATE(2026,4,14))/7), 2)=1, IF(E21="隔週B", MOD(INT(('26414_編集版'!$C$1-DATE(2026,4,14))/7), 2)=0, FALSE))</f>
        <v>0</v>
      </c>
    </row>
    <row r="22" ht="19.5" customHeight="1">
      <c r="A22" s="37" t="s">
        <v>177</v>
      </c>
      <c r="B22" s="7">
        <v>18.0</v>
      </c>
      <c r="C22" s="54" t="s">
        <v>178</v>
      </c>
      <c r="D22" s="41">
        <v>0.3</v>
      </c>
      <c r="E22" s="38" t="s">
        <v>147</v>
      </c>
      <c r="F22" s="40"/>
      <c r="G22" s="41" t="s">
        <v>148</v>
      </c>
      <c r="H22" s="41"/>
      <c r="I22" s="41"/>
      <c r="J22" s="41"/>
      <c r="K22" s="54"/>
      <c r="L22" s="13"/>
      <c r="M22" s="13" t="s">
        <v>150</v>
      </c>
      <c r="N22" s="13" t="s">
        <v>152</v>
      </c>
      <c r="O22" s="7" t="b">
        <f>IF(E22="隔週A", MOD(INT(('26414_編集版'!$C$1-DATE(2026,4,14))/7), 2)=1, IF(E22="隔週B", MOD(INT(('26414_編集版'!$C$1-DATE(2026,4,14))/7), 2)=0, FALSE))</f>
        <v>0</v>
      </c>
    </row>
    <row r="23" ht="17.25" customHeight="1">
      <c r="A23" s="37" t="s">
        <v>177</v>
      </c>
      <c r="B23" s="7">
        <v>13.0</v>
      </c>
      <c r="C23" s="55" t="s">
        <v>179</v>
      </c>
      <c r="D23" s="7">
        <v>1.6</v>
      </c>
      <c r="E23" s="38" t="s">
        <v>147</v>
      </c>
      <c r="F23" s="8"/>
      <c r="G23" s="41" t="s">
        <v>180</v>
      </c>
      <c r="H23" s="41"/>
      <c r="I23" s="41"/>
      <c r="J23" s="41"/>
      <c r="K23" s="55"/>
      <c r="L23" s="7"/>
      <c r="M23" s="7" t="s">
        <v>150</v>
      </c>
      <c r="N23" s="7" t="s">
        <v>152</v>
      </c>
      <c r="O23" s="7" t="b">
        <f>IF(E23="隔週A", MOD(INT(('26414_編集版'!$C$1-DATE(2026,4,14))/7), 2)=1, IF(E23="隔週B", MOD(INT(('26414_編集版'!$C$1-DATE(2026,4,14))/7), 2)=0, FALSE))</f>
        <v>0</v>
      </c>
    </row>
    <row r="24" ht="17.25" customHeight="1">
      <c r="A24" s="37" t="s">
        <v>181</v>
      </c>
      <c r="B24" s="7">
        <v>19.0</v>
      </c>
      <c r="C24" s="41" t="s">
        <v>182</v>
      </c>
      <c r="D24" s="41">
        <v>0.9</v>
      </c>
      <c r="E24" s="38" t="s">
        <v>147</v>
      </c>
      <c r="F24" s="40"/>
      <c r="G24" s="41" t="s">
        <v>148</v>
      </c>
      <c r="H24" s="41"/>
      <c r="I24" s="41"/>
      <c r="J24" s="41"/>
      <c r="K24" s="41"/>
      <c r="L24" s="13"/>
      <c r="M24" s="13" t="s">
        <v>150</v>
      </c>
      <c r="N24" s="41" t="s">
        <v>152</v>
      </c>
      <c r="O24" s="7" t="b">
        <f>IF(E24="隔週A", MOD(INT(('26414_編集版'!$C$1-DATE(2026,4,14))/7), 2)=1, IF(E24="隔週B", MOD(INT(('26414_編集版'!$C$1-DATE(2026,4,14))/7), 2)=0, FALSE))</f>
        <v>0</v>
      </c>
    </row>
    <row r="25" ht="17.25" customHeight="1">
      <c r="A25" s="37" t="s">
        <v>181</v>
      </c>
      <c r="B25" s="7">
        <v>12.0</v>
      </c>
      <c r="C25" s="41" t="s">
        <v>183</v>
      </c>
      <c r="D25" s="13">
        <v>1.4</v>
      </c>
      <c r="E25" s="38" t="s">
        <v>147</v>
      </c>
      <c r="F25" s="40"/>
      <c r="G25" s="41" t="s">
        <v>148</v>
      </c>
      <c r="H25" s="41"/>
      <c r="I25" s="41"/>
      <c r="J25" s="41"/>
      <c r="K25" s="41"/>
      <c r="L25" s="13"/>
      <c r="M25" s="13" t="s">
        <v>150</v>
      </c>
      <c r="N25" s="13" t="s">
        <v>152</v>
      </c>
      <c r="O25" s="7" t="b">
        <f>IF(E25="隔週A", MOD(INT(('26414_編集版'!$C$1-DATE(2026,4,14))/7), 2)=1, IF(E25="隔週B", MOD(INT(('26414_編集版'!$C$1-DATE(2026,4,14))/7), 2)=0, FALSE))</f>
        <v>0</v>
      </c>
    </row>
    <row r="26" ht="17.25" customHeight="1">
      <c r="A26" s="37" t="s">
        <v>145</v>
      </c>
      <c r="B26" s="7">
        <v>18.0</v>
      </c>
      <c r="C26" s="45" t="s">
        <v>184</v>
      </c>
      <c r="D26" s="7">
        <v>0.1</v>
      </c>
      <c r="E26" s="7" t="s">
        <v>185</v>
      </c>
      <c r="F26" s="12" t="s">
        <v>186</v>
      </c>
      <c r="G26" s="7" t="s">
        <v>148</v>
      </c>
      <c r="H26" s="7"/>
      <c r="I26" s="7"/>
      <c r="J26" s="7"/>
      <c r="K26" s="45"/>
      <c r="L26" s="56"/>
      <c r="M26" s="7" t="s">
        <v>150</v>
      </c>
      <c r="N26" s="7" t="s">
        <v>160</v>
      </c>
      <c r="O26" s="7" t="b">
        <f>IF(E26="隔週A", MOD(INT(('26414_編集版'!$C$1-DATE(2026,4,14))/7), 2)=1, IF(E26="隔週B", MOD(INT(('26414_編集版'!$C$1-DATE(2026,4,14))/7), 2)=0, FALSE))</f>
        <v>1</v>
      </c>
    </row>
    <row r="27" ht="17.25" customHeight="1">
      <c r="A27" s="37" t="s">
        <v>145</v>
      </c>
      <c r="B27" s="7">
        <v>18.0</v>
      </c>
      <c r="C27" s="45" t="s">
        <v>187</v>
      </c>
      <c r="D27" s="7">
        <v>0.2</v>
      </c>
      <c r="E27" s="7" t="s">
        <v>185</v>
      </c>
      <c r="F27" s="12" t="s">
        <v>188</v>
      </c>
      <c r="G27" s="7" t="s">
        <v>148</v>
      </c>
      <c r="H27" s="7"/>
      <c r="I27" s="7"/>
      <c r="J27" s="7"/>
      <c r="K27" s="45"/>
      <c r="L27" s="56"/>
      <c r="M27" s="7" t="s">
        <v>150</v>
      </c>
      <c r="N27" s="7" t="s">
        <v>160</v>
      </c>
      <c r="O27" s="7" t="b">
        <f>IF(E27="隔週A", MOD(INT(('26414_編集版'!$C$1-DATE(2026,4,14))/7), 2)=1, IF(E27="隔週B", MOD(INT(('26414_編集版'!$C$1-DATE(2026,4,14))/7), 2)=0, FALSE))</f>
        <v>1</v>
      </c>
    </row>
    <row r="28" ht="17.25" customHeight="1">
      <c r="A28" s="37" t="s">
        <v>145</v>
      </c>
      <c r="B28" s="7">
        <v>17.0</v>
      </c>
      <c r="C28" s="49" t="s">
        <v>189</v>
      </c>
      <c r="D28" s="7">
        <v>0.2</v>
      </c>
      <c r="E28" s="7" t="s">
        <v>185</v>
      </c>
      <c r="F28" s="8"/>
      <c r="G28" s="48" t="s">
        <v>148</v>
      </c>
      <c r="H28" s="48"/>
      <c r="I28" s="48"/>
      <c r="J28" s="48"/>
      <c r="K28" s="49"/>
      <c r="L28" s="7"/>
      <c r="M28" s="7" t="s">
        <v>150</v>
      </c>
      <c r="N28" s="7" t="s">
        <v>152</v>
      </c>
      <c r="O28" s="7" t="b">
        <f>IF(E28="隔週A", MOD(INT(('26414_編集版'!$C$1-DATE(2026,4,14))/7), 2)=1, IF(E28="隔週B", MOD(INT(('26414_編集版'!$C$1-DATE(2026,4,14))/7), 2)=0, FALSE))</f>
        <v>1</v>
      </c>
    </row>
    <row r="29" ht="17.25" customHeight="1">
      <c r="A29" s="37" t="s">
        <v>154</v>
      </c>
      <c r="B29" s="7">
        <v>18.0</v>
      </c>
      <c r="C29" s="45" t="s">
        <v>190</v>
      </c>
      <c r="D29" s="7">
        <v>0.1</v>
      </c>
      <c r="E29" s="7" t="s">
        <v>185</v>
      </c>
      <c r="F29" s="8"/>
      <c r="G29" s="7" t="s">
        <v>148</v>
      </c>
      <c r="H29" s="7"/>
      <c r="I29" s="7"/>
      <c r="J29" s="7"/>
      <c r="K29" s="45"/>
      <c r="L29" s="7"/>
      <c r="M29" s="7" t="s">
        <v>150</v>
      </c>
      <c r="N29" s="7" t="s">
        <v>191</v>
      </c>
      <c r="O29" s="7" t="b">
        <f>IF(E29="隔週A", MOD(INT(('26414_編集版'!$C$1-DATE(2026,4,14))/7), 2)=1, IF(E29="隔週B", MOD(INT(('26414_編集版'!$C$1-DATE(2026,4,14))/7), 2)=0, FALSE))</f>
        <v>1</v>
      </c>
    </row>
    <row r="30" ht="17.25" customHeight="1">
      <c r="A30" s="37" t="s">
        <v>154</v>
      </c>
      <c r="B30" s="7">
        <v>18.0</v>
      </c>
      <c r="C30" s="45" t="s">
        <v>192</v>
      </c>
      <c r="D30" s="7">
        <v>0.2</v>
      </c>
      <c r="E30" s="7" t="s">
        <v>185</v>
      </c>
      <c r="F30" s="8"/>
      <c r="G30" s="7" t="s">
        <v>148</v>
      </c>
      <c r="H30" s="7"/>
      <c r="I30" s="7"/>
      <c r="J30" s="7"/>
      <c r="K30" s="45"/>
      <c r="L30" s="7"/>
      <c r="M30" s="7" t="s">
        <v>150</v>
      </c>
      <c r="N30" s="7" t="s">
        <v>191</v>
      </c>
      <c r="O30" s="7" t="b">
        <f>IF(E30="隔週A", MOD(INT(('26414_編集版'!$C$1-DATE(2026,4,14))/7), 2)=1, IF(E30="隔週B", MOD(INT(('26414_編集版'!$C$1-DATE(2026,4,14))/7), 2)=0, FALSE))</f>
        <v>1</v>
      </c>
    </row>
    <row r="31" ht="17.25" customHeight="1">
      <c r="A31" s="37" t="s">
        <v>154</v>
      </c>
      <c r="B31" s="7">
        <v>18.0</v>
      </c>
      <c r="C31" s="49" t="s">
        <v>193</v>
      </c>
      <c r="D31" s="7">
        <v>1.1</v>
      </c>
      <c r="E31" s="7" t="s">
        <v>185</v>
      </c>
      <c r="F31" s="40"/>
      <c r="G31" s="7" t="s">
        <v>148</v>
      </c>
      <c r="H31" s="7"/>
      <c r="I31" s="7"/>
      <c r="J31" s="7"/>
      <c r="K31" s="49"/>
      <c r="L31" s="13"/>
      <c r="M31" s="13" t="s">
        <v>150</v>
      </c>
      <c r="N31" s="13" t="s">
        <v>152</v>
      </c>
      <c r="O31" s="7" t="b">
        <f>IF(E31="隔週A", MOD(INT(('26414_編集版'!$C$1-DATE(2026,4,14))/7), 2)=1, IF(E31="隔週B", MOD(INT(('26414_編集版'!$C$1-DATE(2026,4,14))/7), 2)=0, FALSE))</f>
        <v>1</v>
      </c>
    </row>
    <row r="32" ht="17.25" customHeight="1">
      <c r="A32" s="37" t="s">
        <v>154</v>
      </c>
      <c r="B32" s="7">
        <v>11.0</v>
      </c>
      <c r="C32" s="45" t="s">
        <v>194</v>
      </c>
      <c r="D32" s="7">
        <v>2.5</v>
      </c>
      <c r="E32" s="7" t="s">
        <v>185</v>
      </c>
      <c r="F32" s="40"/>
      <c r="G32" s="7" t="s">
        <v>148</v>
      </c>
      <c r="H32" s="7"/>
      <c r="I32" s="7"/>
      <c r="J32" s="7"/>
      <c r="K32" s="45"/>
      <c r="L32" s="13"/>
      <c r="M32" s="13" t="s">
        <v>149</v>
      </c>
      <c r="N32" s="13" t="s">
        <v>150</v>
      </c>
      <c r="O32" s="7" t="b">
        <f>IF(E32="隔週A", MOD(INT(('26414_編集版'!$C$1-DATE(2026,4,14))/7), 2)=1, IF(E32="隔週B", MOD(INT(('26414_編集版'!$C$1-DATE(2026,4,14))/7), 2)=0, FALSE))</f>
        <v>1</v>
      </c>
    </row>
    <row r="33" ht="17.25" customHeight="1">
      <c r="A33" s="37" t="s">
        <v>154</v>
      </c>
      <c r="B33" s="7">
        <v>20.0</v>
      </c>
      <c r="C33" s="43" t="s">
        <v>195</v>
      </c>
      <c r="D33" s="43">
        <v>2.6</v>
      </c>
      <c r="E33" s="7" t="s">
        <v>185</v>
      </c>
      <c r="F33" s="42"/>
      <c r="G33" s="43" t="s">
        <v>148</v>
      </c>
      <c r="H33" s="43"/>
      <c r="I33" s="43"/>
      <c r="J33" s="43"/>
      <c r="K33" s="43"/>
      <c r="L33" s="43"/>
      <c r="M33" s="43" t="s">
        <v>158</v>
      </c>
      <c r="N33" s="7" t="s">
        <v>150</v>
      </c>
      <c r="O33" s="7" t="b">
        <f>IF(E33="隔週A", MOD(INT(('26414_編集版'!$C$1-DATE(2026,4,14))/7), 2)=1, IF(E33="隔週B", MOD(INT(('26414_編集版'!$C$1-DATE(2026,4,14))/7), 2)=0, FALSE))</f>
        <v>1</v>
      </c>
    </row>
    <row r="34" ht="17.25" customHeight="1">
      <c r="A34" s="37" t="s">
        <v>154</v>
      </c>
      <c r="B34" s="7">
        <v>21.0</v>
      </c>
      <c r="C34" s="54" t="s">
        <v>196</v>
      </c>
      <c r="D34" s="39">
        <v>1.4</v>
      </c>
      <c r="E34" s="7" t="s">
        <v>185</v>
      </c>
      <c r="F34" s="40"/>
      <c r="G34" s="41" t="s">
        <v>148</v>
      </c>
      <c r="H34" s="41"/>
      <c r="I34" s="41"/>
      <c r="J34" s="41"/>
      <c r="K34" s="54"/>
      <c r="L34" s="13"/>
      <c r="M34" s="13" t="s">
        <v>150</v>
      </c>
      <c r="N34" s="39" t="s">
        <v>152</v>
      </c>
      <c r="O34" s="7" t="b">
        <f>IF(E34="隔週A", MOD(INT(('26414_編集版'!$C$1-DATE(2026,4,14))/7), 2)=1, IF(E34="隔週B", MOD(INT(('26414_編集版'!$C$1-DATE(2026,4,14))/7), 2)=0, FALSE))</f>
        <v>1</v>
      </c>
    </row>
    <row r="35" ht="17.25" customHeight="1">
      <c r="A35" s="37" t="s">
        <v>154</v>
      </c>
      <c r="B35" s="7">
        <v>12.0</v>
      </c>
      <c r="C35" s="49" t="s">
        <v>197</v>
      </c>
      <c r="D35" s="7">
        <v>0.3</v>
      </c>
      <c r="E35" s="7" t="s">
        <v>185</v>
      </c>
      <c r="F35" s="40"/>
      <c r="G35" s="7" t="s">
        <v>148</v>
      </c>
      <c r="H35" s="7"/>
      <c r="I35" s="7"/>
      <c r="J35" s="7"/>
      <c r="K35" s="49"/>
      <c r="L35" s="13"/>
      <c r="M35" s="13" t="s">
        <v>150</v>
      </c>
      <c r="N35" s="13" t="s">
        <v>152</v>
      </c>
      <c r="O35" s="7" t="b">
        <f>IF(E35="隔週A", MOD(INT(('26414_編集版'!$C$1-DATE(2026,4,14))/7), 2)=1, IF(E35="隔週B", MOD(INT(('26414_編集版'!$C$1-DATE(2026,4,14))/7), 2)=0, FALSE))</f>
        <v>1</v>
      </c>
    </row>
    <row r="36" ht="17.25" customHeight="1">
      <c r="A36" s="37" t="s">
        <v>156</v>
      </c>
      <c r="B36" s="7">
        <v>12.0</v>
      </c>
      <c r="C36" s="13" t="s">
        <v>198</v>
      </c>
      <c r="D36" s="48">
        <v>0.5</v>
      </c>
      <c r="E36" s="7" t="s">
        <v>185</v>
      </c>
      <c r="F36" s="40"/>
      <c r="G36" s="48" t="s">
        <v>148</v>
      </c>
      <c r="H36" s="48"/>
      <c r="I36" s="48"/>
      <c r="J36" s="48"/>
      <c r="K36" s="13"/>
      <c r="L36" s="13"/>
      <c r="M36" s="13" t="s">
        <v>150</v>
      </c>
      <c r="N36" s="13" t="s">
        <v>152</v>
      </c>
      <c r="O36" s="7" t="b">
        <f>IF(E36="隔週A", MOD(INT(('26414_編集版'!$C$1-DATE(2026,4,14))/7), 2)=1, IF(E36="隔週B", MOD(INT(('26414_編集版'!$C$1-DATE(2026,4,14))/7), 2)=0, FALSE))</f>
        <v>1</v>
      </c>
    </row>
    <row r="37" ht="17.25" customHeight="1">
      <c r="A37" s="37" t="s">
        <v>156</v>
      </c>
      <c r="B37" s="7">
        <v>19.0</v>
      </c>
      <c r="C37" s="57" t="s">
        <v>199</v>
      </c>
      <c r="D37" s="13">
        <v>0.9</v>
      </c>
      <c r="E37" s="7" t="s">
        <v>185</v>
      </c>
      <c r="F37" s="58"/>
      <c r="G37" s="41" t="s">
        <v>148</v>
      </c>
      <c r="H37" s="41"/>
      <c r="I37" s="41"/>
      <c r="J37" s="41"/>
      <c r="K37" s="57"/>
      <c r="L37" s="44"/>
      <c r="M37" s="44" t="s">
        <v>150</v>
      </c>
      <c r="N37" s="44" t="s">
        <v>158</v>
      </c>
      <c r="O37" s="7" t="b">
        <f>IF(E37="隔週A", MOD(INT(('26414_編集版'!$C$1-DATE(2026,4,14))/7), 2)=1, IF(E37="隔週B", MOD(INT(('26414_編集版'!$C$1-DATE(2026,4,14))/7), 2)=0, FALSE))</f>
        <v>1</v>
      </c>
    </row>
    <row r="38" ht="17.25" customHeight="1">
      <c r="A38" s="37" t="s">
        <v>156</v>
      </c>
      <c r="B38" s="7">
        <v>19.0</v>
      </c>
      <c r="C38" s="54" t="s">
        <v>200</v>
      </c>
      <c r="D38" s="13">
        <v>2.0</v>
      </c>
      <c r="E38" s="7" t="s">
        <v>185</v>
      </c>
      <c r="F38" s="59"/>
      <c r="G38" s="48" t="s">
        <v>148</v>
      </c>
      <c r="H38" s="48"/>
      <c r="I38" s="48"/>
      <c r="J38" s="48"/>
      <c r="K38" s="54"/>
      <c r="L38" s="41"/>
      <c r="M38" s="41" t="s">
        <v>150</v>
      </c>
      <c r="N38" s="41" t="s">
        <v>158</v>
      </c>
      <c r="O38" s="7" t="b">
        <f>IF(E38="隔週A", MOD(INT(('26414_編集版'!$C$1-DATE(2026,4,14))/7), 2)=1, IF(E38="隔週B", MOD(INT(('26414_編集版'!$C$1-DATE(2026,4,14))/7), 2)=0, FALSE))</f>
        <v>1</v>
      </c>
    </row>
    <row r="39" ht="17.25" customHeight="1">
      <c r="A39" s="37" t="s">
        <v>156</v>
      </c>
      <c r="B39" s="7">
        <v>18.0</v>
      </c>
      <c r="C39" s="49" t="s">
        <v>201</v>
      </c>
      <c r="D39" s="7">
        <v>0.7</v>
      </c>
      <c r="E39" s="7" t="s">
        <v>185</v>
      </c>
      <c r="F39" s="40"/>
      <c r="G39" s="46" t="s">
        <v>148</v>
      </c>
      <c r="H39" s="46"/>
      <c r="I39" s="46"/>
      <c r="J39" s="46"/>
      <c r="K39" s="49"/>
      <c r="L39" s="13"/>
      <c r="M39" s="13" t="s">
        <v>150</v>
      </c>
      <c r="N39" s="13" t="s">
        <v>152</v>
      </c>
      <c r="O39" s="7" t="b">
        <f>IF(E39="隔週A", MOD(INT(('26414_編集版'!$C$1-DATE(2026,4,14))/7), 2)=1, IF(E39="隔週B", MOD(INT(('26414_編集版'!$C$1-DATE(2026,4,14))/7), 2)=0, FALSE))</f>
        <v>1</v>
      </c>
    </row>
    <row r="40" ht="17.25" customHeight="1">
      <c r="A40" s="37" t="s">
        <v>165</v>
      </c>
      <c r="B40" s="7">
        <v>19.0</v>
      </c>
      <c r="C40" s="50" t="s">
        <v>202</v>
      </c>
      <c r="D40" s="7">
        <v>1.3</v>
      </c>
      <c r="E40" s="7" t="s">
        <v>185</v>
      </c>
      <c r="F40" s="8"/>
      <c r="G40" s="46" t="s">
        <v>148</v>
      </c>
      <c r="H40" s="46" t="s">
        <v>140</v>
      </c>
      <c r="I40" s="46" t="s">
        <v>141</v>
      </c>
      <c r="J40" s="46" t="s">
        <v>142</v>
      </c>
      <c r="K40" s="51"/>
      <c r="L40" s="7"/>
      <c r="M40" s="38" t="s">
        <v>150</v>
      </c>
      <c r="N40" s="7" t="s">
        <v>152</v>
      </c>
      <c r="O40" s="7" t="b">
        <f>IF(E40="隔週A", MOD(INT(('26414_編集版'!$C$1-DATE(2026,4,14))/7), 2)=1, IF(E40="隔週B", MOD(INT(('26414_編集版'!$C$1-DATE(2026,4,14))/7), 2)=0, FALSE))</f>
        <v>1</v>
      </c>
    </row>
    <row r="41" ht="17.25" customHeight="1">
      <c r="A41" s="37" t="s">
        <v>165</v>
      </c>
      <c r="B41" s="7">
        <v>18.0</v>
      </c>
      <c r="C41" s="13" t="s">
        <v>203</v>
      </c>
      <c r="D41" s="13">
        <v>3.0</v>
      </c>
      <c r="E41" s="7" t="s">
        <v>185</v>
      </c>
      <c r="F41" s="8"/>
      <c r="G41" s="13" t="s">
        <v>148</v>
      </c>
      <c r="H41" s="13"/>
      <c r="I41" s="13"/>
      <c r="J41" s="13"/>
      <c r="K41" s="13"/>
      <c r="L41" s="7"/>
      <c r="M41" s="7" t="s">
        <v>158</v>
      </c>
      <c r="N41" s="7" t="s">
        <v>150</v>
      </c>
      <c r="O41" s="7" t="b">
        <f>IF(E41="隔週A", MOD(INT(('26414_編集版'!$C$1-DATE(2026,4,14))/7), 2)=1, IF(E41="隔週B", MOD(INT(('26414_編集版'!$C$1-DATE(2026,4,14))/7), 2)=0, FALSE))</f>
        <v>1</v>
      </c>
    </row>
    <row r="42" ht="17.25" customHeight="1">
      <c r="A42" s="37" t="s">
        <v>165</v>
      </c>
      <c r="B42" s="7">
        <v>10.0</v>
      </c>
      <c r="C42" s="43" t="s">
        <v>204</v>
      </c>
      <c r="D42" s="39">
        <v>1.3</v>
      </c>
      <c r="E42" s="7" t="s">
        <v>185</v>
      </c>
      <c r="F42" s="40"/>
      <c r="G42" s="7" t="s">
        <v>148</v>
      </c>
      <c r="H42" s="7"/>
      <c r="I42" s="7"/>
      <c r="J42" s="7"/>
      <c r="K42" s="43"/>
      <c r="L42" s="13"/>
      <c r="M42" s="13" t="s">
        <v>150</v>
      </c>
      <c r="N42" s="7" t="s">
        <v>152</v>
      </c>
      <c r="O42" s="7" t="b">
        <f>IF(E42="隔週A", MOD(INT(('26414_編集版'!$C$1-DATE(2026,4,14))/7), 2)=1, IF(E42="隔週B", MOD(INT(('26414_編集版'!$C$1-DATE(2026,4,14))/7), 2)=0, FALSE))</f>
        <v>1</v>
      </c>
    </row>
    <row r="43" ht="17.25" customHeight="1">
      <c r="A43" s="37" t="s">
        <v>169</v>
      </c>
      <c r="B43" s="7">
        <v>20.0</v>
      </c>
      <c r="C43" s="45" t="s">
        <v>205</v>
      </c>
      <c r="D43" s="7">
        <v>2.2</v>
      </c>
      <c r="E43" s="7" t="s">
        <v>185</v>
      </c>
      <c r="F43" s="8"/>
      <c r="G43" s="7" t="s">
        <v>148</v>
      </c>
      <c r="H43" s="7"/>
      <c r="I43" s="7"/>
      <c r="J43" s="7"/>
      <c r="K43" s="45"/>
      <c r="L43" s="7"/>
      <c r="M43" s="7" t="s">
        <v>150</v>
      </c>
      <c r="N43" s="7" t="s">
        <v>152</v>
      </c>
      <c r="O43" s="7" t="b">
        <f>IF(E43="隔週A", MOD(INT(('26414_編集版'!$C$1-DATE(2026,4,14))/7), 2)=1, IF(E43="隔週B", MOD(INT(('26414_編集版'!$C$1-DATE(2026,4,14))/7), 2)=0, FALSE))</f>
        <v>1</v>
      </c>
    </row>
    <row r="44" ht="17.25" customHeight="1">
      <c r="A44" s="37" t="s">
        <v>169</v>
      </c>
      <c r="B44" s="7">
        <v>17.0</v>
      </c>
      <c r="C44" s="49" t="s">
        <v>206</v>
      </c>
      <c r="D44" s="7">
        <v>0.7</v>
      </c>
      <c r="E44" s="7" t="s">
        <v>185</v>
      </c>
      <c r="F44" s="40"/>
      <c r="G44" s="13" t="s">
        <v>148</v>
      </c>
      <c r="H44" s="13"/>
      <c r="I44" s="13"/>
      <c r="J44" s="13"/>
      <c r="K44" s="49"/>
      <c r="L44" s="13"/>
      <c r="M44" s="13" t="s">
        <v>150</v>
      </c>
      <c r="N44" s="13" t="s">
        <v>152</v>
      </c>
      <c r="O44" s="7" t="b">
        <f>IF(E44="隔週A", MOD(INT(('26414_編集版'!$C$1-DATE(2026,4,14))/7), 2)=1, IF(E44="隔週B", MOD(INT(('26414_編集版'!$C$1-DATE(2026,4,14))/7), 2)=0, FALSE))</f>
        <v>1</v>
      </c>
    </row>
    <row r="45" ht="17.25" customHeight="1">
      <c r="A45" s="37" t="s">
        <v>169</v>
      </c>
      <c r="B45" s="7">
        <v>18.0</v>
      </c>
      <c r="C45" s="49" t="s">
        <v>207</v>
      </c>
      <c r="D45" s="7">
        <v>0.1</v>
      </c>
      <c r="E45" s="7" t="s">
        <v>185</v>
      </c>
      <c r="F45" s="40"/>
      <c r="G45" s="13" t="s">
        <v>148</v>
      </c>
      <c r="H45" s="13"/>
      <c r="I45" s="13"/>
      <c r="J45" s="13"/>
      <c r="K45" s="49"/>
      <c r="L45" s="13"/>
      <c r="M45" s="13" t="s">
        <v>150</v>
      </c>
      <c r="N45" s="13" t="s">
        <v>152</v>
      </c>
      <c r="O45" s="7" t="b">
        <f>IF(E45="隔週A", MOD(INT(('26414_編集版'!$C$1-DATE(2026,4,14))/7), 2)=1, IF(E45="隔週B", MOD(INT(('26414_編集版'!$C$1-DATE(2026,4,14))/7), 2)=0, FALSE))</f>
        <v>1</v>
      </c>
    </row>
    <row r="46" ht="17.25" customHeight="1">
      <c r="A46" s="37" t="s">
        <v>177</v>
      </c>
      <c r="B46" s="7">
        <v>10.0</v>
      </c>
      <c r="C46" s="45" t="s">
        <v>208</v>
      </c>
      <c r="D46" s="39">
        <v>0.7</v>
      </c>
      <c r="E46" s="7" t="s">
        <v>185</v>
      </c>
      <c r="F46" s="8"/>
      <c r="G46" s="7" t="s">
        <v>148</v>
      </c>
      <c r="H46" s="7"/>
      <c r="I46" s="7"/>
      <c r="J46" s="7"/>
      <c r="K46" s="45"/>
      <c r="L46" s="7"/>
      <c r="M46" s="7" t="s">
        <v>150</v>
      </c>
      <c r="N46" s="7" t="s">
        <v>152</v>
      </c>
      <c r="O46" s="7" t="b">
        <f>IF(E46="隔週A", MOD(INT(('26414_編集版'!$C$1-DATE(2026,4,14))/7), 2)=1, IF(E46="隔週B", MOD(INT(('26414_編集版'!$C$1-DATE(2026,4,14))/7), 2)=0, FALSE))</f>
        <v>1</v>
      </c>
    </row>
    <row r="47" ht="17.25" customHeight="1">
      <c r="A47" s="37" t="s">
        <v>177</v>
      </c>
      <c r="B47" s="7">
        <v>17.0</v>
      </c>
      <c r="C47" s="52" t="s">
        <v>209</v>
      </c>
      <c r="D47" s="52">
        <v>0.2</v>
      </c>
      <c r="E47" s="7" t="s">
        <v>185</v>
      </c>
      <c r="F47" s="53"/>
      <c r="G47" s="52" t="s">
        <v>148</v>
      </c>
      <c r="H47" s="52"/>
      <c r="I47" s="52"/>
      <c r="J47" s="52"/>
      <c r="K47" s="52"/>
      <c r="L47" s="52"/>
      <c r="M47" s="52" t="s">
        <v>150</v>
      </c>
      <c r="N47" s="52" t="s">
        <v>152</v>
      </c>
      <c r="O47" s="7" t="b">
        <f>IF(E47="隔週A", MOD(INT(('26414_編集版'!$C$1-DATE(2026,4,14))/7), 2)=1, IF(E47="隔週B", MOD(INT(('26414_編集版'!$C$1-DATE(2026,4,14))/7), 2)=0, FALSE))</f>
        <v>1</v>
      </c>
    </row>
    <row r="48" ht="17.25" customHeight="1">
      <c r="A48" s="37" t="s">
        <v>177</v>
      </c>
      <c r="B48" s="7">
        <v>19.0</v>
      </c>
      <c r="C48" s="41" t="s">
        <v>210</v>
      </c>
      <c r="D48" s="41">
        <v>0.2</v>
      </c>
      <c r="E48" s="7" t="s">
        <v>185</v>
      </c>
      <c r="F48" s="12" t="s">
        <v>186</v>
      </c>
      <c r="G48" s="41" t="s">
        <v>148</v>
      </c>
      <c r="H48" s="41"/>
      <c r="I48" s="41"/>
      <c r="J48" s="41"/>
      <c r="K48" s="41"/>
      <c r="L48" s="56"/>
      <c r="M48" s="13" t="s">
        <v>150</v>
      </c>
      <c r="N48" s="13" t="s">
        <v>152</v>
      </c>
      <c r="O48" s="7" t="b">
        <f>IF(E48="隔週A", MOD(INT(('26414_編集版'!$C$1-DATE(2026,4,14))/7), 2)=1, IF(E48="隔週B", MOD(INT(('26414_編集版'!$C$1-DATE(2026,4,14))/7), 2)=0, FALSE))</f>
        <v>1</v>
      </c>
    </row>
    <row r="49" ht="17.25" customHeight="1">
      <c r="A49" s="37" t="s">
        <v>177</v>
      </c>
      <c r="B49" s="7">
        <v>8.0</v>
      </c>
      <c r="C49" s="60" t="s">
        <v>211</v>
      </c>
      <c r="D49" s="7">
        <v>0.8</v>
      </c>
      <c r="E49" s="7" t="s">
        <v>185</v>
      </c>
      <c r="F49" s="8"/>
      <c r="G49" s="7" t="s">
        <v>148</v>
      </c>
      <c r="H49" s="7"/>
      <c r="I49" s="7"/>
      <c r="J49" s="7"/>
      <c r="K49" s="60"/>
      <c r="L49" s="7"/>
      <c r="M49" s="7" t="s">
        <v>150</v>
      </c>
      <c r="N49" s="7" t="s">
        <v>152</v>
      </c>
      <c r="O49" s="7" t="b">
        <f>IF(E49="隔週A", MOD(INT(('26414_編集版'!$C$1-DATE(2026,4,14))/7), 2)=1, IF(E49="隔週B", MOD(INT(('26414_編集版'!$C$1-DATE(2026,4,14))/7), 2)=0, FALSE))</f>
        <v>1</v>
      </c>
    </row>
    <row r="50" ht="17.25" customHeight="1">
      <c r="A50" s="37" t="s">
        <v>177</v>
      </c>
      <c r="B50" s="7">
        <v>17.0</v>
      </c>
      <c r="C50" s="52" t="s">
        <v>212</v>
      </c>
      <c r="D50" s="52">
        <v>1.4</v>
      </c>
      <c r="E50" s="7" t="s">
        <v>185</v>
      </c>
      <c r="F50" s="53"/>
      <c r="G50" s="7" t="s">
        <v>148</v>
      </c>
      <c r="H50" s="7"/>
      <c r="I50" s="7"/>
      <c r="J50" s="7"/>
      <c r="K50" s="52"/>
      <c r="L50" s="52"/>
      <c r="M50" s="52" t="s">
        <v>152</v>
      </c>
      <c r="N50" s="52" t="s">
        <v>150</v>
      </c>
      <c r="O50" s="7" t="b">
        <f>IF(E50="隔週A", MOD(INT(('26414_編集版'!$C$1-DATE(2026,4,14))/7), 2)=1, IF(E50="隔週B", MOD(INT(('26414_編集版'!$C$1-DATE(2026,4,14))/7), 2)=0, FALSE))</f>
        <v>1</v>
      </c>
    </row>
    <row r="51" ht="17.25" customHeight="1">
      <c r="A51" s="37" t="s">
        <v>181</v>
      </c>
      <c r="B51" s="7">
        <v>19.0</v>
      </c>
      <c r="C51" s="48" t="s">
        <v>213</v>
      </c>
      <c r="D51" s="13">
        <v>0.7</v>
      </c>
      <c r="E51" s="7" t="s">
        <v>185</v>
      </c>
      <c r="F51" s="40"/>
      <c r="G51" s="41" t="s">
        <v>148</v>
      </c>
      <c r="H51" s="41"/>
      <c r="I51" s="41"/>
      <c r="J51" s="41"/>
      <c r="K51" s="48"/>
      <c r="L51" s="13"/>
      <c r="M51" s="13" t="s">
        <v>150</v>
      </c>
      <c r="N51" s="41" t="s">
        <v>160</v>
      </c>
      <c r="O51" s="7" t="b">
        <f>IF(E51="隔週A", MOD(INT(('26414_編集版'!$C$1-DATE(2026,4,14))/7), 2)=1, IF(E51="隔週B", MOD(INT(('26414_編集版'!$C$1-DATE(2026,4,14))/7), 2)=0, FALSE))</f>
        <v>1</v>
      </c>
    </row>
    <row r="52" ht="17.25" customHeight="1">
      <c r="A52" s="37" t="s">
        <v>181</v>
      </c>
      <c r="B52" s="7">
        <v>18.0</v>
      </c>
      <c r="C52" s="54" t="s">
        <v>214</v>
      </c>
      <c r="D52" s="41">
        <v>0.1</v>
      </c>
      <c r="E52" s="7" t="s">
        <v>185</v>
      </c>
      <c r="F52" s="40"/>
      <c r="G52" s="41" t="s">
        <v>148</v>
      </c>
      <c r="H52" s="41"/>
      <c r="I52" s="41"/>
      <c r="J52" s="41"/>
      <c r="K52" s="54"/>
      <c r="L52" s="13"/>
      <c r="M52" s="13" t="s">
        <v>150</v>
      </c>
      <c r="N52" s="13" t="s">
        <v>158</v>
      </c>
      <c r="O52" s="7" t="b">
        <f>IF(E52="隔週A", MOD(INT(('26414_編集版'!$C$1-DATE(2026,4,14))/7), 2)=1, IF(E52="隔週B", MOD(INT(('26414_編集版'!$C$1-DATE(2026,4,14))/7), 2)=0, FALSE))</f>
        <v>1</v>
      </c>
    </row>
    <row r="53" ht="17.25" customHeight="1">
      <c r="A53" s="37" t="s">
        <v>181</v>
      </c>
      <c r="B53" s="7">
        <v>19.0</v>
      </c>
      <c r="C53" s="48" t="s">
        <v>215</v>
      </c>
      <c r="D53" s="41">
        <v>0.9</v>
      </c>
      <c r="E53" s="7" t="s">
        <v>185</v>
      </c>
      <c r="F53" s="40"/>
      <c r="G53" s="41" t="s">
        <v>148</v>
      </c>
      <c r="H53" s="41"/>
      <c r="I53" s="41"/>
      <c r="J53" s="41"/>
      <c r="K53" s="48"/>
      <c r="L53" s="13"/>
      <c r="M53" s="13" t="s">
        <v>150</v>
      </c>
      <c r="N53" s="41" t="s">
        <v>160</v>
      </c>
      <c r="O53" s="7" t="b">
        <f>IF(E53="隔週A", MOD(INT(('26414_編集版'!$C$1-DATE(2026,4,14))/7), 2)=1, IF(E53="隔週B", MOD(INT(('26414_編集版'!$C$1-DATE(2026,4,14))/7), 2)=0, FALSE))</f>
        <v>1</v>
      </c>
    </row>
    <row r="54" ht="17.25" customHeight="1">
      <c r="A54" s="37" t="s">
        <v>181</v>
      </c>
      <c r="B54" s="7">
        <v>19.0</v>
      </c>
      <c r="C54" s="48" t="s">
        <v>216</v>
      </c>
      <c r="D54" s="41">
        <v>0.6</v>
      </c>
      <c r="E54" s="7" t="s">
        <v>185</v>
      </c>
      <c r="F54" s="40"/>
      <c r="G54" s="41" t="s">
        <v>148</v>
      </c>
      <c r="H54" s="41"/>
      <c r="I54" s="41"/>
      <c r="J54" s="41"/>
      <c r="K54" s="48"/>
      <c r="L54" s="13"/>
      <c r="M54" s="13" t="s">
        <v>150</v>
      </c>
      <c r="N54" s="41" t="s">
        <v>160</v>
      </c>
      <c r="O54" s="7" t="b">
        <f>IF(E54="隔週A", MOD(INT(('26414_編集版'!$C$1-DATE(2026,4,14))/7), 2)=1, IF(E54="隔週B", MOD(INT(('26414_編集版'!$C$1-DATE(2026,4,14))/7), 2)=0, FALSE))</f>
        <v>1</v>
      </c>
    </row>
    <row r="55" ht="17.25" customHeight="1">
      <c r="A55" s="37" t="s">
        <v>181</v>
      </c>
      <c r="B55" s="7">
        <v>18.0</v>
      </c>
      <c r="C55" s="54" t="s">
        <v>217</v>
      </c>
      <c r="D55" s="13">
        <v>1.2</v>
      </c>
      <c r="E55" s="7" t="s">
        <v>185</v>
      </c>
      <c r="F55" s="40"/>
      <c r="G55" s="41" t="s">
        <v>148</v>
      </c>
      <c r="H55" s="41"/>
      <c r="I55" s="41"/>
      <c r="J55" s="41"/>
      <c r="K55" s="54"/>
      <c r="L55" s="13"/>
      <c r="M55" s="13" t="s">
        <v>150</v>
      </c>
      <c r="N55" s="13" t="s">
        <v>158</v>
      </c>
      <c r="O55" s="7" t="b">
        <f>IF(E55="隔週A", MOD(INT(('26414_編集版'!$C$1-DATE(2026,4,14))/7), 2)=1, IF(E55="隔週B", MOD(INT(('26414_編集版'!$C$1-DATE(2026,4,14))/7), 2)=0, FALSE))</f>
        <v>1</v>
      </c>
    </row>
    <row r="56" ht="17.25" customHeight="1">
      <c r="A56" s="37" t="s">
        <v>181</v>
      </c>
      <c r="B56" s="7">
        <v>19.0</v>
      </c>
      <c r="C56" s="48" t="s">
        <v>218</v>
      </c>
      <c r="D56" s="41">
        <v>1.0</v>
      </c>
      <c r="E56" s="7" t="s">
        <v>185</v>
      </c>
      <c r="F56" s="40"/>
      <c r="G56" s="41" t="s">
        <v>148</v>
      </c>
      <c r="H56" s="41"/>
      <c r="I56" s="41"/>
      <c r="J56" s="41"/>
      <c r="K56" s="48"/>
      <c r="L56" s="13"/>
      <c r="M56" s="13" t="s">
        <v>150</v>
      </c>
      <c r="N56" s="41" t="s">
        <v>160</v>
      </c>
      <c r="O56" s="7" t="b">
        <f>IF(E56="隔週A", MOD(INT(('26414_編集版'!$C$1-DATE(2026,4,14))/7), 2)=1, IF(E56="隔週B", MOD(INT(('26414_編集版'!$C$1-DATE(2026,4,14))/7), 2)=0, FALSE))</f>
        <v>1</v>
      </c>
    </row>
    <row r="57" ht="17.25" customHeight="1">
      <c r="A57" s="37" t="s">
        <v>181</v>
      </c>
      <c r="B57" s="7">
        <v>18.0</v>
      </c>
      <c r="C57" s="54" t="s">
        <v>219</v>
      </c>
      <c r="D57" s="13">
        <v>0.4</v>
      </c>
      <c r="E57" s="7" t="s">
        <v>185</v>
      </c>
      <c r="F57" s="40"/>
      <c r="G57" s="41" t="s">
        <v>148</v>
      </c>
      <c r="H57" s="41"/>
      <c r="I57" s="41"/>
      <c r="J57" s="41"/>
      <c r="K57" s="54"/>
      <c r="L57" s="13"/>
      <c r="M57" s="13" t="s">
        <v>150</v>
      </c>
      <c r="N57" s="13" t="s">
        <v>158</v>
      </c>
      <c r="O57" s="7" t="b">
        <f>IF(E57="隔週A", MOD(INT(('26414_編集版'!$C$1-DATE(2026,4,14))/7), 2)=1, IF(E57="隔週B", MOD(INT(('26414_編集版'!$C$1-DATE(2026,4,14))/7), 2)=0, FALSE))</f>
        <v>1</v>
      </c>
    </row>
    <row r="58" ht="17.25" customHeight="1">
      <c r="A58" s="37" t="s">
        <v>181</v>
      </c>
      <c r="B58" s="7">
        <v>18.0</v>
      </c>
      <c r="C58" s="43" t="s">
        <v>220</v>
      </c>
      <c r="D58" s="43">
        <v>0.2</v>
      </c>
      <c r="E58" s="7" t="s">
        <v>185</v>
      </c>
      <c r="F58" s="40"/>
      <c r="G58" s="41" t="s">
        <v>148</v>
      </c>
      <c r="H58" s="41"/>
      <c r="I58" s="41"/>
      <c r="J58" s="41"/>
      <c r="K58" s="43"/>
      <c r="L58" s="13"/>
      <c r="M58" s="13" t="s">
        <v>150</v>
      </c>
      <c r="N58" s="13" t="s">
        <v>158</v>
      </c>
      <c r="O58" s="7" t="b">
        <f>IF(E58="隔週A", MOD(INT(('26414_編集版'!$C$1-DATE(2026,4,14))/7), 2)=1, IF(E58="隔週B", MOD(INT(('26414_編集版'!$C$1-DATE(2026,4,14))/7), 2)=0, FALSE))</f>
        <v>1</v>
      </c>
    </row>
    <row r="59" ht="17.25" customHeight="1">
      <c r="A59" s="37" t="s">
        <v>145</v>
      </c>
      <c r="B59" s="7">
        <v>17.0</v>
      </c>
      <c r="C59" s="45" t="s">
        <v>221</v>
      </c>
      <c r="D59" s="7">
        <v>0.7</v>
      </c>
      <c r="E59" s="7" t="s">
        <v>222</v>
      </c>
      <c r="F59" s="8"/>
      <c r="G59" s="7" t="s">
        <v>148</v>
      </c>
      <c r="H59" s="7"/>
      <c r="I59" s="7"/>
      <c r="J59" s="7"/>
      <c r="K59" s="45"/>
      <c r="L59" s="7"/>
      <c r="M59" s="7" t="s">
        <v>191</v>
      </c>
      <c r="N59" s="7" t="s">
        <v>223</v>
      </c>
      <c r="O59" s="7" t="b">
        <f>IF(E59="隔週A", MOD(INT(('26414_編集版'!$C$1-DATE(2026,4,14))/7), 2)=1, IF(E59="隔週B", MOD(INT(('26414_編集版'!$C$1-DATE(2026,4,14))/7), 2)=0, FALSE))</f>
        <v>0</v>
      </c>
    </row>
    <row r="60" ht="17.25" customHeight="1">
      <c r="A60" s="37" t="s">
        <v>145</v>
      </c>
      <c r="B60" s="7">
        <v>12.0</v>
      </c>
      <c r="C60" s="45" t="s">
        <v>224</v>
      </c>
      <c r="D60" s="38">
        <v>5.0</v>
      </c>
      <c r="E60" s="7" t="s">
        <v>222</v>
      </c>
      <c r="F60" s="61" t="s">
        <v>225</v>
      </c>
      <c r="G60" s="13" t="s">
        <v>148</v>
      </c>
      <c r="H60" s="13"/>
      <c r="I60" s="13"/>
      <c r="J60" s="13"/>
      <c r="K60" s="45"/>
      <c r="L60" s="45"/>
      <c r="M60" s="7" t="s">
        <v>191</v>
      </c>
      <c r="N60" s="7" t="s">
        <v>223</v>
      </c>
      <c r="O60" s="7" t="b">
        <f>IF(E60="隔週A", MOD(INT(('26414_編集版'!$C$1-DATE(2026,4,14))/7), 2)=1, IF(E60="隔週B", MOD(INT(('26414_編集版'!$C$1-DATE(2026,4,14))/7), 2)=0, FALSE))</f>
        <v>0</v>
      </c>
    </row>
    <row r="61" ht="17.25" customHeight="1">
      <c r="A61" s="37" t="s">
        <v>145</v>
      </c>
      <c r="B61" s="7">
        <v>12.0</v>
      </c>
      <c r="C61" s="45" t="s">
        <v>226</v>
      </c>
      <c r="D61" s="7">
        <v>2.9</v>
      </c>
      <c r="E61" s="7" t="s">
        <v>222</v>
      </c>
      <c r="F61" s="8"/>
      <c r="G61" s="13" t="s">
        <v>148</v>
      </c>
      <c r="H61" s="13"/>
      <c r="I61" s="13"/>
      <c r="J61" s="13"/>
      <c r="K61" s="45"/>
      <c r="L61" s="7"/>
      <c r="M61" s="7" t="s">
        <v>191</v>
      </c>
      <c r="N61" s="7" t="s">
        <v>223</v>
      </c>
      <c r="O61" s="7" t="b">
        <f>IF(E61="隔週A", MOD(INT(('26414_編集版'!$C$1-DATE(2026,4,14))/7), 2)=1, IF(E61="隔週B", MOD(INT(('26414_編集版'!$C$1-DATE(2026,4,14))/7), 2)=0, FALSE))</f>
        <v>0</v>
      </c>
    </row>
    <row r="62" ht="17.25" customHeight="1">
      <c r="A62" s="37" t="s">
        <v>145</v>
      </c>
      <c r="B62" s="7">
        <v>12.0</v>
      </c>
      <c r="C62" s="45" t="s">
        <v>227</v>
      </c>
      <c r="D62" s="7">
        <v>1.0</v>
      </c>
      <c r="E62" s="7" t="s">
        <v>222</v>
      </c>
      <c r="F62" s="8"/>
      <c r="G62" s="13" t="s">
        <v>148</v>
      </c>
      <c r="H62" s="13"/>
      <c r="I62" s="13"/>
      <c r="J62" s="13"/>
      <c r="K62" s="45"/>
      <c r="L62" s="7"/>
      <c r="M62" s="7" t="s">
        <v>191</v>
      </c>
      <c r="N62" s="7" t="s">
        <v>223</v>
      </c>
      <c r="O62" s="7" t="b">
        <f>IF(E62="隔週A", MOD(INT(('26414_編集版'!$C$1-DATE(2026,4,14))/7), 2)=1, IF(E62="隔週B", MOD(INT(('26414_編集版'!$C$1-DATE(2026,4,14))/7), 2)=0, FALSE))</f>
        <v>0</v>
      </c>
    </row>
    <row r="63" ht="17.25" customHeight="1">
      <c r="A63" s="37" t="s">
        <v>145</v>
      </c>
      <c r="B63" s="7">
        <v>12.0</v>
      </c>
      <c r="C63" s="45" t="s">
        <v>228</v>
      </c>
      <c r="D63" s="38">
        <v>0.8</v>
      </c>
      <c r="E63" s="7" t="s">
        <v>222</v>
      </c>
      <c r="F63" s="8"/>
      <c r="G63" s="13" t="s">
        <v>148</v>
      </c>
      <c r="H63" s="13"/>
      <c r="I63" s="13"/>
      <c r="J63" s="13"/>
      <c r="K63" s="45"/>
      <c r="L63" s="7"/>
      <c r="M63" s="7" t="s">
        <v>191</v>
      </c>
      <c r="N63" s="7" t="s">
        <v>223</v>
      </c>
      <c r="O63" s="7" t="b">
        <f>IF(E63="隔週A", MOD(INT(('26414_編集版'!$C$1-DATE(2026,4,14))/7), 2)=1, IF(E63="隔週B", MOD(INT(('26414_編集版'!$C$1-DATE(2026,4,14))/7), 2)=0, FALSE))</f>
        <v>0</v>
      </c>
    </row>
    <row r="64" ht="17.25" customHeight="1">
      <c r="A64" s="37" t="s">
        <v>145</v>
      </c>
      <c r="B64" s="7">
        <v>12.0</v>
      </c>
      <c r="C64" s="45" t="s">
        <v>229</v>
      </c>
      <c r="D64" s="7">
        <v>0.7</v>
      </c>
      <c r="E64" s="7" t="s">
        <v>222</v>
      </c>
      <c r="F64" s="8"/>
      <c r="G64" s="13" t="s">
        <v>148</v>
      </c>
      <c r="H64" s="13"/>
      <c r="I64" s="13"/>
      <c r="J64" s="13"/>
      <c r="K64" s="45"/>
      <c r="L64" s="7"/>
      <c r="M64" s="7" t="s">
        <v>191</v>
      </c>
      <c r="N64" s="7" t="s">
        <v>223</v>
      </c>
      <c r="O64" s="7" t="b">
        <f>IF(E64="隔週A", MOD(INT(('26414_編集版'!$C$1-DATE(2026,4,14))/7), 2)=1, IF(E64="隔週B", MOD(INT(('26414_編集版'!$C$1-DATE(2026,4,14))/7), 2)=0, FALSE))</f>
        <v>0</v>
      </c>
    </row>
    <row r="65" ht="17.25" customHeight="1">
      <c r="A65" s="37" t="s">
        <v>145</v>
      </c>
      <c r="B65" s="7">
        <v>18.0</v>
      </c>
      <c r="C65" s="62" t="s">
        <v>230</v>
      </c>
      <c r="D65" s="7">
        <v>0.1</v>
      </c>
      <c r="E65" s="7" t="s">
        <v>222</v>
      </c>
      <c r="F65" s="12" t="s">
        <v>186</v>
      </c>
      <c r="G65" s="7" t="s">
        <v>148</v>
      </c>
      <c r="H65" s="7"/>
      <c r="I65" s="7"/>
      <c r="J65" s="7"/>
      <c r="K65" s="63"/>
      <c r="L65" s="56"/>
      <c r="M65" s="7" t="s">
        <v>150</v>
      </c>
      <c r="N65" s="7" t="s">
        <v>160</v>
      </c>
      <c r="O65" s="7" t="b">
        <f>IF(E65="隔週A", MOD(INT(('26414_編集版'!$C$1-DATE(2026,4,14))/7), 2)=1, IF(E65="隔週B", MOD(INT(('26414_編集版'!$C$1-DATE(2026,4,14))/7), 2)=0, FALSE))</f>
        <v>0</v>
      </c>
    </row>
    <row r="66" ht="17.25" customHeight="1">
      <c r="A66" s="37" t="s">
        <v>145</v>
      </c>
      <c r="B66" s="7">
        <v>18.0</v>
      </c>
      <c r="C66" s="45" t="s">
        <v>231</v>
      </c>
      <c r="D66" s="7">
        <v>0.4</v>
      </c>
      <c r="E66" s="7" t="s">
        <v>222</v>
      </c>
      <c r="F66" s="12" t="s">
        <v>188</v>
      </c>
      <c r="G66" s="7" t="s">
        <v>148</v>
      </c>
      <c r="H66" s="7"/>
      <c r="I66" s="7"/>
      <c r="J66" s="7"/>
      <c r="K66" s="45"/>
      <c r="L66" s="56"/>
      <c r="M66" s="7" t="s">
        <v>150</v>
      </c>
      <c r="N66" s="7" t="s">
        <v>160</v>
      </c>
      <c r="O66" s="7" t="b">
        <f>IF(E66="隔週A", MOD(INT(('26414_編集版'!$C$1-DATE(2026,4,14))/7), 2)=1, IF(E66="隔週B", MOD(INT(('26414_編集版'!$C$1-DATE(2026,4,14))/7), 2)=0, FALSE))</f>
        <v>0</v>
      </c>
    </row>
    <row r="67" ht="17.25" customHeight="1">
      <c r="A67" s="37" t="s">
        <v>145</v>
      </c>
      <c r="B67" s="7">
        <v>16.0</v>
      </c>
      <c r="C67" s="41" t="s">
        <v>232</v>
      </c>
      <c r="D67" s="48">
        <v>1.0</v>
      </c>
      <c r="E67" s="7" t="s">
        <v>222</v>
      </c>
      <c r="F67" s="8"/>
      <c r="G67" s="41" t="s">
        <v>148</v>
      </c>
      <c r="H67" s="41"/>
      <c r="I67" s="41"/>
      <c r="J67" s="41"/>
      <c r="K67" s="41"/>
      <c r="L67" s="7"/>
      <c r="M67" s="7" t="s">
        <v>233</v>
      </c>
      <c r="N67" s="7"/>
      <c r="O67" s="7" t="b">
        <f>IF(E67="隔週A", MOD(INT(('26414_編集版'!$C$1-DATE(2026,4,14))/7), 2)=1, IF(E67="隔週B", MOD(INT(('26414_編集版'!$C$1-DATE(2026,4,14))/7), 2)=0, FALSE))</f>
        <v>0</v>
      </c>
    </row>
    <row r="68" ht="17.25" customHeight="1">
      <c r="A68" s="37" t="s">
        <v>145</v>
      </c>
      <c r="B68" s="7">
        <v>19.0</v>
      </c>
      <c r="C68" s="54" t="s">
        <v>234</v>
      </c>
      <c r="D68" s="64">
        <v>0.3</v>
      </c>
      <c r="E68" s="7" t="s">
        <v>222</v>
      </c>
      <c r="F68" s="8"/>
      <c r="G68" s="44" t="s">
        <v>148</v>
      </c>
      <c r="H68" s="44"/>
      <c r="I68" s="44"/>
      <c r="J68" s="44"/>
      <c r="K68" s="54"/>
      <c r="L68" s="7"/>
      <c r="M68" s="7" t="s">
        <v>233</v>
      </c>
      <c r="N68" s="7"/>
      <c r="O68" s="7" t="b">
        <f>IF(E68="隔週A", MOD(INT(('26414_編集版'!$C$1-DATE(2026,4,14))/7), 2)=1, IF(E68="隔週B", MOD(INT(('26414_編集版'!$C$1-DATE(2026,4,14))/7), 2)=0, FALSE))</f>
        <v>0</v>
      </c>
    </row>
    <row r="69" ht="17.25" customHeight="1">
      <c r="A69" s="37" t="s">
        <v>145</v>
      </c>
      <c r="B69" s="7">
        <v>19.0</v>
      </c>
      <c r="C69" s="65" t="s">
        <v>235</v>
      </c>
      <c r="D69" s="43">
        <v>0.9</v>
      </c>
      <c r="E69" s="7" t="s">
        <v>222</v>
      </c>
      <c r="F69" s="8"/>
      <c r="G69" s="43" t="s">
        <v>148</v>
      </c>
      <c r="H69" s="43"/>
      <c r="I69" s="43"/>
      <c r="J69" s="43"/>
      <c r="K69" s="65"/>
      <c r="L69" s="7"/>
      <c r="M69" s="7" t="s">
        <v>233</v>
      </c>
      <c r="N69" s="43"/>
      <c r="O69" s="7" t="b">
        <f>IF(E69="隔週A", MOD(INT(('26414_編集版'!$C$1-DATE(2026,4,14))/7), 2)=1, IF(E69="隔週B", MOD(INT(('26414_編集版'!$C$1-DATE(2026,4,14))/7), 2)=0, FALSE))</f>
        <v>0</v>
      </c>
    </row>
    <row r="70" ht="17.25" customHeight="1">
      <c r="A70" s="37" t="s">
        <v>145</v>
      </c>
      <c r="B70" s="7">
        <v>19.0</v>
      </c>
      <c r="C70" s="56" t="s">
        <v>236</v>
      </c>
      <c r="D70" s="7">
        <v>2.0</v>
      </c>
      <c r="E70" s="7" t="s">
        <v>222</v>
      </c>
      <c r="F70" s="8"/>
      <c r="G70" s="13" t="s">
        <v>148</v>
      </c>
      <c r="H70" s="13"/>
      <c r="I70" s="13"/>
      <c r="J70" s="13"/>
      <c r="K70" s="56"/>
      <c r="L70" s="7"/>
      <c r="M70" s="7" t="s">
        <v>233</v>
      </c>
      <c r="N70" s="7"/>
      <c r="O70" s="7" t="b">
        <f>IF(E70="隔週A", MOD(INT(('26414_編集版'!$C$1-DATE(2026,4,14))/7), 2)=1, IF(E70="隔週B", MOD(INT(('26414_編集版'!$C$1-DATE(2026,4,14))/7), 2)=0, FALSE))</f>
        <v>0</v>
      </c>
    </row>
    <row r="71" ht="17.25" customHeight="1">
      <c r="A71" s="37" t="s">
        <v>145</v>
      </c>
      <c r="B71" s="7">
        <v>21.0</v>
      </c>
      <c r="C71" s="45" t="s">
        <v>237</v>
      </c>
      <c r="D71" s="7">
        <v>9.3</v>
      </c>
      <c r="E71" s="7" t="s">
        <v>222</v>
      </c>
      <c r="F71" s="8"/>
      <c r="G71" s="46" t="s">
        <v>148</v>
      </c>
      <c r="H71" s="46"/>
      <c r="I71" s="46"/>
      <c r="J71" s="46"/>
      <c r="K71" s="45"/>
      <c r="L71" s="7"/>
      <c r="M71" s="7" t="s">
        <v>233</v>
      </c>
      <c r="N71" s="13"/>
      <c r="O71" s="7" t="b">
        <f>IF(E71="隔週A", MOD(INT(('26414_編集版'!$C$1-DATE(2026,4,14))/7), 2)=1, IF(E71="隔週B", MOD(INT(('26414_編集版'!$C$1-DATE(2026,4,14))/7), 2)=0, FALSE))</f>
        <v>0</v>
      </c>
    </row>
    <row r="72" ht="17.25" customHeight="1">
      <c r="A72" s="37" t="s">
        <v>145</v>
      </c>
      <c r="B72" s="7">
        <v>19.0</v>
      </c>
      <c r="C72" s="39" t="s">
        <v>238</v>
      </c>
      <c r="D72" s="13">
        <v>1.3</v>
      </c>
      <c r="E72" s="7" t="s">
        <v>222</v>
      </c>
      <c r="F72" s="12" t="s">
        <v>239</v>
      </c>
      <c r="G72" s="13" t="s">
        <v>148</v>
      </c>
      <c r="H72" s="13"/>
      <c r="I72" s="13"/>
      <c r="J72" s="13"/>
      <c r="K72" s="39"/>
      <c r="L72" s="56"/>
      <c r="M72" s="7" t="s">
        <v>233</v>
      </c>
      <c r="N72" s="13"/>
      <c r="O72" s="7" t="b">
        <f>IF(E72="隔週A", MOD(INT(('26414_編集版'!$C$1-DATE(2026,4,14))/7), 2)=1, IF(E72="隔週B", MOD(INT(('26414_編集版'!$C$1-DATE(2026,4,14))/7), 2)=0, FALSE))</f>
        <v>0</v>
      </c>
    </row>
    <row r="73" ht="17.25" customHeight="1">
      <c r="A73" s="37" t="s">
        <v>145</v>
      </c>
      <c r="B73" s="7">
        <v>19.0</v>
      </c>
      <c r="C73" s="39" t="s">
        <v>240</v>
      </c>
      <c r="D73" s="13">
        <v>1.8</v>
      </c>
      <c r="E73" s="7" t="s">
        <v>222</v>
      </c>
      <c r="F73" s="8"/>
      <c r="G73" s="13" t="s">
        <v>148</v>
      </c>
      <c r="H73" s="13"/>
      <c r="I73" s="13"/>
      <c r="J73" s="13"/>
      <c r="K73" s="39"/>
      <c r="L73" s="7"/>
      <c r="M73" s="7" t="s">
        <v>233</v>
      </c>
      <c r="N73" s="13"/>
      <c r="O73" s="7" t="b">
        <f>IF(E73="隔週A", MOD(INT(('26414_編集版'!$C$1-DATE(2026,4,14))/7), 2)=1, IF(E73="隔週B", MOD(INT(('26414_編集版'!$C$1-DATE(2026,4,14))/7), 2)=0, FALSE))</f>
        <v>0</v>
      </c>
    </row>
    <row r="74" ht="17.25" customHeight="1">
      <c r="A74" s="37" t="s">
        <v>145</v>
      </c>
      <c r="B74" s="7">
        <v>19.0</v>
      </c>
      <c r="C74" s="39" t="s">
        <v>241</v>
      </c>
      <c r="D74" s="13">
        <v>5.5</v>
      </c>
      <c r="E74" s="7" t="s">
        <v>222</v>
      </c>
      <c r="F74" s="8"/>
      <c r="G74" s="13" t="s">
        <v>148</v>
      </c>
      <c r="H74" s="13"/>
      <c r="I74" s="13"/>
      <c r="J74" s="13"/>
      <c r="K74" s="39"/>
      <c r="L74" s="7"/>
      <c r="M74" s="7" t="s">
        <v>233</v>
      </c>
      <c r="N74" s="13"/>
      <c r="O74" s="7" t="b">
        <f>IF(E74="隔週A", MOD(INT(('26414_編集版'!$C$1-DATE(2026,4,14))/7), 2)=1, IF(E74="隔週B", MOD(INT(('26414_編集版'!$C$1-DATE(2026,4,14))/7), 2)=0, FALSE))</f>
        <v>0</v>
      </c>
    </row>
    <row r="75" ht="17.25" customHeight="1">
      <c r="A75" s="37" t="s">
        <v>145</v>
      </c>
      <c r="B75" s="7">
        <v>9.0</v>
      </c>
      <c r="C75" s="49" t="s">
        <v>242</v>
      </c>
      <c r="D75" s="7">
        <v>0.5</v>
      </c>
      <c r="E75" s="7" t="s">
        <v>222</v>
      </c>
      <c r="F75" s="8"/>
      <c r="G75" s="7" t="s">
        <v>148</v>
      </c>
      <c r="H75" s="7"/>
      <c r="I75" s="7"/>
      <c r="J75" s="7"/>
      <c r="K75" s="49"/>
      <c r="L75" s="7"/>
      <c r="M75" s="7" t="s">
        <v>233</v>
      </c>
      <c r="N75" s="52"/>
      <c r="O75" s="7" t="b">
        <f>IF(E75="隔週A", MOD(INT(('26414_編集版'!$C$1-DATE(2026,4,14))/7), 2)=1, IF(E75="隔週B", MOD(INT(('26414_編集版'!$C$1-DATE(2026,4,14))/7), 2)=0, FALSE))</f>
        <v>0</v>
      </c>
    </row>
    <row r="76" ht="17.25" customHeight="1">
      <c r="A76" s="37" t="s">
        <v>145</v>
      </c>
      <c r="B76" s="7">
        <v>9.0</v>
      </c>
      <c r="C76" s="66" t="s">
        <v>243</v>
      </c>
      <c r="D76" s="7">
        <v>0.5</v>
      </c>
      <c r="E76" s="7" t="s">
        <v>222</v>
      </c>
      <c r="F76" s="8"/>
      <c r="G76" s="7" t="s">
        <v>148</v>
      </c>
      <c r="H76" s="7"/>
      <c r="I76" s="7"/>
      <c r="J76" s="7"/>
      <c r="K76" s="66"/>
      <c r="L76" s="7"/>
      <c r="M76" s="7" t="s">
        <v>233</v>
      </c>
      <c r="N76" s="7"/>
      <c r="O76" s="7" t="b">
        <f>IF(E76="隔週A", MOD(INT(('26414_編集版'!$C$1-DATE(2026,4,14))/7), 2)=1, IF(E76="隔週B", MOD(INT(('26414_編集版'!$C$1-DATE(2026,4,14))/7), 2)=0, FALSE))</f>
        <v>0</v>
      </c>
    </row>
    <row r="77" ht="17.25" customHeight="1">
      <c r="A77" s="37" t="s">
        <v>145</v>
      </c>
      <c r="B77" s="7">
        <v>9.0</v>
      </c>
      <c r="C77" s="49" t="s">
        <v>244</v>
      </c>
      <c r="D77" s="7">
        <v>1.5</v>
      </c>
      <c r="E77" s="7" t="s">
        <v>222</v>
      </c>
      <c r="F77" s="8"/>
      <c r="G77" s="7" t="s">
        <v>148</v>
      </c>
      <c r="H77" s="7"/>
      <c r="I77" s="7"/>
      <c r="J77" s="7"/>
      <c r="K77" s="49"/>
      <c r="L77" s="7"/>
      <c r="M77" s="7" t="s">
        <v>233</v>
      </c>
      <c r="N77" s="7"/>
      <c r="O77" s="7" t="b">
        <f>IF(E77="隔週A", MOD(INT(('26414_編集版'!$C$1-DATE(2026,4,14))/7), 2)=1, IF(E77="隔週B", MOD(INT(('26414_編集版'!$C$1-DATE(2026,4,14))/7), 2)=0, FALSE))</f>
        <v>0</v>
      </c>
    </row>
    <row r="78" ht="17.25" customHeight="1">
      <c r="A78" s="37" t="s">
        <v>145</v>
      </c>
      <c r="B78" s="7">
        <v>21.0</v>
      </c>
      <c r="C78" s="49" t="s">
        <v>245</v>
      </c>
      <c r="D78" s="7">
        <v>0.4</v>
      </c>
      <c r="E78" s="7" t="s">
        <v>222</v>
      </c>
      <c r="F78" s="8"/>
      <c r="G78" s="46" t="s">
        <v>148</v>
      </c>
      <c r="H78" s="46"/>
      <c r="I78" s="46"/>
      <c r="J78" s="46"/>
      <c r="K78" s="49"/>
      <c r="L78" s="7"/>
      <c r="M78" s="7" t="s">
        <v>233</v>
      </c>
      <c r="N78" s="13"/>
      <c r="O78" s="7" t="b">
        <f>IF(E78="隔週A", MOD(INT(('26414_編集版'!$C$1-DATE(2026,4,14))/7), 2)=1, IF(E78="隔週B", MOD(INT(('26414_編集版'!$C$1-DATE(2026,4,14))/7), 2)=0, FALSE))</f>
        <v>0</v>
      </c>
    </row>
    <row r="79" ht="17.25" customHeight="1">
      <c r="A79" s="37" t="s">
        <v>145</v>
      </c>
      <c r="B79" s="7">
        <v>16.0</v>
      </c>
      <c r="C79" s="45" t="s">
        <v>246</v>
      </c>
      <c r="D79" s="7">
        <v>0.6</v>
      </c>
      <c r="E79" s="7" t="s">
        <v>222</v>
      </c>
      <c r="F79" s="8"/>
      <c r="G79" s="7" t="s">
        <v>148</v>
      </c>
      <c r="H79" s="7" t="s">
        <v>140</v>
      </c>
      <c r="I79" s="7" t="s">
        <v>141</v>
      </c>
      <c r="J79" s="7" t="s">
        <v>142</v>
      </c>
      <c r="K79" s="45"/>
      <c r="L79" s="7"/>
      <c r="M79" s="7" t="s">
        <v>233</v>
      </c>
      <c r="N79" s="13"/>
      <c r="O79" s="7" t="b">
        <f>IF(E79="隔週A", MOD(INT(('26414_編集版'!$C$1-DATE(2026,4,14))/7), 2)=1, IF(E79="隔週B", MOD(INT(('26414_編集版'!$C$1-DATE(2026,4,14))/7), 2)=0, FALSE))</f>
        <v>0</v>
      </c>
    </row>
    <row r="80" ht="17.25" customHeight="1">
      <c r="A80" s="37" t="s">
        <v>145</v>
      </c>
      <c r="B80" s="7">
        <v>8.0</v>
      </c>
      <c r="C80" s="13" t="s">
        <v>247</v>
      </c>
      <c r="D80" s="13">
        <v>0.1</v>
      </c>
      <c r="E80" s="7" t="s">
        <v>222</v>
      </c>
      <c r="F80" s="8"/>
      <c r="G80" s="7" t="s">
        <v>148</v>
      </c>
      <c r="H80" s="7"/>
      <c r="I80" s="7"/>
      <c r="J80" s="7"/>
      <c r="K80" s="13"/>
      <c r="L80" s="7"/>
      <c r="M80" s="7" t="s">
        <v>233</v>
      </c>
      <c r="N80" s="67"/>
      <c r="O80" s="7" t="b">
        <f>IF(E80="隔週A", MOD(INT(('26414_編集版'!$C$1-DATE(2026,4,14))/7), 2)=1, IF(E80="隔週B", MOD(INT(('26414_編集版'!$C$1-DATE(2026,4,14))/7), 2)=0, FALSE))</f>
        <v>0</v>
      </c>
    </row>
    <row r="81" ht="17.25" customHeight="1">
      <c r="A81" s="37" t="s">
        <v>145</v>
      </c>
      <c r="B81" s="7">
        <v>21.0</v>
      </c>
      <c r="C81" s="13" t="s">
        <v>248</v>
      </c>
      <c r="D81" s="44">
        <v>0.1</v>
      </c>
      <c r="E81" s="7" t="s">
        <v>222</v>
      </c>
      <c r="F81" s="8"/>
      <c r="G81" s="13" t="s">
        <v>148</v>
      </c>
      <c r="H81" s="13"/>
      <c r="I81" s="13"/>
      <c r="J81" s="13"/>
      <c r="K81" s="13"/>
      <c r="L81" s="7"/>
      <c r="M81" s="7" t="s">
        <v>233</v>
      </c>
      <c r="N81" s="44"/>
      <c r="O81" s="7" t="b">
        <f>IF(E81="隔週A", MOD(INT(('26414_編集版'!$C$1-DATE(2026,4,14))/7), 2)=1, IF(E81="隔週B", MOD(INT(('26414_編集版'!$C$1-DATE(2026,4,14))/7), 2)=0, FALSE))</f>
        <v>0</v>
      </c>
    </row>
    <row r="82" ht="17.25" customHeight="1">
      <c r="A82" s="37" t="s">
        <v>145</v>
      </c>
      <c r="B82" s="7">
        <v>21.0</v>
      </c>
      <c r="C82" s="41" t="s">
        <v>249</v>
      </c>
      <c r="D82" s="44">
        <v>0.1</v>
      </c>
      <c r="E82" s="7" t="s">
        <v>222</v>
      </c>
      <c r="F82" s="8"/>
      <c r="G82" s="41" t="s">
        <v>180</v>
      </c>
      <c r="H82" s="41"/>
      <c r="I82" s="41"/>
      <c r="J82" s="41"/>
      <c r="K82" s="41"/>
      <c r="L82" s="7"/>
      <c r="M82" s="7" t="s">
        <v>233</v>
      </c>
      <c r="N82" s="41"/>
      <c r="O82" s="7" t="b">
        <f>IF(E82="隔週A", MOD(INT(('26414_編集版'!$C$1-DATE(2026,4,14))/7), 2)=1, IF(E82="隔週B", MOD(INT(('26414_編集版'!$C$1-DATE(2026,4,14))/7), 2)=0, FALSE))</f>
        <v>0</v>
      </c>
    </row>
    <row r="83" ht="17.25" customHeight="1">
      <c r="A83" s="37" t="s">
        <v>145</v>
      </c>
      <c r="B83" s="7">
        <v>8.0</v>
      </c>
      <c r="C83" s="13" t="s">
        <v>250</v>
      </c>
      <c r="D83" s="13">
        <v>4.3</v>
      </c>
      <c r="E83" s="7" t="s">
        <v>222</v>
      </c>
      <c r="F83" s="40"/>
      <c r="G83" s="7" t="s">
        <v>148</v>
      </c>
      <c r="H83" s="7"/>
      <c r="I83" s="7"/>
      <c r="J83" s="7"/>
      <c r="K83" s="13"/>
      <c r="L83" s="13"/>
      <c r="M83" s="13" t="s">
        <v>152</v>
      </c>
      <c r="N83" s="13" t="s">
        <v>150</v>
      </c>
      <c r="O83" s="7" t="b">
        <f>IF(E83="隔週A", MOD(INT(('26414_編集版'!$C$1-DATE(2026,4,14))/7), 2)=1, IF(E83="隔週B", MOD(INT(('26414_編集版'!$C$1-DATE(2026,4,14))/7), 2)=0, FALSE))</f>
        <v>0</v>
      </c>
    </row>
    <row r="84" ht="17.25" customHeight="1">
      <c r="A84" s="37" t="s">
        <v>145</v>
      </c>
      <c r="B84" s="7">
        <v>8.0</v>
      </c>
      <c r="C84" s="54" t="s">
        <v>251</v>
      </c>
      <c r="D84" s="13">
        <v>0.2</v>
      </c>
      <c r="E84" s="7" t="s">
        <v>222</v>
      </c>
      <c r="F84" s="8"/>
      <c r="G84" s="41" t="s">
        <v>148</v>
      </c>
      <c r="H84" s="41"/>
      <c r="I84" s="41"/>
      <c r="J84" s="41"/>
      <c r="K84" s="54"/>
      <c r="L84" s="7"/>
      <c r="M84" s="7" t="s">
        <v>233</v>
      </c>
      <c r="N84" s="7"/>
      <c r="O84" s="7" t="b">
        <f>IF(E84="隔週A", MOD(INT(('26414_編集版'!$C$1-DATE(2026,4,14))/7), 2)=1, IF(E84="隔週B", MOD(INT(('26414_編集版'!$C$1-DATE(2026,4,14))/7), 2)=0, FALSE))</f>
        <v>0</v>
      </c>
    </row>
    <row r="85" ht="17.25" customHeight="1">
      <c r="A85" s="37" t="s">
        <v>145</v>
      </c>
      <c r="B85" s="38">
        <v>15.0</v>
      </c>
      <c r="C85" s="13" t="s">
        <v>252</v>
      </c>
      <c r="D85" s="7">
        <v>0.4</v>
      </c>
      <c r="E85" s="7" t="s">
        <v>222</v>
      </c>
      <c r="F85" s="8"/>
      <c r="G85" s="7" t="s">
        <v>148</v>
      </c>
      <c r="H85" s="7"/>
      <c r="I85" s="7"/>
      <c r="J85" s="7"/>
      <c r="K85" s="13"/>
      <c r="L85" s="7"/>
      <c r="M85" s="7" t="s">
        <v>150</v>
      </c>
      <c r="N85" s="13" t="s">
        <v>158</v>
      </c>
      <c r="O85" s="7" t="b">
        <f>IF(E85="隔週A", MOD(INT(('26414_編集版'!$C$1-DATE(2026,4,14))/7), 2)=1, IF(E85="隔週B", MOD(INT(('26414_編集版'!$C$1-DATE(2026,4,14))/7), 2)=0, FALSE))</f>
        <v>0</v>
      </c>
    </row>
    <row r="86" ht="17.25" customHeight="1">
      <c r="A86" s="37" t="s">
        <v>145</v>
      </c>
      <c r="B86" s="38">
        <v>15.0</v>
      </c>
      <c r="C86" s="45" t="s">
        <v>253</v>
      </c>
      <c r="D86" s="7">
        <v>1.2</v>
      </c>
      <c r="E86" s="7" t="s">
        <v>222</v>
      </c>
      <c r="F86" s="8"/>
      <c r="G86" s="7" t="s">
        <v>148</v>
      </c>
      <c r="H86" s="7"/>
      <c r="I86" s="7"/>
      <c r="J86" s="7"/>
      <c r="K86" s="45"/>
      <c r="L86" s="7"/>
      <c r="M86" s="7" t="s">
        <v>233</v>
      </c>
      <c r="N86" s="7"/>
      <c r="O86" s="7" t="b">
        <f>IF(E86="隔週A", MOD(INT(('26414_編集版'!$C$1-DATE(2026,4,14))/7), 2)=1, IF(E86="隔週B", MOD(INT(('26414_編集版'!$C$1-DATE(2026,4,14))/7), 2)=0, FALSE))</f>
        <v>0</v>
      </c>
    </row>
    <row r="87" ht="17.25" customHeight="1">
      <c r="A87" s="37" t="s">
        <v>145</v>
      </c>
      <c r="B87" s="7">
        <v>10.0</v>
      </c>
      <c r="C87" s="49" t="s">
        <v>254</v>
      </c>
      <c r="D87" s="7">
        <v>0.4</v>
      </c>
      <c r="E87" s="7" t="s">
        <v>222</v>
      </c>
      <c r="F87" s="8"/>
      <c r="G87" s="7" t="s">
        <v>148</v>
      </c>
      <c r="H87" s="7"/>
      <c r="I87" s="7"/>
      <c r="J87" s="7"/>
      <c r="K87" s="49"/>
      <c r="L87" s="7"/>
      <c r="M87" s="7" t="s">
        <v>233</v>
      </c>
      <c r="N87" s="38"/>
      <c r="O87" s="7" t="b">
        <f>IF(E87="隔週A", MOD(INT(('26414_編集版'!$C$1-DATE(2026,4,14))/7), 2)=1, IF(E87="隔週B", MOD(INT(('26414_編集版'!$C$1-DATE(2026,4,14))/7), 2)=0, FALSE))</f>
        <v>0</v>
      </c>
    </row>
    <row r="88" ht="17.25" customHeight="1">
      <c r="A88" s="37" t="s">
        <v>145</v>
      </c>
      <c r="B88" s="7">
        <v>11.0</v>
      </c>
      <c r="C88" s="51" t="s">
        <v>255</v>
      </c>
      <c r="D88" s="39">
        <v>0.5</v>
      </c>
      <c r="E88" s="7" t="s">
        <v>222</v>
      </c>
      <c r="F88" s="12" t="s">
        <v>188</v>
      </c>
      <c r="G88" s="7" t="s">
        <v>148</v>
      </c>
      <c r="H88" s="7"/>
      <c r="I88" s="7"/>
      <c r="J88" s="7"/>
      <c r="K88" s="51"/>
      <c r="L88" s="56"/>
      <c r="M88" s="7" t="s">
        <v>233</v>
      </c>
      <c r="N88" s="7"/>
      <c r="O88" s="7" t="b">
        <f>IF(E88="隔週A", MOD(INT(('26414_編集版'!$C$1-DATE(2026,4,14))/7), 2)=1, IF(E88="隔週B", MOD(INT(('26414_編集版'!$C$1-DATE(2026,4,14))/7), 2)=0, FALSE))</f>
        <v>0</v>
      </c>
    </row>
    <row r="89" ht="17.25" customHeight="1">
      <c r="A89" s="37" t="s">
        <v>145</v>
      </c>
      <c r="B89" s="7">
        <v>8.0</v>
      </c>
      <c r="C89" s="13" t="s">
        <v>256</v>
      </c>
      <c r="D89" s="13">
        <v>1.2</v>
      </c>
      <c r="E89" s="7" t="s">
        <v>222</v>
      </c>
      <c r="F89" s="8"/>
      <c r="G89" s="7" t="s">
        <v>148</v>
      </c>
      <c r="H89" s="7"/>
      <c r="I89" s="7"/>
      <c r="J89" s="7"/>
      <c r="K89" s="13"/>
      <c r="L89" s="7"/>
      <c r="M89" s="7" t="s">
        <v>233</v>
      </c>
      <c r="N89" s="13"/>
      <c r="O89" s="7" t="b">
        <f>IF(E89="隔週A", MOD(INT(('26414_編集版'!$C$1-DATE(2026,4,14))/7), 2)=1, IF(E89="隔週B", MOD(INT(('26414_編集版'!$C$1-DATE(2026,4,14))/7), 2)=0, FALSE))</f>
        <v>0</v>
      </c>
    </row>
    <row r="90" ht="17.25" customHeight="1">
      <c r="A90" s="37" t="s">
        <v>145</v>
      </c>
      <c r="B90" s="7">
        <v>17.0</v>
      </c>
      <c r="C90" s="13" t="s">
        <v>257</v>
      </c>
      <c r="D90" s="7">
        <v>0.2</v>
      </c>
      <c r="E90" s="7" t="s">
        <v>222</v>
      </c>
      <c r="F90" s="8"/>
      <c r="G90" s="48" t="s">
        <v>148</v>
      </c>
      <c r="H90" s="48"/>
      <c r="I90" s="48"/>
      <c r="J90" s="48"/>
      <c r="K90" s="13"/>
      <c r="L90" s="7"/>
      <c r="M90" s="7" t="s">
        <v>233</v>
      </c>
      <c r="N90" s="13"/>
      <c r="O90" s="7" t="b">
        <f>IF(E90="隔週A", MOD(INT(('26414_編集版'!$C$1-DATE(2026,4,14))/7), 2)=1, IF(E90="隔週B", MOD(INT(('26414_編集版'!$C$1-DATE(2026,4,14))/7), 2)=0, FALSE))</f>
        <v>0</v>
      </c>
    </row>
    <row r="91" ht="17.25" customHeight="1">
      <c r="A91" s="37" t="s">
        <v>145</v>
      </c>
      <c r="B91" s="7">
        <v>17.0</v>
      </c>
      <c r="C91" s="13" t="s">
        <v>258</v>
      </c>
      <c r="D91" s="13">
        <v>0.7</v>
      </c>
      <c r="E91" s="7" t="s">
        <v>222</v>
      </c>
      <c r="F91" s="8"/>
      <c r="G91" s="47" t="s">
        <v>148</v>
      </c>
      <c r="H91" s="47"/>
      <c r="I91" s="47"/>
      <c r="J91" s="47"/>
      <c r="K91" s="13"/>
      <c r="L91" s="7"/>
      <c r="M91" s="7" t="s">
        <v>233</v>
      </c>
      <c r="N91" s="13"/>
      <c r="O91" s="7" t="b">
        <f>IF(E91="隔週A", MOD(INT(('26414_編集版'!$C$1-DATE(2026,4,14))/7), 2)=1, IF(E91="隔週B", MOD(INT(('26414_編集版'!$C$1-DATE(2026,4,14))/7), 2)=0, FALSE))</f>
        <v>0</v>
      </c>
    </row>
    <row r="92" ht="17.25" customHeight="1">
      <c r="A92" s="37" t="s">
        <v>145</v>
      </c>
      <c r="B92" s="7">
        <v>17.0</v>
      </c>
      <c r="C92" s="49" t="s">
        <v>259</v>
      </c>
      <c r="D92" s="7">
        <v>2.9</v>
      </c>
      <c r="E92" s="7" t="s">
        <v>222</v>
      </c>
      <c r="F92" s="8"/>
      <c r="G92" s="7" t="s">
        <v>180</v>
      </c>
      <c r="H92" s="7"/>
      <c r="I92" s="7"/>
      <c r="J92" s="7"/>
      <c r="K92" s="49"/>
      <c r="L92" s="7"/>
      <c r="M92" s="7" t="s">
        <v>158</v>
      </c>
      <c r="N92" s="7" t="s">
        <v>150</v>
      </c>
      <c r="O92" s="7" t="b">
        <f>IF(E92="隔週A", MOD(INT(('26414_編集版'!$C$1-DATE(2026,4,14))/7), 2)=1, IF(E92="隔週B", MOD(INT(('26414_編集版'!$C$1-DATE(2026,4,14))/7), 2)=0, FALSE))</f>
        <v>0</v>
      </c>
    </row>
    <row r="93" ht="17.25" customHeight="1">
      <c r="A93" s="37" t="s">
        <v>145</v>
      </c>
      <c r="B93" s="7">
        <v>20.0</v>
      </c>
      <c r="C93" s="41" t="s">
        <v>65</v>
      </c>
      <c r="D93" s="48">
        <v>0.1</v>
      </c>
      <c r="E93" s="7" t="s">
        <v>222</v>
      </c>
      <c r="F93" s="68"/>
      <c r="G93" s="41" t="s">
        <v>148</v>
      </c>
      <c r="H93" s="41"/>
      <c r="I93" s="41"/>
      <c r="J93" s="41"/>
      <c r="K93" s="41"/>
      <c r="L93" s="48"/>
      <c r="M93" s="48" t="s">
        <v>191</v>
      </c>
      <c r="N93" s="48" t="s">
        <v>160</v>
      </c>
      <c r="O93" s="7" t="b">
        <f>IF(E93="隔週A", MOD(INT(('26414_編集版'!$C$1-DATE(2026,4,14))/7), 2)=1, IF(E93="隔週B", MOD(INT(('26414_編集版'!$C$1-DATE(2026,4,14))/7), 2)=0, FALSE))</f>
        <v>0</v>
      </c>
    </row>
    <row r="94" ht="17.25" customHeight="1">
      <c r="A94" s="37" t="s">
        <v>145</v>
      </c>
      <c r="B94" s="7">
        <v>17.0</v>
      </c>
      <c r="C94" s="13" t="s">
        <v>260</v>
      </c>
      <c r="D94" s="7">
        <v>0.4</v>
      </c>
      <c r="E94" s="7" t="s">
        <v>222</v>
      </c>
      <c r="F94" s="8"/>
      <c r="G94" s="48" t="s">
        <v>148</v>
      </c>
      <c r="H94" s="48"/>
      <c r="I94" s="48"/>
      <c r="J94" s="48"/>
      <c r="K94" s="13"/>
      <c r="L94" s="7"/>
      <c r="M94" s="7" t="s">
        <v>233</v>
      </c>
      <c r="N94" s="13"/>
      <c r="O94" s="7" t="b">
        <f>IF(E94="隔週A", MOD(INT(('26414_編集版'!$C$1-DATE(2026,4,14))/7), 2)=1, IF(E94="隔週B", MOD(INT(('26414_編集版'!$C$1-DATE(2026,4,14))/7), 2)=0, FALSE))</f>
        <v>0</v>
      </c>
    </row>
    <row r="95" ht="17.25" customHeight="1">
      <c r="A95" s="37" t="s">
        <v>145</v>
      </c>
      <c r="B95" s="38">
        <v>14.0</v>
      </c>
      <c r="C95" s="49" t="s">
        <v>261</v>
      </c>
      <c r="D95" s="7">
        <v>1.2</v>
      </c>
      <c r="E95" s="7" t="s">
        <v>222</v>
      </c>
      <c r="F95" s="8"/>
      <c r="G95" s="7" t="s">
        <v>148</v>
      </c>
      <c r="H95" s="7"/>
      <c r="I95" s="7"/>
      <c r="J95" s="7"/>
      <c r="K95" s="49"/>
      <c r="L95" s="7"/>
      <c r="M95" s="7" t="s">
        <v>233</v>
      </c>
      <c r="N95" s="7"/>
      <c r="O95" s="7" t="b">
        <f>IF(E95="隔週A", MOD(INT(('26414_編集版'!$C$1-DATE(2026,4,14))/7), 2)=1, IF(E95="隔週B", MOD(INT(('26414_編集版'!$C$1-DATE(2026,4,14))/7), 2)=0, FALSE))</f>
        <v>0</v>
      </c>
    </row>
    <row r="96" ht="17.25" customHeight="1">
      <c r="A96" s="37" t="s">
        <v>145</v>
      </c>
      <c r="B96" s="38">
        <v>14.0</v>
      </c>
      <c r="C96" s="13" t="s">
        <v>262</v>
      </c>
      <c r="D96" s="7">
        <v>1.0</v>
      </c>
      <c r="E96" s="7" t="s">
        <v>222</v>
      </c>
      <c r="F96" s="8"/>
      <c r="G96" s="7" t="s">
        <v>148</v>
      </c>
      <c r="H96" s="7"/>
      <c r="I96" s="7"/>
      <c r="J96" s="7"/>
      <c r="K96" s="13"/>
      <c r="L96" s="7"/>
      <c r="M96" s="7" t="s">
        <v>233</v>
      </c>
      <c r="N96" s="38"/>
      <c r="O96" s="7" t="b">
        <f>IF(E96="隔週A", MOD(INT(('26414_編集版'!$C$1-DATE(2026,4,14))/7), 2)=1, IF(E96="隔週B", MOD(INT(('26414_編集版'!$C$1-DATE(2026,4,14))/7), 2)=0, FALSE))</f>
        <v>0</v>
      </c>
    </row>
    <row r="97" ht="17.25" customHeight="1">
      <c r="A97" s="37" t="s">
        <v>145</v>
      </c>
      <c r="B97" s="7">
        <v>19.0</v>
      </c>
      <c r="C97" s="13" t="s">
        <v>263</v>
      </c>
      <c r="D97" s="13">
        <v>0.3</v>
      </c>
      <c r="E97" s="7" t="s">
        <v>222</v>
      </c>
      <c r="F97" s="8"/>
      <c r="G97" s="13" t="s">
        <v>148</v>
      </c>
      <c r="H97" s="13"/>
      <c r="I97" s="13"/>
      <c r="J97" s="13"/>
      <c r="K97" s="13"/>
      <c r="L97" s="7"/>
      <c r="M97" s="7" t="s">
        <v>233</v>
      </c>
      <c r="N97" s="13"/>
      <c r="O97" s="7" t="b">
        <f>IF(E97="隔週A", MOD(INT(('26414_編集版'!$C$1-DATE(2026,4,14))/7), 2)=1, IF(E97="隔週B", MOD(INT(('26414_編集版'!$C$1-DATE(2026,4,14))/7), 2)=0, FALSE))</f>
        <v>0</v>
      </c>
    </row>
    <row r="98" ht="17.25" customHeight="1">
      <c r="A98" s="37" t="s">
        <v>145</v>
      </c>
      <c r="B98" s="7">
        <v>19.0</v>
      </c>
      <c r="C98" s="13" t="s">
        <v>264</v>
      </c>
      <c r="D98" s="13">
        <v>1.3</v>
      </c>
      <c r="E98" s="7" t="s">
        <v>222</v>
      </c>
      <c r="F98" s="8"/>
      <c r="G98" s="13" t="s">
        <v>148</v>
      </c>
      <c r="H98" s="13"/>
      <c r="I98" s="13"/>
      <c r="J98" s="13"/>
      <c r="K98" s="13"/>
      <c r="L98" s="7"/>
      <c r="M98" s="7" t="s">
        <v>233</v>
      </c>
      <c r="N98" s="13"/>
      <c r="O98" s="7" t="b">
        <f>IF(E98="隔週A", MOD(INT(('26414_編集版'!$C$1-DATE(2026,4,14))/7), 2)=1, IF(E98="隔週B", MOD(INT(('26414_編集版'!$C$1-DATE(2026,4,14))/7), 2)=0, FALSE))</f>
        <v>0</v>
      </c>
    </row>
    <row r="99" ht="17.25" customHeight="1">
      <c r="A99" s="37" t="s">
        <v>145</v>
      </c>
      <c r="B99" s="38">
        <v>14.0</v>
      </c>
      <c r="C99" s="13" t="s">
        <v>265</v>
      </c>
      <c r="D99" s="7">
        <v>0.5</v>
      </c>
      <c r="E99" s="7" t="s">
        <v>222</v>
      </c>
      <c r="F99" s="8"/>
      <c r="G99" s="7" t="s">
        <v>148</v>
      </c>
      <c r="H99" s="7"/>
      <c r="I99" s="7"/>
      <c r="J99" s="7"/>
      <c r="K99" s="13"/>
      <c r="L99" s="7"/>
      <c r="M99" s="7" t="s">
        <v>233</v>
      </c>
      <c r="N99" s="7"/>
      <c r="O99" s="7" t="b">
        <f>IF(E99="隔週A", MOD(INT(('26414_編集版'!$C$1-DATE(2026,4,14))/7), 2)=1, IF(E99="隔週B", MOD(INT(('26414_編集版'!$C$1-DATE(2026,4,14))/7), 2)=0, FALSE))</f>
        <v>0</v>
      </c>
    </row>
    <row r="100" ht="17.25" customHeight="1">
      <c r="A100" s="37" t="s">
        <v>145</v>
      </c>
      <c r="B100" s="38">
        <v>14.0</v>
      </c>
      <c r="C100" s="51" t="s">
        <v>266</v>
      </c>
      <c r="D100" s="7">
        <v>0.5</v>
      </c>
      <c r="E100" s="7" t="s">
        <v>222</v>
      </c>
      <c r="F100" s="8"/>
      <c r="G100" s="7" t="s">
        <v>148</v>
      </c>
      <c r="H100" s="7"/>
      <c r="I100" s="7"/>
      <c r="J100" s="7"/>
      <c r="K100" s="51"/>
      <c r="L100" s="7"/>
      <c r="M100" s="7" t="s">
        <v>233</v>
      </c>
      <c r="N100" s="7"/>
      <c r="O100" s="7" t="b">
        <f>IF(E100="隔週A", MOD(INT(('26414_編集版'!$C$1-DATE(2026,4,14))/7), 2)=1, IF(E100="隔週B", MOD(INT(('26414_編集版'!$C$1-DATE(2026,4,14))/7), 2)=0, FALSE))</f>
        <v>0</v>
      </c>
    </row>
    <row r="101" ht="17.25" customHeight="1">
      <c r="A101" s="37" t="s">
        <v>145</v>
      </c>
      <c r="B101" s="38">
        <v>14.0</v>
      </c>
      <c r="C101" s="13" t="s">
        <v>267</v>
      </c>
      <c r="D101" s="7">
        <v>1.0</v>
      </c>
      <c r="E101" s="7" t="s">
        <v>222</v>
      </c>
      <c r="F101" s="8"/>
      <c r="G101" s="7" t="s">
        <v>148</v>
      </c>
      <c r="H101" s="7"/>
      <c r="I101" s="7"/>
      <c r="J101" s="7"/>
      <c r="K101" s="13"/>
      <c r="L101" s="7"/>
      <c r="M101" s="7" t="s">
        <v>233</v>
      </c>
      <c r="N101" s="7"/>
      <c r="O101" s="7" t="b">
        <f>IF(E101="隔週A", MOD(INT(('26414_編集版'!$C$1-DATE(2026,4,14))/7), 2)=1, IF(E101="隔週B", MOD(INT(('26414_編集版'!$C$1-DATE(2026,4,14))/7), 2)=0, FALSE))</f>
        <v>0</v>
      </c>
    </row>
    <row r="102" ht="17.25" customHeight="1">
      <c r="A102" s="37" t="s">
        <v>145</v>
      </c>
      <c r="B102" s="7">
        <v>10.0</v>
      </c>
      <c r="C102" s="45" t="s">
        <v>268</v>
      </c>
      <c r="D102" s="7">
        <v>1.5</v>
      </c>
      <c r="E102" s="7" t="s">
        <v>222</v>
      </c>
      <c r="F102" s="8"/>
      <c r="G102" s="7" t="s">
        <v>148</v>
      </c>
      <c r="H102" s="7"/>
      <c r="I102" s="7"/>
      <c r="J102" s="7"/>
      <c r="K102" s="45"/>
      <c r="L102" s="7"/>
      <c r="M102" s="7" t="s">
        <v>233</v>
      </c>
      <c r="N102" s="7"/>
      <c r="O102" s="7" t="b">
        <f>IF(E102="隔週A", MOD(INT(('26414_編集版'!$C$1-DATE(2026,4,14))/7), 2)=1, IF(E102="隔週B", MOD(INT(('26414_編集版'!$C$1-DATE(2026,4,14))/7), 2)=0, FALSE))</f>
        <v>0</v>
      </c>
    </row>
    <row r="103" ht="17.25" customHeight="1">
      <c r="A103" s="37" t="s">
        <v>145</v>
      </c>
      <c r="B103" s="7">
        <v>10.0</v>
      </c>
      <c r="C103" s="43" t="s">
        <v>269</v>
      </c>
      <c r="D103" s="7">
        <v>1.0</v>
      </c>
      <c r="E103" s="7" t="s">
        <v>222</v>
      </c>
      <c r="F103" s="8"/>
      <c r="G103" s="7" t="s">
        <v>148</v>
      </c>
      <c r="H103" s="7"/>
      <c r="I103" s="7"/>
      <c r="J103" s="7"/>
      <c r="K103" s="43"/>
      <c r="L103" s="7"/>
      <c r="M103" s="7" t="s">
        <v>233</v>
      </c>
      <c r="N103" s="38"/>
      <c r="O103" s="7" t="b">
        <f>IF(E103="隔週A", MOD(INT(('26414_編集版'!$C$1-DATE(2026,4,14))/7), 2)=1, IF(E103="隔週B", MOD(INT(('26414_編集版'!$C$1-DATE(2026,4,14))/7), 2)=0, FALSE))</f>
        <v>0</v>
      </c>
    </row>
    <row r="104" ht="17.25" customHeight="1">
      <c r="A104" s="37" t="s">
        <v>154</v>
      </c>
      <c r="B104" s="7">
        <v>21.0</v>
      </c>
      <c r="C104" s="65" t="s">
        <v>270</v>
      </c>
      <c r="D104" s="43">
        <v>6.9</v>
      </c>
      <c r="E104" s="7" t="s">
        <v>222</v>
      </c>
      <c r="F104" s="42"/>
      <c r="G104" s="43" t="s">
        <v>180</v>
      </c>
      <c r="H104" s="43"/>
      <c r="I104" s="43"/>
      <c r="J104" s="43"/>
      <c r="K104" s="65"/>
      <c r="L104" s="43"/>
      <c r="M104" s="43" t="s">
        <v>150</v>
      </c>
      <c r="N104" s="43" t="s">
        <v>158</v>
      </c>
      <c r="O104" s="7" t="b">
        <f>IF(E104="隔週A", MOD(INT(('26414_編集版'!$C$1-DATE(2026,4,14))/7), 2)=1, IF(E104="隔週B", MOD(INT(('26414_編集版'!$C$1-DATE(2026,4,14))/7), 2)=0, FALSE))</f>
        <v>0</v>
      </c>
    </row>
    <row r="105" ht="17.25" customHeight="1">
      <c r="A105" s="37" t="s">
        <v>154</v>
      </c>
      <c r="B105" s="7">
        <v>13.0</v>
      </c>
      <c r="C105" s="50" t="s">
        <v>271</v>
      </c>
      <c r="D105" s="7">
        <v>2.5</v>
      </c>
      <c r="E105" s="7" t="s">
        <v>222</v>
      </c>
      <c r="F105" s="8"/>
      <c r="G105" s="7" t="s">
        <v>148</v>
      </c>
      <c r="H105" s="7"/>
      <c r="I105" s="7"/>
      <c r="J105" s="7"/>
      <c r="K105" s="51"/>
      <c r="L105" s="7"/>
      <c r="M105" s="7" t="s">
        <v>223</v>
      </c>
      <c r="N105" s="7" t="s">
        <v>160</v>
      </c>
      <c r="O105" s="7" t="b">
        <f>IF(E105="隔週A", MOD(INT(('26414_編集版'!$C$1-DATE(2026,4,14))/7), 2)=1, IF(E105="隔週B", MOD(INT(('26414_編集版'!$C$1-DATE(2026,4,14))/7), 2)=0, FALSE))</f>
        <v>0</v>
      </c>
    </row>
    <row r="106" ht="17.25" customHeight="1">
      <c r="A106" s="37" t="s">
        <v>154</v>
      </c>
      <c r="B106" s="7">
        <v>13.0</v>
      </c>
      <c r="C106" s="45" t="s">
        <v>272</v>
      </c>
      <c r="D106" s="39">
        <v>1.0</v>
      </c>
      <c r="E106" s="7" t="s">
        <v>222</v>
      </c>
      <c r="F106" s="8"/>
      <c r="G106" s="7" t="s">
        <v>148</v>
      </c>
      <c r="H106" s="7"/>
      <c r="I106" s="7"/>
      <c r="J106" s="7"/>
      <c r="K106" s="45"/>
      <c r="L106" s="7"/>
      <c r="M106" s="7" t="s">
        <v>223</v>
      </c>
      <c r="N106" s="7" t="s">
        <v>160</v>
      </c>
      <c r="O106" s="7" t="b">
        <f>IF(E106="隔週A", MOD(INT(('26414_編集版'!$C$1-DATE(2026,4,14))/7), 2)=1, IF(E106="隔週B", MOD(INT(('26414_編集版'!$C$1-DATE(2026,4,14))/7), 2)=0, FALSE))</f>
        <v>0</v>
      </c>
    </row>
    <row r="107" ht="17.25" customHeight="1">
      <c r="A107" s="37" t="s">
        <v>154</v>
      </c>
      <c r="B107" s="7">
        <v>13.0</v>
      </c>
      <c r="C107" s="45" t="s">
        <v>273</v>
      </c>
      <c r="D107" s="38">
        <v>1.0</v>
      </c>
      <c r="E107" s="7" t="s">
        <v>222</v>
      </c>
      <c r="F107" s="8"/>
      <c r="G107" s="7" t="s">
        <v>148</v>
      </c>
      <c r="H107" s="7"/>
      <c r="I107" s="7"/>
      <c r="J107" s="7"/>
      <c r="K107" s="45"/>
      <c r="L107" s="7"/>
      <c r="M107" s="7" t="s">
        <v>223</v>
      </c>
      <c r="N107" s="7" t="s">
        <v>160</v>
      </c>
      <c r="O107" s="7" t="b">
        <f>IF(E107="隔週A", MOD(INT(('26414_編集版'!$C$1-DATE(2026,4,14))/7), 2)=1, IF(E107="隔週B", MOD(INT(('26414_編集版'!$C$1-DATE(2026,4,14))/7), 2)=0, FALSE))</f>
        <v>0</v>
      </c>
    </row>
    <row r="108" ht="17.25" customHeight="1">
      <c r="A108" s="37" t="s">
        <v>154</v>
      </c>
      <c r="B108" s="7">
        <v>8.0</v>
      </c>
      <c r="C108" s="69" t="s">
        <v>274</v>
      </c>
      <c r="D108" s="7">
        <v>7.0</v>
      </c>
      <c r="E108" s="7" t="s">
        <v>222</v>
      </c>
      <c r="F108" s="8"/>
      <c r="G108" s="7" t="s">
        <v>148</v>
      </c>
      <c r="H108" s="7"/>
      <c r="I108" s="7"/>
      <c r="J108" s="7"/>
      <c r="K108" s="69"/>
      <c r="L108" s="7"/>
      <c r="M108" s="7" t="s">
        <v>223</v>
      </c>
      <c r="N108" s="7" t="s">
        <v>191</v>
      </c>
      <c r="O108" s="7" t="b">
        <f>IF(E108="隔週A", MOD(INT(('26414_編集版'!$C$1-DATE(2026,4,14))/7), 2)=1, IF(E108="隔週B", MOD(INT(('26414_編集版'!$C$1-DATE(2026,4,14))/7), 2)=0, FALSE))</f>
        <v>0</v>
      </c>
    </row>
    <row r="109" ht="17.25" customHeight="1">
      <c r="A109" s="37" t="s">
        <v>154</v>
      </c>
      <c r="B109" s="7">
        <v>18.0</v>
      </c>
      <c r="C109" s="62" t="s">
        <v>275</v>
      </c>
      <c r="D109" s="7">
        <v>0.1</v>
      </c>
      <c r="E109" s="7" t="s">
        <v>222</v>
      </c>
      <c r="F109" s="8"/>
      <c r="G109" s="13" t="s">
        <v>148</v>
      </c>
      <c r="H109" s="13"/>
      <c r="I109" s="13"/>
      <c r="J109" s="13"/>
      <c r="K109" s="63"/>
      <c r="L109" s="7"/>
      <c r="M109" s="7" t="s">
        <v>150</v>
      </c>
      <c r="N109" s="7" t="s">
        <v>191</v>
      </c>
      <c r="O109" s="7" t="b">
        <f>IF(E109="隔週A", MOD(INT(('26414_編集版'!$C$1-DATE(2026,4,14))/7), 2)=1, IF(E109="隔週B", MOD(INT(('26414_編集版'!$C$1-DATE(2026,4,14))/7), 2)=0, FALSE))</f>
        <v>0</v>
      </c>
    </row>
    <row r="110" ht="17.25" customHeight="1">
      <c r="A110" s="37" t="s">
        <v>154</v>
      </c>
      <c r="B110" s="7">
        <v>18.0</v>
      </c>
      <c r="C110" s="45" t="s">
        <v>276</v>
      </c>
      <c r="D110" s="7">
        <v>0.3</v>
      </c>
      <c r="E110" s="7" t="s">
        <v>222</v>
      </c>
      <c r="F110" s="8"/>
      <c r="G110" s="7" t="s">
        <v>148</v>
      </c>
      <c r="H110" s="7"/>
      <c r="I110" s="7"/>
      <c r="J110" s="7"/>
      <c r="K110" s="45"/>
      <c r="L110" s="7"/>
      <c r="M110" s="7" t="s">
        <v>150</v>
      </c>
      <c r="N110" s="7" t="s">
        <v>191</v>
      </c>
      <c r="O110" s="7" t="b">
        <f>IF(E110="隔週A", MOD(INT(('26414_編集版'!$C$1-DATE(2026,4,14))/7), 2)=1, IF(E110="隔週B", MOD(INT(('26414_編集版'!$C$1-DATE(2026,4,14))/7), 2)=0, FALSE))</f>
        <v>0</v>
      </c>
    </row>
    <row r="111" ht="17.25" customHeight="1">
      <c r="A111" s="37" t="s">
        <v>154</v>
      </c>
      <c r="B111" s="7">
        <v>17.0</v>
      </c>
      <c r="C111" s="45" t="s">
        <v>277</v>
      </c>
      <c r="D111" s="7">
        <v>3.0</v>
      </c>
      <c r="E111" s="7" t="s">
        <v>222</v>
      </c>
      <c r="F111" s="8"/>
      <c r="G111" s="7" t="s">
        <v>148</v>
      </c>
      <c r="H111" s="7"/>
      <c r="I111" s="7"/>
      <c r="J111" s="7"/>
      <c r="K111" s="45"/>
      <c r="L111" s="7"/>
      <c r="M111" s="7" t="s">
        <v>191</v>
      </c>
      <c r="N111" s="7" t="s">
        <v>223</v>
      </c>
      <c r="O111" s="7" t="b">
        <f>IF(E111="隔週A", MOD(INT(('26414_編集版'!$C$1-DATE(2026,4,14))/7), 2)=1, IF(E111="隔週B", MOD(INT(('26414_編集版'!$C$1-DATE(2026,4,14))/7), 2)=0, FALSE))</f>
        <v>0</v>
      </c>
    </row>
    <row r="112" ht="17.25" customHeight="1">
      <c r="A112" s="37" t="s">
        <v>154</v>
      </c>
      <c r="B112" s="7">
        <v>17.0</v>
      </c>
      <c r="C112" s="45" t="s">
        <v>278</v>
      </c>
      <c r="D112" s="7">
        <v>1.0</v>
      </c>
      <c r="E112" s="7" t="s">
        <v>222</v>
      </c>
      <c r="F112" s="8"/>
      <c r="G112" s="7" t="s">
        <v>148</v>
      </c>
      <c r="H112" s="7"/>
      <c r="I112" s="7"/>
      <c r="J112" s="7"/>
      <c r="K112" s="45"/>
      <c r="L112" s="7"/>
      <c r="M112" s="7" t="s">
        <v>191</v>
      </c>
      <c r="N112" s="7" t="s">
        <v>223</v>
      </c>
      <c r="O112" s="7" t="b">
        <f>IF(E112="隔週A", MOD(INT(('26414_編集版'!$C$1-DATE(2026,4,14))/7), 2)=1, IF(E112="隔週B", MOD(INT(('26414_編集版'!$C$1-DATE(2026,4,14))/7), 2)=0, FALSE))</f>
        <v>0</v>
      </c>
    </row>
    <row r="113" ht="17.25" customHeight="1">
      <c r="A113" s="37" t="s">
        <v>154</v>
      </c>
      <c r="B113" s="7">
        <v>17.0</v>
      </c>
      <c r="C113" s="45" t="s">
        <v>279</v>
      </c>
      <c r="D113" s="7">
        <v>1.0</v>
      </c>
      <c r="E113" s="7" t="s">
        <v>222</v>
      </c>
      <c r="F113" s="8"/>
      <c r="G113" s="7" t="s">
        <v>148</v>
      </c>
      <c r="H113" s="7"/>
      <c r="I113" s="7"/>
      <c r="J113" s="7"/>
      <c r="K113" s="45"/>
      <c r="L113" s="7"/>
      <c r="M113" s="7" t="s">
        <v>191</v>
      </c>
      <c r="N113" s="7" t="s">
        <v>223</v>
      </c>
      <c r="O113" s="7" t="b">
        <f>IF(E113="隔週A", MOD(INT(('26414_編集版'!$C$1-DATE(2026,4,14))/7), 2)=1, IF(E113="隔週B", MOD(INT(('26414_編集版'!$C$1-DATE(2026,4,14))/7), 2)=0, FALSE))</f>
        <v>0</v>
      </c>
    </row>
    <row r="114" ht="17.25" customHeight="1">
      <c r="A114" s="37" t="s">
        <v>154</v>
      </c>
      <c r="B114" s="7">
        <v>10.0</v>
      </c>
      <c r="C114" s="45" t="s">
        <v>280</v>
      </c>
      <c r="D114" s="7">
        <v>2.3</v>
      </c>
      <c r="E114" s="7" t="s">
        <v>222</v>
      </c>
      <c r="F114" s="8"/>
      <c r="G114" s="7" t="s">
        <v>148</v>
      </c>
      <c r="H114" s="7"/>
      <c r="I114" s="7"/>
      <c r="J114" s="7"/>
      <c r="K114" s="45"/>
      <c r="L114" s="7"/>
      <c r="M114" s="7" t="s">
        <v>233</v>
      </c>
      <c r="N114" s="13"/>
      <c r="O114" s="7" t="b">
        <f>IF(E114="隔週A", MOD(INT(('26414_編集版'!$C$1-DATE(2026,4,14))/7), 2)=1, IF(E114="隔週B", MOD(INT(('26414_編集版'!$C$1-DATE(2026,4,14))/7), 2)=0, FALSE))</f>
        <v>0</v>
      </c>
    </row>
    <row r="115" ht="17.25" customHeight="1">
      <c r="A115" s="37" t="s">
        <v>154</v>
      </c>
      <c r="B115" s="7">
        <v>8.0</v>
      </c>
      <c r="C115" s="65" t="s">
        <v>281</v>
      </c>
      <c r="D115" s="43">
        <v>0.4</v>
      </c>
      <c r="E115" s="7" t="s">
        <v>222</v>
      </c>
      <c r="F115" s="8"/>
      <c r="G115" s="7" t="s">
        <v>148</v>
      </c>
      <c r="H115" s="7"/>
      <c r="I115" s="7"/>
      <c r="J115" s="7"/>
      <c r="K115" s="65"/>
      <c r="L115" s="7"/>
      <c r="M115" s="7" t="s">
        <v>150</v>
      </c>
      <c r="N115" s="7" t="s">
        <v>152</v>
      </c>
      <c r="O115" s="7" t="b">
        <f>IF(E115="隔週A", MOD(INT(('26414_編集版'!$C$1-DATE(2026,4,14))/7), 2)=1, IF(E115="隔週B", MOD(INT(('26414_編集版'!$C$1-DATE(2026,4,14))/7), 2)=0, FALSE))</f>
        <v>0</v>
      </c>
    </row>
    <row r="116" ht="17.25" customHeight="1">
      <c r="A116" s="37" t="s">
        <v>154</v>
      </c>
      <c r="B116" s="7">
        <v>20.0</v>
      </c>
      <c r="C116" s="13" t="s">
        <v>282</v>
      </c>
      <c r="D116" s="13">
        <v>1.0</v>
      </c>
      <c r="E116" s="7" t="s">
        <v>222</v>
      </c>
      <c r="F116" s="8"/>
      <c r="G116" s="13" t="s">
        <v>148</v>
      </c>
      <c r="H116" s="13"/>
      <c r="I116" s="13"/>
      <c r="J116" s="13"/>
      <c r="K116" s="13"/>
      <c r="L116" s="7"/>
      <c r="M116" s="7" t="s">
        <v>233</v>
      </c>
      <c r="N116" s="13"/>
      <c r="O116" s="7" t="b">
        <f>IF(E116="隔週A", MOD(INT(('26414_編集版'!$C$1-DATE(2026,4,14))/7), 2)=1, IF(E116="隔週B", MOD(INT(('26414_編集版'!$C$1-DATE(2026,4,14))/7), 2)=0, FALSE))</f>
        <v>0</v>
      </c>
    </row>
    <row r="117" ht="17.25" customHeight="1">
      <c r="A117" s="37" t="s">
        <v>154</v>
      </c>
      <c r="B117" s="7">
        <v>19.0</v>
      </c>
      <c r="C117" s="41" t="s">
        <v>283</v>
      </c>
      <c r="D117" s="13">
        <v>3.0</v>
      </c>
      <c r="E117" s="7" t="s">
        <v>222</v>
      </c>
      <c r="F117" s="8"/>
      <c r="G117" s="41" t="s">
        <v>148</v>
      </c>
      <c r="H117" s="41"/>
      <c r="I117" s="41"/>
      <c r="J117" s="41"/>
      <c r="K117" s="41"/>
      <c r="L117" s="7"/>
      <c r="M117" s="7" t="s">
        <v>233</v>
      </c>
      <c r="N117" s="13"/>
      <c r="O117" s="7" t="b">
        <f>IF(E117="隔週A", MOD(INT(('26414_編集版'!$C$1-DATE(2026,4,14))/7), 2)=1, IF(E117="隔週B", MOD(INT(('26414_編集版'!$C$1-DATE(2026,4,14))/7), 2)=0, FALSE))</f>
        <v>0</v>
      </c>
    </row>
    <row r="118" ht="17.25" customHeight="1">
      <c r="A118" s="37" t="s">
        <v>154</v>
      </c>
      <c r="B118" s="7">
        <v>20.0</v>
      </c>
      <c r="C118" s="39" t="s">
        <v>284</v>
      </c>
      <c r="D118" s="7">
        <v>1.2</v>
      </c>
      <c r="E118" s="7" t="s">
        <v>222</v>
      </c>
      <c r="F118" s="8"/>
      <c r="G118" s="7" t="s">
        <v>148</v>
      </c>
      <c r="H118" s="7" t="s">
        <v>140</v>
      </c>
      <c r="I118" s="7" t="s">
        <v>141</v>
      </c>
      <c r="J118" s="7" t="s">
        <v>142</v>
      </c>
      <c r="K118" s="39"/>
      <c r="L118" s="7"/>
      <c r="M118" s="7" t="s">
        <v>233</v>
      </c>
      <c r="N118" s="13"/>
      <c r="O118" s="7" t="b">
        <f>IF(E118="隔週A", MOD(INT(('26414_編集版'!$C$1-DATE(2026,4,14))/7), 2)=1, IF(E118="隔週B", MOD(INT(('26414_編集版'!$C$1-DATE(2026,4,14))/7), 2)=0, FALSE))</f>
        <v>0</v>
      </c>
    </row>
    <row r="119" ht="17.25" customHeight="1">
      <c r="A119" s="37" t="s">
        <v>154</v>
      </c>
      <c r="B119" s="7">
        <v>9.0</v>
      </c>
      <c r="C119" s="45" t="s">
        <v>285</v>
      </c>
      <c r="D119" s="7">
        <v>0.3</v>
      </c>
      <c r="E119" s="7" t="s">
        <v>222</v>
      </c>
      <c r="F119" s="61" t="s">
        <v>239</v>
      </c>
      <c r="G119" s="7" t="s">
        <v>148</v>
      </c>
      <c r="H119" s="7"/>
      <c r="I119" s="7"/>
      <c r="J119" s="7"/>
      <c r="K119" s="45"/>
      <c r="L119" s="45"/>
      <c r="M119" s="7" t="s">
        <v>233</v>
      </c>
      <c r="N119" s="7"/>
      <c r="O119" s="7" t="b">
        <f>IF(E119="隔週A", MOD(INT(('26414_編集版'!$C$1-DATE(2026,4,14))/7), 2)=1, IF(E119="隔週B", MOD(INT(('26414_編集版'!$C$1-DATE(2026,4,14))/7), 2)=0, FALSE))</f>
        <v>0</v>
      </c>
    </row>
    <row r="120" ht="17.25" customHeight="1">
      <c r="A120" s="37" t="s">
        <v>154</v>
      </c>
      <c r="B120" s="7">
        <v>9.0</v>
      </c>
      <c r="C120" s="45" t="s">
        <v>286</v>
      </c>
      <c r="D120" s="7">
        <v>0.4</v>
      </c>
      <c r="E120" s="7" t="s">
        <v>222</v>
      </c>
      <c r="F120" s="8"/>
      <c r="G120" s="7" t="s">
        <v>148</v>
      </c>
      <c r="H120" s="7"/>
      <c r="I120" s="7"/>
      <c r="J120" s="7"/>
      <c r="K120" s="45"/>
      <c r="L120" s="7"/>
      <c r="M120" s="7" t="s">
        <v>233</v>
      </c>
      <c r="N120" s="7"/>
      <c r="O120" s="7" t="b">
        <f>IF(E120="隔週A", MOD(INT(('26414_編集版'!$C$1-DATE(2026,4,14))/7), 2)=1, IF(E120="隔週B", MOD(INT(('26414_編集版'!$C$1-DATE(2026,4,14))/7), 2)=0, FALSE))</f>
        <v>0</v>
      </c>
    </row>
    <row r="121" ht="17.25" customHeight="1">
      <c r="A121" s="37" t="s">
        <v>154</v>
      </c>
      <c r="B121" s="7">
        <v>9.0</v>
      </c>
      <c r="C121" s="45" t="s">
        <v>287</v>
      </c>
      <c r="D121" s="7">
        <v>0.4</v>
      </c>
      <c r="E121" s="7" t="s">
        <v>222</v>
      </c>
      <c r="F121" s="8"/>
      <c r="G121" s="7" t="s">
        <v>148</v>
      </c>
      <c r="H121" s="7"/>
      <c r="I121" s="7"/>
      <c r="J121" s="7"/>
      <c r="K121" s="45"/>
      <c r="L121" s="7"/>
      <c r="M121" s="7" t="s">
        <v>233</v>
      </c>
      <c r="N121" s="7"/>
      <c r="O121" s="7" t="b">
        <f>IF(E121="隔週A", MOD(INT(('26414_編集版'!$C$1-DATE(2026,4,14))/7), 2)=1, IF(E121="隔週B", MOD(INT(('26414_編集版'!$C$1-DATE(2026,4,14))/7), 2)=0, FALSE))</f>
        <v>0</v>
      </c>
    </row>
    <row r="122" ht="17.25" customHeight="1">
      <c r="A122" s="37" t="s">
        <v>154</v>
      </c>
      <c r="B122" s="7">
        <v>9.0</v>
      </c>
      <c r="C122" s="41" t="s">
        <v>288</v>
      </c>
      <c r="D122" s="13">
        <v>1.0</v>
      </c>
      <c r="E122" s="7" t="s">
        <v>222</v>
      </c>
      <c r="F122" s="8"/>
      <c r="G122" s="41" t="s">
        <v>148</v>
      </c>
      <c r="H122" s="41"/>
      <c r="I122" s="41"/>
      <c r="J122" s="41"/>
      <c r="K122" s="41"/>
      <c r="L122" s="7"/>
      <c r="M122" s="7" t="s">
        <v>233</v>
      </c>
      <c r="N122" s="7"/>
      <c r="O122" s="7" t="b">
        <f>IF(E122="隔週A", MOD(INT(('26414_編集版'!$C$1-DATE(2026,4,14))/7), 2)=1, IF(E122="隔週B", MOD(INT(('26414_編集版'!$C$1-DATE(2026,4,14))/7), 2)=0, FALSE))</f>
        <v>0</v>
      </c>
    </row>
    <row r="123" ht="17.25" customHeight="1">
      <c r="A123" s="37" t="s">
        <v>154</v>
      </c>
      <c r="B123" s="38">
        <v>15.0</v>
      </c>
      <c r="C123" s="45" t="s">
        <v>289</v>
      </c>
      <c r="D123" s="7">
        <v>0.2</v>
      </c>
      <c r="E123" s="7" t="s">
        <v>222</v>
      </c>
      <c r="F123" s="8"/>
      <c r="G123" s="7" t="s">
        <v>148</v>
      </c>
      <c r="H123" s="7"/>
      <c r="I123" s="7"/>
      <c r="J123" s="7"/>
      <c r="K123" s="45"/>
      <c r="L123" s="7"/>
      <c r="M123" s="7" t="s">
        <v>233</v>
      </c>
      <c r="N123" s="7"/>
      <c r="O123" s="7" t="b">
        <f>IF(E123="隔週A", MOD(INT(('26414_編集版'!$C$1-DATE(2026,4,14))/7), 2)=1, IF(E123="隔週B", MOD(INT(('26414_編集版'!$C$1-DATE(2026,4,14))/7), 2)=0, FALSE))</f>
        <v>0</v>
      </c>
    </row>
    <row r="124" ht="17.25" customHeight="1">
      <c r="A124" s="37" t="s">
        <v>154</v>
      </c>
      <c r="B124" s="7">
        <v>18.0</v>
      </c>
      <c r="C124" s="49" t="s">
        <v>290</v>
      </c>
      <c r="D124" s="7">
        <v>1.7</v>
      </c>
      <c r="E124" s="7" t="s">
        <v>222</v>
      </c>
      <c r="F124" s="8"/>
      <c r="G124" s="7" t="s">
        <v>148</v>
      </c>
      <c r="H124" s="7"/>
      <c r="I124" s="7"/>
      <c r="J124" s="7"/>
      <c r="K124" s="49"/>
      <c r="L124" s="7"/>
      <c r="M124" s="7" t="s">
        <v>233</v>
      </c>
      <c r="N124" s="13"/>
      <c r="O124" s="7" t="b">
        <f>IF(E124="隔週A", MOD(INT(('26414_編集版'!$C$1-DATE(2026,4,14))/7), 2)=1, IF(E124="隔週B", MOD(INT(('26414_編集版'!$C$1-DATE(2026,4,14))/7), 2)=0, FALSE))</f>
        <v>0</v>
      </c>
    </row>
    <row r="125" ht="17.25" customHeight="1">
      <c r="A125" s="37" t="s">
        <v>154</v>
      </c>
      <c r="B125" s="7">
        <v>8.0</v>
      </c>
      <c r="C125" s="13" t="s">
        <v>247</v>
      </c>
      <c r="D125" s="13">
        <v>0.1</v>
      </c>
      <c r="E125" s="7" t="s">
        <v>222</v>
      </c>
      <c r="F125" s="8"/>
      <c r="G125" s="7" t="s">
        <v>148</v>
      </c>
      <c r="H125" s="7"/>
      <c r="I125" s="7"/>
      <c r="J125" s="7"/>
      <c r="K125" s="13"/>
      <c r="L125" s="7"/>
      <c r="M125" s="7" t="s">
        <v>233</v>
      </c>
      <c r="N125" s="67"/>
      <c r="O125" s="7" t="b">
        <f>IF(E125="隔週A", MOD(INT(('26414_編集版'!$C$1-DATE(2026,4,14))/7), 2)=1, IF(E125="隔週B", MOD(INT(('26414_編集版'!$C$1-DATE(2026,4,14))/7), 2)=0, FALSE))</f>
        <v>0</v>
      </c>
    </row>
    <row r="126" ht="17.25" customHeight="1">
      <c r="A126" s="37" t="s">
        <v>154</v>
      </c>
      <c r="B126" s="7">
        <v>21.0</v>
      </c>
      <c r="C126" s="13" t="s">
        <v>248</v>
      </c>
      <c r="D126" s="44">
        <v>0.1</v>
      </c>
      <c r="E126" s="7" t="s">
        <v>222</v>
      </c>
      <c r="F126" s="8"/>
      <c r="G126" s="13" t="s">
        <v>148</v>
      </c>
      <c r="H126" s="13"/>
      <c r="I126" s="13"/>
      <c r="J126" s="13"/>
      <c r="K126" s="13"/>
      <c r="L126" s="7"/>
      <c r="M126" s="7" t="s">
        <v>233</v>
      </c>
      <c r="N126" s="44"/>
      <c r="O126" s="7" t="b">
        <f>IF(E126="隔週A", MOD(INT(('26414_編集版'!$C$1-DATE(2026,4,14))/7), 2)=1, IF(E126="隔週B", MOD(INT(('26414_編集版'!$C$1-DATE(2026,4,14))/7), 2)=0, FALSE))</f>
        <v>0</v>
      </c>
    </row>
    <row r="127" ht="17.25" customHeight="1">
      <c r="A127" s="37" t="s">
        <v>154</v>
      </c>
      <c r="B127" s="7">
        <v>21.0</v>
      </c>
      <c r="C127" s="41" t="s">
        <v>249</v>
      </c>
      <c r="D127" s="41">
        <v>0.1</v>
      </c>
      <c r="E127" s="7" t="s">
        <v>222</v>
      </c>
      <c r="F127" s="8"/>
      <c r="G127" s="41" t="s">
        <v>180</v>
      </c>
      <c r="H127" s="41"/>
      <c r="I127" s="41"/>
      <c r="J127" s="41"/>
      <c r="K127" s="41"/>
      <c r="L127" s="7"/>
      <c r="M127" s="7" t="s">
        <v>233</v>
      </c>
      <c r="N127" s="41"/>
      <c r="O127" s="7" t="b">
        <f>IF(E127="隔週A", MOD(INT(('26414_編集版'!$C$1-DATE(2026,4,14))/7), 2)=1, IF(E127="隔週B", MOD(INT(('26414_編集版'!$C$1-DATE(2026,4,14))/7), 2)=0, FALSE))</f>
        <v>0</v>
      </c>
    </row>
    <row r="128" ht="17.25" customHeight="1">
      <c r="A128" s="37" t="s">
        <v>154</v>
      </c>
      <c r="B128" s="7">
        <v>13.0</v>
      </c>
      <c r="C128" s="49" t="s">
        <v>291</v>
      </c>
      <c r="D128" s="7">
        <v>0.4</v>
      </c>
      <c r="E128" s="7" t="s">
        <v>222</v>
      </c>
      <c r="F128" s="8"/>
      <c r="G128" s="7" t="s">
        <v>180</v>
      </c>
      <c r="H128" s="7"/>
      <c r="I128" s="7"/>
      <c r="J128" s="7"/>
      <c r="K128" s="49"/>
      <c r="L128" s="7"/>
      <c r="M128" s="7" t="s">
        <v>158</v>
      </c>
      <c r="N128" s="7" t="s">
        <v>150</v>
      </c>
      <c r="O128" s="7" t="b">
        <f>IF(E128="隔週A", MOD(INT(('26414_編集版'!$C$1-DATE(2026,4,14))/7), 2)=1, IF(E128="隔週B", MOD(INT(('26414_編集版'!$C$1-DATE(2026,4,14))/7), 2)=0, FALSE))</f>
        <v>0</v>
      </c>
    </row>
    <row r="129" ht="17.25" customHeight="1">
      <c r="A129" s="37" t="s">
        <v>154</v>
      </c>
      <c r="B129" s="7">
        <v>12.0</v>
      </c>
      <c r="C129" s="13" t="s">
        <v>292</v>
      </c>
      <c r="D129" s="7">
        <v>0.7</v>
      </c>
      <c r="E129" s="7" t="s">
        <v>222</v>
      </c>
      <c r="F129" s="8"/>
      <c r="G129" s="7" t="s">
        <v>148</v>
      </c>
      <c r="H129" s="7"/>
      <c r="I129" s="7"/>
      <c r="J129" s="7"/>
      <c r="K129" s="13"/>
      <c r="L129" s="7"/>
      <c r="M129" s="7" t="s">
        <v>233</v>
      </c>
      <c r="N129" s="7"/>
      <c r="O129" s="7" t="b">
        <f>IF(E129="隔週A", MOD(INT(('26414_編集版'!$C$1-DATE(2026,4,14))/7), 2)=1, IF(E129="隔週B", MOD(INT(('26414_編集版'!$C$1-DATE(2026,4,14))/7), 2)=0, FALSE))</f>
        <v>0</v>
      </c>
    </row>
    <row r="130" ht="17.25" customHeight="1">
      <c r="A130" s="37" t="s">
        <v>154</v>
      </c>
      <c r="B130" s="7">
        <v>12.0</v>
      </c>
      <c r="C130" s="45" t="s">
        <v>293</v>
      </c>
      <c r="D130" s="7">
        <v>0.7</v>
      </c>
      <c r="E130" s="7" t="s">
        <v>222</v>
      </c>
      <c r="F130" s="8"/>
      <c r="G130" s="7" t="s">
        <v>148</v>
      </c>
      <c r="H130" s="7"/>
      <c r="I130" s="7"/>
      <c r="J130" s="7"/>
      <c r="K130" s="45"/>
      <c r="L130" s="7"/>
      <c r="M130" s="7" t="s">
        <v>233</v>
      </c>
      <c r="N130" s="7"/>
      <c r="O130" s="7" t="b">
        <f>IF(E130="隔週A", MOD(INT(('26414_編集版'!$C$1-DATE(2026,4,14))/7), 2)=1, IF(E130="隔週B", MOD(INT(('26414_編集版'!$C$1-DATE(2026,4,14))/7), 2)=0, FALSE))</f>
        <v>0</v>
      </c>
    </row>
    <row r="131" ht="17.25" customHeight="1">
      <c r="A131" s="37" t="s">
        <v>154</v>
      </c>
      <c r="B131" s="7">
        <v>17.0</v>
      </c>
      <c r="C131" s="54" t="s">
        <v>294</v>
      </c>
      <c r="D131" s="39">
        <v>3.1</v>
      </c>
      <c r="E131" s="7" t="s">
        <v>222</v>
      </c>
      <c r="F131" s="40"/>
      <c r="G131" s="41" t="s">
        <v>148</v>
      </c>
      <c r="H131" s="41"/>
      <c r="I131" s="41"/>
      <c r="J131" s="41"/>
      <c r="K131" s="54"/>
      <c r="L131" s="13"/>
      <c r="M131" s="13" t="s">
        <v>158</v>
      </c>
      <c r="N131" s="13" t="s">
        <v>150</v>
      </c>
      <c r="O131" s="7" t="b">
        <f>IF(E131="隔週A", MOD(INT(('26414_編集版'!$C$1-DATE(2026,4,14))/7), 2)=1, IF(E131="隔週B", MOD(INT(('26414_編集版'!$C$1-DATE(2026,4,14))/7), 2)=0, FALSE))</f>
        <v>0</v>
      </c>
    </row>
    <row r="132" ht="17.25" customHeight="1">
      <c r="A132" s="37" t="s">
        <v>154</v>
      </c>
      <c r="B132" s="7">
        <v>9.0</v>
      </c>
      <c r="C132" s="7" t="s">
        <v>295</v>
      </c>
      <c r="D132" s="7">
        <v>1.1</v>
      </c>
      <c r="E132" s="7" t="s">
        <v>222</v>
      </c>
      <c r="F132" s="8"/>
      <c r="G132" s="13" t="s">
        <v>148</v>
      </c>
      <c r="H132" s="13"/>
      <c r="I132" s="13"/>
      <c r="J132" s="13"/>
      <c r="K132" s="7"/>
      <c r="L132" s="7"/>
      <c r="M132" s="7" t="s">
        <v>233</v>
      </c>
      <c r="N132" s="7"/>
      <c r="O132" s="7" t="b">
        <f>IF(E132="隔週A", MOD(INT(('26414_編集版'!$C$1-DATE(2026,4,14))/7), 2)=1, IF(E132="隔週B", MOD(INT(('26414_編集版'!$C$1-DATE(2026,4,14))/7), 2)=0, FALSE))</f>
        <v>0</v>
      </c>
    </row>
    <row r="133" ht="17.25" customHeight="1">
      <c r="A133" s="37" t="s">
        <v>154</v>
      </c>
      <c r="B133" s="7">
        <v>10.0</v>
      </c>
      <c r="C133" s="39" t="s">
        <v>296</v>
      </c>
      <c r="D133" s="39">
        <v>0.6</v>
      </c>
      <c r="E133" s="7" t="s">
        <v>222</v>
      </c>
      <c r="F133" s="8"/>
      <c r="G133" s="13" t="s">
        <v>148</v>
      </c>
      <c r="H133" s="13"/>
      <c r="I133" s="13"/>
      <c r="J133" s="13"/>
      <c r="K133" s="39"/>
      <c r="L133" s="7"/>
      <c r="M133" s="7" t="s">
        <v>233</v>
      </c>
      <c r="N133" s="13"/>
      <c r="O133" s="7" t="b">
        <f>IF(E133="隔週A", MOD(INT(('26414_編集版'!$C$1-DATE(2026,4,14))/7), 2)=1, IF(E133="隔週B", MOD(INT(('26414_編集版'!$C$1-DATE(2026,4,14))/7), 2)=0, FALSE))</f>
        <v>0</v>
      </c>
    </row>
    <row r="134" ht="17.25" customHeight="1">
      <c r="A134" s="37" t="s">
        <v>154</v>
      </c>
      <c r="B134" s="38">
        <v>15.0</v>
      </c>
      <c r="C134" s="49" t="s">
        <v>297</v>
      </c>
      <c r="D134" s="7">
        <v>0.3</v>
      </c>
      <c r="E134" s="7" t="s">
        <v>222</v>
      </c>
      <c r="F134" s="8"/>
      <c r="G134" s="7" t="s">
        <v>148</v>
      </c>
      <c r="H134" s="7"/>
      <c r="I134" s="7"/>
      <c r="J134" s="7"/>
      <c r="K134" s="49"/>
      <c r="L134" s="7"/>
      <c r="M134" s="7" t="s">
        <v>233</v>
      </c>
      <c r="N134" s="13"/>
      <c r="O134" s="7" t="b">
        <f>IF(E134="隔週A", MOD(INT(('26414_編集版'!$C$1-DATE(2026,4,14))/7), 2)=1, IF(E134="隔週B", MOD(INT(('26414_編集版'!$C$1-DATE(2026,4,14))/7), 2)=0, FALSE))</f>
        <v>0</v>
      </c>
    </row>
    <row r="135" ht="17.25" customHeight="1">
      <c r="A135" s="37" t="s">
        <v>154</v>
      </c>
      <c r="B135" s="7">
        <v>11.0</v>
      </c>
      <c r="C135" s="45" t="s">
        <v>298</v>
      </c>
      <c r="D135" s="7">
        <v>1.1</v>
      </c>
      <c r="E135" s="7" t="s">
        <v>222</v>
      </c>
      <c r="F135" s="8"/>
      <c r="G135" s="46" t="s">
        <v>148</v>
      </c>
      <c r="H135" s="46"/>
      <c r="I135" s="46"/>
      <c r="J135" s="46"/>
      <c r="K135" s="45"/>
      <c r="L135" s="7"/>
      <c r="M135" s="7" t="s">
        <v>233</v>
      </c>
      <c r="N135" s="7"/>
      <c r="O135" s="7" t="b">
        <f>IF(E135="隔週A", MOD(INT(('26414_編集版'!$C$1-DATE(2026,4,14))/7), 2)=1, IF(E135="隔週B", MOD(INT(('26414_編集版'!$C$1-DATE(2026,4,14))/7), 2)=0, FALSE))</f>
        <v>0</v>
      </c>
    </row>
    <row r="136" ht="17.25" customHeight="1">
      <c r="A136" s="37" t="s">
        <v>154</v>
      </c>
      <c r="B136" s="7">
        <v>9.0</v>
      </c>
      <c r="C136" s="70" t="s">
        <v>299</v>
      </c>
      <c r="D136" s="41">
        <v>0.6</v>
      </c>
      <c r="E136" s="7" t="s">
        <v>222</v>
      </c>
      <c r="F136" s="59"/>
      <c r="G136" s="41" t="s">
        <v>148</v>
      </c>
      <c r="H136" s="41"/>
      <c r="I136" s="41"/>
      <c r="J136" s="41"/>
      <c r="K136" s="70"/>
      <c r="L136" s="41"/>
      <c r="M136" s="41" t="s">
        <v>233</v>
      </c>
      <c r="N136" s="41"/>
      <c r="O136" s="7" t="b">
        <f>IF(E136="隔週A", MOD(INT(('26414_編集版'!$C$1-DATE(2026,4,14))/7), 2)=1, IF(E136="隔週B", MOD(INT(('26414_編集版'!$C$1-DATE(2026,4,14))/7), 2)=0, FALSE))</f>
        <v>0</v>
      </c>
    </row>
    <row r="137" ht="17.25" customHeight="1">
      <c r="A137" s="37" t="s">
        <v>154</v>
      </c>
      <c r="B137" s="7">
        <v>12.0</v>
      </c>
      <c r="C137" s="49" t="s">
        <v>300</v>
      </c>
      <c r="D137" s="7">
        <v>0.2</v>
      </c>
      <c r="E137" s="7" t="s">
        <v>222</v>
      </c>
      <c r="F137" s="12" t="s">
        <v>188</v>
      </c>
      <c r="G137" s="7" t="s">
        <v>148</v>
      </c>
      <c r="H137" s="7"/>
      <c r="I137" s="7"/>
      <c r="J137" s="7"/>
      <c r="K137" s="49"/>
      <c r="L137" s="56"/>
      <c r="M137" s="7" t="s">
        <v>233</v>
      </c>
      <c r="N137" s="7"/>
      <c r="O137" s="7" t="b">
        <f>IF(E137="隔週A", MOD(INT(('26414_編集版'!$C$1-DATE(2026,4,14))/7), 2)=1, IF(E137="隔週B", MOD(INT(('26414_編集版'!$C$1-DATE(2026,4,14))/7), 2)=0, FALSE))</f>
        <v>0</v>
      </c>
    </row>
    <row r="138" ht="17.25" customHeight="1">
      <c r="A138" s="37" t="s">
        <v>154</v>
      </c>
      <c r="B138" s="7">
        <v>12.0</v>
      </c>
      <c r="C138" s="49" t="s">
        <v>301</v>
      </c>
      <c r="D138" s="7">
        <v>0.3</v>
      </c>
      <c r="E138" s="7" t="s">
        <v>222</v>
      </c>
      <c r="F138" s="8"/>
      <c r="G138" s="7" t="s">
        <v>148</v>
      </c>
      <c r="H138" s="7"/>
      <c r="I138" s="7"/>
      <c r="J138" s="7"/>
      <c r="K138" s="49"/>
      <c r="L138" s="7"/>
      <c r="M138" s="7" t="s">
        <v>233</v>
      </c>
      <c r="N138" s="7"/>
      <c r="O138" s="7" t="b">
        <f>IF(E138="隔週A", MOD(INT(('26414_編集版'!$C$1-DATE(2026,4,14))/7), 2)=1, IF(E138="隔週B", MOD(INT(('26414_編集版'!$C$1-DATE(2026,4,14))/7), 2)=0, FALSE))</f>
        <v>0</v>
      </c>
    </row>
    <row r="139" ht="17.25" customHeight="1">
      <c r="A139" s="37" t="s">
        <v>154</v>
      </c>
      <c r="B139" s="7">
        <v>12.0</v>
      </c>
      <c r="C139" s="49" t="s">
        <v>302</v>
      </c>
      <c r="D139" s="7">
        <v>2.5</v>
      </c>
      <c r="E139" s="7" t="s">
        <v>222</v>
      </c>
      <c r="F139" s="8"/>
      <c r="G139" s="7" t="s">
        <v>148</v>
      </c>
      <c r="H139" s="7"/>
      <c r="I139" s="7"/>
      <c r="J139" s="7"/>
      <c r="K139" s="49"/>
      <c r="L139" s="7"/>
      <c r="M139" s="7" t="s">
        <v>233</v>
      </c>
      <c r="N139" s="7"/>
      <c r="O139" s="7" t="b">
        <f>IF(E139="隔週A", MOD(INT(('26414_編集版'!$C$1-DATE(2026,4,14))/7), 2)=1, IF(E139="隔週B", MOD(INT(('26414_編集版'!$C$1-DATE(2026,4,14))/7), 2)=0, FALSE))</f>
        <v>0</v>
      </c>
    </row>
    <row r="140" ht="17.25" customHeight="1">
      <c r="A140" s="37" t="s">
        <v>154</v>
      </c>
      <c r="B140" s="7">
        <v>12.0</v>
      </c>
      <c r="C140" s="49" t="s">
        <v>303</v>
      </c>
      <c r="D140" s="7">
        <v>0.3</v>
      </c>
      <c r="E140" s="7" t="s">
        <v>222</v>
      </c>
      <c r="F140" s="8"/>
      <c r="G140" s="7" t="s">
        <v>148</v>
      </c>
      <c r="H140" s="7"/>
      <c r="I140" s="7"/>
      <c r="J140" s="7"/>
      <c r="K140" s="49"/>
      <c r="L140" s="7"/>
      <c r="M140" s="7" t="s">
        <v>233</v>
      </c>
      <c r="N140" s="7"/>
      <c r="O140" s="7" t="b">
        <f>IF(E140="隔週A", MOD(INT(('26414_編集版'!$C$1-DATE(2026,4,14))/7), 2)=1, IF(E140="隔週B", MOD(INT(('26414_編集版'!$C$1-DATE(2026,4,14))/7), 2)=0, FALSE))</f>
        <v>0</v>
      </c>
    </row>
    <row r="141" ht="17.25" customHeight="1">
      <c r="A141" s="37" t="s">
        <v>154</v>
      </c>
      <c r="B141" s="7">
        <v>10.0</v>
      </c>
      <c r="C141" s="39" t="s">
        <v>304</v>
      </c>
      <c r="D141" s="39">
        <v>1.0</v>
      </c>
      <c r="E141" s="7" t="s">
        <v>222</v>
      </c>
      <c r="F141" s="8"/>
      <c r="G141" s="13" t="s">
        <v>148</v>
      </c>
      <c r="H141" s="13"/>
      <c r="I141" s="13"/>
      <c r="J141" s="13"/>
      <c r="K141" s="39"/>
      <c r="L141" s="7"/>
      <c r="M141" s="7" t="s">
        <v>233</v>
      </c>
      <c r="N141" s="7"/>
      <c r="O141" s="7" t="b">
        <f>IF(E141="隔週A", MOD(INT(('26414_編集版'!$C$1-DATE(2026,4,14))/7), 2)=1, IF(E141="隔週B", MOD(INT(('26414_編集版'!$C$1-DATE(2026,4,14))/7), 2)=0, FALSE))</f>
        <v>0</v>
      </c>
    </row>
    <row r="142" ht="17.25" customHeight="1">
      <c r="A142" s="37" t="s">
        <v>154</v>
      </c>
      <c r="B142" s="7">
        <v>19.0</v>
      </c>
      <c r="C142" s="13" t="s">
        <v>305</v>
      </c>
      <c r="D142" s="7">
        <v>1.2</v>
      </c>
      <c r="E142" s="7" t="s">
        <v>222</v>
      </c>
      <c r="F142" s="8"/>
      <c r="G142" s="13" t="s">
        <v>148</v>
      </c>
      <c r="H142" s="13"/>
      <c r="I142" s="13"/>
      <c r="J142" s="13"/>
      <c r="K142" s="13"/>
      <c r="L142" s="7"/>
      <c r="M142" s="7" t="s">
        <v>233</v>
      </c>
      <c r="N142" s="52"/>
      <c r="O142" s="7" t="b">
        <f>IF(E142="隔週A", MOD(INT(('26414_編集版'!$C$1-DATE(2026,4,14))/7), 2)=1, IF(E142="隔週B", MOD(INT(('26414_編集版'!$C$1-DATE(2026,4,14))/7), 2)=0, FALSE))</f>
        <v>0</v>
      </c>
    </row>
    <row r="143" ht="17.25" customHeight="1">
      <c r="A143" s="37" t="s">
        <v>154</v>
      </c>
      <c r="B143" s="7">
        <v>20.0</v>
      </c>
      <c r="C143" s="45" t="s">
        <v>306</v>
      </c>
      <c r="D143" s="7">
        <v>1.0</v>
      </c>
      <c r="E143" s="7" t="s">
        <v>222</v>
      </c>
      <c r="F143" s="8"/>
      <c r="G143" s="7" t="s">
        <v>148</v>
      </c>
      <c r="H143" s="7"/>
      <c r="I143" s="7"/>
      <c r="J143" s="7"/>
      <c r="K143" s="45"/>
      <c r="L143" s="7"/>
      <c r="M143" s="7" t="s">
        <v>233</v>
      </c>
      <c r="N143" s="13"/>
      <c r="O143" s="7" t="b">
        <f>IF(E143="隔週A", MOD(INT(('26414_編集版'!$C$1-DATE(2026,4,14))/7), 2)=1, IF(E143="隔週B", MOD(INT(('26414_編集版'!$C$1-DATE(2026,4,14))/7), 2)=0, FALSE))</f>
        <v>0</v>
      </c>
    </row>
    <row r="144" ht="17.25" customHeight="1">
      <c r="A144" s="37" t="s">
        <v>154</v>
      </c>
      <c r="B144" s="7">
        <v>20.0</v>
      </c>
      <c r="C144" s="45" t="s">
        <v>307</v>
      </c>
      <c r="D144" s="7">
        <v>1.0</v>
      </c>
      <c r="E144" s="7" t="s">
        <v>222</v>
      </c>
      <c r="F144" s="8"/>
      <c r="G144" s="7" t="s">
        <v>148</v>
      </c>
      <c r="H144" s="7"/>
      <c r="I144" s="7"/>
      <c r="J144" s="7"/>
      <c r="K144" s="45"/>
      <c r="L144" s="7"/>
      <c r="M144" s="7" t="s">
        <v>233</v>
      </c>
      <c r="N144" s="13"/>
      <c r="O144" s="7" t="b">
        <f>IF(E144="隔週A", MOD(INT(('26414_編集版'!$C$1-DATE(2026,4,14))/7), 2)=1, IF(E144="隔週B", MOD(INT(('26414_編集版'!$C$1-DATE(2026,4,14))/7), 2)=0, FALSE))</f>
        <v>0</v>
      </c>
    </row>
    <row r="145" ht="17.25" customHeight="1">
      <c r="A145" s="37" t="s">
        <v>154</v>
      </c>
      <c r="B145" s="7">
        <v>20.0</v>
      </c>
      <c r="C145" s="45" t="s">
        <v>308</v>
      </c>
      <c r="D145" s="7">
        <v>0.7</v>
      </c>
      <c r="E145" s="7" t="s">
        <v>222</v>
      </c>
      <c r="F145" s="8"/>
      <c r="G145" s="7" t="s">
        <v>148</v>
      </c>
      <c r="H145" s="7"/>
      <c r="I145" s="7"/>
      <c r="J145" s="7"/>
      <c r="K145" s="45"/>
      <c r="L145" s="7"/>
      <c r="M145" s="7" t="s">
        <v>233</v>
      </c>
      <c r="N145" s="13"/>
      <c r="O145" s="7" t="b">
        <f>IF(E145="隔週A", MOD(INT(('26414_編集版'!$C$1-DATE(2026,4,14))/7), 2)=1, IF(E145="隔週B", MOD(INT(('26414_編集版'!$C$1-DATE(2026,4,14))/7), 2)=0, FALSE))</f>
        <v>0</v>
      </c>
    </row>
    <row r="146" ht="17.25" customHeight="1">
      <c r="A146" s="37" t="s">
        <v>154</v>
      </c>
      <c r="B146" s="38">
        <v>15.0</v>
      </c>
      <c r="C146" s="13" t="s">
        <v>309</v>
      </c>
      <c r="D146" s="7">
        <v>1.8</v>
      </c>
      <c r="E146" s="7" t="s">
        <v>222</v>
      </c>
      <c r="F146" s="8"/>
      <c r="G146" s="7" t="s">
        <v>148</v>
      </c>
      <c r="H146" s="7"/>
      <c r="I146" s="7"/>
      <c r="J146" s="7"/>
      <c r="K146" s="13"/>
      <c r="L146" s="7"/>
      <c r="M146" s="7" t="s">
        <v>233</v>
      </c>
      <c r="N146" s="7"/>
      <c r="O146" s="7" t="b">
        <f>IF(E146="隔週A", MOD(INT(('26414_編集版'!$C$1-DATE(2026,4,14))/7), 2)=1, IF(E146="隔週B", MOD(INT(('26414_編集版'!$C$1-DATE(2026,4,14))/7), 2)=0, FALSE))</f>
        <v>0</v>
      </c>
    </row>
    <row r="147" ht="17.25" customHeight="1">
      <c r="A147" s="37" t="s">
        <v>154</v>
      </c>
      <c r="B147" s="7">
        <v>20.0</v>
      </c>
      <c r="C147" s="39" t="s">
        <v>65</v>
      </c>
      <c r="D147" s="7">
        <v>0.1</v>
      </c>
      <c r="E147" s="7" t="s">
        <v>222</v>
      </c>
      <c r="F147" s="8"/>
      <c r="G147" s="7" t="s">
        <v>148</v>
      </c>
      <c r="H147" s="7"/>
      <c r="I147" s="7"/>
      <c r="J147" s="7"/>
      <c r="K147" s="39"/>
      <c r="L147" s="7"/>
      <c r="M147" s="7" t="s">
        <v>191</v>
      </c>
      <c r="N147" s="7" t="s">
        <v>160</v>
      </c>
      <c r="O147" s="7" t="b">
        <f>IF(E147="隔週A", MOD(INT(('26414_編集版'!$C$1-DATE(2026,4,14))/7), 2)=1, IF(E147="隔週B", MOD(INT(('26414_編集版'!$C$1-DATE(2026,4,14))/7), 2)=0, FALSE))</f>
        <v>0</v>
      </c>
    </row>
    <row r="148" ht="17.25" customHeight="1">
      <c r="A148" s="37" t="s">
        <v>154</v>
      </c>
      <c r="B148" s="7">
        <v>21.0</v>
      </c>
      <c r="C148" s="45" t="s">
        <v>310</v>
      </c>
      <c r="D148" s="7">
        <v>0.6</v>
      </c>
      <c r="E148" s="7" t="s">
        <v>222</v>
      </c>
      <c r="F148" s="8"/>
      <c r="G148" s="7" t="s">
        <v>148</v>
      </c>
      <c r="H148" s="7"/>
      <c r="I148" s="7"/>
      <c r="J148" s="7"/>
      <c r="K148" s="45"/>
      <c r="L148" s="7"/>
      <c r="M148" s="7" t="s">
        <v>233</v>
      </c>
      <c r="N148" s="7"/>
      <c r="O148" s="7" t="b">
        <f>IF(E148="隔週A", MOD(INT(('26414_編集版'!$C$1-DATE(2026,4,14))/7), 2)=1, IF(E148="隔週B", MOD(INT(('26414_編集版'!$C$1-DATE(2026,4,14))/7), 2)=0, FALSE))</f>
        <v>0</v>
      </c>
    </row>
    <row r="149" ht="17.25" customHeight="1">
      <c r="A149" s="37" t="s">
        <v>154</v>
      </c>
      <c r="B149" s="7">
        <v>16.0</v>
      </c>
      <c r="C149" s="7" t="s">
        <v>311</v>
      </c>
      <c r="D149" s="7">
        <v>1.0</v>
      </c>
      <c r="E149" s="7" t="s">
        <v>222</v>
      </c>
      <c r="F149" s="8"/>
      <c r="G149" s="7" t="s">
        <v>148</v>
      </c>
      <c r="H149" s="7"/>
      <c r="I149" s="7"/>
      <c r="J149" s="7"/>
      <c r="K149" s="7"/>
      <c r="L149" s="7"/>
      <c r="M149" s="7" t="s">
        <v>233</v>
      </c>
      <c r="N149" s="7"/>
      <c r="O149" s="7" t="b">
        <f>IF(E149="隔週A", MOD(INT(('26414_編集版'!$C$1-DATE(2026,4,14))/7), 2)=1, IF(E149="隔週B", MOD(INT(('26414_編集版'!$C$1-DATE(2026,4,14))/7), 2)=0, FALSE))</f>
        <v>0</v>
      </c>
    </row>
    <row r="150" ht="17.25" customHeight="1">
      <c r="A150" s="37" t="s">
        <v>154</v>
      </c>
      <c r="B150" s="7">
        <v>21.0</v>
      </c>
      <c r="C150" s="45" t="s">
        <v>312</v>
      </c>
      <c r="D150" s="7">
        <v>1.5</v>
      </c>
      <c r="E150" s="7" t="s">
        <v>222</v>
      </c>
      <c r="F150" s="8"/>
      <c r="G150" s="7" t="s">
        <v>148</v>
      </c>
      <c r="H150" s="7"/>
      <c r="I150" s="7"/>
      <c r="J150" s="7"/>
      <c r="K150" s="45"/>
      <c r="L150" s="7"/>
      <c r="M150" s="7" t="s">
        <v>233</v>
      </c>
      <c r="N150" s="7"/>
      <c r="O150" s="7" t="b">
        <f>IF(E150="隔週A", MOD(INT(('26414_編集版'!$C$1-DATE(2026,4,14))/7), 2)=1, IF(E150="隔週B", MOD(INT(('26414_編集版'!$C$1-DATE(2026,4,14))/7), 2)=0, FALSE))</f>
        <v>0</v>
      </c>
    </row>
    <row r="151" ht="17.25" customHeight="1">
      <c r="A151" s="37" t="s">
        <v>154</v>
      </c>
      <c r="B151" s="7">
        <v>21.0</v>
      </c>
      <c r="C151" s="45" t="s">
        <v>313</v>
      </c>
      <c r="D151" s="7">
        <v>0.6</v>
      </c>
      <c r="E151" s="7" t="s">
        <v>222</v>
      </c>
      <c r="F151" s="8"/>
      <c r="G151" s="7" t="s">
        <v>148</v>
      </c>
      <c r="H151" s="7"/>
      <c r="I151" s="7"/>
      <c r="J151" s="7"/>
      <c r="K151" s="45"/>
      <c r="L151" s="7"/>
      <c r="M151" s="7" t="s">
        <v>233</v>
      </c>
      <c r="N151" s="7"/>
      <c r="O151" s="7" t="b">
        <f>IF(E151="隔週A", MOD(INT(('26414_編集版'!$C$1-DATE(2026,4,14))/7), 2)=1, IF(E151="隔週B", MOD(INT(('26414_編集版'!$C$1-DATE(2026,4,14))/7), 2)=0, FALSE))</f>
        <v>0</v>
      </c>
    </row>
    <row r="152" ht="17.25" customHeight="1">
      <c r="A152" s="37" t="s">
        <v>154</v>
      </c>
      <c r="B152" s="7">
        <v>16.0</v>
      </c>
      <c r="C152" s="71" t="s">
        <v>314</v>
      </c>
      <c r="D152" s="13">
        <v>2.8</v>
      </c>
      <c r="E152" s="7" t="s">
        <v>222</v>
      </c>
      <c r="F152" s="8"/>
      <c r="G152" s="13" t="s">
        <v>148</v>
      </c>
      <c r="H152" s="13"/>
      <c r="I152" s="13"/>
      <c r="J152" s="13"/>
      <c r="K152" s="71"/>
      <c r="L152" s="7"/>
      <c r="M152" s="7" t="s">
        <v>233</v>
      </c>
      <c r="N152" s="7"/>
      <c r="O152" s="7" t="b">
        <f>IF(E152="隔週A", MOD(INT(('26414_編集版'!$C$1-DATE(2026,4,14))/7), 2)=1, IF(E152="隔週B", MOD(INT(('26414_編集版'!$C$1-DATE(2026,4,14))/7), 2)=0, FALSE))</f>
        <v>0</v>
      </c>
    </row>
    <row r="153" ht="17.25" customHeight="1">
      <c r="A153" s="37" t="s">
        <v>154</v>
      </c>
      <c r="B153" s="7">
        <v>19.0</v>
      </c>
      <c r="C153" s="13" t="s">
        <v>315</v>
      </c>
      <c r="D153" s="13">
        <v>0.3</v>
      </c>
      <c r="E153" s="7" t="s">
        <v>222</v>
      </c>
      <c r="F153" s="12" t="s">
        <v>188</v>
      </c>
      <c r="G153" s="13" t="s">
        <v>148</v>
      </c>
      <c r="H153" s="13"/>
      <c r="I153" s="13"/>
      <c r="J153" s="13"/>
      <c r="K153" s="13"/>
      <c r="L153" s="56"/>
      <c r="M153" s="7" t="s">
        <v>233</v>
      </c>
      <c r="N153" s="13"/>
      <c r="O153" s="7" t="b">
        <f>IF(E153="隔週A", MOD(INT(('26414_編集版'!$C$1-DATE(2026,4,14))/7), 2)=1, IF(E153="隔週B", MOD(INT(('26414_編集版'!$C$1-DATE(2026,4,14))/7), 2)=0, FALSE))</f>
        <v>0</v>
      </c>
    </row>
    <row r="154" ht="17.25" customHeight="1">
      <c r="A154" s="37" t="s">
        <v>154</v>
      </c>
      <c r="B154" s="7">
        <v>19.0</v>
      </c>
      <c r="C154" s="13" t="s">
        <v>316</v>
      </c>
      <c r="D154" s="13">
        <v>2.0</v>
      </c>
      <c r="E154" s="7" t="s">
        <v>222</v>
      </c>
      <c r="F154" s="8"/>
      <c r="G154" s="13" t="s">
        <v>148</v>
      </c>
      <c r="H154" s="13"/>
      <c r="I154" s="13"/>
      <c r="J154" s="13"/>
      <c r="K154" s="13"/>
      <c r="L154" s="7"/>
      <c r="M154" s="7" t="s">
        <v>233</v>
      </c>
      <c r="N154" s="7"/>
      <c r="O154" s="7" t="b">
        <f>IF(E154="隔週A", MOD(INT(('26414_編集版'!$C$1-DATE(2026,4,14))/7), 2)=1, IF(E154="隔週B", MOD(INT(('26414_編集版'!$C$1-DATE(2026,4,14))/7), 2)=0, FALSE))</f>
        <v>0</v>
      </c>
    </row>
    <row r="155" ht="17.25" customHeight="1">
      <c r="A155" s="37" t="s">
        <v>156</v>
      </c>
      <c r="B155" s="7">
        <v>13.0</v>
      </c>
      <c r="C155" s="50" t="s">
        <v>317</v>
      </c>
      <c r="D155" s="7">
        <v>2.4</v>
      </c>
      <c r="E155" s="7" t="s">
        <v>222</v>
      </c>
      <c r="F155" s="8"/>
      <c r="G155" s="7" t="s">
        <v>148</v>
      </c>
      <c r="H155" s="7"/>
      <c r="I155" s="7"/>
      <c r="J155" s="7"/>
      <c r="K155" s="51"/>
      <c r="L155" s="7"/>
      <c r="M155" s="7" t="s">
        <v>150</v>
      </c>
      <c r="N155" s="7" t="s">
        <v>152</v>
      </c>
      <c r="O155" s="7" t="b">
        <f>IF(E155="隔週A", MOD(INT(('26414_編集版'!$C$1-DATE(2026,4,14))/7), 2)=1, IF(E155="隔週B", MOD(INT(('26414_編集版'!$C$1-DATE(2026,4,14))/7), 2)=0, FALSE))</f>
        <v>0</v>
      </c>
    </row>
    <row r="156" ht="17.25" customHeight="1">
      <c r="A156" s="37" t="s">
        <v>156</v>
      </c>
      <c r="B156" s="7">
        <v>18.0</v>
      </c>
      <c r="C156" s="45" t="s">
        <v>318</v>
      </c>
      <c r="D156" s="7">
        <v>0.1</v>
      </c>
      <c r="E156" s="7" t="s">
        <v>222</v>
      </c>
      <c r="F156" s="8"/>
      <c r="G156" s="7" t="s">
        <v>148</v>
      </c>
      <c r="H156" s="7"/>
      <c r="I156" s="7"/>
      <c r="J156" s="7"/>
      <c r="K156" s="45"/>
      <c r="L156" s="7"/>
      <c r="M156" s="7" t="s">
        <v>150</v>
      </c>
      <c r="N156" s="7" t="s">
        <v>223</v>
      </c>
      <c r="O156" s="7" t="b">
        <f>IF(E156="隔週A", MOD(INT(('26414_編集版'!$C$1-DATE(2026,4,14))/7), 2)=1, IF(E156="隔週B", MOD(INT(('26414_編集版'!$C$1-DATE(2026,4,14))/7), 2)=0, FALSE))</f>
        <v>0</v>
      </c>
    </row>
    <row r="157" ht="17.25" customHeight="1">
      <c r="A157" s="37" t="s">
        <v>156</v>
      </c>
      <c r="B157" s="7">
        <v>18.0</v>
      </c>
      <c r="C157" s="45" t="s">
        <v>319</v>
      </c>
      <c r="D157" s="7">
        <v>0.2</v>
      </c>
      <c r="E157" s="7" t="s">
        <v>222</v>
      </c>
      <c r="F157" s="8"/>
      <c r="G157" s="7" t="s">
        <v>148</v>
      </c>
      <c r="H157" s="7" t="s">
        <v>140</v>
      </c>
      <c r="I157" s="7" t="s">
        <v>141</v>
      </c>
      <c r="J157" s="7" t="s">
        <v>142</v>
      </c>
      <c r="K157" s="45"/>
      <c r="L157" s="7"/>
      <c r="M157" s="7" t="s">
        <v>150</v>
      </c>
      <c r="N157" s="7" t="s">
        <v>223</v>
      </c>
      <c r="O157" s="7" t="b">
        <f>IF(E157="隔週A", MOD(INT(('26414_編集版'!$C$1-DATE(2026,4,14))/7), 2)=1, IF(E157="隔週B", MOD(INT(('26414_編集版'!$C$1-DATE(2026,4,14))/7), 2)=0, FALSE))</f>
        <v>0</v>
      </c>
    </row>
    <row r="158" ht="17.25" customHeight="1">
      <c r="A158" s="37" t="s">
        <v>156</v>
      </c>
      <c r="B158" s="7">
        <v>18.0</v>
      </c>
      <c r="C158" s="62" t="s">
        <v>320</v>
      </c>
      <c r="D158" s="7">
        <v>0.2</v>
      </c>
      <c r="E158" s="7" t="s">
        <v>222</v>
      </c>
      <c r="F158" s="8"/>
      <c r="G158" s="13" t="s">
        <v>148</v>
      </c>
      <c r="H158" s="13"/>
      <c r="I158" s="13"/>
      <c r="J158" s="13"/>
      <c r="K158" s="63"/>
      <c r="L158" s="7"/>
      <c r="M158" s="7" t="s">
        <v>150</v>
      </c>
      <c r="N158" s="7" t="s">
        <v>223</v>
      </c>
      <c r="O158" s="7" t="b">
        <f>IF(E158="隔週A", MOD(INT(('26414_編集版'!$C$1-DATE(2026,4,14))/7), 2)=1, IF(E158="隔週B", MOD(INT(('26414_編集版'!$C$1-DATE(2026,4,14))/7), 2)=0, FALSE))</f>
        <v>0</v>
      </c>
    </row>
    <row r="159" ht="17.25" customHeight="1">
      <c r="A159" s="37" t="s">
        <v>156</v>
      </c>
      <c r="B159" s="7">
        <v>18.0</v>
      </c>
      <c r="C159" s="72" t="s">
        <v>321</v>
      </c>
      <c r="D159" s="7">
        <v>0.3</v>
      </c>
      <c r="E159" s="7" t="s">
        <v>222</v>
      </c>
      <c r="F159" s="8"/>
      <c r="G159" s="13" t="s">
        <v>148</v>
      </c>
      <c r="H159" s="13"/>
      <c r="I159" s="13"/>
      <c r="J159" s="13"/>
      <c r="K159" s="72"/>
      <c r="L159" s="7"/>
      <c r="M159" s="7" t="s">
        <v>150</v>
      </c>
      <c r="N159" s="7" t="s">
        <v>223</v>
      </c>
      <c r="O159" s="7" t="b">
        <f>IF(E159="隔週A", MOD(INT(('26414_編集版'!$C$1-DATE(2026,4,14))/7), 2)=1, IF(E159="隔週B", MOD(INT(('26414_編集版'!$C$1-DATE(2026,4,14))/7), 2)=0, FALSE))</f>
        <v>0</v>
      </c>
    </row>
    <row r="160" ht="17.25" customHeight="1">
      <c r="A160" s="37" t="s">
        <v>156</v>
      </c>
      <c r="B160" s="7">
        <v>18.0</v>
      </c>
      <c r="C160" s="45" t="s">
        <v>322</v>
      </c>
      <c r="D160" s="7">
        <v>0.2</v>
      </c>
      <c r="E160" s="7" t="s">
        <v>222</v>
      </c>
      <c r="F160" s="8"/>
      <c r="G160" s="46" t="s">
        <v>148</v>
      </c>
      <c r="H160" s="46"/>
      <c r="I160" s="46"/>
      <c r="J160" s="46"/>
      <c r="K160" s="45"/>
      <c r="L160" s="7"/>
      <c r="M160" s="7" t="s">
        <v>150</v>
      </c>
      <c r="N160" s="7" t="s">
        <v>223</v>
      </c>
      <c r="O160" s="7" t="b">
        <f>IF(E160="隔週A", MOD(INT(('26414_編集版'!$C$1-DATE(2026,4,14))/7), 2)=1, IF(E160="隔週B", MOD(INT(('26414_編集版'!$C$1-DATE(2026,4,14))/7), 2)=0, FALSE))</f>
        <v>0</v>
      </c>
    </row>
    <row r="161" ht="17.25" customHeight="1">
      <c r="A161" s="37" t="s">
        <v>156</v>
      </c>
      <c r="B161" s="7">
        <v>18.0</v>
      </c>
      <c r="C161" s="45" t="s">
        <v>323</v>
      </c>
      <c r="D161" s="38">
        <v>0.3</v>
      </c>
      <c r="E161" s="7" t="s">
        <v>222</v>
      </c>
      <c r="F161" s="8"/>
      <c r="G161" s="46" t="s">
        <v>148</v>
      </c>
      <c r="H161" s="46"/>
      <c r="I161" s="46"/>
      <c r="J161" s="46"/>
      <c r="K161" s="45"/>
      <c r="L161" s="7"/>
      <c r="M161" s="7" t="s">
        <v>150</v>
      </c>
      <c r="N161" s="7" t="s">
        <v>223</v>
      </c>
      <c r="O161" s="7" t="b">
        <f>IF(E161="隔週A", MOD(INT(('26414_編集版'!$C$1-DATE(2026,4,14))/7), 2)=1, IF(E161="隔週B", MOD(INT(('26414_編集版'!$C$1-DATE(2026,4,14))/7), 2)=0, FALSE))</f>
        <v>0</v>
      </c>
    </row>
    <row r="162" ht="17.25" customHeight="1">
      <c r="A162" s="37" t="s">
        <v>156</v>
      </c>
      <c r="B162" s="7">
        <v>18.0</v>
      </c>
      <c r="C162" s="49" t="s">
        <v>324</v>
      </c>
      <c r="D162" s="7">
        <v>0.4</v>
      </c>
      <c r="E162" s="7" t="s">
        <v>222</v>
      </c>
      <c r="F162" s="8"/>
      <c r="G162" s="7" t="s">
        <v>148</v>
      </c>
      <c r="H162" s="7"/>
      <c r="I162" s="7"/>
      <c r="J162" s="7"/>
      <c r="K162" s="49"/>
      <c r="L162" s="7"/>
      <c r="M162" s="7" t="s">
        <v>152</v>
      </c>
      <c r="N162" s="7" t="s">
        <v>150</v>
      </c>
      <c r="O162" s="7" t="b">
        <f>IF(E162="隔週A", MOD(INT(('26414_編集版'!$C$1-DATE(2026,4,14))/7), 2)=1, IF(E162="隔週B", MOD(INT(('26414_編集版'!$C$1-DATE(2026,4,14))/7), 2)=0, FALSE))</f>
        <v>0</v>
      </c>
    </row>
    <row r="163" ht="17.25" customHeight="1">
      <c r="A163" s="37" t="s">
        <v>156</v>
      </c>
      <c r="B163" s="7">
        <v>16.0</v>
      </c>
      <c r="C163" s="39" t="s">
        <v>325</v>
      </c>
      <c r="D163" s="7">
        <v>0.5</v>
      </c>
      <c r="E163" s="7" t="s">
        <v>222</v>
      </c>
      <c r="F163" s="8"/>
      <c r="G163" s="7" t="s">
        <v>180</v>
      </c>
      <c r="H163" s="7"/>
      <c r="I163" s="7"/>
      <c r="J163" s="7"/>
      <c r="K163" s="39"/>
      <c r="L163" s="7"/>
      <c r="M163" s="7" t="s">
        <v>158</v>
      </c>
      <c r="N163" s="7" t="s">
        <v>150</v>
      </c>
      <c r="O163" s="7" t="b">
        <f>IF(E163="隔週A", MOD(INT(('26414_編集版'!$C$1-DATE(2026,4,14))/7), 2)=1, IF(E163="隔週B", MOD(INT(('26414_編集版'!$C$1-DATE(2026,4,14))/7), 2)=0, FALSE))</f>
        <v>0</v>
      </c>
    </row>
    <row r="164" ht="17.25" customHeight="1">
      <c r="A164" s="37" t="s">
        <v>156</v>
      </c>
      <c r="B164" s="7">
        <v>11.0</v>
      </c>
      <c r="C164" s="45" t="s">
        <v>326</v>
      </c>
      <c r="D164" s="7">
        <v>0.4</v>
      </c>
      <c r="E164" s="7" t="s">
        <v>222</v>
      </c>
      <c r="F164" s="8"/>
      <c r="G164" s="13" t="s">
        <v>148</v>
      </c>
      <c r="H164" s="13"/>
      <c r="I164" s="13"/>
      <c r="J164" s="13"/>
      <c r="K164" s="45"/>
      <c r="L164" s="7"/>
      <c r="M164" s="7" t="s">
        <v>233</v>
      </c>
      <c r="N164" s="7"/>
      <c r="O164" s="7" t="b">
        <f>IF(E164="隔週A", MOD(INT(('26414_編集版'!$C$1-DATE(2026,4,14))/7), 2)=1, IF(E164="隔週B", MOD(INT(('26414_編集版'!$C$1-DATE(2026,4,14))/7), 2)=0, FALSE))</f>
        <v>0</v>
      </c>
    </row>
    <row r="165" ht="17.25" customHeight="1">
      <c r="A165" s="37" t="s">
        <v>156</v>
      </c>
      <c r="B165" s="7">
        <v>11.0</v>
      </c>
      <c r="C165" s="51" t="s">
        <v>327</v>
      </c>
      <c r="D165" s="7">
        <v>2.5</v>
      </c>
      <c r="E165" s="7" t="s">
        <v>222</v>
      </c>
      <c r="F165" s="8"/>
      <c r="G165" s="13" t="s">
        <v>148</v>
      </c>
      <c r="H165" s="13"/>
      <c r="I165" s="13"/>
      <c r="J165" s="13"/>
      <c r="K165" s="51"/>
      <c r="L165" s="7"/>
      <c r="M165" s="7" t="s">
        <v>233</v>
      </c>
      <c r="N165" s="7"/>
      <c r="O165" s="7" t="b">
        <f>IF(E165="隔週A", MOD(INT(('26414_編集版'!$C$1-DATE(2026,4,14))/7), 2)=1, IF(E165="隔週B", MOD(INT(('26414_編集版'!$C$1-DATE(2026,4,14))/7), 2)=0, FALSE))</f>
        <v>0</v>
      </c>
    </row>
    <row r="166" ht="17.25" customHeight="1">
      <c r="A166" s="37" t="s">
        <v>156</v>
      </c>
      <c r="B166" s="7">
        <v>10.0</v>
      </c>
      <c r="C166" s="45" t="s">
        <v>328</v>
      </c>
      <c r="D166" s="39">
        <v>0.5</v>
      </c>
      <c r="E166" s="7" t="s">
        <v>222</v>
      </c>
      <c r="F166" s="8"/>
      <c r="G166" s="7" t="s">
        <v>148</v>
      </c>
      <c r="H166" s="7"/>
      <c r="I166" s="7"/>
      <c r="J166" s="7"/>
      <c r="K166" s="45"/>
      <c r="L166" s="7"/>
      <c r="M166" s="7" t="s">
        <v>233</v>
      </c>
      <c r="N166" s="7"/>
      <c r="O166" s="7" t="b">
        <f>IF(E166="隔週A", MOD(INT(('26414_編集版'!$C$1-DATE(2026,4,14))/7), 2)=1, IF(E166="隔週B", MOD(INT(('26414_編集版'!$C$1-DATE(2026,4,14))/7), 2)=0, FALSE))</f>
        <v>0</v>
      </c>
    </row>
    <row r="167" ht="17.25" customHeight="1">
      <c r="A167" s="37" t="s">
        <v>156</v>
      </c>
      <c r="B167" s="7">
        <v>9.0</v>
      </c>
      <c r="C167" s="13" t="s">
        <v>329</v>
      </c>
      <c r="D167" s="7">
        <v>0.3</v>
      </c>
      <c r="E167" s="7" t="s">
        <v>222</v>
      </c>
      <c r="F167" s="8"/>
      <c r="G167" s="13" t="s">
        <v>148</v>
      </c>
      <c r="H167" s="13"/>
      <c r="I167" s="13"/>
      <c r="J167" s="13"/>
      <c r="K167" s="13"/>
      <c r="L167" s="7"/>
      <c r="M167" s="7" t="s">
        <v>233</v>
      </c>
      <c r="N167" s="7"/>
      <c r="O167" s="7" t="b">
        <f>IF(E167="隔週A", MOD(INT(('26414_編集版'!$C$1-DATE(2026,4,14))/7), 2)=1, IF(E167="隔週B", MOD(INT(('26414_編集版'!$C$1-DATE(2026,4,14))/7), 2)=0, FALSE))</f>
        <v>0</v>
      </c>
    </row>
    <row r="168" ht="17.25" customHeight="1">
      <c r="A168" s="37" t="s">
        <v>156</v>
      </c>
      <c r="B168" s="7">
        <v>9.0</v>
      </c>
      <c r="C168" s="13" t="s">
        <v>330</v>
      </c>
      <c r="D168" s="7">
        <v>0.9</v>
      </c>
      <c r="E168" s="7" t="s">
        <v>222</v>
      </c>
      <c r="F168" s="8"/>
      <c r="G168" s="7" t="s">
        <v>148</v>
      </c>
      <c r="H168" s="7"/>
      <c r="I168" s="7"/>
      <c r="J168" s="7"/>
      <c r="K168" s="13"/>
      <c r="L168" s="7"/>
      <c r="M168" s="7" t="s">
        <v>233</v>
      </c>
      <c r="N168" s="7"/>
      <c r="O168" s="7" t="b">
        <f>IF(E168="隔週A", MOD(INT(('26414_編集版'!$C$1-DATE(2026,4,14))/7), 2)=1, IF(E168="隔週B", MOD(INT(('26414_編集版'!$C$1-DATE(2026,4,14))/7), 2)=0, FALSE))</f>
        <v>0</v>
      </c>
    </row>
    <row r="169" ht="17.25" customHeight="1">
      <c r="A169" s="37" t="s">
        <v>156</v>
      </c>
      <c r="B169" s="38">
        <v>14.0</v>
      </c>
      <c r="C169" s="47" t="s">
        <v>331</v>
      </c>
      <c r="D169" s="44">
        <v>1.1</v>
      </c>
      <c r="E169" s="7" t="s">
        <v>222</v>
      </c>
      <c r="F169" s="8"/>
      <c r="G169" s="44" t="s">
        <v>148</v>
      </c>
      <c r="H169" s="44"/>
      <c r="I169" s="44"/>
      <c r="J169" s="44"/>
      <c r="K169" s="47"/>
      <c r="L169" s="7"/>
      <c r="M169" s="7" t="s">
        <v>233</v>
      </c>
      <c r="N169" s="7"/>
      <c r="O169" s="7" t="b">
        <f>IF(E169="隔週A", MOD(INT(('26414_編集版'!$C$1-DATE(2026,4,14))/7), 2)=1, IF(E169="隔週B", MOD(INT(('26414_編集版'!$C$1-DATE(2026,4,14))/7), 2)=0, FALSE))</f>
        <v>0</v>
      </c>
    </row>
    <row r="170" ht="17.25" customHeight="1">
      <c r="A170" s="37" t="s">
        <v>156</v>
      </c>
      <c r="B170" s="38">
        <v>15.0</v>
      </c>
      <c r="C170" s="73" t="s">
        <v>332</v>
      </c>
      <c r="D170" s="38">
        <v>0.4</v>
      </c>
      <c r="E170" s="7" t="s">
        <v>222</v>
      </c>
      <c r="F170" s="8"/>
      <c r="G170" s="7" t="s">
        <v>148</v>
      </c>
      <c r="H170" s="7"/>
      <c r="I170" s="7"/>
      <c r="J170" s="7"/>
      <c r="K170" s="73"/>
      <c r="L170" s="7"/>
      <c r="M170" s="7" t="s">
        <v>233</v>
      </c>
      <c r="N170" s="7"/>
      <c r="O170" s="7" t="b">
        <f>IF(E170="隔週A", MOD(INT(('26414_編集版'!$C$1-DATE(2026,4,14))/7), 2)=1, IF(E170="隔週B", MOD(INT(('26414_編集版'!$C$1-DATE(2026,4,14))/7), 2)=0, FALSE))</f>
        <v>0</v>
      </c>
    </row>
    <row r="171" ht="17.25" customHeight="1">
      <c r="A171" s="37" t="s">
        <v>156</v>
      </c>
      <c r="B171" s="7">
        <v>8.0</v>
      </c>
      <c r="C171" s="13" t="s">
        <v>247</v>
      </c>
      <c r="D171" s="13">
        <v>0.1</v>
      </c>
      <c r="E171" s="7" t="s">
        <v>222</v>
      </c>
      <c r="F171" s="8"/>
      <c r="G171" s="7" t="s">
        <v>148</v>
      </c>
      <c r="H171" s="7"/>
      <c r="I171" s="7"/>
      <c r="J171" s="7"/>
      <c r="K171" s="13"/>
      <c r="L171" s="7"/>
      <c r="M171" s="7" t="s">
        <v>233</v>
      </c>
      <c r="N171" s="67"/>
      <c r="O171" s="7" t="b">
        <f>IF(E171="隔週A", MOD(INT(('26414_編集版'!$C$1-DATE(2026,4,14))/7), 2)=1, IF(E171="隔週B", MOD(INT(('26414_編集版'!$C$1-DATE(2026,4,14))/7), 2)=0, FALSE))</f>
        <v>0</v>
      </c>
    </row>
    <row r="172" ht="17.25" customHeight="1">
      <c r="A172" s="37" t="s">
        <v>156</v>
      </c>
      <c r="B172" s="7">
        <v>21.0</v>
      </c>
      <c r="C172" s="13" t="s">
        <v>248</v>
      </c>
      <c r="D172" s="44">
        <v>0.1</v>
      </c>
      <c r="E172" s="7" t="s">
        <v>222</v>
      </c>
      <c r="F172" s="8"/>
      <c r="G172" s="13" t="s">
        <v>148</v>
      </c>
      <c r="H172" s="13"/>
      <c r="I172" s="13"/>
      <c r="J172" s="13"/>
      <c r="K172" s="13"/>
      <c r="L172" s="7"/>
      <c r="M172" s="7" t="s">
        <v>233</v>
      </c>
      <c r="N172" s="44"/>
      <c r="O172" s="7" t="b">
        <f>IF(E172="隔週A", MOD(INT(('26414_編集版'!$C$1-DATE(2026,4,14))/7), 2)=1, IF(E172="隔週B", MOD(INT(('26414_編集版'!$C$1-DATE(2026,4,14))/7), 2)=0, FALSE))</f>
        <v>0</v>
      </c>
    </row>
    <row r="173" ht="17.25" customHeight="1">
      <c r="A173" s="37" t="s">
        <v>156</v>
      </c>
      <c r="B173" s="7">
        <v>21.0</v>
      </c>
      <c r="C173" s="41" t="s">
        <v>249</v>
      </c>
      <c r="D173" s="44">
        <v>0.1</v>
      </c>
      <c r="E173" s="7" t="s">
        <v>222</v>
      </c>
      <c r="F173" s="8"/>
      <c r="G173" s="41" t="s">
        <v>180</v>
      </c>
      <c r="H173" s="41"/>
      <c r="I173" s="41"/>
      <c r="J173" s="41"/>
      <c r="K173" s="41"/>
      <c r="L173" s="7"/>
      <c r="M173" s="7" t="s">
        <v>233</v>
      </c>
      <c r="N173" s="44"/>
      <c r="O173" s="7" t="b">
        <f>IF(E173="隔週A", MOD(INT(('26414_編集版'!$C$1-DATE(2026,4,14))/7), 2)=1, IF(E173="隔週B", MOD(INT(('26414_編集版'!$C$1-DATE(2026,4,14))/7), 2)=0, FALSE))</f>
        <v>0</v>
      </c>
    </row>
    <row r="174" ht="17.25" customHeight="1">
      <c r="A174" s="37" t="s">
        <v>156</v>
      </c>
      <c r="B174" s="7">
        <v>12.0</v>
      </c>
      <c r="C174" s="45" t="s">
        <v>333</v>
      </c>
      <c r="D174" s="7">
        <v>3.5</v>
      </c>
      <c r="E174" s="7" t="s">
        <v>222</v>
      </c>
      <c r="F174" s="8"/>
      <c r="G174" s="7" t="s">
        <v>148</v>
      </c>
      <c r="H174" s="7"/>
      <c r="I174" s="7"/>
      <c r="J174" s="7"/>
      <c r="K174" s="45"/>
      <c r="L174" s="7"/>
      <c r="M174" s="7" t="s">
        <v>233</v>
      </c>
      <c r="N174" s="7"/>
      <c r="O174" s="7" t="b">
        <f>IF(E174="隔週A", MOD(INT(('26414_編集版'!$C$1-DATE(2026,4,14))/7), 2)=1, IF(E174="隔週B", MOD(INT(('26414_編集版'!$C$1-DATE(2026,4,14))/7), 2)=0, FALSE))</f>
        <v>0</v>
      </c>
    </row>
    <row r="175" ht="17.25" customHeight="1">
      <c r="A175" s="37" t="s">
        <v>156</v>
      </c>
      <c r="B175" s="7">
        <v>12.0</v>
      </c>
      <c r="C175" s="51" t="s">
        <v>334</v>
      </c>
      <c r="D175" s="7">
        <v>3.4</v>
      </c>
      <c r="E175" s="7" t="s">
        <v>222</v>
      </c>
      <c r="F175" s="8"/>
      <c r="G175" s="46" t="s">
        <v>148</v>
      </c>
      <c r="H175" s="46"/>
      <c r="I175" s="46"/>
      <c r="J175" s="46"/>
      <c r="K175" s="51"/>
      <c r="L175" s="7"/>
      <c r="M175" s="7" t="s">
        <v>233</v>
      </c>
      <c r="N175" s="7"/>
      <c r="O175" s="7" t="b">
        <f>IF(E175="隔週A", MOD(INT(('26414_編集版'!$C$1-DATE(2026,4,14))/7), 2)=1, IF(E175="隔週B", MOD(INT(('26414_編集版'!$C$1-DATE(2026,4,14))/7), 2)=0, FALSE))</f>
        <v>0</v>
      </c>
    </row>
    <row r="176" ht="17.25" customHeight="1">
      <c r="A176" s="37" t="s">
        <v>156</v>
      </c>
      <c r="B176" s="7">
        <v>21.0</v>
      </c>
      <c r="C176" s="49" t="s">
        <v>335</v>
      </c>
      <c r="D176" s="7">
        <v>1.3</v>
      </c>
      <c r="E176" s="7" t="s">
        <v>222</v>
      </c>
      <c r="F176" s="8"/>
      <c r="G176" s="7" t="s">
        <v>148</v>
      </c>
      <c r="H176" s="7"/>
      <c r="I176" s="7"/>
      <c r="J176" s="7"/>
      <c r="K176" s="49"/>
      <c r="L176" s="7"/>
      <c r="M176" s="7" t="s">
        <v>233</v>
      </c>
      <c r="N176" s="7"/>
      <c r="O176" s="7" t="b">
        <f>IF(E176="隔週A", MOD(INT(('26414_編集版'!$C$1-DATE(2026,4,14))/7), 2)=1, IF(E176="隔週B", MOD(INT(('26414_編集版'!$C$1-DATE(2026,4,14))/7), 2)=0, FALSE))</f>
        <v>0</v>
      </c>
    </row>
    <row r="177" ht="17.25" customHeight="1">
      <c r="A177" s="37" t="s">
        <v>156</v>
      </c>
      <c r="B177" s="38">
        <v>14.0</v>
      </c>
      <c r="C177" s="54" t="s">
        <v>336</v>
      </c>
      <c r="D177" s="13">
        <v>1.2</v>
      </c>
      <c r="E177" s="7" t="s">
        <v>222</v>
      </c>
      <c r="F177" s="40"/>
      <c r="G177" s="41" t="s">
        <v>148</v>
      </c>
      <c r="H177" s="41"/>
      <c r="I177" s="41"/>
      <c r="J177" s="41"/>
      <c r="K177" s="54"/>
      <c r="L177" s="13"/>
      <c r="M177" s="13" t="s">
        <v>150</v>
      </c>
      <c r="N177" s="13" t="s">
        <v>158</v>
      </c>
      <c r="O177" s="7" t="b">
        <f>IF(E177="隔週A", MOD(INT(('26414_編集版'!$C$1-DATE(2026,4,14))/7), 2)=1, IF(E177="隔週B", MOD(INT(('26414_編集版'!$C$1-DATE(2026,4,14))/7), 2)=0, FALSE))</f>
        <v>0</v>
      </c>
    </row>
    <row r="178" ht="17.25" customHeight="1">
      <c r="A178" s="37" t="s">
        <v>156</v>
      </c>
      <c r="B178" s="7">
        <v>9.0</v>
      </c>
      <c r="C178" s="49" t="s">
        <v>337</v>
      </c>
      <c r="D178" s="38">
        <v>1.1</v>
      </c>
      <c r="E178" s="7" t="s">
        <v>222</v>
      </c>
      <c r="F178" s="8"/>
      <c r="G178" s="7" t="s">
        <v>148</v>
      </c>
      <c r="H178" s="7"/>
      <c r="I178" s="7"/>
      <c r="J178" s="7"/>
      <c r="K178" s="49"/>
      <c r="L178" s="7"/>
      <c r="M178" s="7" t="s">
        <v>233</v>
      </c>
      <c r="N178" s="7"/>
      <c r="O178" s="7" t="b">
        <f>IF(E178="隔週A", MOD(INT(('26414_編集版'!$C$1-DATE(2026,4,14))/7), 2)=1, IF(E178="隔週B", MOD(INT(('26414_編集版'!$C$1-DATE(2026,4,14))/7), 2)=0, FALSE))</f>
        <v>0</v>
      </c>
    </row>
    <row r="179" ht="17.25" customHeight="1">
      <c r="A179" s="37" t="s">
        <v>156</v>
      </c>
      <c r="B179" s="7">
        <v>12.0</v>
      </c>
      <c r="C179" s="74" t="s">
        <v>338</v>
      </c>
      <c r="D179" s="13">
        <v>0.9</v>
      </c>
      <c r="E179" s="7" t="s">
        <v>222</v>
      </c>
      <c r="F179" s="8"/>
      <c r="G179" s="48" t="s">
        <v>148</v>
      </c>
      <c r="H179" s="48"/>
      <c r="I179" s="48"/>
      <c r="J179" s="48"/>
      <c r="K179" s="74"/>
      <c r="L179" s="7"/>
      <c r="M179" s="7" t="s">
        <v>233</v>
      </c>
      <c r="N179" s="13"/>
      <c r="O179" s="7" t="b">
        <f>IF(E179="隔週A", MOD(INT(('26414_編集版'!$C$1-DATE(2026,4,14))/7), 2)=1, IF(E179="隔週B", MOD(INT(('26414_編集版'!$C$1-DATE(2026,4,14))/7), 2)=0, FALSE))</f>
        <v>0</v>
      </c>
    </row>
    <row r="180" ht="17.25" customHeight="1">
      <c r="A180" s="37" t="s">
        <v>156</v>
      </c>
      <c r="B180" s="7">
        <v>10.0</v>
      </c>
      <c r="C180" s="45" t="s">
        <v>339</v>
      </c>
      <c r="D180" s="7">
        <v>0.6</v>
      </c>
      <c r="E180" s="7" t="s">
        <v>222</v>
      </c>
      <c r="F180" s="8"/>
      <c r="G180" s="7" t="s">
        <v>148</v>
      </c>
      <c r="H180" s="7"/>
      <c r="I180" s="7"/>
      <c r="J180" s="7"/>
      <c r="K180" s="45"/>
      <c r="L180" s="7"/>
      <c r="M180" s="7" t="s">
        <v>233</v>
      </c>
      <c r="N180" s="7"/>
      <c r="O180" s="7" t="b">
        <f>IF(E180="隔週A", MOD(INT(('26414_編集版'!$C$1-DATE(2026,4,14))/7), 2)=1, IF(E180="隔週B", MOD(INT(('26414_編集版'!$C$1-DATE(2026,4,14))/7), 2)=0, FALSE))</f>
        <v>0</v>
      </c>
    </row>
    <row r="181" ht="17.25" customHeight="1">
      <c r="A181" s="37" t="s">
        <v>156</v>
      </c>
      <c r="B181" s="7">
        <v>10.0</v>
      </c>
      <c r="C181" s="45" t="s">
        <v>340</v>
      </c>
      <c r="D181" s="7">
        <v>1.4</v>
      </c>
      <c r="E181" s="7" t="s">
        <v>222</v>
      </c>
      <c r="F181" s="8"/>
      <c r="G181" s="7" t="s">
        <v>148</v>
      </c>
      <c r="H181" s="7"/>
      <c r="I181" s="7"/>
      <c r="J181" s="7"/>
      <c r="K181" s="45"/>
      <c r="L181" s="7"/>
      <c r="M181" s="7" t="s">
        <v>233</v>
      </c>
      <c r="N181" s="7"/>
      <c r="O181" s="7" t="b">
        <f>IF(E181="隔週A", MOD(INT(('26414_編集版'!$C$1-DATE(2026,4,14))/7), 2)=1, IF(E181="隔週B", MOD(INT(('26414_編集版'!$C$1-DATE(2026,4,14))/7), 2)=0, FALSE))</f>
        <v>0</v>
      </c>
    </row>
    <row r="182" ht="17.25" customHeight="1">
      <c r="A182" s="37" t="s">
        <v>156</v>
      </c>
      <c r="B182" s="7">
        <v>12.0</v>
      </c>
      <c r="C182" s="13" t="s">
        <v>341</v>
      </c>
      <c r="D182" s="46">
        <v>0.3</v>
      </c>
      <c r="E182" s="7" t="s">
        <v>222</v>
      </c>
      <c r="F182" s="8"/>
      <c r="G182" s="46" t="s">
        <v>148</v>
      </c>
      <c r="H182" s="46"/>
      <c r="I182" s="46"/>
      <c r="J182" s="46"/>
      <c r="K182" s="13"/>
      <c r="L182" s="7"/>
      <c r="M182" s="7" t="s">
        <v>233</v>
      </c>
      <c r="N182" s="7"/>
      <c r="O182" s="7" t="b">
        <f>IF(E182="隔週A", MOD(INT(('26414_編集版'!$C$1-DATE(2026,4,14))/7), 2)=1, IF(E182="隔週B", MOD(INT(('26414_編集版'!$C$1-DATE(2026,4,14))/7), 2)=0, FALSE))</f>
        <v>0</v>
      </c>
    </row>
    <row r="183" ht="17.25" customHeight="1">
      <c r="A183" s="37" t="s">
        <v>156</v>
      </c>
      <c r="B183" s="38">
        <v>15.0</v>
      </c>
      <c r="C183" s="49" t="s">
        <v>342</v>
      </c>
      <c r="D183" s="75">
        <v>0.4</v>
      </c>
      <c r="E183" s="7" t="s">
        <v>222</v>
      </c>
      <c r="F183" s="8"/>
      <c r="G183" s="46" t="s">
        <v>148</v>
      </c>
      <c r="H183" s="46"/>
      <c r="I183" s="46"/>
      <c r="J183" s="46"/>
      <c r="K183" s="49"/>
      <c r="L183" s="7"/>
      <c r="M183" s="7" t="s">
        <v>233</v>
      </c>
      <c r="N183" s="13"/>
      <c r="O183" s="7" t="b">
        <f>IF(E183="隔週A", MOD(INT(('26414_編集版'!$C$1-DATE(2026,4,14))/7), 2)=1, IF(E183="隔週B", MOD(INT(('26414_編集版'!$C$1-DATE(2026,4,14))/7), 2)=0, FALSE))</f>
        <v>0</v>
      </c>
    </row>
    <row r="184" ht="17.25" customHeight="1">
      <c r="A184" s="37" t="s">
        <v>156</v>
      </c>
      <c r="B184" s="7">
        <v>20.0</v>
      </c>
      <c r="C184" s="13" t="s">
        <v>343</v>
      </c>
      <c r="D184" s="7">
        <v>1.3</v>
      </c>
      <c r="E184" s="7" t="s">
        <v>222</v>
      </c>
      <c r="F184" s="8"/>
      <c r="G184" s="7" t="s">
        <v>148</v>
      </c>
      <c r="H184" s="7"/>
      <c r="I184" s="7"/>
      <c r="J184" s="7"/>
      <c r="K184" s="13"/>
      <c r="L184" s="7"/>
      <c r="M184" s="7" t="s">
        <v>233</v>
      </c>
      <c r="N184" s="52"/>
      <c r="O184" s="7" t="b">
        <f>IF(E184="隔週A", MOD(INT(('26414_編集版'!$C$1-DATE(2026,4,14))/7), 2)=1, IF(E184="隔週B", MOD(INT(('26414_編集版'!$C$1-DATE(2026,4,14))/7), 2)=0, FALSE))</f>
        <v>0</v>
      </c>
    </row>
    <row r="185" ht="17.25" customHeight="1">
      <c r="A185" s="37" t="s">
        <v>156</v>
      </c>
      <c r="B185" s="7">
        <v>20.0</v>
      </c>
      <c r="C185" s="39" t="s">
        <v>344</v>
      </c>
      <c r="D185" s="7">
        <v>1.0</v>
      </c>
      <c r="E185" s="7" t="s">
        <v>222</v>
      </c>
      <c r="F185" s="8"/>
      <c r="G185" s="7" t="s">
        <v>148</v>
      </c>
      <c r="H185" s="7"/>
      <c r="I185" s="7"/>
      <c r="J185" s="7"/>
      <c r="K185" s="39"/>
      <c r="L185" s="7"/>
      <c r="M185" s="7" t="s">
        <v>233</v>
      </c>
      <c r="N185" s="7"/>
      <c r="O185" s="7" t="b">
        <f>IF(E185="隔週A", MOD(INT(('26414_編集版'!$C$1-DATE(2026,4,14))/7), 2)=1, IF(E185="隔週B", MOD(INT(('26414_編集版'!$C$1-DATE(2026,4,14))/7), 2)=0, FALSE))</f>
        <v>0</v>
      </c>
    </row>
    <row r="186" ht="17.25" customHeight="1">
      <c r="A186" s="37" t="s">
        <v>156</v>
      </c>
      <c r="B186" s="7">
        <v>20.0</v>
      </c>
      <c r="C186" s="39" t="s">
        <v>345</v>
      </c>
      <c r="D186" s="7">
        <v>1.0</v>
      </c>
      <c r="E186" s="7" t="s">
        <v>222</v>
      </c>
      <c r="F186" s="8"/>
      <c r="G186" s="7" t="s">
        <v>148</v>
      </c>
      <c r="H186" s="7"/>
      <c r="I186" s="7"/>
      <c r="J186" s="7"/>
      <c r="K186" s="39"/>
      <c r="L186" s="7"/>
      <c r="M186" s="7" t="s">
        <v>233</v>
      </c>
      <c r="N186" s="7"/>
      <c r="O186" s="7" t="b">
        <f>IF(E186="隔週A", MOD(INT(('26414_編集版'!$C$1-DATE(2026,4,14))/7), 2)=1, IF(E186="隔週B", MOD(INT(('26414_編集版'!$C$1-DATE(2026,4,14))/7), 2)=0, FALSE))</f>
        <v>0</v>
      </c>
    </row>
    <row r="187" ht="17.25" customHeight="1">
      <c r="A187" s="37" t="s">
        <v>156</v>
      </c>
      <c r="B187" s="7">
        <v>20.0</v>
      </c>
      <c r="C187" s="7" t="s">
        <v>346</v>
      </c>
      <c r="D187" s="7">
        <v>3.9</v>
      </c>
      <c r="E187" s="7" t="s">
        <v>222</v>
      </c>
      <c r="F187" s="8"/>
      <c r="G187" s="7" t="s">
        <v>180</v>
      </c>
      <c r="H187" s="7"/>
      <c r="I187" s="7"/>
      <c r="J187" s="7"/>
      <c r="K187" s="7"/>
      <c r="L187" s="7"/>
      <c r="M187" s="7" t="s">
        <v>233</v>
      </c>
      <c r="N187" s="13"/>
      <c r="O187" s="7" t="b">
        <f>IF(E187="隔週A", MOD(INT(('26414_編集版'!$C$1-DATE(2026,4,14))/7), 2)=1, IF(E187="隔週B", MOD(INT(('26414_編集版'!$C$1-DATE(2026,4,14))/7), 2)=0, FALSE))</f>
        <v>0</v>
      </c>
    </row>
    <row r="188" ht="17.25" customHeight="1">
      <c r="A188" s="37" t="s">
        <v>156</v>
      </c>
      <c r="B188" s="7">
        <v>12.0</v>
      </c>
      <c r="C188" s="54" t="s">
        <v>347</v>
      </c>
      <c r="D188" s="41">
        <v>0.2</v>
      </c>
      <c r="E188" s="7" t="s">
        <v>222</v>
      </c>
      <c r="F188" s="8"/>
      <c r="G188" s="41" t="s">
        <v>180</v>
      </c>
      <c r="H188" s="41"/>
      <c r="I188" s="41"/>
      <c r="J188" s="41"/>
      <c r="K188" s="54"/>
      <c r="L188" s="7"/>
      <c r="M188" s="7" t="s">
        <v>233</v>
      </c>
      <c r="N188" s="7"/>
      <c r="O188" s="7" t="b">
        <f>IF(E188="隔週A", MOD(INT(('26414_編集版'!$C$1-DATE(2026,4,14))/7), 2)=1, IF(E188="隔週B", MOD(INT(('26414_編集版'!$C$1-DATE(2026,4,14))/7), 2)=0, FALSE))</f>
        <v>0</v>
      </c>
    </row>
    <row r="189" ht="17.25" customHeight="1">
      <c r="A189" s="37" t="s">
        <v>156</v>
      </c>
      <c r="B189" s="7">
        <v>8.0</v>
      </c>
      <c r="C189" s="51" t="s">
        <v>348</v>
      </c>
      <c r="D189" s="7">
        <v>0.4</v>
      </c>
      <c r="E189" s="7" t="s">
        <v>222</v>
      </c>
      <c r="F189" s="8"/>
      <c r="G189" s="7" t="s">
        <v>148</v>
      </c>
      <c r="H189" s="7"/>
      <c r="I189" s="7"/>
      <c r="J189" s="7"/>
      <c r="K189" s="51"/>
      <c r="L189" s="7"/>
      <c r="M189" s="7" t="s">
        <v>233</v>
      </c>
      <c r="N189" s="7"/>
      <c r="O189" s="7" t="b">
        <f>IF(E189="隔週A", MOD(INT(('26414_編集版'!$C$1-DATE(2026,4,14))/7), 2)=1, IF(E189="隔週B", MOD(INT(('26414_編集版'!$C$1-DATE(2026,4,14))/7), 2)=0, FALSE))</f>
        <v>0</v>
      </c>
    </row>
    <row r="190" ht="17.25" customHeight="1">
      <c r="A190" s="37" t="s">
        <v>156</v>
      </c>
      <c r="B190" s="7">
        <v>8.0</v>
      </c>
      <c r="C190" s="45" t="s">
        <v>349</v>
      </c>
      <c r="D190" s="7">
        <v>0.9</v>
      </c>
      <c r="E190" s="7" t="s">
        <v>222</v>
      </c>
      <c r="F190" s="8"/>
      <c r="G190" s="7" t="s">
        <v>148</v>
      </c>
      <c r="H190" s="7"/>
      <c r="I190" s="7"/>
      <c r="J190" s="7"/>
      <c r="K190" s="45"/>
      <c r="L190" s="7"/>
      <c r="M190" s="7" t="s">
        <v>233</v>
      </c>
      <c r="N190" s="7"/>
      <c r="O190" s="7" t="b">
        <f>IF(E190="隔週A", MOD(INT(('26414_編集版'!$C$1-DATE(2026,4,14))/7), 2)=1, IF(E190="隔週B", MOD(INT(('26414_編集版'!$C$1-DATE(2026,4,14))/7), 2)=0, FALSE))</f>
        <v>0</v>
      </c>
    </row>
    <row r="191" ht="17.25" customHeight="1">
      <c r="A191" s="37" t="s">
        <v>156</v>
      </c>
      <c r="B191" s="7">
        <v>8.0</v>
      </c>
      <c r="C191" s="45" t="s">
        <v>350</v>
      </c>
      <c r="D191" s="7">
        <v>0.5</v>
      </c>
      <c r="E191" s="7" t="s">
        <v>222</v>
      </c>
      <c r="F191" s="8"/>
      <c r="G191" s="7" t="s">
        <v>148</v>
      </c>
      <c r="H191" s="7"/>
      <c r="I191" s="7"/>
      <c r="J191" s="7"/>
      <c r="K191" s="45"/>
      <c r="L191" s="7"/>
      <c r="M191" s="7" t="s">
        <v>233</v>
      </c>
      <c r="N191" s="7"/>
      <c r="O191" s="7" t="b">
        <f>IF(E191="隔週A", MOD(INT(('26414_編集版'!$C$1-DATE(2026,4,14))/7), 2)=1, IF(E191="隔週B", MOD(INT(('26414_編集版'!$C$1-DATE(2026,4,14))/7), 2)=0, FALSE))</f>
        <v>0</v>
      </c>
    </row>
    <row r="192" ht="17.25" customHeight="1">
      <c r="A192" s="37" t="s">
        <v>156</v>
      </c>
      <c r="B192" s="7">
        <v>8.0</v>
      </c>
      <c r="C192" s="45" t="s">
        <v>351</v>
      </c>
      <c r="D192" s="7">
        <v>2.5</v>
      </c>
      <c r="E192" s="7" t="s">
        <v>222</v>
      </c>
      <c r="F192" s="8"/>
      <c r="G192" s="7" t="s">
        <v>148</v>
      </c>
      <c r="H192" s="7"/>
      <c r="I192" s="7"/>
      <c r="J192" s="7"/>
      <c r="K192" s="45"/>
      <c r="L192" s="7"/>
      <c r="M192" s="7" t="s">
        <v>233</v>
      </c>
      <c r="N192" s="7"/>
      <c r="O192" s="7" t="b">
        <f>IF(E192="隔週A", MOD(INT(('26414_編集版'!$C$1-DATE(2026,4,14))/7), 2)=1, IF(E192="隔週B", MOD(INT(('26414_編集版'!$C$1-DATE(2026,4,14))/7), 2)=0, FALSE))</f>
        <v>0</v>
      </c>
    </row>
    <row r="193" ht="17.25" customHeight="1">
      <c r="A193" s="37" t="s">
        <v>156</v>
      </c>
      <c r="B193" s="7">
        <v>8.0</v>
      </c>
      <c r="C193" s="56" t="s">
        <v>352</v>
      </c>
      <c r="D193" s="7">
        <v>0.6</v>
      </c>
      <c r="E193" s="7" t="s">
        <v>222</v>
      </c>
      <c r="F193" s="8"/>
      <c r="G193" s="7" t="s">
        <v>148</v>
      </c>
      <c r="H193" s="7"/>
      <c r="I193" s="7"/>
      <c r="J193" s="7"/>
      <c r="K193" s="56"/>
      <c r="L193" s="7"/>
      <c r="M193" s="7" t="s">
        <v>233</v>
      </c>
      <c r="N193" s="7"/>
      <c r="O193" s="7" t="b">
        <f>IF(E193="隔週A", MOD(INT(('26414_編集版'!$C$1-DATE(2026,4,14))/7), 2)=1, IF(E193="隔週B", MOD(INT(('26414_編集版'!$C$1-DATE(2026,4,14))/7), 2)=0, FALSE))</f>
        <v>0</v>
      </c>
    </row>
    <row r="194" ht="17.25" customHeight="1">
      <c r="A194" s="37" t="s">
        <v>156</v>
      </c>
      <c r="B194" s="7">
        <v>21.0</v>
      </c>
      <c r="C194" s="39" t="s">
        <v>353</v>
      </c>
      <c r="D194" s="7">
        <v>2.0</v>
      </c>
      <c r="E194" s="7" t="s">
        <v>222</v>
      </c>
      <c r="F194" s="8"/>
      <c r="G194" s="7" t="s">
        <v>148</v>
      </c>
      <c r="H194" s="7"/>
      <c r="I194" s="7"/>
      <c r="J194" s="7"/>
      <c r="K194" s="39"/>
      <c r="L194" s="7"/>
      <c r="M194" s="7" t="s">
        <v>233</v>
      </c>
      <c r="N194" s="7"/>
      <c r="O194" s="7" t="b">
        <f>IF(E194="隔週A", MOD(INT(('26414_編集版'!$C$1-DATE(2026,4,14))/7), 2)=1, IF(E194="隔週B", MOD(INT(('26414_編集版'!$C$1-DATE(2026,4,14))/7), 2)=0, FALSE))</f>
        <v>0</v>
      </c>
    </row>
    <row r="195" ht="17.25" customHeight="1">
      <c r="A195" s="37" t="s">
        <v>156</v>
      </c>
      <c r="B195" s="7">
        <v>21.0</v>
      </c>
      <c r="C195" s="39" t="s">
        <v>354</v>
      </c>
      <c r="D195" s="7">
        <v>0.8</v>
      </c>
      <c r="E195" s="7" t="s">
        <v>222</v>
      </c>
      <c r="F195" s="8"/>
      <c r="G195" s="7" t="s">
        <v>148</v>
      </c>
      <c r="H195" s="7"/>
      <c r="I195" s="7"/>
      <c r="J195" s="7"/>
      <c r="K195" s="39"/>
      <c r="L195" s="7"/>
      <c r="M195" s="7" t="s">
        <v>233</v>
      </c>
      <c r="N195" s="7"/>
      <c r="O195" s="7" t="b">
        <f>IF(E195="隔週A", MOD(INT(('26414_編集版'!$C$1-DATE(2026,4,14))/7), 2)=1, IF(E195="隔週B", MOD(INT(('26414_編集版'!$C$1-DATE(2026,4,14))/7), 2)=0, FALSE))</f>
        <v>0</v>
      </c>
    </row>
    <row r="196" ht="17.25" customHeight="1">
      <c r="A196" s="37" t="s">
        <v>156</v>
      </c>
      <c r="B196" s="7">
        <v>17.0</v>
      </c>
      <c r="C196" s="41" t="s">
        <v>355</v>
      </c>
      <c r="D196" s="41">
        <v>2.3</v>
      </c>
      <c r="E196" s="7" t="s">
        <v>222</v>
      </c>
      <c r="F196" s="40"/>
      <c r="G196" s="41" t="s">
        <v>180</v>
      </c>
      <c r="H196" s="41" t="s">
        <v>140</v>
      </c>
      <c r="I196" s="41" t="s">
        <v>141</v>
      </c>
      <c r="J196" s="41" t="s">
        <v>142</v>
      </c>
      <c r="K196" s="41"/>
      <c r="L196" s="13"/>
      <c r="M196" s="13" t="s">
        <v>152</v>
      </c>
      <c r="N196" s="13" t="s">
        <v>158</v>
      </c>
      <c r="O196" s="7" t="b">
        <f>IF(E196="隔週A", MOD(INT(('26414_編集版'!$C$1-DATE(2026,4,14))/7), 2)=1, IF(E196="隔週B", MOD(INT(('26414_編集版'!$C$1-DATE(2026,4,14))/7), 2)=0, FALSE))</f>
        <v>0</v>
      </c>
    </row>
    <row r="197" ht="17.25" customHeight="1">
      <c r="A197" s="37" t="s">
        <v>156</v>
      </c>
      <c r="B197" s="7">
        <v>17.0</v>
      </c>
      <c r="C197" s="41" t="s">
        <v>356</v>
      </c>
      <c r="D197" s="41">
        <v>0.6</v>
      </c>
      <c r="E197" s="7" t="s">
        <v>222</v>
      </c>
      <c r="F197" s="8"/>
      <c r="G197" s="41" t="s">
        <v>148</v>
      </c>
      <c r="H197" s="41"/>
      <c r="I197" s="41"/>
      <c r="J197" s="41"/>
      <c r="K197" s="41"/>
      <c r="L197" s="7"/>
      <c r="M197" s="7" t="s">
        <v>233</v>
      </c>
      <c r="N197" s="7"/>
      <c r="O197" s="7" t="b">
        <f>IF(E197="隔週A", MOD(INT(('26414_編集版'!$C$1-DATE(2026,4,14))/7), 2)=1, IF(E197="隔週B", MOD(INT(('26414_編集版'!$C$1-DATE(2026,4,14))/7), 2)=0, FALSE))</f>
        <v>0</v>
      </c>
    </row>
    <row r="198" ht="17.25" customHeight="1">
      <c r="A198" s="37" t="s">
        <v>156</v>
      </c>
      <c r="B198" s="7">
        <v>20.0</v>
      </c>
      <c r="C198" s="39" t="s">
        <v>65</v>
      </c>
      <c r="D198" s="7">
        <v>0.1</v>
      </c>
      <c r="E198" s="7" t="s">
        <v>222</v>
      </c>
      <c r="F198" s="8"/>
      <c r="G198" s="7" t="s">
        <v>148</v>
      </c>
      <c r="H198" s="7"/>
      <c r="I198" s="7"/>
      <c r="J198" s="7"/>
      <c r="K198" s="39"/>
      <c r="L198" s="7"/>
      <c r="M198" s="7" t="s">
        <v>191</v>
      </c>
      <c r="N198" s="7" t="s">
        <v>160</v>
      </c>
      <c r="O198" s="7" t="b">
        <f>IF(E198="隔週A", MOD(INT(('26414_編集版'!$C$1-DATE(2026,4,14))/7), 2)=1, IF(E198="隔週B", MOD(INT(('26414_編集版'!$C$1-DATE(2026,4,14))/7), 2)=0, FALSE))</f>
        <v>0</v>
      </c>
    </row>
    <row r="199" ht="17.25" customHeight="1">
      <c r="A199" s="37" t="s">
        <v>156</v>
      </c>
      <c r="B199" s="7">
        <v>16.0</v>
      </c>
      <c r="C199" s="47" t="s">
        <v>357</v>
      </c>
      <c r="D199" s="7">
        <v>2.1</v>
      </c>
      <c r="E199" s="7" t="s">
        <v>222</v>
      </c>
      <c r="F199" s="8"/>
      <c r="G199" s="44" t="s">
        <v>148</v>
      </c>
      <c r="H199" s="44"/>
      <c r="I199" s="44"/>
      <c r="J199" s="44"/>
      <c r="K199" s="47"/>
      <c r="L199" s="7"/>
      <c r="M199" s="7" t="s">
        <v>233</v>
      </c>
      <c r="N199" s="7"/>
      <c r="O199" s="7" t="b">
        <f>IF(E199="隔週A", MOD(INT(('26414_編集版'!$C$1-DATE(2026,4,14))/7), 2)=1, IF(E199="隔週B", MOD(INT(('26414_編集版'!$C$1-DATE(2026,4,14))/7), 2)=0, FALSE))</f>
        <v>0</v>
      </c>
    </row>
    <row r="200" ht="17.25" customHeight="1">
      <c r="A200" s="37" t="s">
        <v>156</v>
      </c>
      <c r="B200" s="7">
        <v>8.0</v>
      </c>
      <c r="C200" s="76" t="s">
        <v>358</v>
      </c>
      <c r="D200" s="7">
        <v>0.6</v>
      </c>
      <c r="E200" s="7" t="s">
        <v>222</v>
      </c>
      <c r="F200" s="8"/>
      <c r="G200" s="7" t="s">
        <v>148</v>
      </c>
      <c r="H200" s="7"/>
      <c r="I200" s="7"/>
      <c r="J200" s="7"/>
      <c r="K200" s="76"/>
      <c r="L200" s="7"/>
      <c r="M200" s="7" t="s">
        <v>233</v>
      </c>
      <c r="N200" s="7"/>
      <c r="O200" s="7" t="b">
        <f>IF(E200="隔週A", MOD(INT(('26414_編集版'!$C$1-DATE(2026,4,14))/7), 2)=1, IF(E200="隔週B", MOD(INT(('26414_編集版'!$C$1-DATE(2026,4,14))/7), 2)=0, FALSE))</f>
        <v>0</v>
      </c>
    </row>
    <row r="201" ht="17.25" customHeight="1">
      <c r="A201" s="37" t="s">
        <v>156</v>
      </c>
      <c r="B201" s="7">
        <v>21.0</v>
      </c>
      <c r="C201" s="56" t="s">
        <v>359</v>
      </c>
      <c r="D201" s="7">
        <v>1.8</v>
      </c>
      <c r="E201" s="7" t="s">
        <v>222</v>
      </c>
      <c r="F201" s="8"/>
      <c r="G201" s="7" t="s">
        <v>148</v>
      </c>
      <c r="H201" s="7"/>
      <c r="I201" s="7"/>
      <c r="J201" s="7"/>
      <c r="K201" s="56"/>
      <c r="L201" s="7"/>
      <c r="M201" s="7" t="s">
        <v>233</v>
      </c>
      <c r="N201" s="7"/>
      <c r="O201" s="7" t="b">
        <f>IF(E201="隔週A", MOD(INT(('26414_編集版'!$C$1-DATE(2026,4,14))/7), 2)=1, IF(E201="隔週B", MOD(INT(('26414_編集版'!$C$1-DATE(2026,4,14))/7), 2)=0, FALSE))</f>
        <v>0</v>
      </c>
    </row>
    <row r="202" ht="17.25" customHeight="1">
      <c r="A202" s="37" t="s">
        <v>156</v>
      </c>
      <c r="B202" s="7">
        <v>10.0</v>
      </c>
      <c r="C202" s="45" t="s">
        <v>360</v>
      </c>
      <c r="D202" s="7">
        <v>4.4</v>
      </c>
      <c r="E202" s="7" t="s">
        <v>222</v>
      </c>
      <c r="F202" s="8"/>
      <c r="G202" s="7" t="s">
        <v>148</v>
      </c>
      <c r="H202" s="7"/>
      <c r="I202" s="7"/>
      <c r="J202" s="7"/>
      <c r="K202" s="45"/>
      <c r="L202" s="7"/>
      <c r="M202" s="7" t="s">
        <v>233</v>
      </c>
      <c r="N202" s="7"/>
      <c r="O202" s="7" t="b">
        <f>IF(E202="隔週A", MOD(INT(('26414_編集版'!$C$1-DATE(2026,4,14))/7), 2)=1, IF(E202="隔週B", MOD(INT(('26414_編集版'!$C$1-DATE(2026,4,14))/7), 2)=0, FALSE))</f>
        <v>0</v>
      </c>
    </row>
    <row r="203" ht="17.25" customHeight="1">
      <c r="A203" s="37" t="s">
        <v>156</v>
      </c>
      <c r="B203" s="7">
        <v>20.0</v>
      </c>
      <c r="C203" s="7" t="s">
        <v>361</v>
      </c>
      <c r="D203" s="7">
        <v>0.3</v>
      </c>
      <c r="E203" s="7" t="s">
        <v>222</v>
      </c>
      <c r="F203" s="8"/>
      <c r="G203" s="7" t="s">
        <v>148</v>
      </c>
      <c r="H203" s="7"/>
      <c r="I203" s="7"/>
      <c r="J203" s="7"/>
      <c r="K203" s="7"/>
      <c r="L203" s="7"/>
      <c r="M203" s="7" t="s">
        <v>233</v>
      </c>
      <c r="N203" s="7"/>
      <c r="O203" s="7" t="b">
        <f>IF(E203="隔週A", MOD(INT(('26414_編集版'!$C$1-DATE(2026,4,14))/7), 2)=1, IF(E203="隔週B", MOD(INT(('26414_編集版'!$C$1-DATE(2026,4,14))/7), 2)=0, FALSE))</f>
        <v>0</v>
      </c>
    </row>
    <row r="204" ht="17.25" customHeight="1">
      <c r="A204" s="37" t="s">
        <v>156</v>
      </c>
      <c r="B204" s="7">
        <v>20.0</v>
      </c>
      <c r="C204" s="13" t="s">
        <v>362</v>
      </c>
      <c r="D204" s="13">
        <v>0.3</v>
      </c>
      <c r="E204" s="7" t="s">
        <v>222</v>
      </c>
      <c r="F204" s="8"/>
      <c r="G204" s="13" t="s">
        <v>148</v>
      </c>
      <c r="H204" s="13"/>
      <c r="I204" s="13"/>
      <c r="J204" s="13"/>
      <c r="K204" s="13"/>
      <c r="L204" s="7"/>
      <c r="M204" s="7" t="s">
        <v>233</v>
      </c>
      <c r="N204" s="7"/>
      <c r="O204" s="7" t="b">
        <f>IF(E204="隔週A", MOD(INT(('26414_編集版'!$C$1-DATE(2026,4,14))/7), 2)=1, IF(E204="隔週B", MOD(INT(('26414_編集版'!$C$1-DATE(2026,4,14))/7), 2)=0, FALSE))</f>
        <v>0</v>
      </c>
    </row>
    <row r="205" ht="17.25" customHeight="1">
      <c r="A205" s="37" t="s">
        <v>156</v>
      </c>
      <c r="B205" s="7">
        <v>19.0</v>
      </c>
      <c r="C205" s="41" t="s">
        <v>363</v>
      </c>
      <c r="D205" s="13">
        <v>0.4</v>
      </c>
      <c r="E205" s="7" t="s">
        <v>222</v>
      </c>
      <c r="F205" s="12" t="s">
        <v>188</v>
      </c>
      <c r="G205" s="41" t="s">
        <v>148</v>
      </c>
      <c r="H205" s="41"/>
      <c r="I205" s="41"/>
      <c r="J205" s="41"/>
      <c r="K205" s="41"/>
      <c r="L205" s="56"/>
      <c r="M205" s="7" t="s">
        <v>233</v>
      </c>
      <c r="N205" s="13"/>
      <c r="O205" s="7" t="b">
        <f>IF(E205="隔週A", MOD(INT(('26414_編集版'!$C$1-DATE(2026,4,14))/7), 2)=1, IF(E205="隔週B", MOD(INT(('26414_編集版'!$C$1-DATE(2026,4,14))/7), 2)=0, FALSE))</f>
        <v>0</v>
      </c>
    </row>
    <row r="206" ht="17.25" customHeight="1">
      <c r="A206" s="37" t="s">
        <v>165</v>
      </c>
      <c r="B206" s="7">
        <v>12.0</v>
      </c>
      <c r="C206" s="45" t="s">
        <v>364</v>
      </c>
      <c r="D206" s="38">
        <v>5.0</v>
      </c>
      <c r="E206" s="7" t="s">
        <v>222</v>
      </c>
      <c r="F206" s="61" t="s">
        <v>225</v>
      </c>
      <c r="G206" s="13" t="s">
        <v>148</v>
      </c>
      <c r="H206" s="13"/>
      <c r="I206" s="13"/>
      <c r="J206" s="13"/>
      <c r="K206" s="45"/>
      <c r="L206" s="45"/>
      <c r="M206" s="7" t="s">
        <v>191</v>
      </c>
      <c r="N206" s="7" t="s">
        <v>223</v>
      </c>
      <c r="O206" s="7" t="b">
        <f>IF(E206="隔週A", MOD(INT(('26414_編集版'!$C$1-DATE(2026,4,14))/7), 2)=1, IF(E206="隔週B", MOD(INT(('26414_編集版'!$C$1-DATE(2026,4,14))/7), 2)=0, FALSE))</f>
        <v>0</v>
      </c>
    </row>
    <row r="207" ht="17.25" customHeight="1">
      <c r="A207" s="37" t="s">
        <v>165</v>
      </c>
      <c r="B207" s="7">
        <v>12.0</v>
      </c>
      <c r="C207" s="45" t="s">
        <v>365</v>
      </c>
      <c r="D207" s="7">
        <v>2.9</v>
      </c>
      <c r="E207" s="7" t="s">
        <v>222</v>
      </c>
      <c r="F207" s="8"/>
      <c r="G207" s="13" t="s">
        <v>148</v>
      </c>
      <c r="H207" s="13"/>
      <c r="I207" s="13"/>
      <c r="J207" s="13"/>
      <c r="K207" s="45"/>
      <c r="L207" s="7"/>
      <c r="M207" s="7" t="s">
        <v>191</v>
      </c>
      <c r="N207" s="7" t="s">
        <v>223</v>
      </c>
      <c r="O207" s="7" t="b">
        <f>IF(E207="隔週A", MOD(INT(('26414_編集版'!$C$1-DATE(2026,4,14))/7), 2)=1, IF(E207="隔週B", MOD(INT(('26414_編集版'!$C$1-DATE(2026,4,14))/7), 2)=0, FALSE))</f>
        <v>0</v>
      </c>
    </row>
    <row r="208" ht="17.25" customHeight="1">
      <c r="A208" s="37" t="s">
        <v>165</v>
      </c>
      <c r="B208" s="7">
        <v>12.0</v>
      </c>
      <c r="C208" s="45" t="s">
        <v>366</v>
      </c>
      <c r="D208" s="7">
        <v>1.0</v>
      </c>
      <c r="E208" s="7" t="s">
        <v>222</v>
      </c>
      <c r="F208" s="8"/>
      <c r="G208" s="13" t="s">
        <v>148</v>
      </c>
      <c r="H208" s="13"/>
      <c r="I208" s="13"/>
      <c r="J208" s="13"/>
      <c r="K208" s="45"/>
      <c r="L208" s="7"/>
      <c r="M208" s="7" t="s">
        <v>191</v>
      </c>
      <c r="N208" s="7" t="s">
        <v>223</v>
      </c>
      <c r="O208" s="7" t="b">
        <f>IF(E208="隔週A", MOD(INT(('26414_編集版'!$C$1-DATE(2026,4,14))/7), 2)=1, IF(E208="隔週B", MOD(INT(('26414_編集版'!$C$1-DATE(2026,4,14))/7), 2)=0, FALSE))</f>
        <v>0</v>
      </c>
    </row>
    <row r="209" ht="17.25" customHeight="1">
      <c r="A209" s="37" t="s">
        <v>165</v>
      </c>
      <c r="B209" s="7">
        <v>12.0</v>
      </c>
      <c r="C209" s="45" t="s">
        <v>367</v>
      </c>
      <c r="D209" s="38">
        <v>0.8</v>
      </c>
      <c r="E209" s="7" t="s">
        <v>222</v>
      </c>
      <c r="F209" s="8"/>
      <c r="G209" s="13" t="s">
        <v>148</v>
      </c>
      <c r="H209" s="13"/>
      <c r="I209" s="13"/>
      <c r="J209" s="13"/>
      <c r="K209" s="45"/>
      <c r="L209" s="7"/>
      <c r="M209" s="7" t="s">
        <v>191</v>
      </c>
      <c r="N209" s="7" t="s">
        <v>223</v>
      </c>
      <c r="O209" s="7" t="b">
        <f>IF(E209="隔週A", MOD(INT(('26414_編集版'!$C$1-DATE(2026,4,14))/7), 2)=1, IF(E209="隔週B", MOD(INT(('26414_編集版'!$C$1-DATE(2026,4,14))/7), 2)=0, FALSE))</f>
        <v>0</v>
      </c>
    </row>
    <row r="210" ht="17.25" customHeight="1">
      <c r="A210" s="37" t="s">
        <v>165</v>
      </c>
      <c r="B210" s="7">
        <v>12.0</v>
      </c>
      <c r="C210" s="45" t="s">
        <v>368</v>
      </c>
      <c r="D210" s="7">
        <v>0.7</v>
      </c>
      <c r="E210" s="7" t="s">
        <v>222</v>
      </c>
      <c r="F210" s="8"/>
      <c r="G210" s="13" t="s">
        <v>148</v>
      </c>
      <c r="H210" s="13"/>
      <c r="I210" s="13"/>
      <c r="J210" s="13"/>
      <c r="K210" s="45"/>
      <c r="L210" s="7"/>
      <c r="M210" s="7" t="s">
        <v>191</v>
      </c>
      <c r="N210" s="7" t="s">
        <v>223</v>
      </c>
      <c r="O210" s="7" t="b">
        <f>IF(E210="隔週A", MOD(INT(('26414_編集版'!$C$1-DATE(2026,4,14))/7), 2)=1, IF(E210="隔週B", MOD(INT(('26414_編集版'!$C$1-DATE(2026,4,14))/7), 2)=0, FALSE))</f>
        <v>0</v>
      </c>
    </row>
    <row r="211" ht="17.25" customHeight="1">
      <c r="A211" s="37" t="s">
        <v>165</v>
      </c>
      <c r="B211" s="7">
        <v>17.0</v>
      </c>
      <c r="C211" s="45" t="s">
        <v>369</v>
      </c>
      <c r="D211" s="7">
        <v>5.0</v>
      </c>
      <c r="E211" s="7" t="s">
        <v>222</v>
      </c>
      <c r="F211" s="8"/>
      <c r="G211" s="7" t="s">
        <v>180</v>
      </c>
      <c r="H211" s="7"/>
      <c r="I211" s="7"/>
      <c r="J211" s="7"/>
      <c r="K211" s="45"/>
      <c r="L211" s="7"/>
      <c r="M211" s="7" t="s">
        <v>160</v>
      </c>
      <c r="N211" s="7" t="s">
        <v>223</v>
      </c>
      <c r="O211" s="7" t="b">
        <f>IF(E211="隔週A", MOD(INT(('26414_編集版'!$C$1-DATE(2026,4,14))/7), 2)=1, IF(E211="隔週B", MOD(INT(('26414_編集版'!$C$1-DATE(2026,4,14))/7), 2)=0, FALSE))</f>
        <v>0</v>
      </c>
    </row>
    <row r="212" ht="17.25" customHeight="1">
      <c r="A212" s="37" t="s">
        <v>165</v>
      </c>
      <c r="B212" s="7">
        <v>9.0</v>
      </c>
      <c r="C212" s="43" t="s">
        <v>370</v>
      </c>
      <c r="D212" s="52">
        <v>1.5</v>
      </c>
      <c r="E212" s="7" t="s">
        <v>222</v>
      </c>
      <c r="F212" s="53"/>
      <c r="G212" s="52" t="s">
        <v>148</v>
      </c>
      <c r="H212" s="52"/>
      <c r="I212" s="52"/>
      <c r="J212" s="52"/>
      <c r="K212" s="43"/>
      <c r="L212" s="52"/>
      <c r="M212" s="52" t="s">
        <v>152</v>
      </c>
      <c r="N212" s="52" t="s">
        <v>158</v>
      </c>
      <c r="O212" s="7" t="b">
        <f>IF(E212="隔週A", MOD(INT(('26414_編集版'!$C$1-DATE(2026,4,14))/7), 2)=1, IF(E212="隔週B", MOD(INT(('26414_編集版'!$C$1-DATE(2026,4,14))/7), 2)=0, FALSE))</f>
        <v>0</v>
      </c>
    </row>
    <row r="213" ht="17.25" customHeight="1">
      <c r="A213" s="37" t="s">
        <v>165</v>
      </c>
      <c r="B213" s="7">
        <v>21.0</v>
      </c>
      <c r="C213" s="56" t="s">
        <v>371</v>
      </c>
      <c r="D213" s="7">
        <v>6.7</v>
      </c>
      <c r="E213" s="7" t="s">
        <v>222</v>
      </c>
      <c r="F213" s="8"/>
      <c r="G213" s="7" t="s">
        <v>148</v>
      </c>
      <c r="H213" s="7"/>
      <c r="I213" s="7"/>
      <c r="J213" s="7"/>
      <c r="K213" s="56"/>
      <c r="L213" s="7"/>
      <c r="M213" s="7" t="s">
        <v>233</v>
      </c>
      <c r="N213" s="7"/>
      <c r="O213" s="7" t="b">
        <f>IF(E213="隔週A", MOD(INT(('26414_編集版'!$C$1-DATE(2026,4,14))/7), 2)=1, IF(E213="隔週B", MOD(INT(('26414_編集版'!$C$1-DATE(2026,4,14))/7), 2)=0, FALSE))</f>
        <v>0</v>
      </c>
    </row>
    <row r="214" ht="17.25" customHeight="1">
      <c r="A214" s="37" t="s">
        <v>165</v>
      </c>
      <c r="B214" s="7">
        <v>11.0</v>
      </c>
      <c r="C214" s="45" t="s">
        <v>372</v>
      </c>
      <c r="D214" s="7">
        <v>0.3</v>
      </c>
      <c r="E214" s="7" t="s">
        <v>222</v>
      </c>
      <c r="F214" s="8"/>
      <c r="G214" s="13" t="s">
        <v>148</v>
      </c>
      <c r="H214" s="13"/>
      <c r="I214" s="13"/>
      <c r="J214" s="13"/>
      <c r="K214" s="45"/>
      <c r="L214" s="7"/>
      <c r="M214" s="7" t="s">
        <v>233</v>
      </c>
      <c r="N214" s="7"/>
      <c r="O214" s="7" t="b">
        <f>IF(E214="隔週A", MOD(INT(('26414_編集版'!$C$1-DATE(2026,4,14))/7), 2)=1, IF(E214="隔週B", MOD(INT(('26414_編集版'!$C$1-DATE(2026,4,14))/7), 2)=0, FALSE))</f>
        <v>0</v>
      </c>
    </row>
    <row r="215" ht="17.25" customHeight="1">
      <c r="A215" s="37" t="s">
        <v>165</v>
      </c>
      <c r="B215" s="7">
        <v>8.0</v>
      </c>
      <c r="C215" s="13" t="s">
        <v>373</v>
      </c>
      <c r="D215" s="13">
        <v>1.8</v>
      </c>
      <c r="E215" s="7" t="s">
        <v>222</v>
      </c>
      <c r="F215" s="8"/>
      <c r="G215" s="41" t="s">
        <v>148</v>
      </c>
      <c r="H215" s="41"/>
      <c r="I215" s="41"/>
      <c r="J215" s="41"/>
      <c r="K215" s="13"/>
      <c r="L215" s="7"/>
      <c r="M215" s="7" t="s">
        <v>233</v>
      </c>
      <c r="N215" s="13"/>
      <c r="O215" s="7" t="b">
        <f>IF(E215="隔週A", MOD(INT(('26414_編集版'!$C$1-DATE(2026,4,14))/7), 2)=1, IF(E215="隔週B", MOD(INT(('26414_編集版'!$C$1-DATE(2026,4,14))/7), 2)=0, FALSE))</f>
        <v>0</v>
      </c>
    </row>
    <row r="216" ht="17.25" customHeight="1">
      <c r="A216" s="37" t="s">
        <v>165</v>
      </c>
      <c r="B216" s="38">
        <v>14.0</v>
      </c>
      <c r="C216" s="13" t="s">
        <v>374</v>
      </c>
      <c r="D216" s="13">
        <v>3.7</v>
      </c>
      <c r="E216" s="7" t="s">
        <v>222</v>
      </c>
      <c r="F216" s="8"/>
      <c r="G216" s="13" t="s">
        <v>148</v>
      </c>
      <c r="H216" s="13"/>
      <c r="I216" s="13"/>
      <c r="J216" s="13"/>
      <c r="K216" s="13"/>
      <c r="L216" s="7"/>
      <c r="M216" s="7" t="s">
        <v>233</v>
      </c>
      <c r="N216" s="7"/>
      <c r="O216" s="7" t="b">
        <f>IF(E216="隔週A", MOD(INT(('26414_編集版'!$C$1-DATE(2026,4,14))/7), 2)=1, IF(E216="隔週B", MOD(INT(('26414_編集版'!$C$1-DATE(2026,4,14))/7), 2)=0, FALSE))</f>
        <v>0</v>
      </c>
    </row>
    <row r="217" ht="17.25" customHeight="1">
      <c r="A217" s="37" t="s">
        <v>165</v>
      </c>
      <c r="B217" s="7">
        <v>8.0</v>
      </c>
      <c r="C217" s="13" t="s">
        <v>375</v>
      </c>
      <c r="D217" s="13">
        <v>5.7</v>
      </c>
      <c r="E217" s="7" t="s">
        <v>222</v>
      </c>
      <c r="F217" s="77"/>
      <c r="G217" s="41" t="s">
        <v>148</v>
      </c>
      <c r="H217" s="41"/>
      <c r="I217" s="41"/>
      <c r="J217" s="41"/>
      <c r="K217" s="13"/>
      <c r="L217" s="67"/>
      <c r="M217" s="67" t="s">
        <v>150</v>
      </c>
      <c r="N217" s="67" t="s">
        <v>152</v>
      </c>
      <c r="O217" s="7" t="b">
        <f>IF(E217="隔週A", MOD(INT(('26414_編集版'!$C$1-DATE(2026,4,14))/7), 2)=1, IF(E217="隔週B", MOD(INT(('26414_編集版'!$C$1-DATE(2026,4,14))/7), 2)=0, FALSE))</f>
        <v>0</v>
      </c>
    </row>
    <row r="218" ht="17.25" customHeight="1">
      <c r="A218" s="37" t="s">
        <v>165</v>
      </c>
      <c r="B218" s="7">
        <v>9.0</v>
      </c>
      <c r="C218" s="13" t="s">
        <v>376</v>
      </c>
      <c r="D218" s="7">
        <v>0.4</v>
      </c>
      <c r="E218" s="7" t="s">
        <v>222</v>
      </c>
      <c r="F218" s="8"/>
      <c r="G218" s="7" t="s">
        <v>148</v>
      </c>
      <c r="H218" s="7"/>
      <c r="I218" s="7"/>
      <c r="J218" s="7"/>
      <c r="K218" s="13"/>
      <c r="L218" s="7"/>
      <c r="M218" s="7" t="s">
        <v>233</v>
      </c>
      <c r="N218" s="7"/>
      <c r="O218" s="7" t="b">
        <f>IF(E218="隔週A", MOD(INT(('26414_編集版'!$C$1-DATE(2026,4,14))/7), 2)=1, IF(E218="隔週B", MOD(INT(('26414_編集版'!$C$1-DATE(2026,4,14))/7), 2)=0, FALSE))</f>
        <v>0</v>
      </c>
    </row>
    <row r="219" ht="17.25" customHeight="1">
      <c r="A219" s="37" t="s">
        <v>165</v>
      </c>
      <c r="B219" s="38">
        <v>15.0</v>
      </c>
      <c r="C219" s="45" t="s">
        <v>377</v>
      </c>
      <c r="D219" s="7">
        <v>4.7</v>
      </c>
      <c r="E219" s="7" t="s">
        <v>222</v>
      </c>
      <c r="F219" s="8"/>
      <c r="G219" s="13" t="s">
        <v>148</v>
      </c>
      <c r="H219" s="13"/>
      <c r="I219" s="13"/>
      <c r="J219" s="13"/>
      <c r="K219" s="45"/>
      <c r="L219" s="7"/>
      <c r="M219" s="7" t="s">
        <v>233</v>
      </c>
      <c r="N219" s="13"/>
      <c r="O219" s="7" t="b">
        <f>IF(E219="隔週A", MOD(INT(('26414_編集版'!$C$1-DATE(2026,4,14))/7), 2)=1, IF(E219="隔週B", MOD(INT(('26414_編集版'!$C$1-DATE(2026,4,14))/7), 2)=0, FALSE))</f>
        <v>0</v>
      </c>
    </row>
    <row r="220" ht="17.25" customHeight="1">
      <c r="A220" s="37" t="s">
        <v>165</v>
      </c>
      <c r="B220" s="38">
        <v>15.0</v>
      </c>
      <c r="C220" s="45" t="s">
        <v>378</v>
      </c>
      <c r="D220" s="7">
        <v>0.3</v>
      </c>
      <c r="E220" s="7" t="s">
        <v>222</v>
      </c>
      <c r="F220" s="8"/>
      <c r="G220" s="13" t="s">
        <v>148</v>
      </c>
      <c r="H220" s="13"/>
      <c r="I220" s="13"/>
      <c r="J220" s="13"/>
      <c r="K220" s="45"/>
      <c r="L220" s="7"/>
      <c r="M220" s="7" t="s">
        <v>233</v>
      </c>
      <c r="N220" s="7"/>
      <c r="O220" s="7" t="b">
        <f>IF(E220="隔週A", MOD(INT(('26414_編集版'!$C$1-DATE(2026,4,14))/7), 2)=1, IF(E220="隔週B", MOD(INT(('26414_編集版'!$C$1-DATE(2026,4,14))/7), 2)=0, FALSE))</f>
        <v>0</v>
      </c>
    </row>
    <row r="221" ht="17.25" customHeight="1">
      <c r="A221" s="37" t="s">
        <v>165</v>
      </c>
      <c r="B221" s="7">
        <v>8.0</v>
      </c>
      <c r="C221" s="13" t="s">
        <v>247</v>
      </c>
      <c r="D221" s="13">
        <v>0.1</v>
      </c>
      <c r="E221" s="7" t="s">
        <v>222</v>
      </c>
      <c r="F221" s="8"/>
      <c r="G221" s="7" t="s">
        <v>148</v>
      </c>
      <c r="H221" s="7"/>
      <c r="I221" s="7"/>
      <c r="J221" s="7"/>
      <c r="K221" s="13"/>
      <c r="L221" s="7"/>
      <c r="M221" s="7" t="s">
        <v>233</v>
      </c>
      <c r="N221" s="67"/>
      <c r="O221" s="7" t="b">
        <f>IF(E221="隔週A", MOD(INT(('26414_編集版'!$C$1-DATE(2026,4,14))/7), 2)=1, IF(E221="隔週B", MOD(INT(('26414_編集版'!$C$1-DATE(2026,4,14))/7), 2)=0, FALSE))</f>
        <v>0</v>
      </c>
    </row>
    <row r="222" ht="17.25" customHeight="1">
      <c r="A222" s="37" t="s">
        <v>165</v>
      </c>
      <c r="B222" s="7">
        <v>21.0</v>
      </c>
      <c r="C222" s="13" t="s">
        <v>248</v>
      </c>
      <c r="D222" s="44">
        <v>0.1</v>
      </c>
      <c r="E222" s="7" t="s">
        <v>222</v>
      </c>
      <c r="F222" s="8"/>
      <c r="G222" s="13" t="s">
        <v>148</v>
      </c>
      <c r="H222" s="13"/>
      <c r="I222" s="13"/>
      <c r="J222" s="13"/>
      <c r="K222" s="13"/>
      <c r="L222" s="7"/>
      <c r="M222" s="7" t="s">
        <v>233</v>
      </c>
      <c r="N222" s="44"/>
      <c r="O222" s="7" t="b">
        <f>IF(E222="隔週A", MOD(INT(('26414_編集版'!$C$1-DATE(2026,4,14))/7), 2)=1, IF(E222="隔週B", MOD(INT(('26414_編集版'!$C$1-DATE(2026,4,14))/7), 2)=0, FALSE))</f>
        <v>0</v>
      </c>
    </row>
    <row r="223" ht="17.25" customHeight="1">
      <c r="A223" s="37" t="s">
        <v>165</v>
      </c>
      <c r="B223" s="7">
        <v>21.0</v>
      </c>
      <c r="C223" s="41" t="s">
        <v>249</v>
      </c>
      <c r="D223" s="44">
        <v>0.1</v>
      </c>
      <c r="E223" s="7" t="s">
        <v>222</v>
      </c>
      <c r="F223" s="8"/>
      <c r="G223" s="41" t="s">
        <v>180</v>
      </c>
      <c r="H223" s="41"/>
      <c r="I223" s="41"/>
      <c r="J223" s="41"/>
      <c r="K223" s="41"/>
      <c r="L223" s="7"/>
      <c r="M223" s="7" t="s">
        <v>233</v>
      </c>
      <c r="N223" s="41"/>
      <c r="O223" s="7" t="b">
        <f>IF(E223="隔週A", MOD(INT(('26414_編集版'!$C$1-DATE(2026,4,14))/7), 2)=1, IF(E223="隔週B", MOD(INT(('26414_編集版'!$C$1-DATE(2026,4,14))/7), 2)=0, FALSE))</f>
        <v>0</v>
      </c>
    </row>
    <row r="224" ht="17.25" customHeight="1">
      <c r="A224" s="37" t="s">
        <v>165</v>
      </c>
      <c r="B224" s="7">
        <v>21.0</v>
      </c>
      <c r="C224" s="45" t="s">
        <v>379</v>
      </c>
      <c r="D224" s="7">
        <v>0.5</v>
      </c>
      <c r="E224" s="7" t="s">
        <v>222</v>
      </c>
      <c r="F224" s="8"/>
      <c r="G224" s="13" t="s">
        <v>148</v>
      </c>
      <c r="H224" s="13"/>
      <c r="I224" s="13"/>
      <c r="J224" s="13"/>
      <c r="K224" s="45"/>
      <c r="L224" s="7"/>
      <c r="M224" s="7" t="s">
        <v>233</v>
      </c>
      <c r="N224" s="7"/>
      <c r="O224" s="7" t="b">
        <f>IF(E224="隔週A", MOD(INT(('26414_編集版'!$C$1-DATE(2026,4,14))/7), 2)=1, IF(E224="隔週B", MOD(INT(('26414_編集版'!$C$1-DATE(2026,4,14))/7), 2)=0, FALSE))</f>
        <v>0</v>
      </c>
    </row>
    <row r="225" ht="17.25" customHeight="1">
      <c r="A225" s="37" t="s">
        <v>165</v>
      </c>
      <c r="B225" s="7">
        <v>8.0</v>
      </c>
      <c r="C225" s="45" t="s">
        <v>380</v>
      </c>
      <c r="D225" s="7">
        <v>0.4</v>
      </c>
      <c r="E225" s="7" t="s">
        <v>222</v>
      </c>
      <c r="F225" s="8"/>
      <c r="G225" s="7" t="s">
        <v>148</v>
      </c>
      <c r="H225" s="7"/>
      <c r="I225" s="7"/>
      <c r="J225" s="7"/>
      <c r="K225" s="45"/>
      <c r="L225" s="7"/>
      <c r="M225" s="7" t="s">
        <v>233</v>
      </c>
      <c r="N225" s="7"/>
      <c r="O225" s="7" t="b">
        <f>IF(E225="隔週A", MOD(INT(('26414_編集版'!$C$1-DATE(2026,4,14))/7), 2)=1, IF(E225="隔週B", MOD(INT(('26414_編集版'!$C$1-DATE(2026,4,14))/7), 2)=0, FALSE))</f>
        <v>0</v>
      </c>
    </row>
    <row r="226" ht="17.25" customHeight="1">
      <c r="A226" s="37" t="s">
        <v>165</v>
      </c>
      <c r="B226" s="7">
        <v>19.0</v>
      </c>
      <c r="C226" s="49" t="s">
        <v>381</v>
      </c>
      <c r="D226" s="7">
        <v>0.2</v>
      </c>
      <c r="E226" s="7" t="s">
        <v>222</v>
      </c>
      <c r="F226" s="8"/>
      <c r="G226" s="7" t="s">
        <v>148</v>
      </c>
      <c r="H226" s="7"/>
      <c r="I226" s="7"/>
      <c r="J226" s="7"/>
      <c r="K226" s="49"/>
      <c r="L226" s="7"/>
      <c r="M226" s="7" t="s">
        <v>233</v>
      </c>
      <c r="N226" s="7"/>
      <c r="O226" s="7" t="b">
        <f>IF(E226="隔週A", MOD(INT(('26414_編集版'!$C$1-DATE(2026,4,14))/7), 2)=1, IF(E226="隔週B", MOD(INT(('26414_編集版'!$C$1-DATE(2026,4,14))/7), 2)=0, FALSE))</f>
        <v>0</v>
      </c>
    </row>
    <row r="227" ht="17.25" customHeight="1">
      <c r="A227" s="37" t="s">
        <v>165</v>
      </c>
      <c r="B227" s="7">
        <v>19.0</v>
      </c>
      <c r="C227" s="13" t="s">
        <v>382</v>
      </c>
      <c r="D227" s="7">
        <v>0.7</v>
      </c>
      <c r="E227" s="7" t="s">
        <v>222</v>
      </c>
      <c r="F227" s="8"/>
      <c r="G227" s="13" t="s">
        <v>148</v>
      </c>
      <c r="H227" s="13"/>
      <c r="I227" s="13"/>
      <c r="J227" s="13"/>
      <c r="K227" s="13"/>
      <c r="L227" s="7"/>
      <c r="M227" s="7" t="s">
        <v>233</v>
      </c>
      <c r="N227" s="7"/>
      <c r="O227" s="7" t="b">
        <f>IF(E227="隔週A", MOD(INT(('26414_編集版'!$C$1-DATE(2026,4,14))/7), 2)=1, IF(E227="隔週B", MOD(INT(('26414_編集版'!$C$1-DATE(2026,4,14))/7), 2)=0, FALSE))</f>
        <v>0</v>
      </c>
    </row>
    <row r="228" ht="17.25" customHeight="1">
      <c r="A228" s="37" t="s">
        <v>165</v>
      </c>
      <c r="B228" s="7">
        <v>19.0</v>
      </c>
      <c r="C228" s="13" t="s">
        <v>383</v>
      </c>
      <c r="D228" s="7">
        <v>0.6</v>
      </c>
      <c r="E228" s="7" t="s">
        <v>222</v>
      </c>
      <c r="F228" s="8"/>
      <c r="G228" s="13" t="s">
        <v>148</v>
      </c>
      <c r="H228" s="13"/>
      <c r="I228" s="13"/>
      <c r="J228" s="13"/>
      <c r="K228" s="13"/>
      <c r="L228" s="7"/>
      <c r="M228" s="7" t="s">
        <v>233</v>
      </c>
      <c r="N228" s="7"/>
      <c r="O228" s="7" t="b">
        <f>IF(E228="隔週A", MOD(INT(('26414_編集版'!$C$1-DATE(2026,4,14))/7), 2)=1, IF(E228="隔週B", MOD(INT(('26414_編集版'!$C$1-DATE(2026,4,14))/7), 2)=0, FALSE))</f>
        <v>0</v>
      </c>
    </row>
    <row r="229" ht="17.25" customHeight="1">
      <c r="A229" s="37" t="s">
        <v>165</v>
      </c>
      <c r="B229" s="7">
        <v>11.0</v>
      </c>
      <c r="C229" s="45" t="s">
        <v>384</v>
      </c>
      <c r="D229" s="7">
        <v>5.7</v>
      </c>
      <c r="E229" s="7" t="s">
        <v>222</v>
      </c>
      <c r="F229" s="8"/>
      <c r="G229" s="13" t="s">
        <v>148</v>
      </c>
      <c r="H229" s="13"/>
      <c r="I229" s="13"/>
      <c r="J229" s="13"/>
      <c r="K229" s="45"/>
      <c r="L229" s="7"/>
      <c r="M229" s="7" t="s">
        <v>233</v>
      </c>
      <c r="N229" s="7"/>
      <c r="O229" s="7" t="b">
        <f>IF(E229="隔週A", MOD(INT(('26414_編集版'!$C$1-DATE(2026,4,14))/7), 2)=1, IF(E229="隔週B", MOD(INT(('26414_編集版'!$C$1-DATE(2026,4,14))/7), 2)=0, FALSE))</f>
        <v>0</v>
      </c>
    </row>
    <row r="230" ht="17.25" customHeight="1">
      <c r="A230" s="37" t="s">
        <v>165</v>
      </c>
      <c r="B230" s="7">
        <v>20.0</v>
      </c>
      <c r="C230" s="39" t="s">
        <v>385</v>
      </c>
      <c r="D230" s="7">
        <v>2.1</v>
      </c>
      <c r="E230" s="7" t="s">
        <v>222</v>
      </c>
      <c r="F230" s="8"/>
      <c r="G230" s="7" t="s">
        <v>148</v>
      </c>
      <c r="H230" s="7"/>
      <c r="I230" s="7"/>
      <c r="J230" s="7"/>
      <c r="K230" s="39"/>
      <c r="L230" s="7"/>
      <c r="M230" s="7" t="s">
        <v>233</v>
      </c>
      <c r="N230" s="52"/>
      <c r="O230" s="7" t="b">
        <f>IF(E230="隔週A", MOD(INT(('26414_編集版'!$C$1-DATE(2026,4,14))/7), 2)=1, IF(E230="隔週B", MOD(INT(('26414_編集版'!$C$1-DATE(2026,4,14))/7), 2)=0, FALSE))</f>
        <v>0</v>
      </c>
    </row>
    <row r="231" ht="17.25" customHeight="1">
      <c r="A231" s="37" t="s">
        <v>165</v>
      </c>
      <c r="B231" s="7">
        <v>20.0</v>
      </c>
      <c r="C231" s="39" t="s">
        <v>386</v>
      </c>
      <c r="D231" s="7">
        <v>0.7</v>
      </c>
      <c r="E231" s="7" t="s">
        <v>222</v>
      </c>
      <c r="F231" s="8"/>
      <c r="G231" s="7" t="s">
        <v>148</v>
      </c>
      <c r="H231" s="7"/>
      <c r="I231" s="7"/>
      <c r="J231" s="7"/>
      <c r="K231" s="39"/>
      <c r="L231" s="7"/>
      <c r="M231" s="7" t="s">
        <v>233</v>
      </c>
      <c r="N231" s="7"/>
      <c r="O231" s="7" t="b">
        <f>IF(E231="隔週A", MOD(INT(('26414_編集版'!$C$1-DATE(2026,4,14))/7), 2)=1, IF(E231="隔週B", MOD(INT(('26414_編集版'!$C$1-DATE(2026,4,14))/7), 2)=0, FALSE))</f>
        <v>0</v>
      </c>
    </row>
    <row r="232" ht="17.25" customHeight="1">
      <c r="A232" s="37" t="s">
        <v>165</v>
      </c>
      <c r="B232" s="7">
        <v>10.0</v>
      </c>
      <c r="C232" s="43" t="s">
        <v>387</v>
      </c>
      <c r="D232" s="39">
        <v>0.6</v>
      </c>
      <c r="E232" s="7" t="s">
        <v>222</v>
      </c>
      <c r="F232" s="8"/>
      <c r="G232" s="7" t="s">
        <v>148</v>
      </c>
      <c r="H232" s="7"/>
      <c r="I232" s="7"/>
      <c r="J232" s="7"/>
      <c r="K232" s="43"/>
      <c r="L232" s="7"/>
      <c r="M232" s="7" t="s">
        <v>233</v>
      </c>
      <c r="N232" s="7"/>
      <c r="O232" s="7" t="b">
        <f>IF(E232="隔週A", MOD(INT(('26414_編集版'!$C$1-DATE(2026,4,14))/7), 2)=1, IF(E232="隔週B", MOD(INT(('26414_編集版'!$C$1-DATE(2026,4,14))/7), 2)=0, FALSE))</f>
        <v>0</v>
      </c>
    </row>
    <row r="233" ht="17.25" customHeight="1">
      <c r="A233" s="37" t="s">
        <v>165</v>
      </c>
      <c r="B233" s="38">
        <v>15.0</v>
      </c>
      <c r="C233" s="45" t="s">
        <v>388</v>
      </c>
      <c r="D233" s="7">
        <v>0.5</v>
      </c>
      <c r="E233" s="7" t="s">
        <v>222</v>
      </c>
      <c r="F233" s="8"/>
      <c r="G233" s="13" t="s">
        <v>148</v>
      </c>
      <c r="H233" s="13"/>
      <c r="I233" s="13"/>
      <c r="J233" s="13"/>
      <c r="K233" s="45"/>
      <c r="L233" s="7"/>
      <c r="M233" s="7" t="s">
        <v>233</v>
      </c>
      <c r="N233" s="13"/>
      <c r="O233" s="7" t="b">
        <f>IF(E233="隔週A", MOD(INT(('26414_編集版'!$C$1-DATE(2026,4,14))/7), 2)=1, IF(E233="隔週B", MOD(INT(('26414_編集版'!$C$1-DATE(2026,4,14))/7), 2)=0, FALSE))</f>
        <v>0</v>
      </c>
    </row>
    <row r="234" ht="17.25" customHeight="1">
      <c r="A234" s="37" t="s">
        <v>165</v>
      </c>
      <c r="B234" s="7">
        <v>11.0</v>
      </c>
      <c r="C234" s="45" t="s">
        <v>389</v>
      </c>
      <c r="D234" s="7">
        <v>0.5</v>
      </c>
      <c r="E234" s="7" t="s">
        <v>222</v>
      </c>
      <c r="F234" s="8"/>
      <c r="G234" s="13" t="s">
        <v>148</v>
      </c>
      <c r="H234" s="13"/>
      <c r="I234" s="13"/>
      <c r="J234" s="13"/>
      <c r="K234" s="45"/>
      <c r="L234" s="7"/>
      <c r="M234" s="7" t="s">
        <v>233</v>
      </c>
      <c r="N234" s="7"/>
      <c r="O234" s="7" t="b">
        <f>IF(E234="隔週A", MOD(INT(('26414_編集版'!$C$1-DATE(2026,4,14))/7), 2)=1, IF(E234="隔週B", MOD(INT(('26414_編集版'!$C$1-DATE(2026,4,14))/7), 2)=0, FALSE))</f>
        <v>0</v>
      </c>
    </row>
    <row r="235" ht="17.25" customHeight="1">
      <c r="A235" s="37" t="s">
        <v>165</v>
      </c>
      <c r="B235" s="7">
        <v>20.0</v>
      </c>
      <c r="C235" s="39" t="s">
        <v>390</v>
      </c>
      <c r="D235" s="7">
        <v>1.8</v>
      </c>
      <c r="E235" s="7" t="s">
        <v>222</v>
      </c>
      <c r="F235" s="8"/>
      <c r="G235" s="7" t="s">
        <v>148</v>
      </c>
      <c r="H235" s="7" t="s">
        <v>140</v>
      </c>
      <c r="I235" s="7" t="s">
        <v>141</v>
      </c>
      <c r="J235" s="7" t="s">
        <v>142</v>
      </c>
      <c r="K235" s="39"/>
      <c r="L235" s="7"/>
      <c r="M235" s="7" t="s">
        <v>233</v>
      </c>
      <c r="N235" s="7"/>
      <c r="O235" s="7" t="b">
        <f>IF(E235="隔週A", MOD(INT(('26414_編集版'!$C$1-DATE(2026,4,14))/7), 2)=1, IF(E235="隔週B", MOD(INT(('26414_編集版'!$C$1-DATE(2026,4,14))/7), 2)=0, FALSE))</f>
        <v>0</v>
      </c>
    </row>
    <row r="236" ht="17.25" customHeight="1">
      <c r="A236" s="37" t="s">
        <v>165</v>
      </c>
      <c r="B236" s="7">
        <v>20.0</v>
      </c>
      <c r="C236" s="76" t="s">
        <v>391</v>
      </c>
      <c r="D236" s="43">
        <v>1.4</v>
      </c>
      <c r="E236" s="7" t="s">
        <v>222</v>
      </c>
      <c r="F236" s="8"/>
      <c r="G236" s="76" t="s">
        <v>148</v>
      </c>
      <c r="H236" s="76"/>
      <c r="I236" s="76"/>
      <c r="J236" s="76"/>
      <c r="K236" s="76"/>
      <c r="L236" s="7"/>
      <c r="M236" s="7" t="s">
        <v>233</v>
      </c>
      <c r="N236" s="7"/>
      <c r="O236" s="7" t="b">
        <f>IF(E236="隔週A", MOD(INT(('26414_編集版'!$C$1-DATE(2026,4,14))/7), 2)=1, IF(E236="隔週B", MOD(INT(('26414_編集版'!$C$1-DATE(2026,4,14))/7), 2)=0, FALSE))</f>
        <v>0</v>
      </c>
    </row>
    <row r="237" ht="17.25" customHeight="1">
      <c r="A237" s="37" t="s">
        <v>165</v>
      </c>
      <c r="B237" s="7">
        <v>20.0</v>
      </c>
      <c r="C237" s="39" t="s">
        <v>65</v>
      </c>
      <c r="D237" s="7">
        <v>0.1</v>
      </c>
      <c r="E237" s="7" t="s">
        <v>222</v>
      </c>
      <c r="F237" s="8"/>
      <c r="G237" s="7" t="s">
        <v>148</v>
      </c>
      <c r="H237" s="7"/>
      <c r="I237" s="7"/>
      <c r="J237" s="7"/>
      <c r="K237" s="39"/>
      <c r="L237" s="7"/>
      <c r="M237" s="7" t="s">
        <v>191</v>
      </c>
      <c r="N237" s="7" t="s">
        <v>160</v>
      </c>
      <c r="O237" s="7" t="b">
        <f>IF(E237="隔週A", MOD(INT(('26414_編集版'!$C$1-DATE(2026,4,14))/7), 2)=1, IF(E237="隔週B", MOD(INT(('26414_編集版'!$C$1-DATE(2026,4,14))/7), 2)=0, FALSE))</f>
        <v>0</v>
      </c>
    </row>
    <row r="238" ht="17.25" customHeight="1">
      <c r="A238" s="37" t="s">
        <v>165</v>
      </c>
      <c r="B238" s="7">
        <v>8.0</v>
      </c>
      <c r="C238" s="60" t="s">
        <v>392</v>
      </c>
      <c r="D238" s="7">
        <v>0.8</v>
      </c>
      <c r="E238" s="7" t="s">
        <v>222</v>
      </c>
      <c r="F238" s="8"/>
      <c r="G238" s="7" t="s">
        <v>148</v>
      </c>
      <c r="H238" s="7"/>
      <c r="I238" s="7"/>
      <c r="J238" s="7"/>
      <c r="K238" s="60"/>
      <c r="L238" s="7"/>
      <c r="M238" s="7" t="s">
        <v>233</v>
      </c>
      <c r="N238" s="44"/>
      <c r="O238" s="7" t="b">
        <f>IF(E238="隔週A", MOD(INT(('26414_編集版'!$C$1-DATE(2026,4,14))/7), 2)=1, IF(E238="隔週B", MOD(INT(('26414_編集版'!$C$1-DATE(2026,4,14))/7), 2)=0, FALSE))</f>
        <v>0</v>
      </c>
    </row>
    <row r="239" ht="17.25" customHeight="1">
      <c r="A239" s="37" t="s">
        <v>165</v>
      </c>
      <c r="B239" s="7">
        <v>8.0</v>
      </c>
      <c r="C239" s="56" t="s">
        <v>393</v>
      </c>
      <c r="D239" s="7">
        <v>0.4</v>
      </c>
      <c r="E239" s="7" t="s">
        <v>222</v>
      </c>
      <c r="F239" s="8"/>
      <c r="G239" s="7" t="s">
        <v>148</v>
      </c>
      <c r="H239" s="7"/>
      <c r="I239" s="7"/>
      <c r="J239" s="7"/>
      <c r="K239" s="56"/>
      <c r="L239" s="7"/>
      <c r="M239" s="7" t="s">
        <v>233</v>
      </c>
      <c r="N239" s="44"/>
      <c r="O239" s="7" t="b">
        <f>IF(E239="隔週A", MOD(INT(('26414_編集版'!$C$1-DATE(2026,4,14))/7), 2)=1, IF(E239="隔週B", MOD(INT(('26414_編集版'!$C$1-DATE(2026,4,14))/7), 2)=0, FALSE))</f>
        <v>0</v>
      </c>
    </row>
    <row r="240" ht="17.25" customHeight="1">
      <c r="A240" s="37" t="s">
        <v>169</v>
      </c>
      <c r="B240" s="7">
        <v>8.0</v>
      </c>
      <c r="C240" s="47" t="s">
        <v>394</v>
      </c>
      <c r="D240" s="41">
        <v>7.0</v>
      </c>
      <c r="E240" s="7" t="s">
        <v>222</v>
      </c>
      <c r="F240" s="59"/>
      <c r="G240" s="41" t="s">
        <v>148</v>
      </c>
      <c r="H240" s="41"/>
      <c r="I240" s="41"/>
      <c r="J240" s="41"/>
      <c r="K240" s="47"/>
      <c r="L240" s="41"/>
      <c r="M240" s="41" t="s">
        <v>223</v>
      </c>
      <c r="N240" s="41" t="s">
        <v>191</v>
      </c>
      <c r="O240" s="7" t="b">
        <f>IF(E240="隔週A", MOD(INT(('26414_編集版'!$C$1-DATE(2026,4,14))/7), 2)=1, IF(E240="隔週B", MOD(INT(('26414_編集版'!$C$1-DATE(2026,4,14))/7), 2)=0, FALSE))</f>
        <v>0</v>
      </c>
    </row>
    <row r="241" ht="17.25" customHeight="1">
      <c r="A241" s="37" t="s">
        <v>169</v>
      </c>
      <c r="B241" s="38">
        <v>14.0</v>
      </c>
      <c r="C241" s="45" t="s">
        <v>395</v>
      </c>
      <c r="D241" s="7">
        <v>4.0</v>
      </c>
      <c r="E241" s="7" t="s">
        <v>222</v>
      </c>
      <c r="F241" s="8"/>
      <c r="G241" s="7" t="s">
        <v>148</v>
      </c>
      <c r="H241" s="7"/>
      <c r="I241" s="7"/>
      <c r="J241" s="7"/>
      <c r="K241" s="45"/>
      <c r="L241" s="7"/>
      <c r="M241" s="7" t="s">
        <v>223</v>
      </c>
      <c r="N241" s="7" t="s">
        <v>191</v>
      </c>
      <c r="O241" s="7" t="b">
        <f>IF(E241="隔週A", MOD(INT(('26414_編集版'!$C$1-DATE(2026,4,14))/7), 2)=1, IF(E241="隔週B", MOD(INT(('26414_編集版'!$C$1-DATE(2026,4,14))/7), 2)=0, FALSE))</f>
        <v>0</v>
      </c>
    </row>
    <row r="242" ht="17.25" customHeight="1">
      <c r="A242" s="37" t="s">
        <v>169</v>
      </c>
      <c r="B242" s="7">
        <v>16.0</v>
      </c>
      <c r="C242" s="51" t="s">
        <v>396</v>
      </c>
      <c r="D242" s="7">
        <v>4.0</v>
      </c>
      <c r="E242" s="7" t="s">
        <v>222</v>
      </c>
      <c r="F242" s="8"/>
      <c r="G242" s="7" t="s">
        <v>148</v>
      </c>
      <c r="H242" s="7"/>
      <c r="I242" s="7"/>
      <c r="J242" s="7"/>
      <c r="K242" s="51"/>
      <c r="L242" s="7"/>
      <c r="M242" s="7" t="s">
        <v>223</v>
      </c>
      <c r="N242" s="7" t="s">
        <v>191</v>
      </c>
      <c r="O242" s="7" t="b">
        <f>IF(E242="隔週A", MOD(INT(('26414_編集版'!$C$1-DATE(2026,4,14))/7), 2)=1, IF(E242="隔週B", MOD(INT(('26414_編集版'!$C$1-DATE(2026,4,14))/7), 2)=0, FALSE))</f>
        <v>0</v>
      </c>
    </row>
    <row r="243" ht="17.25" customHeight="1">
      <c r="A243" s="37" t="s">
        <v>169</v>
      </c>
      <c r="B243" s="7">
        <v>20.0</v>
      </c>
      <c r="C243" s="45" t="s">
        <v>397</v>
      </c>
      <c r="D243" s="7">
        <v>1.1</v>
      </c>
      <c r="E243" s="7" t="s">
        <v>222</v>
      </c>
      <c r="F243" s="8"/>
      <c r="G243" s="7" t="s">
        <v>148</v>
      </c>
      <c r="H243" s="7"/>
      <c r="I243" s="7"/>
      <c r="J243" s="7"/>
      <c r="K243" s="45"/>
      <c r="L243" s="7"/>
      <c r="M243" s="7" t="s">
        <v>233</v>
      </c>
      <c r="N243" s="7"/>
      <c r="O243" s="7" t="b">
        <f>IF(E243="隔週A", MOD(INT(('26414_編集版'!$C$1-DATE(2026,4,14))/7), 2)=1, IF(E243="隔週B", MOD(INT(('26414_編集版'!$C$1-DATE(2026,4,14))/7), 2)=0, FALSE))</f>
        <v>0</v>
      </c>
    </row>
    <row r="244" ht="17.25" customHeight="1">
      <c r="A244" s="37" t="s">
        <v>169</v>
      </c>
      <c r="B244" s="7">
        <v>20.0</v>
      </c>
      <c r="C244" s="45" t="s">
        <v>398</v>
      </c>
      <c r="D244" s="7">
        <v>0.3</v>
      </c>
      <c r="E244" s="7" t="s">
        <v>222</v>
      </c>
      <c r="F244" s="8"/>
      <c r="G244" s="7" t="s">
        <v>148</v>
      </c>
      <c r="H244" s="7"/>
      <c r="I244" s="7"/>
      <c r="J244" s="7"/>
      <c r="K244" s="45"/>
      <c r="L244" s="7"/>
      <c r="M244" s="7" t="s">
        <v>233</v>
      </c>
      <c r="N244" s="7"/>
      <c r="O244" s="7" t="b">
        <f>IF(E244="隔週A", MOD(INT(('26414_編集版'!$C$1-DATE(2026,4,14))/7), 2)=1, IF(E244="隔週B", MOD(INT(('26414_編集版'!$C$1-DATE(2026,4,14))/7), 2)=0, FALSE))</f>
        <v>0</v>
      </c>
    </row>
    <row r="245" ht="17.25" customHeight="1">
      <c r="A245" s="37" t="s">
        <v>169</v>
      </c>
      <c r="B245" s="7">
        <v>20.0</v>
      </c>
      <c r="C245" s="13" t="s">
        <v>399</v>
      </c>
      <c r="D245" s="7">
        <v>1.0</v>
      </c>
      <c r="E245" s="7" t="s">
        <v>222</v>
      </c>
      <c r="F245" s="8"/>
      <c r="G245" s="7" t="s">
        <v>148</v>
      </c>
      <c r="H245" s="7"/>
      <c r="I245" s="7"/>
      <c r="J245" s="7"/>
      <c r="K245" s="13"/>
      <c r="L245" s="7"/>
      <c r="M245" s="7" t="s">
        <v>233</v>
      </c>
      <c r="N245" s="7"/>
      <c r="O245" s="7" t="b">
        <f>IF(E245="隔週A", MOD(INT(('26414_編集版'!$C$1-DATE(2026,4,14))/7), 2)=1, IF(E245="隔週B", MOD(INT(('26414_編集版'!$C$1-DATE(2026,4,14))/7), 2)=0, FALSE))</f>
        <v>0</v>
      </c>
    </row>
    <row r="246" ht="17.25" customHeight="1">
      <c r="A246" s="37" t="s">
        <v>169</v>
      </c>
      <c r="B246" s="7">
        <v>9.0</v>
      </c>
      <c r="C246" s="41" t="s">
        <v>400</v>
      </c>
      <c r="D246" s="41">
        <v>0.3</v>
      </c>
      <c r="E246" s="7" t="s">
        <v>222</v>
      </c>
      <c r="F246" s="59"/>
      <c r="G246" s="41" t="s">
        <v>180</v>
      </c>
      <c r="H246" s="41"/>
      <c r="I246" s="41"/>
      <c r="J246" s="41"/>
      <c r="K246" s="41"/>
      <c r="L246" s="41"/>
      <c r="M246" s="41" t="s">
        <v>233</v>
      </c>
      <c r="N246" s="78"/>
      <c r="O246" s="7" t="b">
        <f>IF(E246="隔週A", MOD(INT(('26414_編集版'!$C$1-DATE(2026,4,14))/7), 2)=1, IF(E246="隔週B", MOD(INT(('26414_編集版'!$C$1-DATE(2026,4,14))/7), 2)=0, FALSE))</f>
        <v>0</v>
      </c>
    </row>
    <row r="247" ht="17.25" customHeight="1">
      <c r="A247" s="37" t="s">
        <v>169</v>
      </c>
      <c r="B247" s="7">
        <v>19.0</v>
      </c>
      <c r="C247" s="54" t="s">
        <v>401</v>
      </c>
      <c r="D247" s="13">
        <v>6.7</v>
      </c>
      <c r="E247" s="7" t="s">
        <v>222</v>
      </c>
      <c r="F247" s="8"/>
      <c r="G247" s="41" t="s">
        <v>148</v>
      </c>
      <c r="H247" s="41"/>
      <c r="I247" s="41"/>
      <c r="J247" s="41"/>
      <c r="K247" s="54"/>
      <c r="L247" s="7"/>
      <c r="M247" s="7" t="s">
        <v>233</v>
      </c>
      <c r="N247" s="7"/>
      <c r="O247" s="7" t="b">
        <f>IF(E247="隔週A", MOD(INT(('26414_編集版'!$C$1-DATE(2026,4,14))/7), 2)=1, IF(E247="隔週B", MOD(INT(('26414_編集版'!$C$1-DATE(2026,4,14))/7), 2)=0, FALSE))</f>
        <v>0</v>
      </c>
    </row>
    <row r="248" ht="17.25" customHeight="1">
      <c r="A248" s="37" t="s">
        <v>169</v>
      </c>
      <c r="B248" s="7">
        <v>13.0</v>
      </c>
      <c r="C248" s="13" t="s">
        <v>402</v>
      </c>
      <c r="D248" s="7">
        <v>0.3</v>
      </c>
      <c r="E248" s="7" t="s">
        <v>222</v>
      </c>
      <c r="F248" s="8"/>
      <c r="G248" s="13" t="s">
        <v>148</v>
      </c>
      <c r="H248" s="13"/>
      <c r="I248" s="13"/>
      <c r="J248" s="13"/>
      <c r="K248" s="13"/>
      <c r="L248" s="7"/>
      <c r="M248" s="7" t="s">
        <v>233</v>
      </c>
      <c r="N248" s="7"/>
      <c r="O248" s="7" t="b">
        <f>IF(E248="隔週A", MOD(INT(('26414_編集版'!$C$1-DATE(2026,4,14))/7), 2)=1, IF(E248="隔週B", MOD(INT(('26414_編集版'!$C$1-DATE(2026,4,14))/7), 2)=0, FALSE))</f>
        <v>0</v>
      </c>
    </row>
    <row r="249" ht="17.25" customHeight="1">
      <c r="A249" s="37" t="s">
        <v>169</v>
      </c>
      <c r="B249" s="7">
        <v>13.0</v>
      </c>
      <c r="C249" s="45" t="s">
        <v>403</v>
      </c>
      <c r="D249" s="7">
        <v>0.9</v>
      </c>
      <c r="E249" s="7" t="s">
        <v>222</v>
      </c>
      <c r="F249" s="8"/>
      <c r="G249" s="7" t="s">
        <v>148</v>
      </c>
      <c r="H249" s="7"/>
      <c r="I249" s="7"/>
      <c r="J249" s="7"/>
      <c r="K249" s="45"/>
      <c r="L249" s="7"/>
      <c r="M249" s="7" t="s">
        <v>233</v>
      </c>
      <c r="N249" s="7"/>
      <c r="O249" s="7" t="b">
        <f>IF(E249="隔週A", MOD(INT(('26414_編集版'!$C$1-DATE(2026,4,14))/7), 2)=1, IF(E249="隔週B", MOD(INT(('26414_編集版'!$C$1-DATE(2026,4,14))/7), 2)=0, FALSE))</f>
        <v>0</v>
      </c>
    </row>
    <row r="250" ht="17.25" customHeight="1">
      <c r="A250" s="37" t="s">
        <v>169</v>
      </c>
      <c r="B250" s="7">
        <v>8.0</v>
      </c>
      <c r="C250" s="13" t="s">
        <v>247</v>
      </c>
      <c r="D250" s="13">
        <v>0.1</v>
      </c>
      <c r="E250" s="7" t="s">
        <v>222</v>
      </c>
      <c r="F250" s="8"/>
      <c r="G250" s="7" t="s">
        <v>148</v>
      </c>
      <c r="H250" s="7"/>
      <c r="I250" s="7"/>
      <c r="J250" s="7"/>
      <c r="K250" s="13"/>
      <c r="L250" s="7"/>
      <c r="M250" s="7" t="s">
        <v>233</v>
      </c>
      <c r="N250" s="67"/>
      <c r="O250" s="7" t="b">
        <f>IF(E250="隔週A", MOD(INT(('26414_編集版'!$C$1-DATE(2026,4,14))/7), 2)=1, IF(E250="隔週B", MOD(INT(('26414_編集版'!$C$1-DATE(2026,4,14))/7), 2)=0, FALSE))</f>
        <v>0</v>
      </c>
    </row>
    <row r="251" ht="17.25" customHeight="1">
      <c r="A251" s="37" t="s">
        <v>169</v>
      </c>
      <c r="B251" s="7">
        <v>21.0</v>
      </c>
      <c r="C251" s="13" t="s">
        <v>248</v>
      </c>
      <c r="D251" s="44">
        <v>0.1</v>
      </c>
      <c r="E251" s="7" t="s">
        <v>222</v>
      </c>
      <c r="F251" s="8"/>
      <c r="G251" s="13" t="s">
        <v>148</v>
      </c>
      <c r="H251" s="13"/>
      <c r="I251" s="13"/>
      <c r="J251" s="13"/>
      <c r="K251" s="13"/>
      <c r="L251" s="7"/>
      <c r="M251" s="7" t="s">
        <v>233</v>
      </c>
      <c r="N251" s="44"/>
      <c r="O251" s="7" t="b">
        <f>IF(E251="隔週A", MOD(INT(('26414_編集版'!$C$1-DATE(2026,4,14))/7), 2)=1, IF(E251="隔週B", MOD(INT(('26414_編集版'!$C$1-DATE(2026,4,14))/7), 2)=0, FALSE))</f>
        <v>0</v>
      </c>
    </row>
    <row r="252" ht="17.25" customHeight="1">
      <c r="A252" s="37" t="s">
        <v>169</v>
      </c>
      <c r="B252" s="7">
        <v>21.0</v>
      </c>
      <c r="C252" s="41" t="s">
        <v>249</v>
      </c>
      <c r="D252" s="44">
        <v>0.1</v>
      </c>
      <c r="E252" s="7" t="s">
        <v>222</v>
      </c>
      <c r="F252" s="8"/>
      <c r="G252" s="41" t="s">
        <v>180</v>
      </c>
      <c r="H252" s="41"/>
      <c r="I252" s="41"/>
      <c r="J252" s="41"/>
      <c r="K252" s="41"/>
      <c r="L252" s="7"/>
      <c r="M252" s="7" t="s">
        <v>233</v>
      </c>
      <c r="N252" s="41"/>
      <c r="O252" s="7" t="b">
        <f>IF(E252="隔週A", MOD(INT(('26414_編集版'!$C$1-DATE(2026,4,14))/7), 2)=1, IF(E252="隔週B", MOD(INT(('26414_編集版'!$C$1-DATE(2026,4,14))/7), 2)=0, FALSE))</f>
        <v>0</v>
      </c>
    </row>
    <row r="253" ht="17.25" customHeight="1">
      <c r="A253" s="37" t="s">
        <v>169</v>
      </c>
      <c r="B253" s="7">
        <v>17.0</v>
      </c>
      <c r="C253" s="13" t="s">
        <v>404</v>
      </c>
      <c r="D253" s="13">
        <v>1.2</v>
      </c>
      <c r="E253" s="7" t="s">
        <v>222</v>
      </c>
      <c r="F253" s="8"/>
      <c r="G253" s="13" t="s">
        <v>148</v>
      </c>
      <c r="H253" s="13"/>
      <c r="I253" s="13"/>
      <c r="J253" s="13"/>
      <c r="K253" s="13"/>
      <c r="L253" s="7"/>
      <c r="M253" s="7" t="s">
        <v>233</v>
      </c>
      <c r="N253" s="7"/>
      <c r="O253" s="7" t="b">
        <f>IF(E253="隔週A", MOD(INT(('26414_編集版'!$C$1-DATE(2026,4,14))/7), 2)=1, IF(E253="隔週B", MOD(INT(('26414_編集版'!$C$1-DATE(2026,4,14))/7), 2)=0, FALSE))</f>
        <v>0</v>
      </c>
    </row>
    <row r="254" ht="17.25" customHeight="1">
      <c r="A254" s="37" t="s">
        <v>169</v>
      </c>
      <c r="B254" s="7">
        <v>18.0</v>
      </c>
      <c r="C254" s="65" t="s">
        <v>405</v>
      </c>
      <c r="D254" s="39">
        <v>0.6</v>
      </c>
      <c r="E254" s="7" t="s">
        <v>222</v>
      </c>
      <c r="F254" s="8"/>
      <c r="G254" s="13" t="s">
        <v>148</v>
      </c>
      <c r="H254" s="13"/>
      <c r="I254" s="13"/>
      <c r="J254" s="13"/>
      <c r="K254" s="65"/>
      <c r="L254" s="7"/>
      <c r="M254" s="7" t="s">
        <v>233</v>
      </c>
      <c r="N254" s="79"/>
      <c r="O254" s="7" t="b">
        <f>IF(E254="隔週A", MOD(INT(('26414_編集版'!$C$1-DATE(2026,4,14))/7), 2)=1, IF(E254="隔週B", MOD(INT(('26414_編集版'!$C$1-DATE(2026,4,14))/7), 2)=0, FALSE))</f>
        <v>0</v>
      </c>
    </row>
    <row r="255" ht="17.25" customHeight="1">
      <c r="A255" s="37" t="s">
        <v>169</v>
      </c>
      <c r="B255" s="7">
        <v>21.0</v>
      </c>
      <c r="C255" s="54" t="s">
        <v>406</v>
      </c>
      <c r="D255" s="13">
        <v>1.7</v>
      </c>
      <c r="E255" s="7" t="s">
        <v>222</v>
      </c>
      <c r="F255" s="8"/>
      <c r="G255" s="13" t="s">
        <v>148</v>
      </c>
      <c r="H255" s="13"/>
      <c r="I255" s="13"/>
      <c r="J255" s="13"/>
      <c r="K255" s="54"/>
      <c r="L255" s="7"/>
      <c r="M255" s="7" t="s">
        <v>233</v>
      </c>
      <c r="N255" s="13"/>
      <c r="O255" s="7" t="b">
        <f>IF(E255="隔週A", MOD(INT(('26414_編集版'!$C$1-DATE(2026,4,14))/7), 2)=1, IF(E255="隔週B", MOD(INT(('26414_編集版'!$C$1-DATE(2026,4,14))/7), 2)=0, FALSE))</f>
        <v>0</v>
      </c>
    </row>
    <row r="256" ht="17.25" customHeight="1">
      <c r="A256" s="37" t="s">
        <v>169</v>
      </c>
      <c r="B256" s="7">
        <v>21.0</v>
      </c>
      <c r="C256" s="13" t="s">
        <v>407</v>
      </c>
      <c r="D256" s="13">
        <v>0.3</v>
      </c>
      <c r="E256" s="7" t="s">
        <v>222</v>
      </c>
      <c r="F256" s="8"/>
      <c r="G256" s="13" t="s">
        <v>148</v>
      </c>
      <c r="H256" s="13"/>
      <c r="I256" s="13"/>
      <c r="J256" s="13"/>
      <c r="K256" s="13"/>
      <c r="L256" s="7"/>
      <c r="M256" s="7" t="s">
        <v>233</v>
      </c>
      <c r="N256" s="13"/>
      <c r="O256" s="7" t="b">
        <f>IF(E256="隔週A", MOD(INT(('26414_編集版'!$C$1-DATE(2026,4,14))/7), 2)=1, IF(E256="隔週B", MOD(INT(('26414_編集版'!$C$1-DATE(2026,4,14))/7), 2)=0, FALSE))</f>
        <v>0</v>
      </c>
    </row>
    <row r="257" ht="17.25" customHeight="1">
      <c r="A257" s="37" t="s">
        <v>169</v>
      </c>
      <c r="B257" s="7">
        <v>10.0</v>
      </c>
      <c r="C257" s="41" t="s">
        <v>408</v>
      </c>
      <c r="D257" s="13">
        <v>0.9</v>
      </c>
      <c r="E257" s="7" t="s">
        <v>222</v>
      </c>
      <c r="F257" s="59"/>
      <c r="G257" s="41" t="s">
        <v>148</v>
      </c>
      <c r="H257" s="41"/>
      <c r="I257" s="41"/>
      <c r="J257" s="41"/>
      <c r="K257" s="41"/>
      <c r="L257" s="41"/>
      <c r="M257" s="41" t="s">
        <v>233</v>
      </c>
      <c r="N257" s="78"/>
      <c r="O257" s="7" t="b">
        <f>IF(E257="隔週A", MOD(INT(('26414_編集版'!$C$1-DATE(2026,4,14))/7), 2)=1, IF(E257="隔週B", MOD(INT(('26414_編集版'!$C$1-DATE(2026,4,14))/7), 2)=0, FALSE))</f>
        <v>0</v>
      </c>
    </row>
    <row r="258" ht="17.25" customHeight="1">
      <c r="A258" s="37" t="s">
        <v>169</v>
      </c>
      <c r="B258" s="7">
        <v>21.0</v>
      </c>
      <c r="C258" s="45" t="s">
        <v>409</v>
      </c>
      <c r="D258" s="7">
        <v>0.4</v>
      </c>
      <c r="E258" s="7" t="s">
        <v>222</v>
      </c>
      <c r="F258" s="8"/>
      <c r="G258" s="7" t="s">
        <v>148</v>
      </c>
      <c r="H258" s="7"/>
      <c r="I258" s="7"/>
      <c r="J258" s="7"/>
      <c r="K258" s="45"/>
      <c r="L258" s="7"/>
      <c r="M258" s="7" t="s">
        <v>233</v>
      </c>
      <c r="N258" s="13"/>
      <c r="O258" s="7" t="b">
        <f>IF(E258="隔週A", MOD(INT(('26414_編集版'!$C$1-DATE(2026,4,14))/7), 2)=1, IF(E258="隔週B", MOD(INT(('26414_編集版'!$C$1-DATE(2026,4,14))/7), 2)=0, FALSE))</f>
        <v>0</v>
      </c>
    </row>
    <row r="259" ht="17.25" customHeight="1">
      <c r="A259" s="37" t="s">
        <v>169</v>
      </c>
      <c r="B259" s="7">
        <v>17.0</v>
      </c>
      <c r="C259" s="13" t="s">
        <v>410</v>
      </c>
      <c r="D259" s="13">
        <v>0.2</v>
      </c>
      <c r="E259" s="7" t="s">
        <v>222</v>
      </c>
      <c r="F259" s="8"/>
      <c r="G259" s="13" t="s">
        <v>148</v>
      </c>
      <c r="H259" s="13"/>
      <c r="I259" s="13"/>
      <c r="J259" s="13"/>
      <c r="K259" s="13"/>
      <c r="L259" s="7"/>
      <c r="M259" s="7" t="s">
        <v>233</v>
      </c>
      <c r="N259" s="13"/>
      <c r="O259" s="7" t="b">
        <f>IF(E259="隔週A", MOD(INT(('26414_編集版'!$C$1-DATE(2026,4,14))/7), 2)=1, IF(E259="隔週B", MOD(INT(('26414_編集版'!$C$1-DATE(2026,4,14))/7), 2)=0, FALSE))</f>
        <v>0</v>
      </c>
    </row>
    <row r="260" ht="17.25" customHeight="1">
      <c r="A260" s="37" t="s">
        <v>169</v>
      </c>
      <c r="B260" s="7">
        <v>21.0</v>
      </c>
      <c r="C260" s="45" t="s">
        <v>411</v>
      </c>
      <c r="D260" s="7">
        <v>1.3</v>
      </c>
      <c r="E260" s="7" t="s">
        <v>222</v>
      </c>
      <c r="F260" s="8"/>
      <c r="G260" s="13" t="s">
        <v>148</v>
      </c>
      <c r="H260" s="13"/>
      <c r="I260" s="13"/>
      <c r="J260" s="13"/>
      <c r="K260" s="45"/>
      <c r="L260" s="7"/>
      <c r="M260" s="7" t="s">
        <v>233</v>
      </c>
      <c r="N260" s="13"/>
      <c r="O260" s="7" t="b">
        <f>IF(E260="隔週A", MOD(INT(('26414_編集版'!$C$1-DATE(2026,4,14))/7), 2)=1, IF(E260="隔週B", MOD(INT(('26414_編集版'!$C$1-DATE(2026,4,14))/7), 2)=0, FALSE))</f>
        <v>0</v>
      </c>
    </row>
    <row r="261" ht="17.25" customHeight="1">
      <c r="A261" s="37" t="s">
        <v>169</v>
      </c>
      <c r="B261" s="38">
        <v>15.0</v>
      </c>
      <c r="C261" s="13" t="s">
        <v>412</v>
      </c>
      <c r="D261" s="7">
        <v>0.4</v>
      </c>
      <c r="E261" s="7" t="s">
        <v>222</v>
      </c>
      <c r="F261" s="8"/>
      <c r="G261" s="13" t="s">
        <v>148</v>
      </c>
      <c r="H261" s="13"/>
      <c r="I261" s="13"/>
      <c r="J261" s="13"/>
      <c r="K261" s="13"/>
      <c r="L261" s="7"/>
      <c r="M261" s="7" t="s">
        <v>233</v>
      </c>
      <c r="N261" s="7"/>
      <c r="O261" s="7" t="b">
        <f>IF(E261="隔週A", MOD(INT(('26414_編集版'!$C$1-DATE(2026,4,14))/7), 2)=1, IF(E261="隔週B", MOD(INT(('26414_編集版'!$C$1-DATE(2026,4,14))/7), 2)=0, FALSE))</f>
        <v>0</v>
      </c>
    </row>
    <row r="262" ht="17.25" customHeight="1">
      <c r="A262" s="37" t="s">
        <v>169</v>
      </c>
      <c r="B262" s="7">
        <v>12.0</v>
      </c>
      <c r="C262" s="55" t="s">
        <v>413</v>
      </c>
      <c r="D262" s="39">
        <v>1.0</v>
      </c>
      <c r="E262" s="7" t="s">
        <v>222</v>
      </c>
      <c r="F262" s="40"/>
      <c r="G262" s="41" t="s">
        <v>148</v>
      </c>
      <c r="H262" s="41"/>
      <c r="I262" s="41"/>
      <c r="J262" s="41"/>
      <c r="K262" s="55"/>
      <c r="L262" s="13"/>
      <c r="M262" s="13" t="s">
        <v>233</v>
      </c>
      <c r="N262" s="41"/>
      <c r="O262" s="7" t="b">
        <f>IF(E262="隔週A", MOD(INT(('26414_編集版'!$C$1-DATE(2026,4,14))/7), 2)=1, IF(E262="隔週B", MOD(INT(('26414_編集版'!$C$1-DATE(2026,4,14))/7), 2)=0, FALSE))</f>
        <v>0</v>
      </c>
    </row>
    <row r="263" ht="17.25" customHeight="1">
      <c r="A263" s="37" t="s">
        <v>169</v>
      </c>
      <c r="B263" s="7">
        <v>18.0</v>
      </c>
      <c r="C263" s="45" t="s">
        <v>414</v>
      </c>
      <c r="D263" s="13">
        <v>2.5</v>
      </c>
      <c r="E263" s="7" t="s">
        <v>222</v>
      </c>
      <c r="F263" s="8"/>
      <c r="G263" s="7" t="s">
        <v>148</v>
      </c>
      <c r="H263" s="7"/>
      <c r="I263" s="7"/>
      <c r="J263" s="7"/>
      <c r="K263" s="45"/>
      <c r="L263" s="7"/>
      <c r="M263" s="7" t="s">
        <v>233</v>
      </c>
      <c r="N263" s="38"/>
      <c r="O263" s="7" t="b">
        <f>IF(E263="隔週A", MOD(INT(('26414_編集版'!$C$1-DATE(2026,4,14))/7), 2)=1, IF(E263="隔週B", MOD(INT(('26414_編集版'!$C$1-DATE(2026,4,14))/7), 2)=0, FALSE))</f>
        <v>0</v>
      </c>
    </row>
    <row r="264" ht="17.25" customHeight="1">
      <c r="A264" s="37" t="s">
        <v>169</v>
      </c>
      <c r="B264" s="7">
        <v>17.0</v>
      </c>
      <c r="C264" s="49" t="s">
        <v>415</v>
      </c>
      <c r="D264" s="7">
        <v>0.9</v>
      </c>
      <c r="E264" s="7" t="s">
        <v>222</v>
      </c>
      <c r="F264" s="8"/>
      <c r="G264" s="7" t="s">
        <v>148</v>
      </c>
      <c r="H264" s="7"/>
      <c r="I264" s="7"/>
      <c r="J264" s="7"/>
      <c r="K264" s="49"/>
      <c r="L264" s="7"/>
      <c r="M264" s="7" t="s">
        <v>233</v>
      </c>
      <c r="N264" s="13"/>
      <c r="O264" s="7" t="b">
        <f>IF(E264="隔週A", MOD(INT(('26414_編集版'!$C$1-DATE(2026,4,14))/7), 2)=1, IF(E264="隔週B", MOD(INT(('26414_編集版'!$C$1-DATE(2026,4,14))/7), 2)=0, FALSE))</f>
        <v>0</v>
      </c>
    </row>
    <row r="265" ht="17.25" customHeight="1">
      <c r="A265" s="37" t="s">
        <v>169</v>
      </c>
      <c r="B265" s="7">
        <v>17.0</v>
      </c>
      <c r="C265" s="13" t="s">
        <v>416</v>
      </c>
      <c r="D265" s="80">
        <v>0.2</v>
      </c>
      <c r="E265" s="7" t="s">
        <v>222</v>
      </c>
      <c r="F265" s="8"/>
      <c r="G265" s="13" t="s">
        <v>148</v>
      </c>
      <c r="H265" s="13"/>
      <c r="I265" s="13"/>
      <c r="J265" s="13"/>
      <c r="K265" s="13"/>
      <c r="L265" s="7"/>
      <c r="M265" s="7" t="s">
        <v>233</v>
      </c>
      <c r="N265" s="13"/>
      <c r="O265" s="7" t="b">
        <f>IF(E265="隔週A", MOD(INT(('26414_編集版'!$C$1-DATE(2026,4,14))/7), 2)=1, IF(E265="隔週B", MOD(INT(('26414_編集版'!$C$1-DATE(2026,4,14))/7), 2)=0, FALSE))</f>
        <v>0</v>
      </c>
    </row>
    <row r="266" ht="17.25" customHeight="1">
      <c r="A266" s="37" t="s">
        <v>169</v>
      </c>
      <c r="B266" s="7">
        <v>17.0</v>
      </c>
      <c r="C266" s="13" t="s">
        <v>417</v>
      </c>
      <c r="D266" s="13">
        <v>0.8</v>
      </c>
      <c r="E266" s="7" t="s">
        <v>222</v>
      </c>
      <c r="F266" s="8"/>
      <c r="G266" s="13" t="s">
        <v>148</v>
      </c>
      <c r="H266" s="13"/>
      <c r="I266" s="13"/>
      <c r="J266" s="13"/>
      <c r="K266" s="13"/>
      <c r="L266" s="7"/>
      <c r="M266" s="7" t="s">
        <v>233</v>
      </c>
      <c r="N266" s="13"/>
      <c r="O266" s="7" t="b">
        <f>IF(E266="隔週A", MOD(INT(('26414_編集版'!$C$1-DATE(2026,4,14))/7), 2)=1, IF(E266="隔週B", MOD(INT(('26414_編集版'!$C$1-DATE(2026,4,14))/7), 2)=0, FALSE))</f>
        <v>0</v>
      </c>
    </row>
    <row r="267" ht="17.25" customHeight="1">
      <c r="A267" s="37" t="s">
        <v>169</v>
      </c>
      <c r="B267" s="7">
        <v>9.0</v>
      </c>
      <c r="C267" s="41" t="s">
        <v>418</v>
      </c>
      <c r="D267" s="41">
        <v>2.1</v>
      </c>
      <c r="E267" s="7" t="s">
        <v>222</v>
      </c>
      <c r="F267" s="40"/>
      <c r="G267" s="41" t="s">
        <v>180</v>
      </c>
      <c r="H267" s="41"/>
      <c r="I267" s="41"/>
      <c r="J267" s="41"/>
      <c r="K267" s="41"/>
      <c r="L267" s="13"/>
      <c r="M267" s="13" t="s">
        <v>158</v>
      </c>
      <c r="N267" s="13" t="s">
        <v>150</v>
      </c>
      <c r="O267" s="7" t="b">
        <f>IF(E267="隔週A", MOD(INT(('26414_編集版'!$C$1-DATE(2026,4,14))/7), 2)=1, IF(E267="隔週B", MOD(INT(('26414_編集版'!$C$1-DATE(2026,4,14))/7), 2)=0, FALSE))</f>
        <v>0</v>
      </c>
    </row>
    <row r="268" ht="17.25" customHeight="1">
      <c r="A268" s="37" t="s">
        <v>169</v>
      </c>
      <c r="B268" s="7">
        <v>20.0</v>
      </c>
      <c r="C268" s="39" t="s">
        <v>65</v>
      </c>
      <c r="D268" s="7">
        <v>0.1</v>
      </c>
      <c r="E268" s="7" t="s">
        <v>222</v>
      </c>
      <c r="F268" s="8"/>
      <c r="G268" s="7" t="s">
        <v>148</v>
      </c>
      <c r="H268" s="7"/>
      <c r="I268" s="7"/>
      <c r="J268" s="7"/>
      <c r="K268" s="39"/>
      <c r="L268" s="7"/>
      <c r="M268" s="7" t="s">
        <v>191</v>
      </c>
      <c r="N268" s="7" t="s">
        <v>160</v>
      </c>
      <c r="O268" s="7" t="b">
        <f>IF(E268="隔週A", MOD(INT(('26414_編集版'!$C$1-DATE(2026,4,14))/7), 2)=1, IF(E268="隔週B", MOD(INT(('26414_編集版'!$C$1-DATE(2026,4,14))/7), 2)=0, FALSE))</f>
        <v>0</v>
      </c>
    </row>
    <row r="269" ht="17.25" customHeight="1">
      <c r="A269" s="37" t="s">
        <v>169</v>
      </c>
      <c r="B269" s="7">
        <v>17.0</v>
      </c>
      <c r="C269" s="13" t="s">
        <v>419</v>
      </c>
      <c r="D269" s="13">
        <v>0.4</v>
      </c>
      <c r="E269" s="7" t="s">
        <v>222</v>
      </c>
      <c r="F269" s="8"/>
      <c r="G269" s="13" t="s">
        <v>148</v>
      </c>
      <c r="H269" s="13"/>
      <c r="I269" s="13"/>
      <c r="J269" s="13"/>
      <c r="K269" s="13"/>
      <c r="L269" s="7"/>
      <c r="M269" s="7" t="s">
        <v>233</v>
      </c>
      <c r="N269" s="13"/>
      <c r="O269" s="7" t="b">
        <f>IF(E269="隔週A", MOD(INT(('26414_編集版'!$C$1-DATE(2026,4,14))/7), 2)=1, IF(E269="隔週B", MOD(INT(('26414_編集版'!$C$1-DATE(2026,4,14))/7), 2)=0, FALSE))</f>
        <v>0</v>
      </c>
    </row>
    <row r="270" ht="17.25" customHeight="1">
      <c r="A270" s="37" t="s">
        <v>169</v>
      </c>
      <c r="B270" s="38">
        <v>15.0</v>
      </c>
      <c r="C270" s="45" t="s">
        <v>420</v>
      </c>
      <c r="D270" s="7">
        <v>0.3</v>
      </c>
      <c r="E270" s="7" t="s">
        <v>222</v>
      </c>
      <c r="F270" s="8"/>
      <c r="G270" s="7" t="s">
        <v>148</v>
      </c>
      <c r="H270" s="7"/>
      <c r="I270" s="7"/>
      <c r="J270" s="7"/>
      <c r="K270" s="45"/>
      <c r="L270" s="7"/>
      <c r="M270" s="7" t="s">
        <v>233</v>
      </c>
      <c r="N270" s="13"/>
      <c r="O270" s="7" t="b">
        <f>IF(E270="隔週A", MOD(INT(('26414_編集版'!$C$1-DATE(2026,4,14))/7), 2)=1, IF(E270="隔週B", MOD(INT(('26414_編集版'!$C$1-DATE(2026,4,14))/7), 2)=0, FALSE))</f>
        <v>0</v>
      </c>
    </row>
    <row r="271" ht="17.25" customHeight="1">
      <c r="A271" s="37" t="s">
        <v>177</v>
      </c>
      <c r="B271" s="7">
        <v>12.0</v>
      </c>
      <c r="C271" s="50" t="s">
        <v>421</v>
      </c>
      <c r="D271" s="7">
        <v>10.0</v>
      </c>
      <c r="E271" s="7" t="s">
        <v>222</v>
      </c>
      <c r="F271" s="8"/>
      <c r="G271" s="7" t="s">
        <v>148</v>
      </c>
      <c r="H271" s="7"/>
      <c r="I271" s="7"/>
      <c r="J271" s="7"/>
      <c r="K271" s="51"/>
      <c r="L271" s="7"/>
      <c r="M271" s="7" t="s">
        <v>223</v>
      </c>
      <c r="N271" s="7" t="s">
        <v>191</v>
      </c>
      <c r="O271" s="7" t="b">
        <f>IF(E271="隔週A", MOD(INT(('26414_編集版'!$C$1-DATE(2026,4,14))/7), 2)=1, IF(E271="隔週B", MOD(INT(('26414_編集版'!$C$1-DATE(2026,4,14))/7), 2)=0, FALSE))</f>
        <v>0</v>
      </c>
    </row>
    <row r="272" ht="17.25" customHeight="1">
      <c r="A272" s="37" t="s">
        <v>177</v>
      </c>
      <c r="B272" s="7">
        <v>17.0</v>
      </c>
      <c r="C272" s="45" t="s">
        <v>42</v>
      </c>
      <c r="D272" s="7">
        <v>2.6</v>
      </c>
      <c r="E272" s="7" t="s">
        <v>222</v>
      </c>
      <c r="F272" s="8"/>
      <c r="G272" s="7" t="s">
        <v>180</v>
      </c>
      <c r="H272" s="7"/>
      <c r="I272" s="7"/>
      <c r="J272" s="7"/>
      <c r="K272" s="45"/>
      <c r="L272" s="7"/>
      <c r="M272" s="7" t="s">
        <v>160</v>
      </c>
      <c r="N272" s="7" t="s">
        <v>223</v>
      </c>
      <c r="O272" s="7" t="b">
        <f>IF(E272="隔週A", MOD(INT(('26414_編集版'!$C$1-DATE(2026,4,14))/7), 2)=1, IF(E272="隔週B", MOD(INT(('26414_編集版'!$C$1-DATE(2026,4,14))/7), 2)=0, FALSE))</f>
        <v>0</v>
      </c>
    </row>
    <row r="273" ht="17.25" customHeight="1">
      <c r="A273" s="37" t="s">
        <v>177</v>
      </c>
      <c r="B273" s="7">
        <v>19.0</v>
      </c>
      <c r="C273" s="51" t="s">
        <v>422</v>
      </c>
      <c r="D273" s="7">
        <v>1.3</v>
      </c>
      <c r="E273" s="7" t="s">
        <v>222</v>
      </c>
      <c r="F273" s="8"/>
      <c r="G273" s="45" t="s">
        <v>148</v>
      </c>
      <c r="H273" s="45"/>
      <c r="I273" s="45"/>
      <c r="J273" s="45"/>
      <c r="K273" s="51"/>
      <c r="L273" s="7"/>
      <c r="M273" s="7" t="s">
        <v>191</v>
      </c>
      <c r="N273" s="7" t="s">
        <v>223</v>
      </c>
      <c r="O273" s="7" t="b">
        <f>IF(E273="隔週A", MOD(INT(('26414_編集版'!$C$1-DATE(2026,4,14))/7), 2)=1, IF(E273="隔週B", MOD(INT(('26414_編集版'!$C$1-DATE(2026,4,14))/7), 2)=0, FALSE))</f>
        <v>0</v>
      </c>
    </row>
    <row r="274" ht="17.25" customHeight="1">
      <c r="A274" s="37" t="s">
        <v>177</v>
      </c>
      <c r="B274" s="7">
        <v>19.0</v>
      </c>
      <c r="C274" s="51" t="s">
        <v>423</v>
      </c>
      <c r="D274" s="7">
        <v>0.5</v>
      </c>
      <c r="E274" s="7" t="s">
        <v>222</v>
      </c>
      <c r="F274" s="8"/>
      <c r="G274" s="7" t="s">
        <v>148</v>
      </c>
      <c r="H274" s="7" t="s">
        <v>140</v>
      </c>
      <c r="I274" s="7" t="s">
        <v>141</v>
      </c>
      <c r="J274" s="7" t="s">
        <v>142</v>
      </c>
      <c r="K274" s="51"/>
      <c r="L274" s="7"/>
      <c r="M274" s="7" t="s">
        <v>191</v>
      </c>
      <c r="N274" s="7" t="s">
        <v>223</v>
      </c>
      <c r="O274" s="7" t="b">
        <f>IF(E274="隔週A", MOD(INT(('26414_編集版'!$C$1-DATE(2026,4,14))/7), 2)=1, IF(E274="隔週B", MOD(INT(('26414_編集版'!$C$1-DATE(2026,4,14))/7), 2)=0, FALSE))</f>
        <v>0</v>
      </c>
    </row>
    <row r="275" ht="17.25" customHeight="1">
      <c r="A275" s="37" t="s">
        <v>177</v>
      </c>
      <c r="B275" s="7">
        <v>8.0</v>
      </c>
      <c r="C275" s="41" t="s">
        <v>424</v>
      </c>
      <c r="D275" s="7">
        <v>0.9</v>
      </c>
      <c r="E275" s="7" t="s">
        <v>222</v>
      </c>
      <c r="F275" s="59"/>
      <c r="G275" s="44" t="s">
        <v>148</v>
      </c>
      <c r="H275" s="44"/>
      <c r="I275" s="44"/>
      <c r="J275" s="44"/>
      <c r="K275" s="41"/>
      <c r="L275" s="41"/>
      <c r="M275" s="41" t="s">
        <v>233</v>
      </c>
      <c r="N275" s="7"/>
      <c r="O275" s="7" t="b">
        <f>IF(E275="隔週A", MOD(INT(('26414_編集版'!$C$1-DATE(2026,4,14))/7), 2)=1, IF(E275="隔週B", MOD(INT(('26414_編集版'!$C$1-DATE(2026,4,14))/7), 2)=0, FALSE))</f>
        <v>0</v>
      </c>
    </row>
    <row r="276" ht="17.25" customHeight="1">
      <c r="A276" s="37" t="s">
        <v>177</v>
      </c>
      <c r="B276" s="7">
        <v>8.0</v>
      </c>
      <c r="C276" s="13" t="s">
        <v>425</v>
      </c>
      <c r="D276" s="7">
        <v>0.4</v>
      </c>
      <c r="E276" s="7" t="s">
        <v>222</v>
      </c>
      <c r="F276" s="8"/>
      <c r="G276" s="44" t="s">
        <v>148</v>
      </c>
      <c r="H276" s="44"/>
      <c r="I276" s="44"/>
      <c r="J276" s="44"/>
      <c r="K276" s="13"/>
      <c r="L276" s="7"/>
      <c r="M276" s="7" t="s">
        <v>233</v>
      </c>
      <c r="N276" s="64"/>
      <c r="O276" s="7" t="b">
        <f>IF(E276="隔週A", MOD(INT(('26414_編集版'!$C$1-DATE(2026,4,14))/7), 2)=1, IF(E276="隔週B", MOD(INT(('26414_編集版'!$C$1-DATE(2026,4,14))/7), 2)=0, FALSE))</f>
        <v>0</v>
      </c>
    </row>
    <row r="277" ht="17.25" customHeight="1">
      <c r="A277" s="37" t="s">
        <v>177</v>
      </c>
      <c r="B277" s="7">
        <v>9.0</v>
      </c>
      <c r="C277" s="52" t="s">
        <v>426</v>
      </c>
      <c r="D277" s="52">
        <v>0.2</v>
      </c>
      <c r="E277" s="7" t="s">
        <v>222</v>
      </c>
      <c r="F277" s="8"/>
      <c r="G277" s="81" t="s">
        <v>148</v>
      </c>
      <c r="H277" s="81"/>
      <c r="I277" s="81"/>
      <c r="J277" s="81"/>
      <c r="K277" s="52"/>
      <c r="L277" s="7"/>
      <c r="M277" s="7" t="s">
        <v>233</v>
      </c>
      <c r="N277" s="13"/>
      <c r="O277" s="7" t="b">
        <f>IF(E277="隔週A", MOD(INT(('26414_編集版'!$C$1-DATE(2026,4,14))/7), 2)=1, IF(E277="隔週B", MOD(INT(('26414_編集版'!$C$1-DATE(2026,4,14))/7), 2)=0, FALSE))</f>
        <v>0</v>
      </c>
    </row>
    <row r="278" ht="17.25" customHeight="1">
      <c r="A278" s="37" t="s">
        <v>177</v>
      </c>
      <c r="B278" s="7">
        <v>9.0</v>
      </c>
      <c r="C278" s="66" t="s">
        <v>427</v>
      </c>
      <c r="D278" s="39">
        <v>0.6</v>
      </c>
      <c r="E278" s="7" t="s">
        <v>222</v>
      </c>
      <c r="F278" s="8"/>
      <c r="G278" s="44" t="s">
        <v>148</v>
      </c>
      <c r="H278" s="44"/>
      <c r="I278" s="44"/>
      <c r="J278" s="44"/>
      <c r="K278" s="66"/>
      <c r="L278" s="7"/>
      <c r="M278" s="7" t="s">
        <v>233</v>
      </c>
      <c r="N278" s="7"/>
      <c r="O278" s="7" t="b">
        <f>IF(E278="隔週A", MOD(INT(('26414_編集版'!$C$1-DATE(2026,4,14))/7), 2)=1, IF(E278="隔週B", MOD(INT(('26414_編集版'!$C$1-DATE(2026,4,14))/7), 2)=0, FALSE))</f>
        <v>0</v>
      </c>
    </row>
    <row r="279" ht="17.25" customHeight="1">
      <c r="A279" s="37" t="s">
        <v>177</v>
      </c>
      <c r="B279" s="7">
        <v>9.0</v>
      </c>
      <c r="C279" s="13" t="s">
        <v>428</v>
      </c>
      <c r="D279" s="13">
        <v>0.3</v>
      </c>
      <c r="E279" s="7" t="s">
        <v>222</v>
      </c>
      <c r="F279" s="8"/>
      <c r="G279" s="41" t="s">
        <v>148</v>
      </c>
      <c r="H279" s="41"/>
      <c r="I279" s="41"/>
      <c r="J279" s="41"/>
      <c r="K279" s="13"/>
      <c r="L279" s="7"/>
      <c r="M279" s="7" t="s">
        <v>233</v>
      </c>
      <c r="N279" s="13"/>
      <c r="O279" s="7" t="b">
        <f>IF(E279="隔週A", MOD(INT(('26414_編集版'!$C$1-DATE(2026,4,14))/7), 2)=1, IF(E279="隔週B", MOD(INT(('26414_編集版'!$C$1-DATE(2026,4,14))/7), 2)=0, FALSE))</f>
        <v>0</v>
      </c>
    </row>
    <row r="280" ht="17.25" customHeight="1">
      <c r="A280" s="37" t="s">
        <v>177</v>
      </c>
      <c r="B280" s="7">
        <v>9.0</v>
      </c>
      <c r="C280" s="13" t="s">
        <v>429</v>
      </c>
      <c r="D280" s="13">
        <v>0.2</v>
      </c>
      <c r="E280" s="7" t="s">
        <v>222</v>
      </c>
      <c r="F280" s="8"/>
      <c r="G280" s="41" t="s">
        <v>148</v>
      </c>
      <c r="H280" s="41"/>
      <c r="I280" s="41"/>
      <c r="J280" s="41"/>
      <c r="K280" s="13"/>
      <c r="L280" s="7"/>
      <c r="M280" s="7" t="s">
        <v>233</v>
      </c>
      <c r="N280" s="13"/>
      <c r="O280" s="7" t="b">
        <f>IF(E280="隔週A", MOD(INT(('26414_編集版'!$C$1-DATE(2026,4,14))/7), 2)=1, IF(E280="隔週B", MOD(INT(('26414_編集版'!$C$1-DATE(2026,4,14))/7), 2)=0, FALSE))</f>
        <v>0</v>
      </c>
    </row>
    <row r="281" ht="17.25" customHeight="1">
      <c r="A281" s="37" t="s">
        <v>177</v>
      </c>
      <c r="B281" s="7">
        <v>18.0</v>
      </c>
      <c r="C281" s="49" t="s">
        <v>430</v>
      </c>
      <c r="D281" s="7">
        <v>0.9</v>
      </c>
      <c r="E281" s="7" t="s">
        <v>222</v>
      </c>
      <c r="F281" s="8"/>
      <c r="G281" s="7" t="s">
        <v>148</v>
      </c>
      <c r="H281" s="7"/>
      <c r="I281" s="7"/>
      <c r="J281" s="7"/>
      <c r="K281" s="49"/>
      <c r="L281" s="7"/>
      <c r="M281" s="7" t="s">
        <v>233</v>
      </c>
      <c r="N281" s="7"/>
      <c r="O281" s="7" t="b">
        <f>IF(E281="隔週A", MOD(INT(('26414_編集版'!$C$1-DATE(2026,4,14))/7), 2)=1, IF(E281="隔週B", MOD(INT(('26414_編集版'!$C$1-DATE(2026,4,14))/7), 2)=0, FALSE))</f>
        <v>0</v>
      </c>
    </row>
    <row r="282" ht="17.25" customHeight="1">
      <c r="A282" s="37" t="s">
        <v>177</v>
      </c>
      <c r="B282" s="7">
        <v>13.0</v>
      </c>
      <c r="C282" s="49" t="s">
        <v>431</v>
      </c>
      <c r="D282" s="7">
        <v>2.1</v>
      </c>
      <c r="E282" s="7" t="s">
        <v>222</v>
      </c>
      <c r="F282" s="8"/>
      <c r="G282" s="7" t="s">
        <v>148</v>
      </c>
      <c r="H282" s="7"/>
      <c r="I282" s="7"/>
      <c r="J282" s="7"/>
      <c r="K282" s="49"/>
      <c r="L282" s="7"/>
      <c r="M282" s="7" t="s">
        <v>233</v>
      </c>
      <c r="N282" s="7"/>
      <c r="O282" s="7" t="b">
        <f>IF(E282="隔週A", MOD(INT(('26414_編集版'!$C$1-DATE(2026,4,14))/7), 2)=1, IF(E282="隔週B", MOD(INT(('26414_編集版'!$C$1-DATE(2026,4,14))/7), 2)=0, FALSE))</f>
        <v>0</v>
      </c>
    </row>
    <row r="283" ht="17.25" customHeight="1">
      <c r="A283" s="37" t="s">
        <v>177</v>
      </c>
      <c r="B283" s="7">
        <v>19.0</v>
      </c>
      <c r="C283" s="41" t="s">
        <v>432</v>
      </c>
      <c r="D283" s="41">
        <v>0.3</v>
      </c>
      <c r="E283" s="7" t="s">
        <v>222</v>
      </c>
      <c r="F283" s="8"/>
      <c r="G283" s="41" t="s">
        <v>148</v>
      </c>
      <c r="H283" s="41"/>
      <c r="I283" s="41"/>
      <c r="J283" s="41"/>
      <c r="K283" s="41"/>
      <c r="L283" s="7"/>
      <c r="M283" s="7" t="s">
        <v>233</v>
      </c>
      <c r="N283" s="7"/>
      <c r="O283" s="7" t="b">
        <f>IF(E283="隔週A", MOD(INT(('26414_編集版'!$C$1-DATE(2026,4,14))/7), 2)=1, IF(E283="隔週B", MOD(INT(('26414_編集版'!$C$1-DATE(2026,4,14))/7), 2)=0, FALSE))</f>
        <v>0</v>
      </c>
    </row>
    <row r="284" ht="17.25" customHeight="1">
      <c r="A284" s="37" t="s">
        <v>177</v>
      </c>
      <c r="B284" s="7">
        <v>21.0</v>
      </c>
      <c r="C284" s="41" t="s">
        <v>433</v>
      </c>
      <c r="D284" s="13">
        <v>2.5</v>
      </c>
      <c r="E284" s="7" t="s">
        <v>222</v>
      </c>
      <c r="F284" s="8"/>
      <c r="G284" s="41" t="s">
        <v>148</v>
      </c>
      <c r="H284" s="41"/>
      <c r="I284" s="41"/>
      <c r="J284" s="41"/>
      <c r="K284" s="41"/>
      <c r="L284" s="7"/>
      <c r="M284" s="7" t="s">
        <v>233</v>
      </c>
      <c r="N284" s="82"/>
      <c r="O284" s="7" t="b">
        <f>IF(E284="隔週A", MOD(INT(('26414_編集版'!$C$1-DATE(2026,4,14))/7), 2)=1, IF(E284="隔週B", MOD(INT(('26414_編集版'!$C$1-DATE(2026,4,14))/7), 2)=0, FALSE))</f>
        <v>0</v>
      </c>
    </row>
    <row r="285" ht="17.25" customHeight="1">
      <c r="A285" s="37" t="s">
        <v>177</v>
      </c>
      <c r="B285" s="7">
        <v>20.0</v>
      </c>
      <c r="C285" s="43" t="s">
        <v>434</v>
      </c>
      <c r="D285" s="43">
        <v>2.1</v>
      </c>
      <c r="E285" s="7" t="s">
        <v>222</v>
      </c>
      <c r="F285" s="8"/>
      <c r="G285" s="7" t="s">
        <v>148</v>
      </c>
      <c r="H285" s="7"/>
      <c r="I285" s="7"/>
      <c r="J285" s="7"/>
      <c r="K285" s="43"/>
      <c r="L285" s="7"/>
      <c r="M285" s="7" t="s">
        <v>233</v>
      </c>
      <c r="N285" s="43"/>
      <c r="O285" s="7" t="b">
        <f>IF(E285="隔週A", MOD(INT(('26414_編集版'!$C$1-DATE(2026,4,14))/7), 2)=1, IF(E285="隔週B", MOD(INT(('26414_編集版'!$C$1-DATE(2026,4,14))/7), 2)=0, FALSE))</f>
        <v>0</v>
      </c>
    </row>
    <row r="286" ht="17.25" customHeight="1">
      <c r="A286" s="37" t="s">
        <v>177</v>
      </c>
      <c r="B286" s="7">
        <v>8.0</v>
      </c>
      <c r="C286" s="13" t="s">
        <v>247</v>
      </c>
      <c r="D286" s="13">
        <v>0.1</v>
      </c>
      <c r="E286" s="7" t="s">
        <v>222</v>
      </c>
      <c r="F286" s="8"/>
      <c r="G286" s="7" t="s">
        <v>148</v>
      </c>
      <c r="H286" s="7"/>
      <c r="I286" s="7"/>
      <c r="J286" s="7"/>
      <c r="K286" s="13"/>
      <c r="L286" s="7"/>
      <c r="M286" s="7" t="s">
        <v>233</v>
      </c>
      <c r="N286" s="67"/>
      <c r="O286" s="7" t="b">
        <f>IF(E286="隔週A", MOD(INT(('26414_編集版'!$C$1-DATE(2026,4,14))/7), 2)=1, IF(E286="隔週B", MOD(INT(('26414_編集版'!$C$1-DATE(2026,4,14))/7), 2)=0, FALSE))</f>
        <v>0</v>
      </c>
    </row>
    <row r="287" ht="17.25" customHeight="1">
      <c r="A287" s="37" t="s">
        <v>177</v>
      </c>
      <c r="B287" s="7">
        <v>21.0</v>
      </c>
      <c r="C287" s="13" t="s">
        <v>248</v>
      </c>
      <c r="D287" s="44">
        <v>0.1</v>
      </c>
      <c r="E287" s="7" t="s">
        <v>222</v>
      </c>
      <c r="F287" s="8"/>
      <c r="G287" s="13" t="s">
        <v>148</v>
      </c>
      <c r="H287" s="13"/>
      <c r="I287" s="13"/>
      <c r="J287" s="13"/>
      <c r="K287" s="13"/>
      <c r="L287" s="7"/>
      <c r="M287" s="7" t="s">
        <v>233</v>
      </c>
      <c r="N287" s="44"/>
      <c r="O287" s="7" t="b">
        <f>IF(E287="隔週A", MOD(INT(('26414_編集版'!$C$1-DATE(2026,4,14))/7), 2)=1, IF(E287="隔週B", MOD(INT(('26414_編集版'!$C$1-DATE(2026,4,14))/7), 2)=0, FALSE))</f>
        <v>0</v>
      </c>
    </row>
    <row r="288" ht="17.25" customHeight="1">
      <c r="A288" s="37" t="s">
        <v>177</v>
      </c>
      <c r="B288" s="7">
        <v>21.0</v>
      </c>
      <c r="C288" s="41" t="s">
        <v>249</v>
      </c>
      <c r="D288" s="44">
        <v>0.1</v>
      </c>
      <c r="E288" s="7" t="s">
        <v>222</v>
      </c>
      <c r="F288" s="8"/>
      <c r="G288" s="41" t="s">
        <v>180</v>
      </c>
      <c r="H288" s="41"/>
      <c r="I288" s="41"/>
      <c r="J288" s="41"/>
      <c r="K288" s="41"/>
      <c r="L288" s="7"/>
      <c r="M288" s="7" t="s">
        <v>233</v>
      </c>
      <c r="N288" s="41"/>
      <c r="O288" s="7" t="b">
        <f>IF(E288="隔週A", MOD(INT(('26414_編集版'!$C$1-DATE(2026,4,14))/7), 2)=1, IF(E288="隔週B", MOD(INT(('26414_編集版'!$C$1-DATE(2026,4,14))/7), 2)=0, FALSE))</f>
        <v>0</v>
      </c>
    </row>
    <row r="289" ht="17.25" customHeight="1">
      <c r="A289" s="37" t="s">
        <v>177</v>
      </c>
      <c r="B289" s="7">
        <v>9.0</v>
      </c>
      <c r="C289" s="45" t="s">
        <v>435</v>
      </c>
      <c r="D289" s="7">
        <v>4.5</v>
      </c>
      <c r="E289" s="7" t="s">
        <v>222</v>
      </c>
      <c r="F289" s="59"/>
      <c r="G289" s="7" t="s">
        <v>148</v>
      </c>
      <c r="H289" s="7"/>
      <c r="I289" s="7"/>
      <c r="J289" s="7"/>
      <c r="K289" s="45"/>
      <c r="L289" s="41"/>
      <c r="M289" s="41" t="s">
        <v>233</v>
      </c>
      <c r="N289" s="7"/>
      <c r="O289" s="7" t="b">
        <f>IF(E289="隔週A", MOD(INT(('26414_編集版'!$C$1-DATE(2026,4,14))/7), 2)=1, IF(E289="隔週B", MOD(INT(('26414_編集版'!$C$1-DATE(2026,4,14))/7), 2)=0, FALSE))</f>
        <v>0</v>
      </c>
    </row>
    <row r="290" ht="17.25" customHeight="1">
      <c r="A290" s="37" t="s">
        <v>177</v>
      </c>
      <c r="B290" s="7">
        <v>11.0</v>
      </c>
      <c r="C290" s="45" t="s">
        <v>436</v>
      </c>
      <c r="D290" s="39">
        <v>0.7</v>
      </c>
      <c r="E290" s="7" t="s">
        <v>222</v>
      </c>
      <c r="F290" s="8"/>
      <c r="G290" s="7" t="s">
        <v>180</v>
      </c>
      <c r="H290" s="7"/>
      <c r="I290" s="7"/>
      <c r="J290" s="7"/>
      <c r="K290" s="45"/>
      <c r="L290" s="7"/>
      <c r="M290" s="7" t="s">
        <v>158</v>
      </c>
      <c r="N290" s="7" t="s">
        <v>150</v>
      </c>
      <c r="O290" s="7" t="b">
        <f>IF(E290="隔週A", MOD(INT(('26414_編集版'!$C$1-DATE(2026,4,14))/7), 2)=1, IF(E290="隔週B", MOD(INT(('26414_編集版'!$C$1-DATE(2026,4,14))/7), 2)=0, FALSE))</f>
        <v>0</v>
      </c>
    </row>
    <row r="291" ht="17.25" customHeight="1">
      <c r="A291" s="37" t="s">
        <v>177</v>
      </c>
      <c r="B291" s="7">
        <v>18.0</v>
      </c>
      <c r="C291" s="65" t="s">
        <v>437</v>
      </c>
      <c r="D291" s="43">
        <v>2.3</v>
      </c>
      <c r="E291" s="7" t="s">
        <v>222</v>
      </c>
      <c r="F291" s="8"/>
      <c r="G291" s="7" t="s">
        <v>148</v>
      </c>
      <c r="H291" s="7"/>
      <c r="I291" s="7"/>
      <c r="J291" s="7"/>
      <c r="K291" s="65"/>
      <c r="L291" s="7"/>
      <c r="M291" s="7" t="s">
        <v>233</v>
      </c>
      <c r="N291" s="7"/>
      <c r="O291" s="7" t="b">
        <f>IF(E291="隔週A", MOD(INT(('26414_編集版'!$C$1-DATE(2026,4,14))/7), 2)=1, IF(E291="隔週B", MOD(INT(('26414_編集版'!$C$1-DATE(2026,4,14))/7), 2)=0, FALSE))</f>
        <v>0</v>
      </c>
    </row>
    <row r="292" ht="17.25" customHeight="1">
      <c r="A292" s="37" t="s">
        <v>177</v>
      </c>
      <c r="B292" s="7">
        <v>10.0</v>
      </c>
      <c r="C292" s="13" t="s">
        <v>438</v>
      </c>
      <c r="D292" s="7">
        <v>0.4</v>
      </c>
      <c r="E292" s="7" t="s">
        <v>222</v>
      </c>
      <c r="F292" s="8"/>
      <c r="G292" s="7" t="s">
        <v>148</v>
      </c>
      <c r="H292" s="7"/>
      <c r="I292" s="7"/>
      <c r="J292" s="7"/>
      <c r="K292" s="13"/>
      <c r="L292" s="7"/>
      <c r="M292" s="7" t="s">
        <v>233</v>
      </c>
      <c r="N292" s="7"/>
      <c r="O292" s="7" t="b">
        <f>IF(E292="隔週A", MOD(INT(('26414_編集版'!$C$1-DATE(2026,4,14))/7), 2)=1, IF(E292="隔週B", MOD(INT(('26414_編集版'!$C$1-DATE(2026,4,14))/7), 2)=0, FALSE))</f>
        <v>0</v>
      </c>
    </row>
    <row r="293" ht="17.25" customHeight="1">
      <c r="A293" s="37" t="s">
        <v>177</v>
      </c>
      <c r="B293" s="7">
        <v>17.0</v>
      </c>
      <c r="C293" s="49" t="s">
        <v>439</v>
      </c>
      <c r="D293" s="7">
        <v>0.7</v>
      </c>
      <c r="E293" s="7" t="s">
        <v>222</v>
      </c>
      <c r="F293" s="8"/>
      <c r="G293" s="7" t="s">
        <v>148</v>
      </c>
      <c r="H293" s="7"/>
      <c r="I293" s="7"/>
      <c r="J293" s="7"/>
      <c r="K293" s="49"/>
      <c r="L293" s="7"/>
      <c r="M293" s="7" t="s">
        <v>233</v>
      </c>
      <c r="N293" s="7"/>
      <c r="O293" s="7" t="b">
        <f>IF(E293="隔週A", MOD(INT(('26414_編集版'!$C$1-DATE(2026,4,14))/7), 2)=1, IF(E293="隔週B", MOD(INT(('26414_編集版'!$C$1-DATE(2026,4,14))/7), 2)=0, FALSE))</f>
        <v>0</v>
      </c>
    </row>
    <row r="294" ht="17.25" customHeight="1">
      <c r="A294" s="37" t="s">
        <v>177</v>
      </c>
      <c r="B294" s="7">
        <v>11.0</v>
      </c>
      <c r="C294" s="51" t="s">
        <v>440</v>
      </c>
      <c r="D294" s="7">
        <v>1.0</v>
      </c>
      <c r="E294" s="7" t="s">
        <v>222</v>
      </c>
      <c r="F294" s="8"/>
      <c r="G294" s="7" t="s">
        <v>148</v>
      </c>
      <c r="H294" s="7"/>
      <c r="I294" s="7"/>
      <c r="J294" s="7"/>
      <c r="K294" s="51"/>
      <c r="L294" s="7"/>
      <c r="M294" s="7" t="s">
        <v>233</v>
      </c>
      <c r="N294" s="7"/>
      <c r="O294" s="7" t="b">
        <f>IF(E294="隔週A", MOD(INT(('26414_編集版'!$C$1-DATE(2026,4,14))/7), 2)=1, IF(E294="隔週B", MOD(INT(('26414_編集版'!$C$1-DATE(2026,4,14))/7), 2)=0, FALSE))</f>
        <v>0</v>
      </c>
    </row>
    <row r="295" ht="17.25" customHeight="1">
      <c r="A295" s="37" t="s">
        <v>177</v>
      </c>
      <c r="B295" s="7">
        <v>19.0</v>
      </c>
      <c r="C295" s="41" t="s">
        <v>441</v>
      </c>
      <c r="D295" s="41">
        <v>0.7</v>
      </c>
      <c r="E295" s="7" t="s">
        <v>222</v>
      </c>
      <c r="F295" s="8"/>
      <c r="G295" s="41" t="s">
        <v>148</v>
      </c>
      <c r="H295" s="41"/>
      <c r="I295" s="41"/>
      <c r="J295" s="41"/>
      <c r="K295" s="41"/>
      <c r="L295" s="7"/>
      <c r="M295" s="7" t="s">
        <v>233</v>
      </c>
      <c r="N295" s="7"/>
      <c r="O295" s="7" t="b">
        <f>IF(E295="隔週A", MOD(INT(('26414_編集版'!$C$1-DATE(2026,4,14))/7), 2)=1, IF(E295="隔週B", MOD(INT(('26414_編集版'!$C$1-DATE(2026,4,14))/7), 2)=0, FALSE))</f>
        <v>0</v>
      </c>
    </row>
    <row r="296" ht="17.25" customHeight="1">
      <c r="A296" s="37" t="s">
        <v>177</v>
      </c>
      <c r="B296" s="7">
        <v>19.0</v>
      </c>
      <c r="C296" s="41" t="s">
        <v>442</v>
      </c>
      <c r="D296" s="13">
        <v>1.9</v>
      </c>
      <c r="E296" s="7" t="s">
        <v>222</v>
      </c>
      <c r="F296" s="8"/>
      <c r="G296" s="41" t="s">
        <v>148</v>
      </c>
      <c r="H296" s="41"/>
      <c r="I296" s="41"/>
      <c r="J296" s="41"/>
      <c r="K296" s="41"/>
      <c r="L296" s="7"/>
      <c r="M296" s="7" t="s">
        <v>233</v>
      </c>
      <c r="N296" s="7"/>
      <c r="O296" s="7" t="b">
        <f>IF(E296="隔週A", MOD(INT(('26414_編集版'!$C$1-DATE(2026,4,14))/7), 2)=1, IF(E296="隔週B", MOD(INT(('26414_編集版'!$C$1-DATE(2026,4,14))/7), 2)=0, FALSE))</f>
        <v>0</v>
      </c>
    </row>
    <row r="297" ht="17.25" customHeight="1">
      <c r="A297" s="37" t="s">
        <v>177</v>
      </c>
      <c r="B297" s="7">
        <v>19.0</v>
      </c>
      <c r="C297" s="41" t="s">
        <v>443</v>
      </c>
      <c r="D297" s="41">
        <v>1.4</v>
      </c>
      <c r="E297" s="7" t="s">
        <v>222</v>
      </c>
      <c r="F297" s="8"/>
      <c r="G297" s="41" t="s">
        <v>148</v>
      </c>
      <c r="H297" s="41"/>
      <c r="I297" s="41"/>
      <c r="J297" s="41"/>
      <c r="K297" s="41"/>
      <c r="L297" s="7"/>
      <c r="M297" s="7" t="s">
        <v>233</v>
      </c>
      <c r="N297" s="7"/>
      <c r="O297" s="7" t="b">
        <f>IF(E297="隔週A", MOD(INT(('26414_編集版'!$C$1-DATE(2026,4,14))/7), 2)=1, IF(E297="隔週B", MOD(INT(('26414_編集版'!$C$1-DATE(2026,4,14))/7), 2)=0, FALSE))</f>
        <v>0</v>
      </c>
    </row>
    <row r="298" ht="17.25" customHeight="1">
      <c r="A298" s="37" t="s">
        <v>177</v>
      </c>
      <c r="B298" s="7">
        <v>8.0</v>
      </c>
      <c r="C298" s="49" t="s">
        <v>444</v>
      </c>
      <c r="D298" s="7">
        <v>0.6</v>
      </c>
      <c r="E298" s="7" t="s">
        <v>222</v>
      </c>
      <c r="F298" s="8"/>
      <c r="G298" s="7" t="s">
        <v>148</v>
      </c>
      <c r="H298" s="7"/>
      <c r="I298" s="7"/>
      <c r="J298" s="7"/>
      <c r="K298" s="49"/>
      <c r="L298" s="7"/>
      <c r="M298" s="7" t="s">
        <v>233</v>
      </c>
      <c r="N298" s="7"/>
      <c r="O298" s="7" t="b">
        <f>IF(E298="隔週A", MOD(INT(('26414_編集版'!$C$1-DATE(2026,4,14))/7), 2)=1, IF(E298="隔週B", MOD(INT(('26414_編集版'!$C$1-DATE(2026,4,14))/7), 2)=0, FALSE))</f>
        <v>0</v>
      </c>
    </row>
    <row r="299" ht="17.25" customHeight="1">
      <c r="A299" s="37" t="s">
        <v>177</v>
      </c>
      <c r="B299" s="7">
        <v>20.0</v>
      </c>
      <c r="C299" s="41" t="s">
        <v>445</v>
      </c>
      <c r="D299" s="41">
        <v>1.6</v>
      </c>
      <c r="E299" s="7" t="s">
        <v>222</v>
      </c>
      <c r="F299" s="59"/>
      <c r="G299" s="41" t="s">
        <v>148</v>
      </c>
      <c r="H299" s="41"/>
      <c r="I299" s="41"/>
      <c r="J299" s="41"/>
      <c r="K299" s="41"/>
      <c r="L299" s="41"/>
      <c r="M299" s="41" t="s">
        <v>233</v>
      </c>
      <c r="N299" s="7"/>
      <c r="O299" s="7" t="b">
        <f>IF(E299="隔週A", MOD(INT(('26414_編集版'!$C$1-DATE(2026,4,14))/7), 2)=1, IF(E299="隔週B", MOD(INT(('26414_編集版'!$C$1-DATE(2026,4,14))/7), 2)=0, FALSE))</f>
        <v>0</v>
      </c>
    </row>
    <row r="300" ht="17.25" customHeight="1">
      <c r="A300" s="37" t="s">
        <v>177</v>
      </c>
      <c r="B300" s="7">
        <v>20.0</v>
      </c>
      <c r="C300" s="54" t="s">
        <v>65</v>
      </c>
      <c r="D300" s="41">
        <v>0.1</v>
      </c>
      <c r="E300" s="7" t="s">
        <v>222</v>
      </c>
      <c r="F300" s="59"/>
      <c r="G300" s="41" t="s">
        <v>148</v>
      </c>
      <c r="H300" s="41"/>
      <c r="I300" s="41"/>
      <c r="J300" s="41"/>
      <c r="K300" s="54"/>
      <c r="L300" s="41"/>
      <c r="M300" s="41" t="s">
        <v>191</v>
      </c>
      <c r="N300" s="41" t="s">
        <v>160</v>
      </c>
      <c r="O300" s="7" t="b">
        <f>IF(E300="隔週A", MOD(INT(('26414_編集版'!$C$1-DATE(2026,4,14))/7), 2)=1, IF(E300="隔週B", MOD(INT(('26414_編集版'!$C$1-DATE(2026,4,14))/7), 2)=0, FALSE))</f>
        <v>0</v>
      </c>
    </row>
    <row r="301" ht="17.25" customHeight="1">
      <c r="A301" s="37" t="s">
        <v>177</v>
      </c>
      <c r="B301" s="7">
        <v>21.0</v>
      </c>
      <c r="C301" s="41" t="s">
        <v>446</v>
      </c>
      <c r="D301" s="13">
        <v>0.6</v>
      </c>
      <c r="E301" s="7" t="s">
        <v>222</v>
      </c>
      <c r="F301" s="8"/>
      <c r="G301" s="41" t="s">
        <v>148</v>
      </c>
      <c r="H301" s="41"/>
      <c r="I301" s="41"/>
      <c r="J301" s="41"/>
      <c r="K301" s="41"/>
      <c r="L301" s="7"/>
      <c r="M301" s="7" t="s">
        <v>233</v>
      </c>
      <c r="N301" s="13"/>
      <c r="O301" s="7" t="b">
        <f>IF(E301="隔週A", MOD(INT(('26414_編集版'!$C$1-DATE(2026,4,14))/7), 2)=1, IF(E301="隔週B", MOD(INT(('26414_編集版'!$C$1-DATE(2026,4,14))/7), 2)=0, FALSE))</f>
        <v>0</v>
      </c>
    </row>
    <row r="302" ht="17.25" customHeight="1">
      <c r="A302" s="37" t="s">
        <v>181</v>
      </c>
      <c r="B302" s="7">
        <v>8.0</v>
      </c>
      <c r="C302" s="41" t="s">
        <v>447</v>
      </c>
      <c r="D302" s="41">
        <v>1.0</v>
      </c>
      <c r="E302" s="7" t="s">
        <v>222</v>
      </c>
      <c r="F302" s="40"/>
      <c r="G302" s="41" t="s">
        <v>148</v>
      </c>
      <c r="H302" s="41"/>
      <c r="I302" s="41"/>
      <c r="J302" s="41"/>
      <c r="K302" s="41"/>
      <c r="L302" s="13"/>
      <c r="M302" s="13" t="s">
        <v>160</v>
      </c>
      <c r="N302" s="13" t="s">
        <v>191</v>
      </c>
      <c r="O302" s="7" t="b">
        <f>IF(E302="隔週A", MOD(INT(('26414_編集版'!$C$1-DATE(2026,4,14))/7), 2)=1, IF(E302="隔週B", MOD(INT(('26414_編集版'!$C$1-DATE(2026,4,14))/7), 2)=0, FALSE))</f>
        <v>0</v>
      </c>
    </row>
    <row r="303" ht="17.25" customHeight="1">
      <c r="A303" s="37" t="s">
        <v>181</v>
      </c>
      <c r="B303" s="7">
        <v>8.0</v>
      </c>
      <c r="C303" s="41" t="s">
        <v>448</v>
      </c>
      <c r="D303" s="41">
        <v>1.0</v>
      </c>
      <c r="E303" s="7" t="s">
        <v>222</v>
      </c>
      <c r="F303" s="40"/>
      <c r="G303" s="41" t="s">
        <v>148</v>
      </c>
      <c r="H303" s="41"/>
      <c r="I303" s="41"/>
      <c r="J303" s="41"/>
      <c r="K303" s="41"/>
      <c r="L303" s="13"/>
      <c r="M303" s="13" t="s">
        <v>160</v>
      </c>
      <c r="N303" s="13" t="s">
        <v>191</v>
      </c>
      <c r="O303" s="7" t="b">
        <f>IF(E303="隔週A", MOD(INT(('26414_編集版'!$C$1-DATE(2026,4,14))/7), 2)=1, IF(E303="隔週B", MOD(INT(('26414_編集版'!$C$1-DATE(2026,4,14))/7), 2)=0, FALSE))</f>
        <v>0</v>
      </c>
    </row>
    <row r="304" ht="17.25" customHeight="1">
      <c r="A304" s="37" t="s">
        <v>181</v>
      </c>
      <c r="B304" s="7">
        <v>12.0</v>
      </c>
      <c r="C304" s="41" t="s">
        <v>449</v>
      </c>
      <c r="D304" s="13">
        <v>7.0</v>
      </c>
      <c r="E304" s="7" t="s">
        <v>222</v>
      </c>
      <c r="F304" s="61" t="s">
        <v>225</v>
      </c>
      <c r="G304" s="41" t="s">
        <v>148</v>
      </c>
      <c r="H304" s="41"/>
      <c r="I304" s="41"/>
      <c r="J304" s="41"/>
      <c r="K304" s="41"/>
      <c r="L304" s="45"/>
      <c r="M304" s="41" t="s">
        <v>223</v>
      </c>
      <c r="N304" s="41" t="s">
        <v>191</v>
      </c>
      <c r="O304" s="7" t="b">
        <f>IF(E304="隔週A", MOD(INT(('26414_編集版'!$C$1-DATE(2026,4,14))/7), 2)=1, IF(E304="隔週B", MOD(INT(('26414_編集版'!$C$1-DATE(2026,4,14))/7), 2)=0, FALSE))</f>
        <v>0</v>
      </c>
    </row>
    <row r="305" ht="17.25" customHeight="1">
      <c r="A305" s="37" t="s">
        <v>181</v>
      </c>
      <c r="B305" s="7">
        <v>10.0</v>
      </c>
      <c r="C305" s="62" t="s">
        <v>450</v>
      </c>
      <c r="D305" s="13">
        <v>3.6</v>
      </c>
      <c r="E305" s="7" t="s">
        <v>222</v>
      </c>
      <c r="F305" s="40"/>
      <c r="G305" s="41" t="s">
        <v>148</v>
      </c>
      <c r="H305" s="41"/>
      <c r="I305" s="41"/>
      <c r="J305" s="41"/>
      <c r="K305" s="63"/>
      <c r="L305" s="13"/>
      <c r="M305" s="13" t="s">
        <v>150</v>
      </c>
      <c r="N305" s="67" t="s">
        <v>152</v>
      </c>
      <c r="O305" s="7" t="b">
        <f>IF(E305="隔週A", MOD(INT(('26414_編集版'!$C$1-DATE(2026,4,14))/7), 2)=1, IF(E305="隔週B", MOD(INT(('26414_編集版'!$C$1-DATE(2026,4,14))/7), 2)=0, FALSE))</f>
        <v>0</v>
      </c>
    </row>
    <row r="306" ht="17.25" customHeight="1">
      <c r="A306" s="37" t="s">
        <v>181</v>
      </c>
      <c r="B306" s="38">
        <v>14.0</v>
      </c>
      <c r="C306" s="56" t="s">
        <v>451</v>
      </c>
      <c r="D306" s="7">
        <v>1.4</v>
      </c>
      <c r="E306" s="7" t="s">
        <v>222</v>
      </c>
      <c r="F306" s="8"/>
      <c r="G306" s="7" t="s">
        <v>148</v>
      </c>
      <c r="H306" s="7"/>
      <c r="I306" s="7"/>
      <c r="J306" s="7"/>
      <c r="K306" s="56"/>
      <c r="L306" s="7"/>
      <c r="M306" s="7" t="s">
        <v>223</v>
      </c>
      <c r="N306" s="7" t="s">
        <v>191</v>
      </c>
      <c r="O306" s="7" t="b">
        <f>IF(E306="隔週A", MOD(INT(('26414_編集版'!$C$1-DATE(2026,4,14))/7), 2)=1, IF(E306="隔週B", MOD(INT(('26414_編集版'!$C$1-DATE(2026,4,14))/7), 2)=0, FALSE))</f>
        <v>0</v>
      </c>
    </row>
    <row r="307" ht="17.25" customHeight="1">
      <c r="A307" s="37" t="s">
        <v>181</v>
      </c>
      <c r="B307" s="38">
        <v>14.0</v>
      </c>
      <c r="C307" s="56" t="s">
        <v>452</v>
      </c>
      <c r="D307" s="39">
        <v>0.5</v>
      </c>
      <c r="E307" s="7" t="s">
        <v>222</v>
      </c>
      <c r="F307" s="8"/>
      <c r="G307" s="7" t="s">
        <v>148</v>
      </c>
      <c r="H307" s="7"/>
      <c r="I307" s="7"/>
      <c r="J307" s="7"/>
      <c r="K307" s="56"/>
      <c r="L307" s="7"/>
      <c r="M307" s="7" t="s">
        <v>223</v>
      </c>
      <c r="N307" s="7" t="s">
        <v>191</v>
      </c>
      <c r="O307" s="7" t="b">
        <f>IF(E307="隔週A", MOD(INT(('26414_編集版'!$C$1-DATE(2026,4,14))/7), 2)=1, IF(E307="隔週B", MOD(INT(('26414_編集版'!$C$1-DATE(2026,4,14))/7), 2)=0, FALSE))</f>
        <v>0</v>
      </c>
    </row>
    <row r="308" ht="17.25" customHeight="1">
      <c r="A308" s="37" t="s">
        <v>181</v>
      </c>
      <c r="B308" s="7">
        <v>20.0</v>
      </c>
      <c r="C308" s="41" t="s">
        <v>453</v>
      </c>
      <c r="D308" s="41">
        <v>2.0</v>
      </c>
      <c r="E308" s="7" t="s">
        <v>222</v>
      </c>
      <c r="F308" s="59"/>
      <c r="G308" s="41" t="s">
        <v>148</v>
      </c>
      <c r="H308" s="41"/>
      <c r="I308" s="41"/>
      <c r="J308" s="41"/>
      <c r="K308" s="41"/>
      <c r="L308" s="41"/>
      <c r="M308" s="41" t="s">
        <v>233</v>
      </c>
      <c r="N308" s="82"/>
      <c r="O308" s="7" t="b">
        <f>IF(E308="隔週A", MOD(INT(('26414_編集版'!$C$1-DATE(2026,4,14))/7), 2)=1, IF(E308="隔週B", MOD(INT(('26414_編集版'!$C$1-DATE(2026,4,14))/7), 2)=0, FALSE))</f>
        <v>0</v>
      </c>
    </row>
    <row r="309" ht="17.25" customHeight="1">
      <c r="A309" s="37" t="s">
        <v>181</v>
      </c>
      <c r="B309" s="7">
        <v>8.0</v>
      </c>
      <c r="C309" s="82" t="s">
        <v>454</v>
      </c>
      <c r="D309" s="82">
        <v>0.6</v>
      </c>
      <c r="E309" s="7" t="s">
        <v>222</v>
      </c>
      <c r="F309" s="59"/>
      <c r="G309" s="82" t="s">
        <v>148</v>
      </c>
      <c r="H309" s="82"/>
      <c r="I309" s="82"/>
      <c r="J309" s="82"/>
      <c r="K309" s="82"/>
      <c r="L309" s="41"/>
      <c r="M309" s="41" t="s">
        <v>233</v>
      </c>
      <c r="N309" s="67"/>
      <c r="O309" s="7" t="b">
        <f>IF(E309="隔週A", MOD(INT(('26414_編集版'!$C$1-DATE(2026,4,14))/7), 2)=1, IF(E309="隔週B", MOD(INT(('26414_編集版'!$C$1-DATE(2026,4,14))/7), 2)=0, FALSE))</f>
        <v>0</v>
      </c>
    </row>
    <row r="310" ht="17.25" customHeight="1">
      <c r="A310" s="37" t="s">
        <v>181</v>
      </c>
      <c r="B310" s="7">
        <v>11.0</v>
      </c>
      <c r="C310" s="41" t="s">
        <v>455</v>
      </c>
      <c r="D310" s="13">
        <v>0.8</v>
      </c>
      <c r="E310" s="7" t="s">
        <v>222</v>
      </c>
      <c r="F310" s="8"/>
      <c r="G310" s="41" t="s">
        <v>148</v>
      </c>
      <c r="H310" s="41"/>
      <c r="I310" s="41"/>
      <c r="J310" s="41"/>
      <c r="K310" s="41"/>
      <c r="L310" s="7"/>
      <c r="M310" s="7" t="s">
        <v>233</v>
      </c>
      <c r="N310" s="7"/>
      <c r="O310" s="7" t="b">
        <f>IF(E310="隔週A", MOD(INT(('26414_編集版'!$C$1-DATE(2026,4,14))/7), 2)=1, IF(E310="隔週B", MOD(INT(('26414_編集版'!$C$1-DATE(2026,4,14))/7), 2)=0, FALSE))</f>
        <v>0</v>
      </c>
    </row>
    <row r="311" ht="17.25" customHeight="1">
      <c r="A311" s="37" t="s">
        <v>181</v>
      </c>
      <c r="B311" s="7">
        <v>21.0</v>
      </c>
      <c r="C311" s="49" t="s">
        <v>456</v>
      </c>
      <c r="D311" s="7">
        <v>3.1</v>
      </c>
      <c r="E311" s="7" t="s">
        <v>222</v>
      </c>
      <c r="F311" s="59"/>
      <c r="G311" s="44" t="s">
        <v>148</v>
      </c>
      <c r="H311" s="44"/>
      <c r="I311" s="44"/>
      <c r="J311" s="44"/>
      <c r="K311" s="49"/>
      <c r="L311" s="41"/>
      <c r="M311" s="41" t="s">
        <v>233</v>
      </c>
      <c r="N311" s="13"/>
      <c r="O311" s="7" t="b">
        <f>IF(E311="隔週A", MOD(INT(('26414_編集版'!$C$1-DATE(2026,4,14))/7), 2)=1, IF(E311="隔週B", MOD(INT(('26414_編集版'!$C$1-DATE(2026,4,14))/7), 2)=0, FALSE))</f>
        <v>0</v>
      </c>
    </row>
    <row r="312" ht="17.25" customHeight="1">
      <c r="A312" s="37" t="s">
        <v>181</v>
      </c>
      <c r="B312" s="38">
        <v>15.0</v>
      </c>
      <c r="C312" s="41" t="s">
        <v>457</v>
      </c>
      <c r="D312" s="13">
        <v>0.2</v>
      </c>
      <c r="E312" s="7" t="s">
        <v>222</v>
      </c>
      <c r="F312" s="8"/>
      <c r="G312" s="41" t="s">
        <v>148</v>
      </c>
      <c r="H312" s="41"/>
      <c r="I312" s="41"/>
      <c r="J312" s="41"/>
      <c r="K312" s="41"/>
      <c r="L312" s="7"/>
      <c r="M312" s="7" t="s">
        <v>233</v>
      </c>
      <c r="N312" s="67"/>
      <c r="O312" s="7" t="b">
        <f>IF(E312="隔週A", MOD(INT(('26414_編集版'!$C$1-DATE(2026,4,14))/7), 2)=1, IF(E312="隔週B", MOD(INT(('26414_編集版'!$C$1-DATE(2026,4,14))/7), 2)=0, FALSE))</f>
        <v>0</v>
      </c>
    </row>
    <row r="313" ht="17.25" customHeight="1">
      <c r="A313" s="37" t="s">
        <v>181</v>
      </c>
      <c r="B313" s="7">
        <v>9.0</v>
      </c>
      <c r="C313" s="41" t="s">
        <v>458</v>
      </c>
      <c r="D313" s="13">
        <v>0.3</v>
      </c>
      <c r="E313" s="7" t="s">
        <v>222</v>
      </c>
      <c r="F313" s="59"/>
      <c r="G313" s="41" t="s">
        <v>148</v>
      </c>
      <c r="H313" s="41"/>
      <c r="I313" s="41"/>
      <c r="J313" s="41"/>
      <c r="K313" s="41"/>
      <c r="L313" s="41"/>
      <c r="M313" s="41" t="s">
        <v>233</v>
      </c>
      <c r="N313" s="7"/>
      <c r="O313" s="7" t="b">
        <f>IF(E313="隔週A", MOD(INT(('26414_編集版'!$C$1-DATE(2026,4,14))/7), 2)=1, IF(E313="隔週B", MOD(INT(('26414_編集版'!$C$1-DATE(2026,4,14))/7), 2)=0, FALSE))</f>
        <v>0</v>
      </c>
    </row>
    <row r="314" ht="17.25" customHeight="1">
      <c r="A314" s="37" t="s">
        <v>181</v>
      </c>
      <c r="B314" s="7">
        <v>13.0</v>
      </c>
      <c r="C314" s="41" t="s">
        <v>459</v>
      </c>
      <c r="D314" s="13">
        <v>2.4</v>
      </c>
      <c r="E314" s="7" t="s">
        <v>222</v>
      </c>
      <c r="F314" s="8"/>
      <c r="G314" s="41" t="s">
        <v>148</v>
      </c>
      <c r="H314" s="41"/>
      <c r="I314" s="41"/>
      <c r="J314" s="41"/>
      <c r="K314" s="41"/>
      <c r="L314" s="7"/>
      <c r="M314" s="7" t="s">
        <v>233</v>
      </c>
      <c r="N314" s="7"/>
      <c r="O314" s="7" t="b">
        <f>IF(E314="隔週A", MOD(INT(('26414_編集版'!$C$1-DATE(2026,4,14))/7), 2)=1, IF(E314="隔週B", MOD(INT(('26414_編集版'!$C$1-DATE(2026,4,14))/7), 2)=0, FALSE))</f>
        <v>0</v>
      </c>
    </row>
    <row r="315" ht="17.25" customHeight="1">
      <c r="A315" s="37" t="s">
        <v>181</v>
      </c>
      <c r="B315" s="7">
        <v>21.0</v>
      </c>
      <c r="C315" s="49" t="s">
        <v>460</v>
      </c>
      <c r="D315" s="38">
        <v>0.8</v>
      </c>
      <c r="E315" s="7" t="s">
        <v>222</v>
      </c>
      <c r="F315" s="59"/>
      <c r="G315" s="48" t="s">
        <v>148</v>
      </c>
      <c r="H315" s="48"/>
      <c r="I315" s="48"/>
      <c r="J315" s="48"/>
      <c r="K315" s="49"/>
      <c r="L315" s="41"/>
      <c r="M315" s="41" t="s">
        <v>233</v>
      </c>
      <c r="N315" s="13"/>
      <c r="O315" s="7" t="b">
        <f>IF(E315="隔週A", MOD(INT(('26414_編集版'!$C$1-DATE(2026,4,14))/7), 2)=1, IF(E315="隔週B", MOD(INT(('26414_編集版'!$C$1-DATE(2026,4,14))/7), 2)=0, FALSE))</f>
        <v>0</v>
      </c>
    </row>
    <row r="316" ht="17.25" customHeight="1">
      <c r="A316" s="37" t="s">
        <v>181</v>
      </c>
      <c r="B316" s="38">
        <v>15.0</v>
      </c>
      <c r="C316" s="41" t="s">
        <v>461</v>
      </c>
      <c r="D316" s="41">
        <v>0.2</v>
      </c>
      <c r="E316" s="7" t="s">
        <v>222</v>
      </c>
      <c r="F316" s="8"/>
      <c r="G316" s="41" t="s">
        <v>148</v>
      </c>
      <c r="H316" s="41"/>
      <c r="I316" s="41"/>
      <c r="J316" s="41"/>
      <c r="K316" s="41"/>
      <c r="L316" s="7"/>
      <c r="M316" s="7" t="s">
        <v>233</v>
      </c>
      <c r="N316" s="7"/>
      <c r="O316" s="7" t="b">
        <f>IF(E316="隔週A", MOD(INT(('26414_編集版'!$C$1-DATE(2026,4,14))/7), 2)=1, IF(E316="隔週B", MOD(INT(('26414_編集版'!$C$1-DATE(2026,4,14))/7), 2)=0, FALSE))</f>
        <v>0</v>
      </c>
    </row>
    <row r="317" ht="17.25" customHeight="1">
      <c r="A317" s="37" t="s">
        <v>181</v>
      </c>
      <c r="B317" s="7">
        <v>8.0</v>
      </c>
      <c r="C317" s="13" t="s">
        <v>247</v>
      </c>
      <c r="D317" s="13">
        <v>0.1</v>
      </c>
      <c r="E317" s="7" t="s">
        <v>222</v>
      </c>
      <c r="F317" s="8"/>
      <c r="G317" s="7" t="s">
        <v>148</v>
      </c>
      <c r="H317" s="7"/>
      <c r="I317" s="7"/>
      <c r="J317" s="7"/>
      <c r="K317" s="13"/>
      <c r="L317" s="7"/>
      <c r="M317" s="7" t="s">
        <v>233</v>
      </c>
      <c r="N317" s="67"/>
      <c r="O317" s="7" t="b">
        <f>IF(E317="隔週A", MOD(INT(('26414_編集版'!$C$1-DATE(2026,4,14))/7), 2)=1, IF(E317="隔週B", MOD(INT(('26414_編集版'!$C$1-DATE(2026,4,14))/7), 2)=0, FALSE))</f>
        <v>0</v>
      </c>
    </row>
    <row r="318" ht="17.25" customHeight="1">
      <c r="A318" s="37" t="s">
        <v>181</v>
      </c>
      <c r="B318" s="7">
        <v>21.0</v>
      </c>
      <c r="C318" s="13" t="s">
        <v>248</v>
      </c>
      <c r="D318" s="44">
        <v>0.1</v>
      </c>
      <c r="E318" s="7" t="s">
        <v>222</v>
      </c>
      <c r="F318" s="8"/>
      <c r="G318" s="13" t="s">
        <v>148</v>
      </c>
      <c r="H318" s="13"/>
      <c r="I318" s="13"/>
      <c r="J318" s="13"/>
      <c r="K318" s="13"/>
      <c r="L318" s="7"/>
      <c r="M318" s="7" t="s">
        <v>233</v>
      </c>
      <c r="N318" s="44"/>
      <c r="O318" s="7" t="b">
        <f>IF(E318="隔週A", MOD(INT(('26414_編集版'!$C$1-DATE(2026,4,14))/7), 2)=1, IF(E318="隔週B", MOD(INT(('26414_編集版'!$C$1-DATE(2026,4,14))/7), 2)=0, FALSE))</f>
        <v>0</v>
      </c>
    </row>
    <row r="319" ht="17.25" customHeight="1">
      <c r="A319" s="37" t="s">
        <v>181</v>
      </c>
      <c r="B319" s="7">
        <v>21.0</v>
      </c>
      <c r="C319" s="41" t="s">
        <v>249</v>
      </c>
      <c r="D319" s="44">
        <v>0.1</v>
      </c>
      <c r="E319" s="7" t="s">
        <v>222</v>
      </c>
      <c r="F319" s="59"/>
      <c r="G319" s="41" t="s">
        <v>180</v>
      </c>
      <c r="H319" s="41"/>
      <c r="I319" s="41"/>
      <c r="J319" s="41"/>
      <c r="K319" s="41"/>
      <c r="L319" s="41"/>
      <c r="M319" s="41" t="s">
        <v>233</v>
      </c>
      <c r="N319" s="41"/>
      <c r="O319" s="7" t="b">
        <f>IF(E319="隔週A", MOD(INT(('26414_編集版'!$C$1-DATE(2026,4,14))/7), 2)=1, IF(E319="隔週B", MOD(INT(('26414_編集版'!$C$1-DATE(2026,4,14))/7), 2)=0, FALSE))</f>
        <v>0</v>
      </c>
    </row>
    <row r="320" ht="17.25" customHeight="1">
      <c r="A320" s="37" t="s">
        <v>181</v>
      </c>
      <c r="B320" s="7">
        <v>11.0</v>
      </c>
      <c r="C320" s="41" t="s">
        <v>462</v>
      </c>
      <c r="D320" s="41">
        <v>0.7</v>
      </c>
      <c r="E320" s="7" t="s">
        <v>222</v>
      </c>
      <c r="F320" s="59"/>
      <c r="G320" s="41" t="s">
        <v>148</v>
      </c>
      <c r="H320" s="41"/>
      <c r="I320" s="41"/>
      <c r="J320" s="41"/>
      <c r="K320" s="41"/>
      <c r="L320" s="41"/>
      <c r="M320" s="41" t="s">
        <v>233</v>
      </c>
      <c r="N320" s="82"/>
      <c r="O320" s="7" t="b">
        <f>IF(E320="隔週A", MOD(INT(('26414_編集版'!$C$1-DATE(2026,4,14))/7), 2)=1, IF(E320="隔週B", MOD(INT(('26414_編集版'!$C$1-DATE(2026,4,14))/7), 2)=0, FALSE))</f>
        <v>0</v>
      </c>
    </row>
    <row r="321" ht="17.25" customHeight="1">
      <c r="A321" s="37" t="s">
        <v>181</v>
      </c>
      <c r="B321" s="7">
        <v>19.0</v>
      </c>
      <c r="C321" s="41" t="s">
        <v>463</v>
      </c>
      <c r="D321" s="41">
        <v>0.7</v>
      </c>
      <c r="E321" s="7" t="s">
        <v>222</v>
      </c>
      <c r="F321" s="40"/>
      <c r="G321" s="41" t="s">
        <v>148</v>
      </c>
      <c r="H321" s="41"/>
      <c r="I321" s="41"/>
      <c r="J321" s="41"/>
      <c r="K321" s="41"/>
      <c r="L321" s="13"/>
      <c r="M321" s="13" t="s">
        <v>150</v>
      </c>
      <c r="N321" s="13" t="s">
        <v>158</v>
      </c>
      <c r="O321" s="7" t="b">
        <f>IF(E321="隔週A", MOD(INT(('26414_編集版'!$C$1-DATE(2026,4,14))/7), 2)=1, IF(E321="隔週B", MOD(INT(('26414_編集版'!$C$1-DATE(2026,4,14))/7), 2)=0, FALSE))</f>
        <v>0</v>
      </c>
    </row>
    <row r="322" ht="17.25" customHeight="1">
      <c r="A322" s="37" t="s">
        <v>181</v>
      </c>
      <c r="B322" s="38">
        <v>14.0</v>
      </c>
      <c r="C322" s="41" t="s">
        <v>464</v>
      </c>
      <c r="D322" s="54">
        <v>0.7</v>
      </c>
      <c r="E322" s="7" t="s">
        <v>222</v>
      </c>
      <c r="F322" s="8"/>
      <c r="G322" s="41" t="s">
        <v>148</v>
      </c>
      <c r="H322" s="41"/>
      <c r="I322" s="41"/>
      <c r="J322" s="41"/>
      <c r="K322" s="41"/>
      <c r="L322" s="7"/>
      <c r="M322" s="7" t="s">
        <v>233</v>
      </c>
      <c r="N322" s="13"/>
      <c r="O322" s="7" t="b">
        <f>IF(E322="隔週A", MOD(INT(('26414_編集版'!$C$1-DATE(2026,4,14))/7), 2)=1, IF(E322="隔週B", MOD(INT(('26414_編集版'!$C$1-DATE(2026,4,14))/7), 2)=0, FALSE))</f>
        <v>0</v>
      </c>
    </row>
    <row r="323" ht="17.25" customHeight="1">
      <c r="A323" s="37" t="s">
        <v>181</v>
      </c>
      <c r="B323" s="38">
        <v>14.0</v>
      </c>
      <c r="C323" s="41" t="s">
        <v>465</v>
      </c>
      <c r="D323" s="54">
        <v>0.7</v>
      </c>
      <c r="E323" s="7" t="s">
        <v>222</v>
      </c>
      <c r="F323" s="8"/>
      <c r="G323" s="41" t="s">
        <v>148</v>
      </c>
      <c r="H323" s="41"/>
      <c r="I323" s="41"/>
      <c r="J323" s="41"/>
      <c r="K323" s="41"/>
      <c r="L323" s="7"/>
      <c r="M323" s="7" t="s">
        <v>233</v>
      </c>
      <c r="N323" s="13"/>
      <c r="O323" s="7" t="b">
        <f>IF(E323="隔週A", MOD(INT(('26414_編集版'!$C$1-DATE(2026,4,14))/7), 2)=1, IF(E323="隔週B", MOD(INT(('26414_編集版'!$C$1-DATE(2026,4,14))/7), 2)=0, FALSE))</f>
        <v>0</v>
      </c>
    </row>
    <row r="324" ht="17.25" customHeight="1">
      <c r="A324" s="37" t="s">
        <v>181</v>
      </c>
      <c r="B324" s="38">
        <v>14.0</v>
      </c>
      <c r="C324" s="41" t="s">
        <v>466</v>
      </c>
      <c r="D324" s="39">
        <v>1.9</v>
      </c>
      <c r="E324" s="7" t="s">
        <v>222</v>
      </c>
      <c r="F324" s="8"/>
      <c r="G324" s="41" t="s">
        <v>148</v>
      </c>
      <c r="H324" s="41"/>
      <c r="I324" s="41"/>
      <c r="J324" s="41"/>
      <c r="K324" s="41"/>
      <c r="L324" s="7"/>
      <c r="M324" s="7" t="s">
        <v>233</v>
      </c>
      <c r="N324" s="13"/>
      <c r="O324" s="7" t="b">
        <f>IF(E324="隔週A", MOD(INT(('26414_編集版'!$C$1-DATE(2026,4,14))/7), 2)=1, IF(E324="隔週B", MOD(INT(('26414_編集版'!$C$1-DATE(2026,4,14))/7), 2)=0, FALSE))</f>
        <v>0</v>
      </c>
    </row>
    <row r="325" ht="17.25" customHeight="1">
      <c r="A325" s="37" t="s">
        <v>181</v>
      </c>
      <c r="B325" s="7">
        <v>20.0</v>
      </c>
      <c r="C325" s="41" t="s">
        <v>467</v>
      </c>
      <c r="D325" s="41">
        <v>1.0</v>
      </c>
      <c r="E325" s="7" t="s">
        <v>222</v>
      </c>
      <c r="F325" s="59"/>
      <c r="G325" s="41" t="s">
        <v>148</v>
      </c>
      <c r="H325" s="41"/>
      <c r="I325" s="41"/>
      <c r="J325" s="41"/>
      <c r="K325" s="41"/>
      <c r="L325" s="41"/>
      <c r="M325" s="41" t="s">
        <v>233</v>
      </c>
      <c r="N325" s="82"/>
      <c r="O325" s="7" t="b">
        <f>IF(E325="隔週A", MOD(INT(('26414_編集版'!$C$1-DATE(2026,4,14))/7), 2)=1, IF(E325="隔週B", MOD(INT(('26414_編集版'!$C$1-DATE(2026,4,14))/7), 2)=0, FALSE))</f>
        <v>0</v>
      </c>
    </row>
    <row r="326" ht="17.25" customHeight="1">
      <c r="A326" s="37" t="s">
        <v>181</v>
      </c>
      <c r="B326" s="7">
        <v>8.0</v>
      </c>
      <c r="C326" s="48" t="s">
        <v>468</v>
      </c>
      <c r="D326" s="13">
        <v>1.2</v>
      </c>
      <c r="E326" s="7" t="s">
        <v>222</v>
      </c>
      <c r="F326" s="59"/>
      <c r="G326" s="41" t="s">
        <v>148</v>
      </c>
      <c r="H326" s="41"/>
      <c r="I326" s="41"/>
      <c r="J326" s="41"/>
      <c r="K326" s="48"/>
      <c r="L326" s="41"/>
      <c r="M326" s="41" t="s">
        <v>233</v>
      </c>
      <c r="N326" s="67"/>
      <c r="O326" s="7" t="b">
        <f>IF(E326="隔週A", MOD(INT(('26414_編集版'!$C$1-DATE(2026,4,14))/7), 2)=1, IF(E326="隔週B", MOD(INT(('26414_編集版'!$C$1-DATE(2026,4,14))/7), 2)=0, FALSE))</f>
        <v>0</v>
      </c>
    </row>
    <row r="327" ht="17.25" customHeight="1">
      <c r="A327" s="37" t="s">
        <v>181</v>
      </c>
      <c r="B327" s="7">
        <v>8.0</v>
      </c>
      <c r="C327" s="48" t="s">
        <v>469</v>
      </c>
      <c r="D327" s="13">
        <v>3.0</v>
      </c>
      <c r="E327" s="7" t="s">
        <v>222</v>
      </c>
      <c r="F327" s="59"/>
      <c r="G327" s="41" t="s">
        <v>148</v>
      </c>
      <c r="H327" s="41"/>
      <c r="I327" s="41"/>
      <c r="J327" s="41"/>
      <c r="K327" s="48"/>
      <c r="L327" s="41"/>
      <c r="M327" s="41" t="s">
        <v>233</v>
      </c>
      <c r="N327" s="13"/>
      <c r="O327" s="7" t="b">
        <f>IF(E327="隔週A", MOD(INT(('26414_編集版'!$C$1-DATE(2026,4,14))/7), 2)=1, IF(E327="隔週B", MOD(INT(('26414_編集版'!$C$1-DATE(2026,4,14))/7), 2)=0, FALSE))</f>
        <v>0</v>
      </c>
    </row>
    <row r="328" ht="17.25" customHeight="1">
      <c r="A328" s="37" t="s">
        <v>181</v>
      </c>
      <c r="B328" s="7">
        <v>20.0</v>
      </c>
      <c r="C328" s="54" t="s">
        <v>470</v>
      </c>
      <c r="D328" s="41">
        <v>1.6</v>
      </c>
      <c r="E328" s="7" t="s">
        <v>222</v>
      </c>
      <c r="F328" s="59"/>
      <c r="G328" s="48" t="s">
        <v>148</v>
      </c>
      <c r="H328" s="48"/>
      <c r="I328" s="48"/>
      <c r="J328" s="48"/>
      <c r="K328" s="54"/>
      <c r="L328" s="41"/>
      <c r="M328" s="41" t="s">
        <v>233</v>
      </c>
      <c r="N328" s="67"/>
      <c r="O328" s="7" t="b">
        <f>IF(E328="隔週A", MOD(INT(('26414_編集版'!$C$1-DATE(2026,4,14))/7), 2)=1, IF(E328="隔週B", MOD(INT(('26414_編集版'!$C$1-DATE(2026,4,14))/7), 2)=0, FALSE))</f>
        <v>0</v>
      </c>
    </row>
    <row r="329" ht="17.25" customHeight="1">
      <c r="A329" s="37" t="s">
        <v>181</v>
      </c>
      <c r="B329" s="7">
        <v>18.0</v>
      </c>
      <c r="C329" s="41" t="s">
        <v>471</v>
      </c>
      <c r="D329" s="41">
        <v>0.1</v>
      </c>
      <c r="E329" s="7" t="s">
        <v>222</v>
      </c>
      <c r="F329" s="8"/>
      <c r="G329" s="41" t="s">
        <v>148</v>
      </c>
      <c r="H329" s="41"/>
      <c r="I329" s="41"/>
      <c r="J329" s="41"/>
      <c r="K329" s="41"/>
      <c r="L329" s="7"/>
      <c r="M329" s="7" t="s">
        <v>233</v>
      </c>
      <c r="N329" s="67"/>
      <c r="O329" s="7" t="b">
        <f>IF(E329="隔週A", MOD(INT(('26414_編集版'!$C$1-DATE(2026,4,14))/7), 2)=1, IF(E329="隔週B", MOD(INT(('26414_編集版'!$C$1-DATE(2026,4,14))/7), 2)=0, FALSE))</f>
        <v>0</v>
      </c>
    </row>
    <row r="330" ht="17.25" customHeight="1">
      <c r="A330" s="37" t="s">
        <v>181</v>
      </c>
      <c r="B330" s="7">
        <v>18.0</v>
      </c>
      <c r="C330" s="41" t="s">
        <v>472</v>
      </c>
      <c r="D330" s="41">
        <v>0.1</v>
      </c>
      <c r="E330" s="7" t="s">
        <v>222</v>
      </c>
      <c r="F330" s="8"/>
      <c r="G330" s="48" t="s">
        <v>148</v>
      </c>
      <c r="H330" s="48"/>
      <c r="I330" s="48"/>
      <c r="J330" s="48"/>
      <c r="K330" s="41"/>
      <c r="L330" s="7"/>
      <c r="M330" s="7" t="s">
        <v>233</v>
      </c>
      <c r="N330" s="67"/>
      <c r="O330" s="7" t="b">
        <f>IF(E330="隔週A", MOD(INT(('26414_編集版'!$C$1-DATE(2026,4,14))/7), 2)=1, IF(E330="隔週B", MOD(INT(('26414_編集版'!$C$1-DATE(2026,4,14))/7), 2)=0, FALSE))</f>
        <v>0</v>
      </c>
    </row>
    <row r="331" ht="17.25" customHeight="1">
      <c r="A331" s="37" t="s">
        <v>181</v>
      </c>
      <c r="B331" s="7">
        <v>18.0</v>
      </c>
      <c r="C331" s="54" t="s">
        <v>473</v>
      </c>
      <c r="D331" s="41">
        <v>1.0</v>
      </c>
      <c r="E331" s="7" t="s">
        <v>222</v>
      </c>
      <c r="F331" s="8"/>
      <c r="G331" s="41" t="s">
        <v>148</v>
      </c>
      <c r="H331" s="41"/>
      <c r="I331" s="41"/>
      <c r="J331" s="41"/>
      <c r="K331" s="54"/>
      <c r="L331" s="7"/>
      <c r="M331" s="7" t="s">
        <v>233</v>
      </c>
      <c r="N331" s="67"/>
      <c r="O331" s="7" t="b">
        <f>IF(E331="隔週A", MOD(INT(('26414_編集版'!$C$1-DATE(2026,4,14))/7), 2)=1, IF(E331="隔週B", MOD(INT(('26414_編集版'!$C$1-DATE(2026,4,14))/7), 2)=0, FALSE))</f>
        <v>0</v>
      </c>
    </row>
    <row r="332" ht="17.25" customHeight="1">
      <c r="A332" s="37" t="s">
        <v>181</v>
      </c>
      <c r="B332" s="7">
        <v>16.0</v>
      </c>
      <c r="C332" s="54" t="s">
        <v>474</v>
      </c>
      <c r="D332" s="13">
        <v>1.7</v>
      </c>
      <c r="E332" s="7" t="s">
        <v>222</v>
      </c>
      <c r="F332" s="59"/>
      <c r="G332" s="41" t="s">
        <v>148</v>
      </c>
      <c r="H332" s="41"/>
      <c r="I332" s="41"/>
      <c r="J332" s="41"/>
      <c r="K332" s="54"/>
      <c r="L332" s="41"/>
      <c r="M332" s="41" t="s">
        <v>233</v>
      </c>
      <c r="N332" s="13"/>
      <c r="O332" s="7" t="b">
        <f>IF(E332="隔週A", MOD(INT(('26414_編集版'!$C$1-DATE(2026,4,14))/7), 2)=1, IF(E332="隔週B", MOD(INT(('26414_編集版'!$C$1-DATE(2026,4,14))/7), 2)=0, FALSE))</f>
        <v>0</v>
      </c>
    </row>
    <row r="333" ht="17.25" customHeight="1">
      <c r="A333" s="37" t="s">
        <v>181</v>
      </c>
      <c r="B333" s="7">
        <v>16.0</v>
      </c>
      <c r="C333" s="54" t="s">
        <v>475</v>
      </c>
      <c r="D333" s="41">
        <v>3.0</v>
      </c>
      <c r="E333" s="7" t="s">
        <v>222</v>
      </c>
      <c r="F333" s="59"/>
      <c r="G333" s="48" t="s">
        <v>148</v>
      </c>
      <c r="H333" s="48"/>
      <c r="I333" s="48"/>
      <c r="J333" s="48"/>
      <c r="K333" s="54"/>
      <c r="L333" s="41"/>
      <c r="M333" s="41" t="s">
        <v>233</v>
      </c>
      <c r="N333" s="82"/>
      <c r="O333" s="7" t="b">
        <f>IF(E333="隔週A", MOD(INT(('26414_編集版'!$C$1-DATE(2026,4,14))/7), 2)=1, IF(E333="隔週B", MOD(INT(('26414_編集版'!$C$1-DATE(2026,4,14))/7), 2)=0, FALSE))</f>
        <v>0</v>
      </c>
    </row>
    <row r="334" ht="17.25" customHeight="1">
      <c r="A334" s="37" t="s">
        <v>181</v>
      </c>
      <c r="B334" s="7">
        <v>16.0</v>
      </c>
      <c r="C334" s="54" t="s">
        <v>476</v>
      </c>
      <c r="D334" s="41">
        <v>1.0</v>
      </c>
      <c r="E334" s="7" t="s">
        <v>222</v>
      </c>
      <c r="F334" s="59"/>
      <c r="G334" s="48" t="s">
        <v>148</v>
      </c>
      <c r="H334" s="48"/>
      <c r="I334" s="48"/>
      <c r="J334" s="48"/>
      <c r="K334" s="54"/>
      <c r="L334" s="41"/>
      <c r="M334" s="41" t="s">
        <v>233</v>
      </c>
      <c r="N334" s="82"/>
      <c r="O334" s="7" t="b">
        <f>IF(E334="隔週A", MOD(INT(('26414_編集版'!$C$1-DATE(2026,4,14))/7), 2)=1, IF(E334="隔週B", MOD(INT(('26414_編集版'!$C$1-DATE(2026,4,14))/7), 2)=0, FALSE))</f>
        <v>0</v>
      </c>
    </row>
    <row r="335" ht="17.25" customHeight="1">
      <c r="A335" s="37" t="s">
        <v>181</v>
      </c>
      <c r="B335" s="7">
        <v>19.0</v>
      </c>
      <c r="C335" s="81" t="s">
        <v>477</v>
      </c>
      <c r="D335" s="81">
        <v>0.4</v>
      </c>
      <c r="E335" s="7" t="s">
        <v>222</v>
      </c>
      <c r="F335" s="83"/>
      <c r="G335" s="81" t="s">
        <v>148</v>
      </c>
      <c r="H335" s="81"/>
      <c r="I335" s="81"/>
      <c r="J335" s="81"/>
      <c r="K335" s="81"/>
      <c r="L335" s="81"/>
      <c r="M335" s="81" t="s">
        <v>233</v>
      </c>
      <c r="N335" s="78"/>
      <c r="O335" s="7" t="b">
        <f>IF(E335="隔週A", MOD(INT(('26414_編集版'!$C$1-DATE(2026,4,14))/7), 2)=1, IF(E335="隔週B", MOD(INT(('26414_編集版'!$C$1-DATE(2026,4,14))/7), 2)=0, FALSE))</f>
        <v>0</v>
      </c>
    </row>
    <row r="336" ht="17.25" customHeight="1">
      <c r="A336" s="37" t="s">
        <v>181</v>
      </c>
      <c r="B336" s="7">
        <v>18.0</v>
      </c>
      <c r="C336" s="41" t="s">
        <v>478</v>
      </c>
      <c r="D336" s="13">
        <v>2.2</v>
      </c>
      <c r="E336" s="7" t="s">
        <v>222</v>
      </c>
      <c r="F336" s="59"/>
      <c r="G336" s="41" t="s">
        <v>148</v>
      </c>
      <c r="H336" s="41"/>
      <c r="I336" s="41"/>
      <c r="J336" s="41"/>
      <c r="K336" s="41"/>
      <c r="L336" s="41"/>
      <c r="M336" s="41" t="s">
        <v>233</v>
      </c>
      <c r="N336" s="38"/>
      <c r="O336" s="7" t="b">
        <f>IF(E336="隔週A", MOD(INT(('26414_編集版'!$C$1-DATE(2026,4,14))/7), 2)=1, IF(E336="隔週B", MOD(INT(('26414_編集版'!$C$1-DATE(2026,4,14))/7), 2)=0, FALSE))</f>
        <v>0</v>
      </c>
    </row>
    <row r="337" ht="17.25" customHeight="1">
      <c r="A337" s="37" t="s">
        <v>181</v>
      </c>
      <c r="B337" s="7">
        <v>20.0</v>
      </c>
      <c r="C337" s="41" t="s">
        <v>479</v>
      </c>
      <c r="D337" s="41">
        <v>0.4</v>
      </c>
      <c r="E337" s="7" t="s">
        <v>222</v>
      </c>
      <c r="F337" s="59"/>
      <c r="G337" s="48" t="s">
        <v>148</v>
      </c>
      <c r="H337" s="48"/>
      <c r="I337" s="48"/>
      <c r="J337" s="48"/>
      <c r="K337" s="41"/>
      <c r="L337" s="41"/>
      <c r="M337" s="41" t="s">
        <v>233</v>
      </c>
      <c r="N337" s="7"/>
      <c r="O337" s="7" t="b">
        <f>IF(E337="隔週A", MOD(INT(('26414_編集版'!$C$1-DATE(2026,4,14))/7), 2)=1, IF(E337="隔週B", MOD(INT(('26414_編集版'!$C$1-DATE(2026,4,14))/7), 2)=0, FALSE))</f>
        <v>0</v>
      </c>
    </row>
    <row r="338" ht="17.25" customHeight="1">
      <c r="A338" s="37" t="s">
        <v>181</v>
      </c>
      <c r="B338" s="7">
        <v>19.0</v>
      </c>
      <c r="C338" s="54" t="s">
        <v>480</v>
      </c>
      <c r="D338" s="41">
        <v>1.0</v>
      </c>
      <c r="E338" s="7" t="s">
        <v>222</v>
      </c>
      <c r="F338" s="59"/>
      <c r="G338" s="41" t="s">
        <v>148</v>
      </c>
      <c r="H338" s="41"/>
      <c r="I338" s="41"/>
      <c r="J338" s="41"/>
      <c r="K338" s="54"/>
      <c r="L338" s="41"/>
      <c r="M338" s="41" t="s">
        <v>233</v>
      </c>
      <c r="N338" s="78"/>
      <c r="O338" s="7" t="b">
        <f>IF(E338="隔週A", MOD(INT(('26414_編集版'!$C$1-DATE(2026,4,14))/7), 2)=1, IF(E338="隔週B", MOD(INT(('26414_編集版'!$C$1-DATE(2026,4,14))/7), 2)=0, FALSE))</f>
        <v>0</v>
      </c>
    </row>
    <row r="339" ht="17.25" customHeight="1">
      <c r="A339" s="37" t="s">
        <v>181</v>
      </c>
      <c r="B339" s="38">
        <v>14.0</v>
      </c>
      <c r="C339" s="41" t="s">
        <v>481</v>
      </c>
      <c r="D339" s="54">
        <v>1.0</v>
      </c>
      <c r="E339" s="7" t="s">
        <v>222</v>
      </c>
      <c r="F339" s="8"/>
      <c r="G339" s="41" t="s">
        <v>148</v>
      </c>
      <c r="H339" s="41"/>
      <c r="I339" s="41"/>
      <c r="J339" s="41"/>
      <c r="K339" s="41"/>
      <c r="L339" s="7"/>
      <c r="M339" s="7" t="s">
        <v>233</v>
      </c>
      <c r="N339" s="13"/>
      <c r="O339" s="7" t="b">
        <f>IF(E339="隔週A", MOD(INT(('26414_編集版'!$C$1-DATE(2026,4,14))/7), 2)=1, IF(E339="隔週B", MOD(INT(('26414_編集版'!$C$1-DATE(2026,4,14))/7), 2)=0, FALSE))</f>
        <v>0</v>
      </c>
    </row>
    <row r="340" ht="17.25" customHeight="1">
      <c r="A340" s="37" t="s">
        <v>181</v>
      </c>
      <c r="B340" s="7">
        <v>17.0</v>
      </c>
      <c r="C340" s="45" t="s">
        <v>355</v>
      </c>
      <c r="D340" s="7">
        <v>3.0</v>
      </c>
      <c r="E340" s="7" t="s">
        <v>222</v>
      </c>
      <c r="F340" s="8"/>
      <c r="G340" s="7" t="s">
        <v>180</v>
      </c>
      <c r="H340" s="7"/>
      <c r="I340" s="7"/>
      <c r="J340" s="7"/>
      <c r="K340" s="45"/>
      <c r="L340" s="7"/>
      <c r="M340" s="7" t="s">
        <v>152</v>
      </c>
      <c r="N340" s="7" t="s">
        <v>158</v>
      </c>
      <c r="O340" s="7" t="b">
        <f>IF(E340="隔週A", MOD(INT(('26414_編集版'!$C$1-DATE(2026,4,14))/7), 2)=1, IF(E340="隔週B", MOD(INT(('26414_編集版'!$C$1-DATE(2026,4,14))/7), 2)=0, FALSE))</f>
        <v>0</v>
      </c>
    </row>
    <row r="341" ht="17.25" customHeight="1">
      <c r="A341" s="37" t="s">
        <v>181</v>
      </c>
      <c r="B341" s="7">
        <v>18.0</v>
      </c>
      <c r="C341" s="54" t="s">
        <v>482</v>
      </c>
      <c r="D341" s="41">
        <v>0.2</v>
      </c>
      <c r="E341" s="7" t="s">
        <v>222</v>
      </c>
      <c r="F341" s="59"/>
      <c r="G341" s="41" t="s">
        <v>148</v>
      </c>
      <c r="H341" s="41"/>
      <c r="I341" s="41"/>
      <c r="J341" s="41"/>
      <c r="K341" s="54"/>
      <c r="L341" s="41"/>
      <c r="M341" s="41" t="s">
        <v>233</v>
      </c>
      <c r="N341" s="82"/>
      <c r="O341" s="7" t="b">
        <f>IF(E341="隔週A", MOD(INT(('26414_編集版'!$C$1-DATE(2026,4,14))/7), 2)=1, IF(E341="隔週B", MOD(INT(('26414_編集版'!$C$1-DATE(2026,4,14))/7), 2)=0, FALSE))</f>
        <v>0</v>
      </c>
    </row>
    <row r="342" ht="17.25" customHeight="1">
      <c r="A342" s="37" t="s">
        <v>181</v>
      </c>
      <c r="B342" s="7">
        <v>19.0</v>
      </c>
      <c r="C342" s="41" t="s">
        <v>483</v>
      </c>
      <c r="D342" s="41">
        <v>0.4</v>
      </c>
      <c r="E342" s="7" t="s">
        <v>222</v>
      </c>
      <c r="F342" s="61" t="s">
        <v>484</v>
      </c>
      <c r="G342" s="41" t="s">
        <v>148</v>
      </c>
      <c r="H342" s="41"/>
      <c r="I342" s="41"/>
      <c r="J342" s="41"/>
      <c r="K342" s="41"/>
      <c r="L342" s="47"/>
      <c r="M342" s="13" t="s">
        <v>150</v>
      </c>
      <c r="N342" s="41" t="s">
        <v>152</v>
      </c>
      <c r="O342" s="7" t="b">
        <f>IF(E342="隔週A", MOD(INT(('26414_編集版'!$C$1-DATE(2026,4,14))/7), 2)=1, IF(E342="隔週B", MOD(INT(('26414_編集版'!$C$1-DATE(2026,4,14))/7), 2)=0, FALSE))</f>
        <v>0</v>
      </c>
    </row>
    <row r="343" ht="17.25" customHeight="1">
      <c r="A343" s="37" t="s">
        <v>181</v>
      </c>
      <c r="B343" s="7">
        <v>9.0</v>
      </c>
      <c r="C343" s="41" t="s">
        <v>485</v>
      </c>
      <c r="D343" s="41">
        <v>1.3</v>
      </c>
      <c r="E343" s="7" t="s">
        <v>222</v>
      </c>
      <c r="F343" s="40"/>
      <c r="G343" s="41" t="s">
        <v>148</v>
      </c>
      <c r="H343" s="41"/>
      <c r="I343" s="41"/>
      <c r="J343" s="41"/>
      <c r="K343" s="41"/>
      <c r="L343" s="13"/>
      <c r="M343" s="13" t="s">
        <v>233</v>
      </c>
      <c r="N343" s="13"/>
      <c r="O343" s="7" t="b">
        <f>IF(E343="隔週A", MOD(INT(('26414_編集版'!$C$1-DATE(2026,4,14))/7), 2)=1, IF(E343="隔週B", MOD(INT(('26414_編集版'!$C$1-DATE(2026,4,14))/7), 2)=0, FALSE))</f>
        <v>0</v>
      </c>
    </row>
    <row r="344" ht="17.25" customHeight="1">
      <c r="A344" s="37" t="s">
        <v>181</v>
      </c>
      <c r="B344" s="7">
        <v>20.0</v>
      </c>
      <c r="C344" s="54" t="s">
        <v>65</v>
      </c>
      <c r="D344" s="41">
        <v>0.1</v>
      </c>
      <c r="E344" s="7" t="s">
        <v>222</v>
      </c>
      <c r="F344" s="59"/>
      <c r="G344" s="41" t="s">
        <v>148</v>
      </c>
      <c r="H344" s="41"/>
      <c r="I344" s="41"/>
      <c r="J344" s="41"/>
      <c r="K344" s="54"/>
      <c r="L344" s="41"/>
      <c r="M344" s="41" t="s">
        <v>191</v>
      </c>
      <c r="N344" s="41" t="s">
        <v>160</v>
      </c>
      <c r="O344" s="7" t="b">
        <f>IF(E344="隔週A", MOD(INT(('26414_編集版'!$C$1-DATE(2026,4,14))/7), 2)=1, IF(E344="隔週B", MOD(INT(('26414_編集版'!$C$1-DATE(2026,4,14))/7), 2)=0, FALSE))</f>
        <v>0</v>
      </c>
    </row>
    <row r="345" ht="17.25" customHeight="1">
      <c r="A345" s="37" t="s">
        <v>181</v>
      </c>
      <c r="B345" s="7">
        <v>9.0</v>
      </c>
      <c r="C345" s="54" t="s">
        <v>486</v>
      </c>
      <c r="D345" s="41">
        <v>0.3</v>
      </c>
      <c r="E345" s="7" t="s">
        <v>222</v>
      </c>
      <c r="F345" s="40"/>
      <c r="G345" s="41" t="s">
        <v>148</v>
      </c>
      <c r="H345" s="41"/>
      <c r="I345" s="41"/>
      <c r="J345" s="41"/>
      <c r="K345" s="54"/>
      <c r="L345" s="13"/>
      <c r="M345" s="13" t="s">
        <v>233</v>
      </c>
      <c r="N345" s="67"/>
      <c r="O345" s="7" t="b">
        <f>IF(E345="隔週A", MOD(INT(('26414_編集版'!$C$1-DATE(2026,4,14))/7), 2)=1, IF(E345="隔週B", MOD(INT(('26414_編集版'!$C$1-DATE(2026,4,14))/7), 2)=0, FALSE))</f>
        <v>0</v>
      </c>
    </row>
    <row r="346" ht="17.25" customHeight="1">
      <c r="A346" s="37" t="s">
        <v>181</v>
      </c>
      <c r="B346" s="7">
        <v>13.0</v>
      </c>
      <c r="C346" s="54" t="s">
        <v>487</v>
      </c>
      <c r="D346" s="41">
        <v>0.3</v>
      </c>
      <c r="E346" s="7" t="s">
        <v>222</v>
      </c>
      <c r="F346" s="8"/>
      <c r="G346" s="41" t="s">
        <v>148</v>
      </c>
      <c r="H346" s="41"/>
      <c r="I346" s="41"/>
      <c r="J346" s="41"/>
      <c r="K346" s="54"/>
      <c r="L346" s="7"/>
      <c r="M346" s="7" t="s">
        <v>233</v>
      </c>
      <c r="N346" s="13"/>
      <c r="O346" s="7" t="b">
        <f>IF(E346="隔週A", MOD(INT(('26414_編集版'!$C$1-DATE(2026,4,14))/7), 2)=1, IF(E346="隔週B", MOD(INT(('26414_編集版'!$C$1-DATE(2026,4,14))/7), 2)=0, FALSE))</f>
        <v>0</v>
      </c>
    </row>
    <row r="347" ht="17.25" customHeight="1">
      <c r="A347" s="37" t="s">
        <v>181</v>
      </c>
      <c r="B347" s="7">
        <v>20.0</v>
      </c>
      <c r="C347" s="54" t="s">
        <v>488</v>
      </c>
      <c r="D347" s="41">
        <v>0.2</v>
      </c>
      <c r="E347" s="7" t="s">
        <v>222</v>
      </c>
      <c r="F347" s="59"/>
      <c r="G347" s="48" t="s">
        <v>148</v>
      </c>
      <c r="H347" s="48"/>
      <c r="I347" s="48"/>
      <c r="J347" s="48"/>
      <c r="K347" s="54"/>
      <c r="L347" s="41"/>
      <c r="M347" s="41" t="s">
        <v>233</v>
      </c>
      <c r="N347" s="67"/>
      <c r="O347" s="7" t="b">
        <f>IF(E347="隔週A", MOD(INT(('26414_編集版'!$C$1-DATE(2026,4,14))/7), 2)=1, IF(E347="隔週B", MOD(INT(('26414_編集版'!$C$1-DATE(2026,4,14))/7), 2)=0, FALSE))</f>
        <v>0</v>
      </c>
    </row>
    <row r="348" ht="17.25" customHeight="1">
      <c r="A348" s="37" t="s">
        <v>181</v>
      </c>
      <c r="B348" s="7">
        <v>8.0</v>
      </c>
      <c r="C348" s="62" t="s">
        <v>489</v>
      </c>
      <c r="D348" s="41">
        <v>2.0</v>
      </c>
      <c r="E348" s="7" t="s">
        <v>222</v>
      </c>
      <c r="F348" s="40"/>
      <c r="G348" s="41" t="s">
        <v>148</v>
      </c>
      <c r="H348" s="41"/>
      <c r="I348" s="41"/>
      <c r="J348" s="41"/>
      <c r="K348" s="63"/>
      <c r="L348" s="13"/>
      <c r="M348" s="13" t="s">
        <v>160</v>
      </c>
      <c r="N348" s="13" t="s">
        <v>191</v>
      </c>
      <c r="O348" s="7" t="b">
        <f>IF(E348="隔週A", MOD(INT(('26414_編集版'!$C$1-DATE(2026,4,14))/7), 2)=1, IF(E348="隔週B", MOD(INT(('26414_編集版'!$C$1-DATE(2026,4,14))/7), 2)=0, FALSE))</f>
        <v>0</v>
      </c>
    </row>
  </sheetData>
  <autoFilter ref="$A$1:$O$348">
    <sortState ref="A1:O348">
      <sortCondition ref="E1:E348"/>
      <sortCondition ref="A1:A348"/>
      <sortCondition descending="1" ref="C1:C348"/>
      <sortCondition ref="F1:F348"/>
    </sortState>
  </autoFilter>
  <conditionalFormatting sqref="A2:O348">
    <cfRule type="expression" dxfId="8" priority="1">
      <formula>$O2=TRUE</formula>
    </cfRule>
  </conditionalFormatting>
  <conditionalFormatting sqref="A2:O348">
    <cfRule type="expression" dxfId="9" priority="2">
      <formula>$E2="検"</formula>
    </cfRule>
  </conditionalFormatting>
  <conditionalFormatting sqref="H2:J39 H41:J78 H80:J117 H119:J156 H158:J195 H197:J234 H236:J273 H275:J312">
    <cfRule type="expression" dxfId="10" priority="3">
      <formula>$D6="隔週B"</formula>
    </cfRule>
  </conditionalFormatting>
  <conditionalFormatting sqref="H2:J39 H41:J78 H80:J117 H119:J156 H158:J195 H197:J234 H236:J273 H275:J312">
    <cfRule type="expression" dxfId="2" priority="4">
      <formula>$D6="隔週A"</formula>
    </cfRule>
  </conditionalFormatting>
  <conditionalFormatting sqref="H2:J39 H41:J78 H80:J117 H119:J156 H158:J195 H197:J234 H236:J273 H275:J312">
    <cfRule type="expression" dxfId="9" priority="5">
      <formula>$D2="検"</formula>
    </cfRule>
  </conditionalFormatting>
  <conditionalFormatting sqref="M1:M348">
    <cfRule type="cellIs" dxfId="3" priority="6" operator="equal">
      <formula>"R"</formula>
    </cfRule>
  </conditionalFormatting>
  <conditionalFormatting sqref="A2:O348">
    <cfRule type="expression" dxfId="10" priority="7">
      <formula>$E2="隔週B"</formula>
    </cfRule>
  </conditionalFormatting>
  <conditionalFormatting sqref="A2:O348">
    <cfRule type="expression" dxfId="2" priority="8">
      <formula>$E2="隔週A"</formula>
    </cfRule>
  </conditionalFormatting>
  <hyperlinks>
    <hyperlink r:id="rId2" location="gid=264080287" ref="C13"/>
    <hyperlink r:id="rId3" location="gid=1365984243" ref="C40"/>
    <hyperlink r:id="rId4" location="gid=706137097" ref="C65"/>
    <hyperlink r:id="rId5" location="gid=978158948" ref="C105"/>
    <hyperlink r:id="rId6" location="gid=137635336" ref="C109"/>
    <hyperlink r:id="rId7" location="gid=0" ref="C155"/>
    <hyperlink r:id="rId8" location="gid=706137097" ref="C158"/>
    <hyperlink r:id="rId9" location="gid=1770793079" ref="C271"/>
    <hyperlink r:id="rId10" location="gid=0" ref="C305"/>
    <hyperlink r:id="rId11" location="gid=978158948" ref="C348"/>
  </hyperlinks>
  <printOptions gridLines="1" horizontalCentered="1"/>
  <pageMargins bottom="0.75" footer="0.0" header="0.0" left="0.25" right="0.25" top="0.75"/>
  <pageSetup fitToWidth="0" paperSize="8" cellComments="atEnd" orientation="landscape" pageOrder="overThenDown"/>
  <drawing r:id="rId12"/>
  <legacyDrawing r:id="rId1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2" width="7.63"/>
    <col customWidth="1" min="3" max="5" width="35.13"/>
    <col customWidth="1" min="6" max="6" width="7.63"/>
    <col customWidth="1" min="7" max="9" width="12.63"/>
    <col customWidth="1" min="10" max="15" width="7.63"/>
  </cols>
  <sheetData>
    <row r="1">
      <c r="A1" s="84"/>
      <c r="B1" s="85">
        <v>46125.0</v>
      </c>
      <c r="C1" s="85">
        <v>46125.0</v>
      </c>
      <c r="D1" s="34"/>
      <c r="E1" s="34"/>
      <c r="F1" s="34"/>
      <c r="G1" s="34"/>
      <c r="H1" s="34"/>
      <c r="I1" s="34"/>
      <c r="J1" s="34"/>
      <c r="K1" s="34"/>
      <c r="L1" s="34"/>
      <c r="M1" s="34"/>
      <c r="N1" s="36"/>
      <c r="O1" s="36"/>
    </row>
    <row r="2">
      <c r="A2" s="38" t="s">
        <v>135</v>
      </c>
      <c r="B2" s="38" t="s">
        <v>136</v>
      </c>
      <c r="C2" s="39" t="s">
        <v>490</v>
      </c>
      <c r="D2" s="39" t="s">
        <v>491</v>
      </c>
      <c r="E2" s="39" t="s">
        <v>492</v>
      </c>
      <c r="F2" s="41" t="s">
        <v>493</v>
      </c>
      <c r="G2" s="41" t="s">
        <v>1</v>
      </c>
      <c r="H2" s="41" t="s">
        <v>137</v>
      </c>
      <c r="I2" s="41" t="s">
        <v>138</v>
      </c>
      <c r="J2" s="13" t="s">
        <v>139</v>
      </c>
      <c r="K2" s="13" t="s">
        <v>143</v>
      </c>
      <c r="L2" s="13" t="s">
        <v>6</v>
      </c>
      <c r="M2" s="13" t="s">
        <v>3</v>
      </c>
      <c r="N2" s="7" t="s">
        <v>4</v>
      </c>
      <c r="O2" s="7" t="s">
        <v>144</v>
      </c>
    </row>
    <row r="3">
      <c r="A3" s="7" t="s">
        <v>145</v>
      </c>
      <c r="B3" s="7">
        <f t="shared" ref="B3:B8" si="1">IF(A3="火",8,IF(A3="金",16,""))</f>
        <v>8</v>
      </c>
      <c r="C3" s="86" t="str">
        <f t="shared" ref="C3:C8" si="2">K3</f>
        <v>◇ポジションマッチ A1</v>
      </c>
      <c r="D3" s="39" t="str">
        <f t="shared" ref="D3:D8" si="3">IF(C3&lt;&gt;"", "◇ポジションマッチ_36歳以上 " &amp; IF(A3="火","A","B") &amp; F3, "")</f>
        <v>◇ポジションマッチ_36歳以上 A1</v>
      </c>
      <c r="E3" s="39" t="str">
        <f t="shared" ref="E3:E8" si="4">IF(AND(F3=3, A3="金"), "◇ポジションマッチ 関西", "")</f>
        <v/>
      </c>
      <c r="F3" s="13">
        <v>1.0</v>
      </c>
      <c r="G3" s="41">
        <v>2.5</v>
      </c>
      <c r="H3" s="41" t="s">
        <v>494</v>
      </c>
      <c r="I3" s="41"/>
      <c r="J3" s="43" t="s">
        <v>180</v>
      </c>
      <c r="K3" s="87" t="s">
        <v>495</v>
      </c>
      <c r="L3" s="43"/>
      <c r="M3" s="13" t="s">
        <v>160</v>
      </c>
      <c r="N3" s="7" t="s">
        <v>223</v>
      </c>
      <c r="O3" s="7" t="b">
        <f>IF(ISNUMBER(SEARCH(" A", C3)), MOD(INT(('26414_編集版'!$C$1-DATE(2026,4,14))/7), 2)=1, IF(ISNUMBER(SEARCH(" B", C3)), MOD(INT(('26414_編集版'!$C$1-DATE(2026,4,14))/7), 2)=0, FALSE))</f>
        <v>0</v>
      </c>
    </row>
    <row r="4">
      <c r="A4" s="7" t="s">
        <v>145</v>
      </c>
      <c r="B4" s="7">
        <f t="shared" si="1"/>
        <v>8</v>
      </c>
      <c r="C4" s="88" t="str">
        <f t="shared" si="2"/>
        <v>◇ポジションマッチ A2</v>
      </c>
      <c r="D4" s="13" t="str">
        <f t="shared" si="3"/>
        <v>◇ポジションマッチ_36歳以上 A2</v>
      </c>
      <c r="E4" s="13" t="str">
        <f t="shared" si="4"/>
        <v/>
      </c>
      <c r="F4" s="13">
        <v>2.0</v>
      </c>
      <c r="G4" s="41">
        <v>2.5</v>
      </c>
      <c r="H4" s="41" t="s">
        <v>496</v>
      </c>
      <c r="I4" s="41"/>
      <c r="J4" s="13" t="s">
        <v>180</v>
      </c>
      <c r="K4" s="88" t="s">
        <v>497</v>
      </c>
      <c r="L4" s="13"/>
      <c r="M4" s="13" t="s">
        <v>160</v>
      </c>
      <c r="N4" s="7" t="s">
        <v>223</v>
      </c>
      <c r="O4" s="7" t="b">
        <f>IF(ISNUMBER(SEARCH(" A", C4)), MOD(INT(('26414_編集版'!$C$1-DATE(2026,4,14))/7), 2)=1, IF(ISNUMBER(SEARCH(" B", C4)), MOD(INT(('26414_編集版'!$C$1-DATE(2026,4,14))/7), 2)=0, FALSE))</f>
        <v>0</v>
      </c>
    </row>
    <row r="5">
      <c r="A5" s="7" t="s">
        <v>145</v>
      </c>
      <c r="B5" s="7">
        <f t="shared" si="1"/>
        <v>8</v>
      </c>
      <c r="C5" s="47" t="str">
        <f t="shared" si="2"/>
        <v>◇ポジションマッチ A3</v>
      </c>
      <c r="D5" s="47" t="str">
        <f t="shared" si="3"/>
        <v>◇ポジションマッチ_36歳以上 A3</v>
      </c>
      <c r="E5" s="47" t="str">
        <f t="shared" si="4"/>
        <v/>
      </c>
      <c r="F5" s="13">
        <v>3.0</v>
      </c>
      <c r="G5" s="48">
        <v>2.5</v>
      </c>
      <c r="H5" s="48" t="s">
        <v>498</v>
      </c>
      <c r="I5" s="48"/>
      <c r="J5" s="13" t="s">
        <v>180</v>
      </c>
      <c r="K5" s="88" t="s">
        <v>499</v>
      </c>
      <c r="L5" s="13"/>
      <c r="M5" s="13" t="s">
        <v>160</v>
      </c>
      <c r="N5" s="7" t="s">
        <v>223</v>
      </c>
      <c r="O5" s="7" t="b">
        <f>IF(ISNUMBER(SEARCH(" A", C5)), MOD(INT(('26414_編集版'!$C$1-DATE(2026,4,14))/7), 2)=1, IF(ISNUMBER(SEARCH(" B", C5)), MOD(INT(('26414_編集版'!$C$1-DATE(2026,4,14))/7), 2)=0, FALSE))</f>
        <v>0</v>
      </c>
    </row>
    <row r="6">
      <c r="A6" s="7" t="s">
        <v>165</v>
      </c>
      <c r="B6" s="7">
        <f t="shared" si="1"/>
        <v>16</v>
      </c>
      <c r="C6" s="39" t="str">
        <f t="shared" si="2"/>
        <v>◇ポジションマッチ B1</v>
      </c>
      <c r="D6" s="39" t="str">
        <f t="shared" si="3"/>
        <v>◇ポジションマッチ_36歳以上 B1</v>
      </c>
      <c r="E6" s="39" t="str">
        <f t="shared" si="4"/>
        <v/>
      </c>
      <c r="F6" s="7">
        <v>1.0</v>
      </c>
      <c r="G6" s="7">
        <v>2.5</v>
      </c>
      <c r="H6" s="7" t="s">
        <v>494</v>
      </c>
      <c r="I6" s="7"/>
      <c r="J6" s="7" t="s">
        <v>180</v>
      </c>
      <c r="K6" s="89" t="s">
        <v>500</v>
      </c>
      <c r="L6" s="7"/>
      <c r="M6" s="7" t="s">
        <v>191</v>
      </c>
      <c r="N6" s="7" t="s">
        <v>223</v>
      </c>
      <c r="O6" s="7" t="b">
        <f>IF(ISNUMBER(SEARCH(" A", C6)), MOD(INT(('26414_編集版'!$C$1-DATE(2026,4,14))/7), 2)=1, IF(ISNUMBER(SEARCH(" B", C6)), MOD(INT(('26414_編集版'!$C$1-DATE(2026,4,14))/7), 2)=0, FALSE))</f>
        <v>1</v>
      </c>
    </row>
    <row r="7">
      <c r="A7" s="7" t="s">
        <v>165</v>
      </c>
      <c r="B7" s="7">
        <f t="shared" si="1"/>
        <v>16</v>
      </c>
      <c r="C7" s="90" t="str">
        <f t="shared" si="2"/>
        <v>◇ポジションマッチ B2</v>
      </c>
      <c r="D7" s="47" t="str">
        <f t="shared" si="3"/>
        <v>◇ポジションマッチ_36歳以上 B2</v>
      </c>
      <c r="E7" s="47" t="str">
        <f t="shared" si="4"/>
        <v/>
      </c>
      <c r="F7" s="13">
        <v>2.0</v>
      </c>
      <c r="G7" s="48">
        <v>2.5</v>
      </c>
      <c r="H7" s="48" t="s">
        <v>496</v>
      </c>
      <c r="I7" s="48"/>
      <c r="J7" s="13" t="s">
        <v>180</v>
      </c>
      <c r="K7" s="88" t="s">
        <v>501</v>
      </c>
      <c r="L7" s="13"/>
      <c r="M7" s="13" t="s">
        <v>191</v>
      </c>
      <c r="N7" s="7" t="s">
        <v>223</v>
      </c>
      <c r="O7" s="7" t="b">
        <f>IF(ISNUMBER(SEARCH(" A", C7)), MOD(INT(('26414_編集版'!$C$1-DATE(2026,4,14))/7), 2)=1, IF(ISNUMBER(SEARCH(" B", C7)), MOD(INT(('26414_編集版'!$C$1-DATE(2026,4,14))/7), 2)=0, FALSE))</f>
        <v>1</v>
      </c>
    </row>
    <row r="8">
      <c r="A8" s="7" t="s">
        <v>165</v>
      </c>
      <c r="B8" s="7">
        <f t="shared" si="1"/>
        <v>16</v>
      </c>
      <c r="C8" s="51" t="str">
        <f t="shared" si="2"/>
        <v>◇ポジションマッチ B3</v>
      </c>
      <c r="D8" s="51" t="str">
        <f t="shared" si="3"/>
        <v>◇ポジションマッチ_36歳以上 B3</v>
      </c>
      <c r="E8" s="51" t="str">
        <f t="shared" si="4"/>
        <v>◇ポジションマッチ 関西</v>
      </c>
      <c r="F8" s="7">
        <v>3.0</v>
      </c>
      <c r="G8" s="46">
        <v>2.5</v>
      </c>
      <c r="H8" s="46" t="s">
        <v>498</v>
      </c>
      <c r="I8" s="46"/>
      <c r="J8" s="7" t="s">
        <v>180</v>
      </c>
      <c r="K8" s="89" t="s">
        <v>502</v>
      </c>
      <c r="L8" s="38"/>
      <c r="M8" s="7" t="s">
        <v>191</v>
      </c>
      <c r="N8" s="7" t="s">
        <v>223</v>
      </c>
      <c r="O8" s="7" t="b">
        <f>IF(ISNUMBER(SEARCH(" A", C8)), MOD(INT(('26414_編集版'!$C$1-DATE(2026,4,14))/7), 2)=1, IF(ISNUMBER(SEARCH(" B", C8)), MOD(INT(('26414_編集版'!$C$1-DATE(2026,4,14))/7), 2)=0, FALSE))</f>
        <v>1</v>
      </c>
    </row>
    <row r="9">
      <c r="A9" s="7"/>
      <c r="B9" s="7"/>
      <c r="C9" s="49"/>
      <c r="D9" s="49"/>
      <c r="E9" s="49"/>
      <c r="F9" s="7"/>
      <c r="G9" s="7"/>
      <c r="H9" s="7"/>
      <c r="I9" s="7"/>
      <c r="J9" s="7"/>
      <c r="K9" s="7"/>
      <c r="L9" s="38"/>
      <c r="M9" s="38"/>
      <c r="N9" s="7"/>
      <c r="O9" s="7"/>
    </row>
    <row r="10">
      <c r="A10" s="7"/>
      <c r="B10" s="7"/>
      <c r="C10" s="49"/>
      <c r="D10" s="49"/>
      <c r="E10" s="49"/>
      <c r="F10" s="7"/>
      <c r="G10" s="7"/>
      <c r="H10" s="7"/>
      <c r="I10" s="7"/>
      <c r="J10" s="7"/>
      <c r="K10" s="7"/>
      <c r="L10" s="38"/>
      <c r="M10" s="38"/>
      <c r="N10" s="7"/>
      <c r="O10" s="7"/>
    </row>
    <row r="11">
      <c r="A11" s="7"/>
      <c r="B11" s="7"/>
      <c r="C11" s="49"/>
      <c r="D11" s="49"/>
      <c r="E11" s="49"/>
      <c r="F11" s="7"/>
      <c r="G11" s="7"/>
      <c r="H11" s="7"/>
      <c r="I11" s="7"/>
      <c r="J11" s="7"/>
      <c r="K11" s="7"/>
      <c r="L11" s="38"/>
      <c r="M11" s="38"/>
      <c r="N11" s="7"/>
      <c r="O11" s="7"/>
    </row>
    <row r="12">
      <c r="A12" s="7"/>
      <c r="B12" s="7"/>
      <c r="C12" s="52"/>
      <c r="D12" s="52"/>
      <c r="E12" s="52"/>
      <c r="F12" s="52"/>
      <c r="G12" s="52"/>
      <c r="H12" s="52"/>
      <c r="I12" s="52"/>
      <c r="J12" s="52"/>
      <c r="K12" s="52"/>
      <c r="L12" s="52"/>
      <c r="M12" s="52"/>
      <c r="N12" s="7"/>
      <c r="O12" s="7"/>
    </row>
    <row r="13">
      <c r="A13" s="7"/>
      <c r="B13" s="7"/>
      <c r="C13" s="52"/>
      <c r="D13" s="52"/>
      <c r="E13" s="52"/>
      <c r="F13" s="52"/>
      <c r="G13" s="52"/>
      <c r="H13" s="52"/>
      <c r="I13" s="52"/>
      <c r="J13" s="52"/>
      <c r="K13" s="52"/>
      <c r="L13" s="52"/>
      <c r="M13" s="52"/>
      <c r="N13" s="7"/>
      <c r="O13" s="7"/>
    </row>
    <row r="14">
      <c r="A14" s="7"/>
      <c r="B14" s="7"/>
      <c r="C14" s="54"/>
      <c r="D14" s="54"/>
      <c r="E14" s="54"/>
      <c r="F14" s="48"/>
      <c r="G14" s="48"/>
      <c r="H14" s="48"/>
      <c r="I14" s="48"/>
      <c r="J14" s="13"/>
      <c r="K14" s="13"/>
      <c r="L14" s="13"/>
      <c r="M14" s="13"/>
      <c r="N14" s="7"/>
      <c r="O14" s="7"/>
    </row>
    <row r="15">
      <c r="A15" s="7"/>
      <c r="B15" s="7"/>
      <c r="C15" s="54"/>
      <c r="D15" s="54"/>
      <c r="E15" s="54"/>
      <c r="F15" s="41"/>
      <c r="G15" s="41"/>
      <c r="H15" s="41"/>
      <c r="I15" s="41"/>
      <c r="J15" s="13"/>
      <c r="K15" s="13"/>
      <c r="L15" s="13"/>
      <c r="M15" s="13"/>
      <c r="N15" s="7"/>
      <c r="O15" s="7"/>
    </row>
    <row r="16">
      <c r="A16" s="7"/>
      <c r="B16" s="7"/>
      <c r="C16" s="55"/>
      <c r="D16" s="55"/>
      <c r="E16" s="55"/>
      <c r="F16" s="41"/>
      <c r="G16" s="41"/>
      <c r="H16" s="41"/>
      <c r="I16" s="41"/>
      <c r="J16" s="7"/>
      <c r="K16" s="7"/>
      <c r="L16" s="7"/>
      <c r="M16" s="7"/>
      <c r="N16" s="7"/>
      <c r="O16" s="7"/>
    </row>
    <row r="17">
      <c r="A17" s="7"/>
      <c r="B17" s="7"/>
      <c r="C17" s="41"/>
      <c r="D17" s="41"/>
      <c r="E17" s="41"/>
      <c r="F17" s="41"/>
      <c r="G17" s="41"/>
      <c r="H17" s="41"/>
      <c r="I17" s="41"/>
      <c r="J17" s="13"/>
      <c r="K17" s="13"/>
      <c r="L17" s="13"/>
      <c r="M17" s="41"/>
      <c r="N17" s="7"/>
      <c r="O17" s="7"/>
    </row>
    <row r="18">
      <c r="A18" s="7"/>
      <c r="B18" s="7"/>
      <c r="C18" s="41"/>
      <c r="D18" s="41"/>
      <c r="E18" s="41"/>
      <c r="F18" s="41"/>
      <c r="G18" s="41"/>
      <c r="H18" s="41"/>
      <c r="I18" s="41"/>
      <c r="J18" s="13"/>
      <c r="K18" s="13"/>
      <c r="L18" s="13"/>
      <c r="M18" s="13"/>
      <c r="N18" s="7"/>
      <c r="O18" s="7"/>
    </row>
    <row r="19">
      <c r="A19" s="7"/>
      <c r="B19" s="7"/>
      <c r="C19" s="45"/>
      <c r="D19" s="45"/>
      <c r="E19" s="45"/>
      <c r="F19" s="7"/>
      <c r="G19" s="7"/>
      <c r="H19" s="7"/>
      <c r="I19" s="7"/>
      <c r="J19" s="56"/>
      <c r="K19" s="56"/>
      <c r="L19" s="7"/>
      <c r="M19" s="7"/>
      <c r="N19" s="7"/>
      <c r="O19" s="7"/>
    </row>
    <row r="20">
      <c r="A20" s="7"/>
      <c r="B20" s="7"/>
      <c r="C20" s="45"/>
      <c r="D20" s="45"/>
      <c r="E20" s="45"/>
      <c r="F20" s="7"/>
      <c r="G20" s="7"/>
      <c r="H20" s="7"/>
      <c r="I20" s="7"/>
      <c r="J20" s="56"/>
      <c r="K20" s="56"/>
      <c r="L20" s="7"/>
      <c r="M20" s="7"/>
      <c r="N20" s="7"/>
      <c r="O20" s="7"/>
    </row>
    <row r="21">
      <c r="A21" s="7"/>
      <c r="B21" s="7"/>
      <c r="C21" s="49"/>
      <c r="D21" s="49"/>
      <c r="E21" s="49"/>
      <c r="F21" s="48"/>
      <c r="G21" s="48"/>
      <c r="H21" s="48"/>
      <c r="I21" s="48"/>
      <c r="J21" s="7"/>
      <c r="K21" s="7"/>
      <c r="L21" s="7"/>
      <c r="M21" s="7"/>
      <c r="N21" s="7"/>
      <c r="O21" s="7"/>
    </row>
    <row r="22">
      <c r="A22" s="7"/>
      <c r="B22" s="7"/>
      <c r="C22" s="45"/>
      <c r="D22" s="45"/>
      <c r="E22" s="45"/>
      <c r="F22" s="7"/>
      <c r="G22" s="7"/>
      <c r="H22" s="7"/>
      <c r="I22" s="7"/>
      <c r="J22" s="7"/>
      <c r="K22" s="7"/>
      <c r="L22" s="7"/>
      <c r="M22" s="7"/>
      <c r="N22" s="7"/>
      <c r="O22" s="7"/>
    </row>
    <row r="23">
      <c r="A23" s="7"/>
      <c r="B23" s="7"/>
      <c r="C23" s="45"/>
      <c r="D23" s="45"/>
      <c r="E23" s="45"/>
      <c r="F23" s="7"/>
      <c r="G23" s="7"/>
      <c r="H23" s="7"/>
      <c r="I23" s="7"/>
      <c r="J23" s="7"/>
      <c r="K23" s="7"/>
      <c r="L23" s="7"/>
      <c r="M23" s="7"/>
      <c r="N23" s="7"/>
      <c r="O23" s="7"/>
    </row>
    <row r="24">
      <c r="A24" s="7"/>
      <c r="B24" s="7"/>
      <c r="C24" s="49"/>
      <c r="D24" s="49"/>
      <c r="E24" s="49"/>
      <c r="F24" s="7"/>
      <c r="G24" s="7"/>
      <c r="H24" s="7"/>
      <c r="I24" s="7"/>
      <c r="J24" s="13"/>
      <c r="K24" s="13"/>
      <c r="L24" s="13"/>
      <c r="M24" s="13"/>
      <c r="N24" s="7"/>
      <c r="O24" s="7"/>
    </row>
    <row r="25">
      <c r="A25" s="7"/>
      <c r="B25" s="7"/>
      <c r="C25" s="45"/>
      <c r="D25" s="45"/>
      <c r="E25" s="45"/>
      <c r="F25" s="7"/>
      <c r="G25" s="7"/>
      <c r="H25" s="7"/>
      <c r="I25" s="7"/>
      <c r="J25" s="13"/>
      <c r="K25" s="13"/>
      <c r="L25" s="13"/>
      <c r="M25" s="13"/>
      <c r="N25" s="7"/>
      <c r="O25" s="7"/>
    </row>
    <row r="26">
      <c r="A26" s="7"/>
      <c r="B26" s="7"/>
      <c r="C26" s="43"/>
      <c r="D26" s="43"/>
      <c r="E26" s="43"/>
      <c r="F26" s="43"/>
      <c r="G26" s="43"/>
      <c r="H26" s="43"/>
      <c r="I26" s="43"/>
      <c r="J26" s="43"/>
      <c r="K26" s="43"/>
      <c r="L26" s="43"/>
      <c r="M26" s="7"/>
      <c r="N26" s="7"/>
      <c r="O26" s="7"/>
    </row>
    <row r="27">
      <c r="A27" s="7"/>
      <c r="B27" s="7"/>
      <c r="C27" s="54"/>
      <c r="D27" s="54"/>
      <c r="E27" s="54"/>
      <c r="F27" s="41"/>
      <c r="G27" s="41"/>
      <c r="H27" s="41"/>
      <c r="I27" s="41"/>
      <c r="J27" s="13"/>
      <c r="K27" s="13"/>
      <c r="L27" s="13"/>
      <c r="M27" s="39"/>
      <c r="N27" s="7"/>
      <c r="O27" s="7"/>
    </row>
    <row r="28">
      <c r="A28" s="7"/>
      <c r="B28" s="7"/>
      <c r="C28" s="49"/>
      <c r="D28" s="49"/>
      <c r="E28" s="49"/>
      <c r="F28" s="7"/>
      <c r="G28" s="7"/>
      <c r="H28" s="7"/>
      <c r="I28" s="7"/>
      <c r="J28" s="13"/>
      <c r="K28" s="13"/>
      <c r="L28" s="13"/>
      <c r="M28" s="13"/>
      <c r="N28" s="7"/>
      <c r="O28" s="7"/>
    </row>
    <row r="29">
      <c r="A29" s="7"/>
      <c r="B29" s="7"/>
      <c r="C29" s="13"/>
      <c r="D29" s="13"/>
      <c r="E29" s="13"/>
      <c r="F29" s="48"/>
      <c r="G29" s="48"/>
      <c r="H29" s="48"/>
      <c r="I29" s="48"/>
      <c r="J29" s="13"/>
      <c r="K29" s="13"/>
      <c r="L29" s="13"/>
      <c r="M29" s="13"/>
      <c r="N29" s="7"/>
      <c r="O29" s="7"/>
    </row>
    <row r="30">
      <c r="A30" s="7"/>
      <c r="B30" s="7"/>
      <c r="C30" s="57"/>
      <c r="D30" s="57"/>
      <c r="E30" s="57"/>
      <c r="F30" s="41"/>
      <c r="G30" s="41"/>
      <c r="H30" s="41"/>
      <c r="I30" s="41"/>
      <c r="J30" s="44"/>
      <c r="K30" s="44"/>
      <c r="L30" s="44"/>
      <c r="M30" s="44"/>
      <c r="N30" s="7"/>
      <c r="O30" s="7"/>
    </row>
    <row r="31">
      <c r="A31" s="7"/>
      <c r="B31" s="7"/>
      <c r="C31" s="54"/>
      <c r="D31" s="54"/>
      <c r="E31" s="54"/>
      <c r="F31" s="48"/>
      <c r="G31" s="48"/>
      <c r="H31" s="48"/>
      <c r="I31" s="48"/>
      <c r="J31" s="41"/>
      <c r="K31" s="41"/>
      <c r="L31" s="41"/>
      <c r="M31" s="41"/>
      <c r="N31" s="7"/>
      <c r="O31" s="7"/>
    </row>
    <row r="32">
      <c r="A32" s="7"/>
      <c r="B32" s="7"/>
      <c r="C32" s="49"/>
      <c r="D32" s="49"/>
      <c r="E32" s="49"/>
      <c r="F32" s="46"/>
      <c r="G32" s="46"/>
      <c r="H32" s="46"/>
      <c r="I32" s="46"/>
      <c r="J32" s="13"/>
      <c r="K32" s="13"/>
      <c r="L32" s="13"/>
      <c r="M32" s="13"/>
      <c r="N32" s="7"/>
      <c r="O32" s="7"/>
    </row>
    <row r="33">
      <c r="A33" s="7"/>
      <c r="B33" s="7"/>
      <c r="C33" s="51"/>
      <c r="D33" s="51"/>
      <c r="E33" s="51"/>
      <c r="F33" s="46"/>
      <c r="G33" s="46"/>
      <c r="H33" s="46"/>
      <c r="I33" s="46"/>
      <c r="J33" s="7"/>
      <c r="K33" s="7"/>
      <c r="L33" s="38"/>
      <c r="M33" s="7"/>
      <c r="N33" s="7"/>
      <c r="O33" s="7"/>
    </row>
    <row r="34">
      <c r="A34" s="7"/>
      <c r="B34" s="7"/>
      <c r="C34" s="13"/>
      <c r="D34" s="13"/>
      <c r="E34" s="13"/>
      <c r="F34" s="13"/>
      <c r="G34" s="13"/>
      <c r="H34" s="13"/>
      <c r="I34" s="13"/>
      <c r="J34" s="7"/>
      <c r="K34" s="7"/>
      <c r="L34" s="7"/>
      <c r="M34" s="7"/>
      <c r="N34" s="7"/>
      <c r="O34" s="7"/>
    </row>
    <row r="35">
      <c r="A35" s="7"/>
      <c r="B35" s="7"/>
      <c r="C35" s="43"/>
      <c r="D35" s="43"/>
      <c r="E35" s="43"/>
      <c r="F35" s="7"/>
      <c r="G35" s="7"/>
      <c r="H35" s="7"/>
      <c r="I35" s="7"/>
      <c r="J35" s="13"/>
      <c r="K35" s="13"/>
      <c r="L35" s="13"/>
      <c r="M35" s="7"/>
      <c r="N35" s="7"/>
      <c r="O35" s="7"/>
    </row>
    <row r="36">
      <c r="A36" s="7"/>
      <c r="B36" s="7"/>
      <c r="C36" s="45"/>
      <c r="D36" s="45"/>
      <c r="E36" s="45"/>
      <c r="F36" s="7"/>
      <c r="G36" s="7"/>
      <c r="H36" s="7"/>
      <c r="I36" s="7"/>
      <c r="J36" s="7"/>
      <c r="K36" s="7"/>
      <c r="L36" s="7"/>
      <c r="M36" s="7"/>
      <c r="N36" s="7"/>
      <c r="O36" s="7"/>
    </row>
    <row r="37">
      <c r="A37" s="7"/>
      <c r="B37" s="7"/>
      <c r="C37" s="49"/>
      <c r="D37" s="49"/>
      <c r="E37" s="49"/>
      <c r="F37" s="13"/>
      <c r="G37" s="13"/>
      <c r="H37" s="13"/>
      <c r="I37" s="13"/>
      <c r="J37" s="13"/>
      <c r="K37" s="13"/>
      <c r="L37" s="13"/>
      <c r="M37" s="13"/>
      <c r="N37" s="7"/>
      <c r="O37" s="7"/>
    </row>
    <row r="38">
      <c r="A38" s="7"/>
      <c r="B38" s="7"/>
      <c r="C38" s="49"/>
      <c r="D38" s="49"/>
      <c r="E38" s="49"/>
      <c r="F38" s="13"/>
      <c r="G38" s="13"/>
      <c r="H38" s="13"/>
      <c r="I38" s="13"/>
      <c r="J38" s="13"/>
      <c r="K38" s="13"/>
      <c r="L38" s="13"/>
      <c r="M38" s="13"/>
      <c r="N38" s="7"/>
      <c r="O38" s="7"/>
    </row>
    <row r="39">
      <c r="A39" s="7"/>
      <c r="B39" s="7"/>
      <c r="C39" s="45"/>
      <c r="D39" s="45"/>
      <c r="E39" s="45"/>
      <c r="F39" s="7"/>
      <c r="G39" s="7"/>
      <c r="H39" s="7"/>
      <c r="I39" s="7"/>
      <c r="J39" s="7"/>
      <c r="K39" s="7"/>
      <c r="L39" s="7"/>
      <c r="M39" s="7"/>
      <c r="N39" s="7"/>
      <c r="O39" s="7"/>
    </row>
    <row r="40">
      <c r="A40" s="7"/>
      <c r="B40" s="7"/>
      <c r="C40" s="52"/>
      <c r="D40" s="52"/>
      <c r="E40" s="52"/>
      <c r="F40" s="52"/>
      <c r="G40" s="52"/>
      <c r="H40" s="52"/>
      <c r="I40" s="52"/>
      <c r="J40" s="52"/>
      <c r="K40" s="52"/>
      <c r="L40" s="52"/>
      <c r="M40" s="52"/>
      <c r="N40" s="7"/>
      <c r="O40" s="7"/>
    </row>
    <row r="41">
      <c r="A41" s="7"/>
      <c r="B41" s="7"/>
      <c r="C41" s="41"/>
      <c r="D41" s="41"/>
      <c r="E41" s="41"/>
      <c r="F41" s="41"/>
      <c r="G41" s="41"/>
      <c r="H41" s="41"/>
      <c r="I41" s="41"/>
      <c r="J41" s="56"/>
      <c r="K41" s="56"/>
      <c r="L41" s="13"/>
      <c r="M41" s="13"/>
      <c r="N41" s="7"/>
      <c r="O41" s="7"/>
    </row>
    <row r="42">
      <c r="A42" s="7"/>
      <c r="B42" s="7"/>
      <c r="C42" s="60"/>
      <c r="D42" s="60"/>
      <c r="E42" s="60"/>
      <c r="F42" s="7"/>
      <c r="G42" s="7"/>
      <c r="H42" s="7"/>
      <c r="I42" s="7"/>
      <c r="J42" s="7"/>
      <c r="K42" s="7"/>
      <c r="L42" s="7"/>
      <c r="M42" s="7"/>
      <c r="N42" s="7"/>
      <c r="O42" s="7"/>
    </row>
    <row r="43">
      <c r="A43" s="7"/>
      <c r="B43" s="7"/>
      <c r="C43" s="52"/>
      <c r="D43" s="52"/>
      <c r="E43" s="52"/>
      <c r="F43" s="7"/>
      <c r="G43" s="7"/>
      <c r="H43" s="7"/>
      <c r="I43" s="7"/>
      <c r="J43" s="52"/>
      <c r="K43" s="52"/>
      <c r="L43" s="52"/>
      <c r="M43" s="52"/>
      <c r="N43" s="7"/>
      <c r="O43" s="7"/>
    </row>
    <row r="44">
      <c r="A44" s="7"/>
      <c r="B44" s="7"/>
      <c r="C44" s="48"/>
      <c r="D44" s="48"/>
      <c r="E44" s="48"/>
      <c r="F44" s="41"/>
      <c r="G44" s="41"/>
      <c r="H44" s="41"/>
      <c r="I44" s="41"/>
      <c r="J44" s="13"/>
      <c r="K44" s="13"/>
      <c r="L44" s="13"/>
      <c r="M44" s="41"/>
      <c r="N44" s="7"/>
      <c r="O44" s="7"/>
    </row>
    <row r="45">
      <c r="A45" s="7"/>
      <c r="B45" s="7"/>
      <c r="C45" s="54"/>
      <c r="D45" s="54"/>
      <c r="E45" s="54"/>
      <c r="F45" s="41"/>
      <c r="G45" s="41"/>
      <c r="H45" s="41"/>
      <c r="I45" s="41"/>
      <c r="J45" s="13"/>
      <c r="K45" s="13"/>
      <c r="L45" s="13"/>
      <c r="M45" s="13"/>
      <c r="N45" s="7"/>
      <c r="O45" s="7"/>
    </row>
    <row r="46">
      <c r="A46" s="7"/>
      <c r="B46" s="7"/>
      <c r="C46" s="48"/>
      <c r="D46" s="48"/>
      <c r="E46" s="48"/>
      <c r="F46" s="41"/>
      <c r="G46" s="41"/>
      <c r="H46" s="41"/>
      <c r="I46" s="41"/>
      <c r="J46" s="13"/>
      <c r="K46" s="13"/>
      <c r="L46" s="13"/>
      <c r="M46" s="41"/>
      <c r="N46" s="7"/>
      <c r="O46" s="7"/>
    </row>
    <row r="47">
      <c r="A47" s="7"/>
      <c r="B47" s="7"/>
      <c r="C47" s="48"/>
      <c r="D47" s="48"/>
      <c r="E47" s="48"/>
      <c r="F47" s="41"/>
      <c r="G47" s="41"/>
      <c r="H47" s="41"/>
      <c r="I47" s="41"/>
      <c r="J47" s="13"/>
      <c r="K47" s="13"/>
      <c r="L47" s="13"/>
      <c r="M47" s="41"/>
      <c r="N47" s="7"/>
      <c r="O47" s="7"/>
    </row>
    <row r="48">
      <c r="A48" s="7"/>
      <c r="B48" s="7"/>
      <c r="C48" s="54"/>
      <c r="D48" s="54"/>
      <c r="E48" s="54"/>
      <c r="F48" s="41"/>
      <c r="G48" s="41"/>
      <c r="H48" s="41"/>
      <c r="I48" s="41"/>
      <c r="J48" s="13"/>
      <c r="K48" s="13"/>
      <c r="L48" s="13"/>
      <c r="M48" s="13"/>
      <c r="N48" s="7"/>
      <c r="O48" s="7"/>
    </row>
    <row r="49">
      <c r="A49" s="7"/>
      <c r="B49" s="7"/>
      <c r="C49" s="48"/>
      <c r="D49" s="48"/>
      <c r="E49" s="48"/>
      <c r="F49" s="41"/>
      <c r="G49" s="41"/>
      <c r="H49" s="41"/>
      <c r="I49" s="41"/>
      <c r="J49" s="13"/>
      <c r="K49" s="13"/>
      <c r="L49" s="13"/>
      <c r="M49" s="41"/>
      <c r="N49" s="7"/>
      <c r="O49" s="7"/>
    </row>
    <row r="50">
      <c r="A50" s="7"/>
      <c r="B50" s="7"/>
      <c r="C50" s="54"/>
      <c r="D50" s="54"/>
      <c r="E50" s="54"/>
      <c r="F50" s="41"/>
      <c r="G50" s="41"/>
      <c r="H50" s="41"/>
      <c r="I50" s="41"/>
      <c r="J50" s="13"/>
      <c r="K50" s="13"/>
      <c r="L50" s="13"/>
      <c r="M50" s="13"/>
      <c r="N50" s="7"/>
      <c r="O50" s="7"/>
    </row>
    <row r="51">
      <c r="A51" s="7"/>
      <c r="B51" s="7"/>
      <c r="C51" s="43"/>
      <c r="D51" s="43"/>
      <c r="E51" s="43"/>
      <c r="F51" s="41"/>
      <c r="G51" s="41"/>
      <c r="H51" s="41"/>
      <c r="I51" s="41"/>
      <c r="J51" s="13"/>
      <c r="K51" s="13"/>
      <c r="L51" s="13"/>
      <c r="M51" s="13"/>
      <c r="N51" s="7"/>
      <c r="O51" s="7"/>
    </row>
    <row r="52">
      <c r="A52" s="7"/>
      <c r="B52" s="7"/>
      <c r="C52" s="45"/>
      <c r="D52" s="45"/>
      <c r="E52" s="45"/>
      <c r="F52" s="7"/>
      <c r="G52" s="7"/>
      <c r="H52" s="7"/>
      <c r="I52" s="7"/>
      <c r="J52" s="7"/>
      <c r="K52" s="7"/>
      <c r="L52" s="7"/>
      <c r="M52" s="7"/>
      <c r="N52" s="7"/>
      <c r="O52" s="7"/>
    </row>
    <row r="53">
      <c r="A53" s="7"/>
      <c r="B53" s="7"/>
      <c r="C53" s="45"/>
      <c r="D53" s="45"/>
      <c r="E53" s="45"/>
      <c r="F53" s="13"/>
      <c r="G53" s="13"/>
      <c r="H53" s="13"/>
      <c r="I53" s="13"/>
      <c r="J53" s="45"/>
      <c r="K53" s="45"/>
      <c r="L53" s="7"/>
      <c r="M53" s="7"/>
      <c r="N53" s="7"/>
      <c r="O53" s="7"/>
    </row>
    <row r="54">
      <c r="A54" s="7"/>
      <c r="B54" s="7"/>
      <c r="C54" s="45"/>
      <c r="D54" s="45"/>
      <c r="E54" s="45"/>
      <c r="F54" s="13"/>
      <c r="G54" s="13"/>
      <c r="H54" s="13"/>
      <c r="I54" s="13"/>
      <c r="J54" s="7"/>
      <c r="K54" s="7"/>
      <c r="L54" s="7"/>
      <c r="M54" s="7"/>
      <c r="N54" s="7"/>
      <c r="O54" s="7"/>
    </row>
    <row r="55">
      <c r="A55" s="7"/>
      <c r="B55" s="7"/>
      <c r="C55" s="45"/>
      <c r="D55" s="45"/>
      <c r="E55" s="45"/>
      <c r="F55" s="13"/>
      <c r="G55" s="13"/>
      <c r="H55" s="13"/>
      <c r="I55" s="13"/>
      <c r="J55" s="7"/>
      <c r="K55" s="7"/>
      <c r="L55" s="7"/>
      <c r="M55" s="7"/>
      <c r="N55" s="7"/>
      <c r="O55" s="7"/>
    </row>
    <row r="56">
      <c r="A56" s="7"/>
      <c r="B56" s="7"/>
      <c r="C56" s="45"/>
      <c r="D56" s="45"/>
      <c r="E56" s="45"/>
      <c r="F56" s="13"/>
      <c r="G56" s="13"/>
      <c r="H56" s="13"/>
      <c r="I56" s="13"/>
      <c r="J56" s="7"/>
      <c r="K56" s="7"/>
      <c r="L56" s="7"/>
      <c r="M56" s="7"/>
      <c r="N56" s="7"/>
      <c r="O56" s="7"/>
    </row>
    <row r="57">
      <c r="A57" s="7"/>
      <c r="B57" s="7"/>
      <c r="C57" s="45"/>
      <c r="D57" s="45"/>
      <c r="E57" s="45"/>
      <c r="F57" s="13"/>
      <c r="G57" s="13"/>
      <c r="H57" s="13"/>
      <c r="I57" s="13"/>
      <c r="J57" s="7"/>
      <c r="K57" s="7"/>
      <c r="L57" s="7"/>
      <c r="M57" s="7"/>
      <c r="N57" s="7"/>
      <c r="O57" s="7"/>
    </row>
    <row r="58">
      <c r="A58" s="7"/>
      <c r="B58" s="7"/>
      <c r="C58" s="63"/>
      <c r="D58" s="63"/>
      <c r="E58" s="63"/>
      <c r="F58" s="7"/>
      <c r="G58" s="7"/>
      <c r="H58" s="7"/>
      <c r="I58" s="7"/>
      <c r="J58" s="56"/>
      <c r="K58" s="56"/>
      <c r="L58" s="7"/>
      <c r="M58" s="7"/>
      <c r="N58" s="7"/>
      <c r="O58" s="7"/>
    </row>
    <row r="59">
      <c r="A59" s="7"/>
      <c r="B59" s="7"/>
      <c r="C59" s="45"/>
      <c r="D59" s="45"/>
      <c r="E59" s="45"/>
      <c r="F59" s="7"/>
      <c r="G59" s="7"/>
      <c r="H59" s="7"/>
      <c r="I59" s="7"/>
      <c r="J59" s="56"/>
      <c r="K59" s="56"/>
      <c r="L59" s="7"/>
      <c r="M59" s="7"/>
      <c r="N59" s="7"/>
      <c r="O59" s="7"/>
    </row>
    <row r="60">
      <c r="A60" s="7"/>
      <c r="B60" s="7"/>
      <c r="C60" s="41"/>
      <c r="D60" s="41"/>
      <c r="E60" s="41"/>
      <c r="F60" s="41"/>
      <c r="G60" s="41"/>
      <c r="H60" s="41"/>
      <c r="I60" s="41"/>
      <c r="J60" s="7"/>
      <c r="K60" s="7"/>
      <c r="L60" s="7"/>
      <c r="M60" s="7"/>
      <c r="N60" s="7"/>
      <c r="O60" s="7"/>
    </row>
    <row r="61">
      <c r="A61" s="7"/>
      <c r="B61" s="7"/>
      <c r="C61" s="54"/>
      <c r="D61" s="54"/>
      <c r="E61" s="54"/>
      <c r="F61" s="44"/>
      <c r="G61" s="44"/>
      <c r="H61" s="44"/>
      <c r="I61" s="44"/>
      <c r="J61" s="7"/>
      <c r="K61" s="7"/>
      <c r="L61" s="7"/>
      <c r="M61" s="7"/>
      <c r="N61" s="7"/>
      <c r="O61" s="7"/>
    </row>
    <row r="62">
      <c r="A62" s="7"/>
      <c r="B62" s="7"/>
      <c r="C62" s="65"/>
      <c r="D62" s="65"/>
      <c r="E62" s="65"/>
      <c r="F62" s="43"/>
      <c r="G62" s="43"/>
      <c r="H62" s="43"/>
      <c r="I62" s="43"/>
      <c r="J62" s="7"/>
      <c r="K62" s="7"/>
      <c r="L62" s="7"/>
      <c r="M62" s="43"/>
      <c r="N62" s="7"/>
      <c r="O62" s="7"/>
    </row>
    <row r="63">
      <c r="A63" s="7"/>
      <c r="B63" s="7"/>
      <c r="C63" s="56"/>
      <c r="D63" s="56"/>
      <c r="E63" s="56"/>
      <c r="F63" s="13"/>
      <c r="G63" s="13"/>
      <c r="H63" s="13"/>
      <c r="I63" s="13"/>
      <c r="J63" s="7"/>
      <c r="K63" s="7"/>
      <c r="L63" s="7"/>
      <c r="M63" s="7"/>
      <c r="N63" s="7"/>
      <c r="O63" s="7"/>
    </row>
    <row r="64">
      <c r="A64" s="7"/>
      <c r="B64" s="7"/>
      <c r="C64" s="45"/>
      <c r="D64" s="45"/>
      <c r="E64" s="45"/>
      <c r="F64" s="46"/>
      <c r="G64" s="46"/>
      <c r="H64" s="46"/>
      <c r="I64" s="46"/>
      <c r="J64" s="7"/>
      <c r="K64" s="7"/>
      <c r="L64" s="7"/>
      <c r="M64" s="13"/>
      <c r="N64" s="7"/>
      <c r="O64" s="7"/>
    </row>
    <row r="65">
      <c r="A65" s="7"/>
      <c r="B65" s="7"/>
      <c r="C65" s="39"/>
      <c r="D65" s="39"/>
      <c r="E65" s="39"/>
      <c r="F65" s="13"/>
      <c r="G65" s="13"/>
      <c r="H65" s="13"/>
      <c r="I65" s="13"/>
      <c r="J65" s="56"/>
      <c r="K65" s="56"/>
      <c r="L65" s="7"/>
      <c r="M65" s="13"/>
      <c r="N65" s="7"/>
      <c r="O65" s="7"/>
    </row>
    <row r="66">
      <c r="A66" s="7"/>
      <c r="B66" s="7"/>
      <c r="C66" s="39"/>
      <c r="D66" s="39"/>
      <c r="E66" s="39"/>
      <c r="F66" s="13"/>
      <c r="G66" s="13"/>
      <c r="H66" s="13"/>
      <c r="I66" s="13"/>
      <c r="J66" s="7"/>
      <c r="K66" s="7"/>
      <c r="L66" s="7"/>
      <c r="M66" s="13"/>
      <c r="N66" s="7"/>
      <c r="O66" s="7"/>
    </row>
    <row r="67">
      <c r="A67" s="7"/>
      <c r="B67" s="7"/>
      <c r="C67" s="39"/>
      <c r="D67" s="39"/>
      <c r="E67" s="39"/>
      <c r="F67" s="13"/>
      <c r="G67" s="13"/>
      <c r="H67" s="13"/>
      <c r="I67" s="13"/>
      <c r="J67" s="7"/>
      <c r="K67" s="7"/>
      <c r="L67" s="7"/>
      <c r="M67" s="13"/>
      <c r="N67" s="7"/>
      <c r="O67" s="7"/>
    </row>
    <row r="68">
      <c r="A68" s="7"/>
      <c r="B68" s="7"/>
      <c r="C68" s="49"/>
      <c r="D68" s="49"/>
      <c r="E68" s="49"/>
      <c r="F68" s="7"/>
      <c r="G68" s="7"/>
      <c r="H68" s="7"/>
      <c r="I68" s="7"/>
      <c r="J68" s="7"/>
      <c r="K68" s="7"/>
      <c r="L68" s="7"/>
      <c r="M68" s="52"/>
      <c r="N68" s="7"/>
      <c r="O68" s="7"/>
    </row>
    <row r="69">
      <c r="A69" s="7"/>
      <c r="B69" s="7"/>
      <c r="C69" s="66"/>
      <c r="D69" s="66"/>
      <c r="E69" s="66"/>
      <c r="F69" s="7"/>
      <c r="G69" s="7"/>
      <c r="H69" s="7"/>
      <c r="I69" s="7"/>
      <c r="J69" s="7"/>
      <c r="K69" s="7"/>
      <c r="L69" s="7"/>
      <c r="M69" s="7"/>
      <c r="N69" s="7"/>
      <c r="O69" s="7"/>
    </row>
    <row r="70">
      <c r="A70" s="7"/>
      <c r="B70" s="7"/>
      <c r="C70" s="49"/>
      <c r="D70" s="49"/>
      <c r="E70" s="49"/>
      <c r="F70" s="7"/>
      <c r="G70" s="7"/>
      <c r="H70" s="7"/>
      <c r="I70" s="7"/>
      <c r="J70" s="7"/>
      <c r="K70" s="7"/>
      <c r="L70" s="7"/>
      <c r="M70" s="7"/>
      <c r="N70" s="7"/>
      <c r="O70" s="7"/>
    </row>
    <row r="71">
      <c r="A71" s="7"/>
      <c r="B71" s="7"/>
      <c r="C71" s="49"/>
      <c r="D71" s="49"/>
      <c r="E71" s="49"/>
      <c r="F71" s="46"/>
      <c r="G71" s="46"/>
      <c r="H71" s="46"/>
      <c r="I71" s="46"/>
      <c r="J71" s="7"/>
      <c r="K71" s="7"/>
      <c r="L71" s="7"/>
      <c r="M71" s="13"/>
      <c r="N71" s="7"/>
      <c r="O71" s="7"/>
    </row>
    <row r="72">
      <c r="A72" s="7"/>
      <c r="B72" s="7"/>
      <c r="C72" s="45"/>
      <c r="D72" s="45"/>
      <c r="E72" s="45"/>
      <c r="F72" s="7"/>
      <c r="G72" s="7"/>
      <c r="H72" s="7"/>
      <c r="I72" s="7"/>
      <c r="J72" s="7"/>
      <c r="K72" s="7"/>
      <c r="L72" s="7"/>
      <c r="M72" s="13"/>
      <c r="N72" s="7"/>
      <c r="O72" s="7"/>
    </row>
    <row r="73">
      <c r="A73" s="7"/>
      <c r="B73" s="7"/>
      <c r="C73" s="13"/>
      <c r="D73" s="13"/>
      <c r="E73" s="13"/>
      <c r="F73" s="7"/>
      <c r="G73" s="7"/>
      <c r="H73" s="7"/>
      <c r="I73" s="7"/>
      <c r="J73" s="7"/>
      <c r="K73" s="7"/>
      <c r="L73" s="7"/>
      <c r="M73" s="67"/>
      <c r="N73" s="7"/>
      <c r="O73" s="7"/>
    </row>
    <row r="74">
      <c r="A74" s="7"/>
      <c r="B74" s="7"/>
      <c r="C74" s="13"/>
      <c r="D74" s="13"/>
      <c r="E74" s="13"/>
      <c r="F74" s="13"/>
      <c r="G74" s="13"/>
      <c r="H74" s="13"/>
      <c r="I74" s="13"/>
      <c r="J74" s="7"/>
      <c r="K74" s="7"/>
      <c r="L74" s="7"/>
      <c r="M74" s="44"/>
      <c r="N74" s="7"/>
      <c r="O74" s="7"/>
    </row>
    <row r="75">
      <c r="A75" s="7"/>
      <c r="B75" s="7"/>
      <c r="C75" s="41"/>
      <c r="D75" s="41"/>
      <c r="E75" s="41"/>
      <c r="F75" s="41"/>
      <c r="G75" s="41"/>
      <c r="H75" s="41"/>
      <c r="I75" s="41"/>
      <c r="J75" s="7"/>
      <c r="K75" s="7"/>
      <c r="L75" s="7"/>
      <c r="M75" s="41"/>
      <c r="N75" s="7"/>
      <c r="O75" s="7"/>
    </row>
    <row r="76">
      <c r="A76" s="7"/>
      <c r="B76" s="7"/>
      <c r="C76" s="13"/>
      <c r="D76" s="13"/>
      <c r="E76" s="13"/>
      <c r="F76" s="7"/>
      <c r="G76" s="7"/>
      <c r="H76" s="7"/>
      <c r="I76" s="7"/>
      <c r="J76" s="13"/>
      <c r="K76" s="13"/>
      <c r="L76" s="13"/>
      <c r="M76" s="13"/>
      <c r="N76" s="7"/>
      <c r="O76" s="7"/>
    </row>
    <row r="77">
      <c r="A77" s="7"/>
      <c r="B77" s="7"/>
      <c r="C77" s="54"/>
      <c r="D77" s="54"/>
      <c r="E77" s="54"/>
      <c r="F77" s="41"/>
      <c r="G77" s="41"/>
      <c r="H77" s="41"/>
      <c r="I77" s="41"/>
      <c r="J77" s="7"/>
      <c r="K77" s="7"/>
      <c r="L77" s="7"/>
      <c r="M77" s="7"/>
      <c r="N77" s="7"/>
      <c r="O77" s="7"/>
    </row>
    <row r="78">
      <c r="A78" s="38"/>
      <c r="B78" s="38"/>
      <c r="C78" s="13"/>
      <c r="D78" s="13"/>
      <c r="E78" s="13"/>
      <c r="F78" s="7"/>
      <c r="G78" s="7"/>
      <c r="H78" s="7"/>
      <c r="I78" s="7"/>
      <c r="J78" s="7"/>
      <c r="K78" s="7"/>
      <c r="L78" s="7"/>
      <c r="M78" s="13"/>
      <c r="N78" s="7"/>
      <c r="O78" s="7"/>
    </row>
    <row r="79">
      <c r="A79" s="38"/>
      <c r="B79" s="38"/>
      <c r="C79" s="45"/>
      <c r="D79" s="45"/>
      <c r="E79" s="45"/>
      <c r="F79" s="7"/>
      <c r="G79" s="7"/>
      <c r="H79" s="7"/>
      <c r="I79" s="7"/>
      <c r="J79" s="7"/>
      <c r="K79" s="7"/>
      <c r="L79" s="7"/>
      <c r="M79" s="7"/>
      <c r="N79" s="7"/>
      <c r="O79" s="7"/>
    </row>
    <row r="80">
      <c r="A80" s="7"/>
      <c r="B80" s="7"/>
      <c r="C80" s="49"/>
      <c r="D80" s="49"/>
      <c r="E80" s="49"/>
      <c r="F80" s="7"/>
      <c r="G80" s="7"/>
      <c r="H80" s="7"/>
      <c r="I80" s="7"/>
      <c r="J80" s="7"/>
      <c r="K80" s="7"/>
      <c r="L80" s="7"/>
      <c r="M80" s="38"/>
      <c r="N80" s="7"/>
      <c r="O80" s="7"/>
    </row>
    <row r="81">
      <c r="A81" s="7"/>
      <c r="B81" s="7"/>
      <c r="C81" s="51"/>
      <c r="D81" s="51"/>
      <c r="E81" s="51"/>
      <c r="F81" s="7"/>
      <c r="G81" s="7"/>
      <c r="H81" s="7"/>
      <c r="I81" s="7"/>
      <c r="J81" s="56"/>
      <c r="K81" s="56"/>
      <c r="L81" s="7"/>
      <c r="M81" s="7"/>
      <c r="N81" s="7"/>
      <c r="O81" s="7"/>
    </row>
    <row r="82">
      <c r="A82" s="7"/>
      <c r="B82" s="7"/>
      <c r="C82" s="13"/>
      <c r="D82" s="13"/>
      <c r="E82" s="13"/>
      <c r="F82" s="7"/>
      <c r="G82" s="7"/>
      <c r="H82" s="7"/>
      <c r="I82" s="7"/>
      <c r="J82" s="7"/>
      <c r="K82" s="7"/>
      <c r="L82" s="7"/>
      <c r="M82" s="13"/>
      <c r="N82" s="7"/>
      <c r="O82" s="7"/>
    </row>
    <row r="83">
      <c r="A83" s="7"/>
      <c r="B83" s="7"/>
      <c r="C83" s="13"/>
      <c r="D83" s="13"/>
      <c r="E83" s="13"/>
      <c r="F83" s="48"/>
      <c r="G83" s="48"/>
      <c r="H83" s="48"/>
      <c r="I83" s="48"/>
      <c r="J83" s="7"/>
      <c r="K83" s="7"/>
      <c r="L83" s="7"/>
      <c r="M83" s="13"/>
      <c r="N83" s="7"/>
      <c r="O83" s="7"/>
    </row>
    <row r="84">
      <c r="A84" s="7"/>
      <c r="B84" s="7"/>
      <c r="C84" s="13"/>
      <c r="D84" s="13"/>
      <c r="E84" s="13"/>
      <c r="F84" s="47"/>
      <c r="G84" s="47"/>
      <c r="H84" s="47"/>
      <c r="I84" s="47"/>
      <c r="J84" s="7"/>
      <c r="K84" s="7"/>
      <c r="L84" s="7"/>
      <c r="M84" s="13"/>
      <c r="N84" s="7"/>
      <c r="O84" s="7"/>
    </row>
    <row r="85">
      <c r="A85" s="7"/>
      <c r="B85" s="7"/>
      <c r="C85" s="49"/>
      <c r="D85" s="49"/>
      <c r="E85" s="49"/>
      <c r="F85" s="7"/>
      <c r="G85" s="7"/>
      <c r="H85" s="7"/>
      <c r="I85" s="7"/>
      <c r="J85" s="7"/>
      <c r="K85" s="7"/>
      <c r="L85" s="7"/>
      <c r="M85" s="7"/>
      <c r="N85" s="7"/>
      <c r="O85" s="7"/>
    </row>
    <row r="86">
      <c r="A86" s="7"/>
      <c r="B86" s="7"/>
      <c r="C86" s="41"/>
      <c r="D86" s="41"/>
      <c r="E86" s="41"/>
      <c r="F86" s="41"/>
      <c r="G86" s="41"/>
      <c r="H86" s="41"/>
      <c r="I86" s="41"/>
      <c r="J86" s="48"/>
      <c r="K86" s="48"/>
      <c r="L86" s="48"/>
      <c r="M86" s="48"/>
      <c r="N86" s="7"/>
      <c r="O86" s="7"/>
    </row>
    <row r="87">
      <c r="A87" s="7"/>
      <c r="B87" s="7"/>
      <c r="C87" s="13"/>
      <c r="D87" s="13"/>
      <c r="E87" s="13"/>
      <c r="F87" s="48"/>
      <c r="G87" s="48"/>
      <c r="H87" s="48"/>
      <c r="I87" s="48"/>
      <c r="J87" s="7"/>
      <c r="K87" s="7"/>
      <c r="L87" s="7"/>
      <c r="M87" s="13"/>
      <c r="N87" s="7"/>
      <c r="O87" s="7"/>
    </row>
    <row r="88">
      <c r="A88" s="38"/>
      <c r="B88" s="38"/>
      <c r="C88" s="49"/>
      <c r="D88" s="49"/>
      <c r="E88" s="49"/>
      <c r="F88" s="7"/>
      <c r="G88" s="7"/>
      <c r="H88" s="7"/>
      <c r="I88" s="7"/>
      <c r="J88" s="7"/>
      <c r="K88" s="7"/>
      <c r="L88" s="7"/>
      <c r="M88" s="7"/>
      <c r="N88" s="7"/>
      <c r="O88" s="7"/>
    </row>
    <row r="89">
      <c r="A89" s="38"/>
      <c r="B89" s="38"/>
      <c r="C89" s="13"/>
      <c r="D89" s="13"/>
      <c r="E89" s="13"/>
      <c r="F89" s="7"/>
      <c r="G89" s="7"/>
      <c r="H89" s="7"/>
      <c r="I89" s="7"/>
      <c r="J89" s="7"/>
      <c r="K89" s="7"/>
      <c r="L89" s="7"/>
      <c r="M89" s="38"/>
      <c r="N89" s="7"/>
      <c r="O89" s="7"/>
    </row>
    <row r="90">
      <c r="A90" s="7"/>
      <c r="B90" s="7"/>
      <c r="C90" s="13"/>
      <c r="D90" s="13"/>
      <c r="E90" s="13"/>
      <c r="F90" s="13"/>
      <c r="G90" s="13"/>
      <c r="H90" s="13"/>
      <c r="I90" s="13"/>
      <c r="J90" s="7"/>
      <c r="K90" s="7"/>
      <c r="L90" s="7"/>
      <c r="M90" s="13"/>
      <c r="N90" s="7"/>
      <c r="O90" s="7"/>
    </row>
    <row r="91">
      <c r="A91" s="7"/>
      <c r="B91" s="7"/>
      <c r="C91" s="13"/>
      <c r="D91" s="13"/>
      <c r="E91" s="13"/>
      <c r="F91" s="13"/>
      <c r="G91" s="13"/>
      <c r="H91" s="13"/>
      <c r="I91" s="13"/>
      <c r="J91" s="7"/>
      <c r="K91" s="7"/>
      <c r="L91" s="7"/>
      <c r="M91" s="13"/>
      <c r="N91" s="7"/>
      <c r="O91" s="7"/>
    </row>
    <row r="92">
      <c r="A92" s="38"/>
      <c r="B92" s="38"/>
      <c r="C92" s="13"/>
      <c r="D92" s="13"/>
      <c r="E92" s="13"/>
      <c r="F92" s="7"/>
      <c r="G92" s="7"/>
      <c r="H92" s="7"/>
      <c r="I92" s="7"/>
      <c r="J92" s="7"/>
      <c r="K92" s="7"/>
      <c r="L92" s="7"/>
      <c r="M92" s="7"/>
      <c r="N92" s="7"/>
      <c r="O92" s="7"/>
    </row>
    <row r="93">
      <c r="A93" s="38"/>
      <c r="B93" s="38"/>
      <c r="C93" s="51"/>
      <c r="D93" s="51"/>
      <c r="E93" s="51"/>
      <c r="F93" s="7"/>
      <c r="G93" s="7"/>
      <c r="H93" s="7"/>
      <c r="I93" s="7"/>
      <c r="J93" s="7"/>
      <c r="K93" s="7"/>
      <c r="L93" s="7"/>
      <c r="M93" s="7"/>
      <c r="N93" s="7"/>
      <c r="O93" s="7"/>
    </row>
    <row r="94">
      <c r="A94" s="38"/>
      <c r="B94" s="38"/>
      <c r="C94" s="13"/>
      <c r="D94" s="13"/>
      <c r="E94" s="13"/>
      <c r="F94" s="7"/>
      <c r="G94" s="7"/>
      <c r="H94" s="7"/>
      <c r="I94" s="7"/>
      <c r="J94" s="7"/>
      <c r="K94" s="7"/>
      <c r="L94" s="7"/>
      <c r="M94" s="7"/>
      <c r="N94" s="7"/>
      <c r="O94" s="7"/>
    </row>
    <row r="95">
      <c r="A95" s="7"/>
      <c r="B95" s="7"/>
      <c r="C95" s="45"/>
      <c r="D95" s="45"/>
      <c r="E95" s="45"/>
      <c r="F95" s="7"/>
      <c r="G95" s="7"/>
      <c r="H95" s="7"/>
      <c r="I95" s="7"/>
      <c r="J95" s="7"/>
      <c r="K95" s="7"/>
      <c r="L95" s="7"/>
      <c r="M95" s="7"/>
      <c r="N95" s="7"/>
      <c r="O95" s="7"/>
    </row>
    <row r="96">
      <c r="A96" s="7"/>
      <c r="B96" s="7"/>
      <c r="C96" s="43"/>
      <c r="D96" s="43"/>
      <c r="E96" s="43"/>
      <c r="F96" s="7"/>
      <c r="G96" s="7"/>
      <c r="H96" s="7"/>
      <c r="I96" s="7"/>
      <c r="J96" s="7"/>
      <c r="K96" s="7"/>
      <c r="L96" s="7"/>
      <c r="M96" s="38"/>
      <c r="N96" s="7"/>
      <c r="O96" s="7"/>
    </row>
    <row r="97">
      <c r="A97" s="7"/>
      <c r="B97" s="7"/>
      <c r="C97" s="65"/>
      <c r="D97" s="65"/>
      <c r="E97" s="65"/>
      <c r="F97" s="43"/>
      <c r="G97" s="43"/>
      <c r="H97" s="43"/>
      <c r="I97" s="43"/>
      <c r="J97" s="43"/>
      <c r="K97" s="43"/>
      <c r="L97" s="43"/>
      <c r="M97" s="43"/>
      <c r="N97" s="7"/>
      <c r="O97" s="7"/>
    </row>
    <row r="98">
      <c r="A98" s="7"/>
      <c r="B98" s="7"/>
      <c r="C98" s="51"/>
      <c r="D98" s="51"/>
      <c r="E98" s="51"/>
      <c r="F98" s="7"/>
      <c r="G98" s="7"/>
      <c r="H98" s="7"/>
      <c r="I98" s="7"/>
      <c r="J98" s="7"/>
      <c r="K98" s="7"/>
      <c r="L98" s="7"/>
      <c r="M98" s="7"/>
      <c r="N98" s="7"/>
      <c r="O98" s="7"/>
    </row>
    <row r="99">
      <c r="A99" s="7"/>
      <c r="B99" s="7"/>
      <c r="C99" s="45"/>
      <c r="D99" s="45"/>
      <c r="E99" s="45"/>
      <c r="F99" s="7"/>
      <c r="G99" s="7"/>
      <c r="H99" s="7"/>
      <c r="I99" s="7"/>
      <c r="J99" s="7"/>
      <c r="K99" s="7"/>
      <c r="L99" s="7"/>
      <c r="M99" s="7"/>
      <c r="N99" s="7"/>
      <c r="O99" s="7"/>
    </row>
    <row r="100">
      <c r="A100" s="7"/>
      <c r="B100" s="7"/>
      <c r="C100" s="45"/>
      <c r="D100" s="45"/>
      <c r="E100" s="45"/>
      <c r="F100" s="7"/>
      <c r="G100" s="7"/>
      <c r="H100" s="7"/>
      <c r="I100" s="7"/>
      <c r="J100" s="7"/>
      <c r="K100" s="7"/>
      <c r="L100" s="7"/>
      <c r="M100" s="7"/>
      <c r="N100" s="7"/>
      <c r="O100" s="7"/>
    </row>
    <row r="101">
      <c r="A101" s="7"/>
      <c r="B101" s="7"/>
      <c r="C101" s="69"/>
      <c r="D101" s="69"/>
      <c r="E101" s="69"/>
      <c r="F101" s="7"/>
      <c r="G101" s="7"/>
      <c r="H101" s="7"/>
      <c r="I101" s="7"/>
      <c r="J101" s="7"/>
      <c r="K101" s="7"/>
      <c r="L101" s="7"/>
      <c r="M101" s="7"/>
      <c r="N101" s="7"/>
      <c r="O101" s="7"/>
    </row>
    <row r="102">
      <c r="A102" s="7"/>
      <c r="B102" s="7"/>
      <c r="C102" s="63"/>
      <c r="D102" s="63"/>
      <c r="E102" s="63"/>
      <c r="F102" s="13"/>
      <c r="G102" s="13"/>
      <c r="H102" s="13"/>
      <c r="I102" s="13"/>
      <c r="J102" s="7"/>
      <c r="K102" s="7"/>
      <c r="L102" s="7"/>
      <c r="M102" s="7"/>
      <c r="N102" s="7"/>
      <c r="O102" s="7"/>
    </row>
    <row r="103">
      <c r="A103" s="7"/>
      <c r="B103" s="7"/>
      <c r="C103" s="45"/>
      <c r="D103" s="45"/>
      <c r="E103" s="45"/>
      <c r="F103" s="7"/>
      <c r="G103" s="7"/>
      <c r="H103" s="7"/>
      <c r="I103" s="7"/>
      <c r="J103" s="7"/>
      <c r="K103" s="7"/>
      <c r="L103" s="7"/>
      <c r="M103" s="7"/>
      <c r="N103" s="7"/>
      <c r="O103" s="7"/>
    </row>
    <row r="104">
      <c r="A104" s="7"/>
      <c r="B104" s="7"/>
      <c r="C104" s="45"/>
      <c r="D104" s="45"/>
      <c r="E104" s="45"/>
      <c r="F104" s="7"/>
      <c r="G104" s="7"/>
      <c r="H104" s="7"/>
      <c r="I104" s="7"/>
      <c r="J104" s="7"/>
      <c r="K104" s="7"/>
      <c r="L104" s="7"/>
      <c r="M104" s="7"/>
      <c r="N104" s="7"/>
      <c r="O104" s="7"/>
    </row>
    <row r="105">
      <c r="A105" s="7"/>
      <c r="B105" s="7"/>
      <c r="C105" s="45"/>
      <c r="D105" s="45"/>
      <c r="E105" s="45"/>
      <c r="F105" s="7"/>
      <c r="G105" s="7"/>
      <c r="H105" s="7"/>
      <c r="I105" s="7"/>
      <c r="J105" s="7"/>
      <c r="K105" s="7"/>
      <c r="L105" s="7"/>
      <c r="M105" s="7"/>
      <c r="N105" s="7"/>
      <c r="O105" s="7"/>
    </row>
    <row r="106">
      <c r="A106" s="7"/>
      <c r="B106" s="7"/>
      <c r="C106" s="45"/>
      <c r="D106" s="45"/>
      <c r="E106" s="45"/>
      <c r="F106" s="7"/>
      <c r="G106" s="7"/>
      <c r="H106" s="7"/>
      <c r="I106" s="7"/>
      <c r="J106" s="7"/>
      <c r="K106" s="7"/>
      <c r="L106" s="7"/>
      <c r="M106" s="7"/>
      <c r="N106" s="7"/>
      <c r="O106" s="7"/>
    </row>
    <row r="107">
      <c r="A107" s="7"/>
      <c r="B107" s="7"/>
      <c r="C107" s="45"/>
      <c r="D107" s="45"/>
      <c r="E107" s="45"/>
      <c r="F107" s="7"/>
      <c r="G107" s="7"/>
      <c r="H107" s="7"/>
      <c r="I107" s="7"/>
      <c r="J107" s="7"/>
      <c r="K107" s="7"/>
      <c r="L107" s="7"/>
      <c r="M107" s="13"/>
      <c r="N107" s="7"/>
      <c r="O107" s="7"/>
    </row>
    <row r="108">
      <c r="A108" s="7"/>
      <c r="B108" s="7"/>
      <c r="C108" s="65"/>
      <c r="D108" s="65"/>
      <c r="E108" s="65"/>
      <c r="F108" s="7"/>
      <c r="G108" s="7"/>
      <c r="H108" s="7"/>
      <c r="I108" s="7"/>
      <c r="J108" s="7"/>
      <c r="K108" s="7"/>
      <c r="L108" s="7"/>
      <c r="M108" s="7"/>
      <c r="N108" s="7"/>
      <c r="O108" s="7"/>
    </row>
    <row r="109">
      <c r="A109" s="7"/>
      <c r="B109" s="7"/>
      <c r="C109" s="13"/>
      <c r="D109" s="13"/>
      <c r="E109" s="13"/>
      <c r="F109" s="13"/>
      <c r="G109" s="13"/>
      <c r="H109" s="13"/>
      <c r="I109" s="13"/>
      <c r="J109" s="7"/>
      <c r="K109" s="7"/>
      <c r="L109" s="7"/>
      <c r="M109" s="13"/>
      <c r="N109" s="7"/>
      <c r="O109" s="7"/>
    </row>
    <row r="110">
      <c r="A110" s="7"/>
      <c r="B110" s="7"/>
      <c r="C110" s="41"/>
      <c r="D110" s="41"/>
      <c r="E110" s="41"/>
      <c r="F110" s="41"/>
      <c r="G110" s="41"/>
      <c r="H110" s="41"/>
      <c r="I110" s="41"/>
      <c r="J110" s="7"/>
      <c r="K110" s="7"/>
      <c r="L110" s="7"/>
      <c r="M110" s="13"/>
      <c r="N110" s="7"/>
      <c r="O110" s="7"/>
    </row>
    <row r="111">
      <c r="A111" s="7"/>
      <c r="B111" s="7"/>
      <c r="C111" s="39"/>
      <c r="D111" s="39"/>
      <c r="E111" s="39"/>
      <c r="F111" s="7"/>
      <c r="G111" s="7"/>
      <c r="H111" s="7"/>
      <c r="I111" s="7"/>
      <c r="J111" s="7"/>
      <c r="K111" s="7"/>
      <c r="L111" s="7"/>
      <c r="M111" s="13"/>
      <c r="N111" s="7"/>
      <c r="O111" s="7"/>
    </row>
    <row r="112">
      <c r="A112" s="7"/>
      <c r="B112" s="7"/>
      <c r="C112" s="45"/>
      <c r="D112" s="45"/>
      <c r="E112" s="45"/>
      <c r="F112" s="7"/>
      <c r="G112" s="7"/>
      <c r="H112" s="7"/>
      <c r="I112" s="7"/>
      <c r="J112" s="45"/>
      <c r="K112" s="45"/>
      <c r="L112" s="7"/>
      <c r="M112" s="7"/>
      <c r="N112" s="7"/>
      <c r="O112" s="7"/>
    </row>
    <row r="113">
      <c r="A113" s="7"/>
      <c r="B113" s="7"/>
      <c r="C113" s="45"/>
      <c r="D113" s="45"/>
      <c r="E113" s="45"/>
      <c r="F113" s="7"/>
      <c r="G113" s="7"/>
      <c r="H113" s="7"/>
      <c r="I113" s="7"/>
      <c r="J113" s="7"/>
      <c r="K113" s="7"/>
      <c r="L113" s="7"/>
      <c r="M113" s="7"/>
      <c r="N113" s="7"/>
      <c r="O113" s="7"/>
    </row>
    <row r="114">
      <c r="A114" s="7"/>
      <c r="B114" s="7"/>
      <c r="C114" s="45"/>
      <c r="D114" s="45"/>
      <c r="E114" s="45"/>
      <c r="F114" s="7"/>
      <c r="G114" s="7"/>
      <c r="H114" s="7"/>
      <c r="I114" s="7"/>
      <c r="J114" s="7"/>
      <c r="K114" s="7"/>
      <c r="L114" s="7"/>
      <c r="M114" s="7"/>
      <c r="N114" s="7"/>
      <c r="O114" s="7"/>
    </row>
    <row r="115">
      <c r="A115" s="7"/>
      <c r="B115" s="7"/>
      <c r="C115" s="41"/>
      <c r="D115" s="41"/>
      <c r="E115" s="41"/>
      <c r="F115" s="41"/>
      <c r="G115" s="41"/>
      <c r="H115" s="41"/>
      <c r="I115" s="41"/>
      <c r="J115" s="7"/>
      <c r="K115" s="7"/>
      <c r="L115" s="7"/>
      <c r="M115" s="7"/>
      <c r="N115" s="7"/>
      <c r="O115" s="7"/>
    </row>
    <row r="116">
      <c r="A116" s="38"/>
      <c r="B116" s="38"/>
      <c r="C116" s="45"/>
      <c r="D116" s="45"/>
      <c r="E116" s="45"/>
      <c r="F116" s="7"/>
      <c r="G116" s="7"/>
      <c r="H116" s="7"/>
      <c r="I116" s="7"/>
      <c r="J116" s="7"/>
      <c r="K116" s="7"/>
      <c r="L116" s="7"/>
      <c r="M116" s="7"/>
      <c r="N116" s="7"/>
      <c r="O116" s="7"/>
    </row>
    <row r="117">
      <c r="A117" s="7"/>
      <c r="B117" s="7"/>
      <c r="C117" s="49"/>
      <c r="D117" s="49"/>
      <c r="E117" s="49"/>
      <c r="F117" s="7"/>
      <c r="G117" s="7"/>
      <c r="H117" s="7"/>
      <c r="I117" s="7"/>
      <c r="J117" s="7"/>
      <c r="K117" s="7"/>
      <c r="L117" s="7"/>
      <c r="M117" s="13"/>
      <c r="N117" s="7"/>
      <c r="O117" s="7"/>
    </row>
    <row r="118">
      <c r="A118" s="7"/>
      <c r="B118" s="7"/>
      <c r="C118" s="13"/>
      <c r="D118" s="13"/>
      <c r="E118" s="13"/>
      <c r="F118" s="7"/>
      <c r="G118" s="7"/>
      <c r="H118" s="7"/>
      <c r="I118" s="7"/>
      <c r="J118" s="7"/>
      <c r="K118" s="7"/>
      <c r="L118" s="7"/>
      <c r="M118" s="67"/>
      <c r="N118" s="7"/>
      <c r="O118" s="7"/>
    </row>
    <row r="119">
      <c r="A119" s="7"/>
      <c r="B119" s="7"/>
      <c r="C119" s="13"/>
      <c r="D119" s="13"/>
      <c r="E119" s="13"/>
      <c r="F119" s="13"/>
      <c r="G119" s="13"/>
      <c r="H119" s="13"/>
      <c r="I119" s="13"/>
      <c r="J119" s="7"/>
      <c r="K119" s="7"/>
      <c r="L119" s="7"/>
      <c r="M119" s="44"/>
      <c r="N119" s="7"/>
      <c r="O119" s="7"/>
    </row>
    <row r="120">
      <c r="A120" s="7"/>
      <c r="B120" s="7"/>
      <c r="C120" s="41"/>
      <c r="D120" s="41"/>
      <c r="E120" s="41"/>
      <c r="F120" s="41"/>
      <c r="G120" s="41"/>
      <c r="H120" s="41"/>
      <c r="I120" s="41"/>
      <c r="J120" s="7"/>
      <c r="K120" s="7"/>
      <c r="L120" s="7"/>
      <c r="M120" s="41"/>
      <c r="N120" s="7"/>
      <c r="O120" s="7"/>
    </row>
    <row r="121">
      <c r="A121" s="7"/>
      <c r="B121" s="7"/>
      <c r="C121" s="49"/>
      <c r="D121" s="49"/>
      <c r="E121" s="49"/>
      <c r="F121" s="7"/>
      <c r="G121" s="7"/>
      <c r="H121" s="7"/>
      <c r="I121" s="7"/>
      <c r="J121" s="7"/>
      <c r="K121" s="7"/>
      <c r="L121" s="7"/>
      <c r="M121" s="7"/>
      <c r="N121" s="7"/>
      <c r="O121" s="7"/>
    </row>
    <row r="122">
      <c r="A122" s="7"/>
      <c r="B122" s="7"/>
      <c r="C122" s="13"/>
      <c r="D122" s="13"/>
      <c r="E122" s="13"/>
      <c r="F122" s="7"/>
      <c r="G122" s="7"/>
      <c r="H122" s="7"/>
      <c r="I122" s="7"/>
      <c r="J122" s="7"/>
      <c r="K122" s="7"/>
      <c r="L122" s="7"/>
      <c r="M122" s="7"/>
      <c r="N122" s="7"/>
      <c r="O122" s="7"/>
    </row>
    <row r="123">
      <c r="A123" s="7"/>
      <c r="B123" s="7"/>
      <c r="C123" s="45"/>
      <c r="D123" s="45"/>
      <c r="E123" s="45"/>
      <c r="F123" s="7"/>
      <c r="G123" s="7"/>
      <c r="H123" s="7"/>
      <c r="I123" s="7"/>
      <c r="J123" s="7"/>
      <c r="K123" s="7"/>
      <c r="L123" s="7"/>
      <c r="M123" s="7"/>
      <c r="N123" s="7"/>
      <c r="O123" s="7"/>
    </row>
    <row r="124">
      <c r="A124" s="7"/>
      <c r="B124" s="7"/>
      <c r="C124" s="54"/>
      <c r="D124" s="54"/>
      <c r="E124" s="54"/>
      <c r="F124" s="41"/>
      <c r="G124" s="41"/>
      <c r="H124" s="41"/>
      <c r="I124" s="41"/>
      <c r="J124" s="13"/>
      <c r="K124" s="13"/>
      <c r="L124" s="13"/>
      <c r="M124" s="13"/>
      <c r="N124" s="7"/>
      <c r="O124" s="7"/>
    </row>
    <row r="125">
      <c r="A125" s="7"/>
      <c r="B125" s="7"/>
      <c r="C125" s="7"/>
      <c r="D125" s="7"/>
      <c r="E125" s="7"/>
      <c r="F125" s="13"/>
      <c r="G125" s="13"/>
      <c r="H125" s="13"/>
      <c r="I125" s="13"/>
      <c r="J125" s="7"/>
      <c r="K125" s="7"/>
      <c r="L125" s="7"/>
      <c r="M125" s="7"/>
      <c r="N125" s="7"/>
      <c r="O125" s="7"/>
    </row>
    <row r="126">
      <c r="A126" s="7"/>
      <c r="B126" s="7"/>
      <c r="C126" s="39"/>
      <c r="D126" s="39"/>
      <c r="E126" s="39"/>
      <c r="F126" s="13"/>
      <c r="G126" s="13"/>
      <c r="H126" s="13"/>
      <c r="I126" s="13"/>
      <c r="J126" s="7"/>
      <c r="K126" s="7"/>
      <c r="L126" s="7"/>
      <c r="M126" s="13"/>
      <c r="N126" s="7"/>
      <c r="O126" s="7"/>
    </row>
    <row r="127">
      <c r="A127" s="38"/>
      <c r="B127" s="38"/>
      <c r="C127" s="49"/>
      <c r="D127" s="49"/>
      <c r="E127" s="49"/>
      <c r="F127" s="7"/>
      <c r="G127" s="7"/>
      <c r="H127" s="7"/>
      <c r="I127" s="7"/>
      <c r="J127" s="7"/>
      <c r="K127" s="7"/>
      <c r="L127" s="7"/>
      <c r="M127" s="13"/>
      <c r="N127" s="7"/>
      <c r="O127" s="7"/>
    </row>
    <row r="128">
      <c r="A128" s="7"/>
      <c r="B128" s="7"/>
      <c r="C128" s="45"/>
      <c r="D128" s="45"/>
      <c r="E128" s="45"/>
      <c r="F128" s="46"/>
      <c r="G128" s="46"/>
      <c r="H128" s="46"/>
      <c r="I128" s="46"/>
      <c r="J128" s="7"/>
      <c r="K128" s="7"/>
      <c r="L128" s="7"/>
      <c r="M128" s="7"/>
      <c r="N128" s="7"/>
      <c r="O128" s="7"/>
    </row>
    <row r="129">
      <c r="A129" s="7"/>
      <c r="B129" s="7"/>
      <c r="C129" s="70"/>
      <c r="D129" s="70"/>
      <c r="E129" s="70"/>
      <c r="F129" s="41"/>
      <c r="G129" s="41"/>
      <c r="H129" s="41"/>
      <c r="I129" s="41"/>
      <c r="J129" s="41"/>
      <c r="K129" s="41"/>
      <c r="L129" s="41"/>
      <c r="M129" s="41"/>
      <c r="N129" s="7"/>
      <c r="O129" s="7"/>
    </row>
    <row r="130">
      <c r="A130" s="7"/>
      <c r="B130" s="7"/>
      <c r="C130" s="49"/>
      <c r="D130" s="49"/>
      <c r="E130" s="49"/>
      <c r="F130" s="7"/>
      <c r="G130" s="7"/>
      <c r="H130" s="7"/>
      <c r="I130" s="7"/>
      <c r="J130" s="56"/>
      <c r="K130" s="56"/>
      <c r="L130" s="7"/>
      <c r="M130" s="7"/>
      <c r="N130" s="7"/>
      <c r="O130" s="7"/>
    </row>
    <row r="131">
      <c r="A131" s="7"/>
      <c r="B131" s="7"/>
      <c r="C131" s="49"/>
      <c r="D131" s="49"/>
      <c r="E131" s="49"/>
      <c r="F131" s="7"/>
      <c r="G131" s="7"/>
      <c r="H131" s="7"/>
      <c r="I131" s="7"/>
      <c r="J131" s="7"/>
      <c r="K131" s="7"/>
      <c r="L131" s="7"/>
      <c r="M131" s="7"/>
      <c r="N131" s="7"/>
      <c r="O131" s="7"/>
    </row>
    <row r="132">
      <c r="A132" s="7"/>
      <c r="B132" s="7"/>
      <c r="C132" s="49"/>
      <c r="D132" s="49"/>
      <c r="E132" s="49"/>
      <c r="F132" s="7"/>
      <c r="G132" s="7"/>
      <c r="H132" s="7"/>
      <c r="I132" s="7"/>
      <c r="J132" s="7"/>
      <c r="K132" s="7"/>
      <c r="L132" s="7"/>
      <c r="M132" s="7"/>
      <c r="N132" s="7"/>
      <c r="O132" s="7"/>
    </row>
    <row r="133">
      <c r="A133" s="7"/>
      <c r="B133" s="7"/>
      <c r="C133" s="49"/>
      <c r="D133" s="49"/>
      <c r="E133" s="49"/>
      <c r="F133" s="7"/>
      <c r="G133" s="7"/>
      <c r="H133" s="7"/>
      <c r="I133" s="7"/>
      <c r="J133" s="7"/>
      <c r="K133" s="7"/>
      <c r="L133" s="7"/>
      <c r="M133" s="7"/>
      <c r="N133" s="7"/>
      <c r="O133" s="7"/>
    </row>
    <row r="134">
      <c r="A134" s="7"/>
      <c r="B134" s="7"/>
      <c r="C134" s="39"/>
      <c r="D134" s="39"/>
      <c r="E134" s="39"/>
      <c r="F134" s="13"/>
      <c r="G134" s="13"/>
      <c r="H134" s="13"/>
      <c r="I134" s="13"/>
      <c r="J134" s="7"/>
      <c r="K134" s="7"/>
      <c r="L134" s="7"/>
      <c r="M134" s="7"/>
      <c r="N134" s="7"/>
      <c r="O134" s="7"/>
    </row>
    <row r="135">
      <c r="A135" s="7"/>
      <c r="B135" s="7"/>
      <c r="C135" s="13"/>
      <c r="D135" s="13"/>
      <c r="E135" s="13"/>
      <c r="F135" s="13"/>
      <c r="G135" s="13"/>
      <c r="H135" s="13"/>
      <c r="I135" s="13"/>
      <c r="J135" s="7"/>
      <c r="K135" s="7"/>
      <c r="L135" s="7"/>
      <c r="M135" s="52"/>
      <c r="N135" s="7"/>
      <c r="O135" s="7"/>
    </row>
    <row r="136">
      <c r="A136" s="7"/>
      <c r="B136" s="7"/>
      <c r="C136" s="45"/>
      <c r="D136" s="45"/>
      <c r="E136" s="45"/>
      <c r="F136" s="7"/>
      <c r="G136" s="7"/>
      <c r="H136" s="7"/>
      <c r="I136" s="7"/>
      <c r="J136" s="7"/>
      <c r="K136" s="7"/>
      <c r="L136" s="7"/>
      <c r="M136" s="13"/>
      <c r="N136" s="7"/>
      <c r="O136" s="7"/>
    </row>
    <row r="137">
      <c r="A137" s="7"/>
      <c r="B137" s="7"/>
      <c r="C137" s="45"/>
      <c r="D137" s="45"/>
      <c r="E137" s="45"/>
      <c r="F137" s="7"/>
      <c r="G137" s="7"/>
      <c r="H137" s="7"/>
      <c r="I137" s="7"/>
      <c r="J137" s="7"/>
      <c r="K137" s="7"/>
      <c r="L137" s="7"/>
      <c r="M137" s="13"/>
      <c r="N137" s="7"/>
      <c r="O137" s="7"/>
    </row>
    <row r="138">
      <c r="A138" s="7"/>
      <c r="B138" s="7"/>
      <c r="C138" s="45"/>
      <c r="D138" s="45"/>
      <c r="E138" s="45"/>
      <c r="F138" s="7"/>
      <c r="G138" s="7"/>
      <c r="H138" s="7"/>
      <c r="I138" s="7"/>
      <c r="J138" s="7"/>
      <c r="K138" s="7"/>
      <c r="L138" s="7"/>
      <c r="M138" s="13"/>
      <c r="N138" s="7"/>
      <c r="O138" s="7"/>
    </row>
    <row r="139">
      <c r="A139" s="38"/>
      <c r="B139" s="38"/>
      <c r="C139" s="13"/>
      <c r="D139" s="13"/>
      <c r="E139" s="13"/>
      <c r="F139" s="7"/>
      <c r="G139" s="7"/>
      <c r="H139" s="7"/>
      <c r="I139" s="7"/>
      <c r="J139" s="7"/>
      <c r="K139" s="7"/>
      <c r="L139" s="7"/>
      <c r="M139" s="7"/>
      <c r="N139" s="7"/>
      <c r="O139" s="7"/>
    </row>
    <row r="140">
      <c r="A140" s="7"/>
      <c r="B140" s="7"/>
      <c r="C140" s="39"/>
      <c r="D140" s="39"/>
      <c r="E140" s="39"/>
      <c r="F140" s="7"/>
      <c r="G140" s="7"/>
      <c r="H140" s="7"/>
      <c r="I140" s="7"/>
      <c r="J140" s="7"/>
      <c r="K140" s="7"/>
      <c r="L140" s="7"/>
      <c r="M140" s="7"/>
      <c r="N140" s="7"/>
      <c r="O140" s="7"/>
    </row>
    <row r="141">
      <c r="A141" s="7"/>
      <c r="B141" s="7"/>
      <c r="C141" s="45"/>
      <c r="D141" s="45"/>
      <c r="E141" s="45"/>
      <c r="F141" s="7"/>
      <c r="G141" s="7"/>
      <c r="H141" s="7"/>
      <c r="I141" s="7"/>
      <c r="J141" s="7"/>
      <c r="K141" s="7"/>
      <c r="L141" s="7"/>
      <c r="M141" s="7"/>
      <c r="N141" s="7"/>
      <c r="O141" s="7"/>
    </row>
    <row r="142">
      <c r="A142" s="7"/>
      <c r="B142" s="7"/>
      <c r="C142" s="7"/>
      <c r="D142" s="7"/>
      <c r="E142" s="7"/>
      <c r="F142" s="7"/>
      <c r="G142" s="7"/>
      <c r="H142" s="7"/>
      <c r="I142" s="7"/>
      <c r="J142" s="7"/>
      <c r="K142" s="7"/>
      <c r="L142" s="7"/>
      <c r="M142" s="7"/>
      <c r="N142" s="7"/>
      <c r="O142" s="7"/>
    </row>
    <row r="143">
      <c r="A143" s="7"/>
      <c r="B143" s="7"/>
      <c r="C143" s="45"/>
      <c r="D143" s="45"/>
      <c r="E143" s="45"/>
      <c r="F143" s="7"/>
      <c r="G143" s="7"/>
      <c r="H143" s="7"/>
      <c r="I143" s="7"/>
      <c r="J143" s="7"/>
      <c r="K143" s="7"/>
      <c r="L143" s="7"/>
      <c r="M143" s="7"/>
      <c r="N143" s="7"/>
      <c r="O143" s="7"/>
    </row>
    <row r="144">
      <c r="A144" s="7"/>
      <c r="B144" s="7"/>
      <c r="C144" s="45"/>
      <c r="D144" s="45"/>
      <c r="E144" s="45"/>
      <c r="F144" s="7"/>
      <c r="G144" s="7"/>
      <c r="H144" s="7"/>
      <c r="I144" s="7"/>
      <c r="J144" s="7"/>
      <c r="K144" s="7"/>
      <c r="L144" s="7"/>
      <c r="M144" s="7"/>
      <c r="N144" s="7"/>
      <c r="O144" s="7"/>
    </row>
    <row r="145">
      <c r="A145" s="7"/>
      <c r="B145" s="7"/>
      <c r="C145" s="71"/>
      <c r="D145" s="71"/>
      <c r="E145" s="71"/>
      <c r="F145" s="13"/>
      <c r="G145" s="13"/>
      <c r="H145" s="13"/>
      <c r="I145" s="13"/>
      <c r="J145" s="7"/>
      <c r="K145" s="7"/>
      <c r="L145" s="7"/>
      <c r="M145" s="7"/>
      <c r="N145" s="7"/>
      <c r="O145" s="7"/>
    </row>
    <row r="146">
      <c r="A146" s="7"/>
      <c r="B146" s="7"/>
      <c r="C146" s="13"/>
      <c r="D146" s="13"/>
      <c r="E146" s="13"/>
      <c r="F146" s="13"/>
      <c r="G146" s="13"/>
      <c r="H146" s="13"/>
      <c r="I146" s="13"/>
      <c r="J146" s="56"/>
      <c r="K146" s="56"/>
      <c r="L146" s="7"/>
      <c r="M146" s="13"/>
      <c r="N146" s="7"/>
      <c r="O146" s="7"/>
    </row>
    <row r="147">
      <c r="A147" s="7"/>
      <c r="B147" s="7"/>
      <c r="C147" s="13"/>
      <c r="D147" s="13"/>
      <c r="E147" s="13"/>
      <c r="F147" s="13"/>
      <c r="G147" s="13"/>
      <c r="H147" s="13"/>
      <c r="I147" s="13"/>
      <c r="J147" s="7"/>
      <c r="K147" s="7"/>
      <c r="L147" s="7"/>
      <c r="M147" s="7"/>
      <c r="N147" s="7"/>
      <c r="O147" s="7"/>
    </row>
    <row r="148">
      <c r="A148" s="7"/>
      <c r="B148" s="7"/>
      <c r="C148" s="51"/>
      <c r="D148" s="51"/>
      <c r="E148" s="51"/>
      <c r="F148" s="7"/>
      <c r="G148" s="7"/>
      <c r="H148" s="7"/>
      <c r="I148" s="7"/>
      <c r="J148" s="7"/>
      <c r="K148" s="7"/>
      <c r="L148" s="7"/>
      <c r="M148" s="7"/>
      <c r="N148" s="7"/>
      <c r="O148" s="7"/>
    </row>
    <row r="149">
      <c r="A149" s="7"/>
      <c r="B149" s="7"/>
      <c r="C149" s="45"/>
      <c r="D149" s="45"/>
      <c r="E149" s="45"/>
      <c r="F149" s="7"/>
      <c r="G149" s="7"/>
      <c r="H149" s="7"/>
      <c r="I149" s="7"/>
      <c r="J149" s="7"/>
      <c r="K149" s="7"/>
      <c r="L149" s="7"/>
      <c r="M149" s="7"/>
      <c r="N149" s="7"/>
      <c r="O149" s="7"/>
    </row>
    <row r="150">
      <c r="A150" s="7"/>
      <c r="B150" s="7"/>
      <c r="C150" s="45"/>
      <c r="D150" s="45"/>
      <c r="E150" s="45"/>
      <c r="F150" s="7"/>
      <c r="G150" s="7"/>
      <c r="H150" s="7"/>
      <c r="I150" s="7"/>
      <c r="J150" s="7"/>
      <c r="K150" s="7"/>
      <c r="L150" s="7"/>
      <c r="M150" s="7"/>
      <c r="N150" s="7"/>
      <c r="O150" s="7"/>
    </row>
    <row r="151">
      <c r="A151" s="7"/>
      <c r="B151" s="7"/>
      <c r="C151" s="63"/>
      <c r="D151" s="63"/>
      <c r="E151" s="63"/>
      <c r="F151" s="13"/>
      <c r="G151" s="13"/>
      <c r="H151" s="13"/>
      <c r="I151" s="13"/>
      <c r="J151" s="7"/>
      <c r="K151" s="7"/>
      <c r="L151" s="7"/>
      <c r="M151" s="7"/>
      <c r="N151" s="7"/>
      <c r="O151" s="7"/>
    </row>
    <row r="152">
      <c r="A152" s="7"/>
      <c r="B152" s="7"/>
      <c r="C152" s="72"/>
      <c r="D152" s="72"/>
      <c r="E152" s="72"/>
      <c r="F152" s="13"/>
      <c r="G152" s="13"/>
      <c r="H152" s="13"/>
      <c r="I152" s="13"/>
      <c r="J152" s="7"/>
      <c r="K152" s="7"/>
      <c r="L152" s="7"/>
      <c r="M152" s="7"/>
      <c r="N152" s="7"/>
      <c r="O152" s="7"/>
    </row>
    <row r="153">
      <c r="A153" s="7"/>
      <c r="B153" s="7"/>
      <c r="C153" s="45"/>
      <c r="D153" s="45"/>
      <c r="E153" s="45"/>
      <c r="F153" s="46"/>
      <c r="G153" s="46"/>
      <c r="H153" s="46"/>
      <c r="I153" s="46"/>
      <c r="J153" s="7"/>
      <c r="K153" s="7"/>
      <c r="L153" s="7"/>
      <c r="M153" s="7"/>
      <c r="N153" s="7"/>
      <c r="O153" s="7"/>
    </row>
    <row r="154">
      <c r="A154" s="7"/>
      <c r="B154" s="7"/>
      <c r="C154" s="45"/>
      <c r="D154" s="45"/>
      <c r="E154" s="45"/>
      <c r="F154" s="46"/>
      <c r="G154" s="46"/>
      <c r="H154" s="46"/>
      <c r="I154" s="46"/>
      <c r="J154" s="7"/>
      <c r="K154" s="7"/>
      <c r="L154" s="7"/>
      <c r="M154" s="7"/>
      <c r="N154" s="7"/>
      <c r="O154" s="7"/>
    </row>
    <row r="155">
      <c r="A155" s="7"/>
      <c r="B155" s="7"/>
      <c r="C155" s="49"/>
      <c r="D155" s="49"/>
      <c r="E155" s="49"/>
      <c r="F155" s="7"/>
      <c r="G155" s="7"/>
      <c r="H155" s="7"/>
      <c r="I155" s="7"/>
      <c r="J155" s="7"/>
      <c r="K155" s="7"/>
      <c r="L155" s="7"/>
      <c r="M155" s="7"/>
      <c r="N155" s="7"/>
      <c r="O155" s="7"/>
    </row>
    <row r="156">
      <c r="A156" s="7"/>
      <c r="B156" s="7"/>
      <c r="C156" s="39"/>
      <c r="D156" s="39"/>
      <c r="E156" s="39"/>
      <c r="F156" s="7"/>
      <c r="G156" s="7"/>
      <c r="H156" s="7"/>
      <c r="I156" s="7"/>
      <c r="J156" s="7"/>
      <c r="K156" s="7"/>
      <c r="L156" s="7"/>
      <c r="M156" s="7"/>
      <c r="N156" s="7"/>
      <c r="O156" s="7"/>
    </row>
    <row r="157">
      <c r="A157" s="7"/>
      <c r="B157" s="7"/>
      <c r="C157" s="45"/>
      <c r="D157" s="45"/>
      <c r="E157" s="45"/>
      <c r="F157" s="13"/>
      <c r="G157" s="13"/>
      <c r="H157" s="13"/>
      <c r="I157" s="13"/>
      <c r="J157" s="7"/>
      <c r="K157" s="7"/>
      <c r="L157" s="7"/>
      <c r="M157" s="7"/>
      <c r="N157" s="7"/>
      <c r="O157" s="7"/>
    </row>
    <row r="158">
      <c r="A158" s="7"/>
      <c r="B158" s="7"/>
      <c r="C158" s="51"/>
      <c r="D158" s="51"/>
      <c r="E158" s="51"/>
      <c r="F158" s="13"/>
      <c r="G158" s="13"/>
      <c r="H158" s="13"/>
      <c r="I158" s="13"/>
      <c r="J158" s="7"/>
      <c r="K158" s="7"/>
      <c r="L158" s="7"/>
      <c r="M158" s="7"/>
      <c r="N158" s="7"/>
      <c r="O158" s="7"/>
    </row>
    <row r="159">
      <c r="A159" s="7"/>
      <c r="B159" s="7"/>
      <c r="C159" s="45"/>
      <c r="D159" s="45"/>
      <c r="E159" s="45"/>
      <c r="F159" s="7"/>
      <c r="G159" s="7"/>
      <c r="H159" s="7"/>
      <c r="I159" s="7"/>
      <c r="J159" s="7"/>
      <c r="K159" s="7"/>
      <c r="L159" s="7"/>
      <c r="M159" s="7"/>
      <c r="N159" s="7"/>
      <c r="O159" s="7"/>
    </row>
    <row r="160">
      <c r="A160" s="7"/>
      <c r="B160" s="7"/>
      <c r="C160" s="13"/>
      <c r="D160" s="13"/>
      <c r="E160" s="13"/>
      <c r="F160" s="13"/>
      <c r="G160" s="13"/>
      <c r="H160" s="13"/>
      <c r="I160" s="13"/>
      <c r="J160" s="7"/>
      <c r="K160" s="7"/>
      <c r="L160" s="7"/>
      <c r="M160" s="7"/>
      <c r="N160" s="7"/>
      <c r="O160" s="7"/>
    </row>
    <row r="161">
      <c r="A161" s="7"/>
      <c r="B161" s="7"/>
      <c r="C161" s="13"/>
      <c r="D161" s="13"/>
      <c r="E161" s="13"/>
      <c r="F161" s="7"/>
      <c r="G161" s="7"/>
      <c r="H161" s="7"/>
      <c r="I161" s="7"/>
      <c r="J161" s="7"/>
      <c r="K161" s="7"/>
      <c r="L161" s="7"/>
      <c r="M161" s="7"/>
      <c r="N161" s="7"/>
      <c r="O161" s="7"/>
    </row>
    <row r="162">
      <c r="A162" s="38"/>
      <c r="B162" s="38"/>
      <c r="C162" s="47"/>
      <c r="D162" s="47"/>
      <c r="E162" s="47"/>
      <c r="F162" s="44"/>
      <c r="G162" s="44"/>
      <c r="H162" s="44"/>
      <c r="I162" s="44"/>
      <c r="J162" s="7"/>
      <c r="K162" s="7"/>
      <c r="L162" s="7"/>
      <c r="M162" s="7"/>
      <c r="N162" s="7"/>
      <c r="O162" s="7"/>
    </row>
    <row r="163">
      <c r="A163" s="38"/>
      <c r="B163" s="38"/>
      <c r="C163" s="73"/>
      <c r="D163" s="73"/>
      <c r="E163" s="73"/>
      <c r="F163" s="7"/>
      <c r="G163" s="7"/>
      <c r="H163" s="7"/>
      <c r="I163" s="7"/>
      <c r="J163" s="7"/>
      <c r="K163" s="7"/>
      <c r="L163" s="7"/>
      <c r="M163" s="7"/>
      <c r="N163" s="7"/>
      <c r="O163" s="7"/>
    </row>
    <row r="164">
      <c r="A164" s="7"/>
      <c r="B164" s="7"/>
      <c r="C164" s="13"/>
      <c r="D164" s="13"/>
      <c r="E164" s="13"/>
      <c r="F164" s="7"/>
      <c r="G164" s="7"/>
      <c r="H164" s="7"/>
      <c r="I164" s="7"/>
      <c r="J164" s="7"/>
      <c r="K164" s="7"/>
      <c r="L164" s="7"/>
      <c r="M164" s="67"/>
      <c r="N164" s="7"/>
      <c r="O164" s="7"/>
    </row>
    <row r="165">
      <c r="A165" s="7"/>
      <c r="B165" s="7"/>
      <c r="C165" s="13"/>
      <c r="D165" s="13"/>
      <c r="E165" s="13"/>
      <c r="F165" s="13"/>
      <c r="G165" s="13"/>
      <c r="H165" s="13"/>
      <c r="I165" s="13"/>
      <c r="J165" s="7"/>
      <c r="K165" s="7"/>
      <c r="L165" s="7"/>
      <c r="M165" s="44"/>
      <c r="N165" s="7"/>
      <c r="O165" s="7"/>
    </row>
    <row r="166">
      <c r="A166" s="7"/>
      <c r="B166" s="7"/>
      <c r="C166" s="41"/>
      <c r="D166" s="41"/>
      <c r="E166" s="41"/>
      <c r="F166" s="41"/>
      <c r="G166" s="41"/>
      <c r="H166" s="41"/>
      <c r="I166" s="41"/>
      <c r="J166" s="7"/>
      <c r="K166" s="7"/>
      <c r="L166" s="7"/>
      <c r="M166" s="44"/>
      <c r="N166" s="7"/>
      <c r="O166" s="7"/>
    </row>
    <row r="167">
      <c r="A167" s="7"/>
      <c r="B167" s="7"/>
      <c r="C167" s="45"/>
      <c r="D167" s="45"/>
      <c r="E167" s="45"/>
      <c r="F167" s="7"/>
      <c r="G167" s="7"/>
      <c r="H167" s="7"/>
      <c r="I167" s="7"/>
      <c r="J167" s="7"/>
      <c r="K167" s="7"/>
      <c r="L167" s="7"/>
      <c r="M167" s="7"/>
      <c r="N167" s="7"/>
      <c r="O167" s="7"/>
    </row>
    <row r="168">
      <c r="A168" s="7"/>
      <c r="B168" s="7"/>
      <c r="C168" s="51"/>
      <c r="D168" s="51"/>
      <c r="E168" s="51"/>
      <c r="F168" s="46"/>
      <c r="G168" s="46"/>
      <c r="H168" s="46"/>
      <c r="I168" s="46"/>
      <c r="J168" s="7"/>
      <c r="K168" s="7"/>
      <c r="L168" s="7"/>
      <c r="M168" s="7"/>
      <c r="N168" s="7"/>
      <c r="O168" s="7"/>
    </row>
    <row r="169">
      <c r="A169" s="7"/>
      <c r="B169" s="7"/>
      <c r="C169" s="49"/>
      <c r="D169" s="49"/>
      <c r="E169" s="49"/>
      <c r="F169" s="7"/>
      <c r="G169" s="7"/>
      <c r="H169" s="7"/>
      <c r="I169" s="7"/>
      <c r="J169" s="7"/>
      <c r="K169" s="7"/>
      <c r="L169" s="7"/>
      <c r="M169" s="7"/>
      <c r="N169" s="7"/>
      <c r="O169" s="7"/>
    </row>
    <row r="170">
      <c r="A170" s="38"/>
      <c r="B170" s="38"/>
      <c r="C170" s="54"/>
      <c r="D170" s="54"/>
      <c r="E170" s="54"/>
      <c r="F170" s="41"/>
      <c r="G170" s="41"/>
      <c r="H170" s="41"/>
      <c r="I170" s="41"/>
      <c r="J170" s="13"/>
      <c r="K170" s="13"/>
      <c r="L170" s="13"/>
      <c r="M170" s="13"/>
      <c r="N170" s="7"/>
      <c r="O170" s="7"/>
    </row>
    <row r="171">
      <c r="A171" s="7"/>
      <c r="B171" s="7"/>
      <c r="C171" s="49"/>
      <c r="D171" s="49"/>
      <c r="E171" s="49"/>
      <c r="F171" s="7"/>
      <c r="G171" s="7"/>
      <c r="H171" s="7"/>
      <c r="I171" s="7"/>
      <c r="J171" s="7"/>
      <c r="K171" s="7"/>
      <c r="L171" s="7"/>
      <c r="M171" s="7"/>
      <c r="N171" s="7"/>
      <c r="O171" s="7"/>
    </row>
    <row r="172">
      <c r="A172" s="7"/>
      <c r="B172" s="7"/>
      <c r="C172" s="74"/>
      <c r="D172" s="74"/>
      <c r="E172" s="74"/>
      <c r="F172" s="48"/>
      <c r="G172" s="48"/>
      <c r="H172" s="48"/>
      <c r="I172" s="48"/>
      <c r="J172" s="7"/>
      <c r="K172" s="7"/>
      <c r="L172" s="7"/>
      <c r="M172" s="13"/>
      <c r="N172" s="7"/>
      <c r="O172" s="7"/>
    </row>
    <row r="173">
      <c r="A173" s="7"/>
      <c r="B173" s="7"/>
      <c r="C173" s="45"/>
      <c r="D173" s="45"/>
      <c r="E173" s="45"/>
      <c r="F173" s="7"/>
      <c r="G173" s="7"/>
      <c r="H173" s="7"/>
      <c r="I173" s="7"/>
      <c r="J173" s="7"/>
      <c r="K173" s="7"/>
      <c r="L173" s="7"/>
      <c r="M173" s="7"/>
      <c r="N173" s="7"/>
      <c r="O173" s="7"/>
    </row>
    <row r="174">
      <c r="A174" s="7"/>
      <c r="B174" s="7"/>
      <c r="C174" s="45"/>
      <c r="D174" s="45"/>
      <c r="E174" s="45"/>
      <c r="F174" s="7"/>
      <c r="G174" s="7"/>
      <c r="H174" s="7"/>
      <c r="I174" s="7"/>
      <c r="J174" s="7"/>
      <c r="K174" s="7"/>
      <c r="L174" s="7"/>
      <c r="M174" s="7"/>
      <c r="N174" s="7"/>
      <c r="O174" s="7"/>
    </row>
    <row r="175">
      <c r="A175" s="7"/>
      <c r="B175" s="7"/>
      <c r="C175" s="13"/>
      <c r="D175" s="13"/>
      <c r="E175" s="13"/>
      <c r="F175" s="46"/>
      <c r="G175" s="46"/>
      <c r="H175" s="46"/>
      <c r="I175" s="46"/>
      <c r="J175" s="7"/>
      <c r="K175" s="7"/>
      <c r="L175" s="7"/>
      <c r="M175" s="7"/>
      <c r="N175" s="7"/>
      <c r="O175" s="7"/>
    </row>
    <row r="176">
      <c r="A176" s="38"/>
      <c r="B176" s="38"/>
      <c r="C176" s="49"/>
      <c r="D176" s="49"/>
      <c r="E176" s="49"/>
      <c r="F176" s="46"/>
      <c r="G176" s="46"/>
      <c r="H176" s="46"/>
      <c r="I176" s="46"/>
      <c r="J176" s="7"/>
      <c r="K176" s="7"/>
      <c r="L176" s="7"/>
      <c r="M176" s="13"/>
      <c r="N176" s="7"/>
      <c r="O176" s="7"/>
    </row>
    <row r="177">
      <c r="A177" s="7"/>
      <c r="B177" s="7"/>
      <c r="C177" s="13"/>
      <c r="D177" s="13"/>
      <c r="E177" s="13"/>
      <c r="F177" s="7"/>
      <c r="G177" s="7"/>
      <c r="H177" s="7"/>
      <c r="I177" s="7"/>
      <c r="J177" s="7"/>
      <c r="K177" s="7"/>
      <c r="L177" s="7"/>
      <c r="M177" s="52"/>
      <c r="N177" s="7"/>
      <c r="O177" s="7"/>
    </row>
    <row r="178">
      <c r="A178" s="7"/>
      <c r="B178" s="7"/>
      <c r="C178" s="39"/>
      <c r="D178" s="39"/>
      <c r="E178" s="39"/>
      <c r="F178" s="7"/>
      <c r="G178" s="7"/>
      <c r="H178" s="7"/>
      <c r="I178" s="7"/>
      <c r="J178" s="7"/>
      <c r="K178" s="7"/>
      <c r="L178" s="7"/>
      <c r="M178" s="7"/>
      <c r="N178" s="7"/>
      <c r="O178" s="7"/>
    </row>
    <row r="179">
      <c r="A179" s="7"/>
      <c r="B179" s="7"/>
      <c r="C179" s="39"/>
      <c r="D179" s="39"/>
      <c r="E179" s="39"/>
      <c r="F179" s="7"/>
      <c r="G179" s="7"/>
      <c r="H179" s="7"/>
      <c r="I179" s="7"/>
      <c r="J179" s="7"/>
      <c r="K179" s="7"/>
      <c r="L179" s="7"/>
      <c r="M179" s="7"/>
      <c r="N179" s="7"/>
      <c r="O179" s="7"/>
    </row>
    <row r="180">
      <c r="A180" s="7"/>
      <c r="B180" s="7"/>
      <c r="C180" s="7"/>
      <c r="D180" s="7"/>
      <c r="E180" s="7"/>
      <c r="F180" s="7"/>
      <c r="G180" s="7"/>
      <c r="H180" s="7"/>
      <c r="I180" s="7"/>
      <c r="J180" s="7"/>
      <c r="K180" s="7"/>
      <c r="L180" s="7"/>
      <c r="M180" s="13"/>
      <c r="N180" s="7"/>
      <c r="O180" s="7"/>
    </row>
    <row r="181">
      <c r="A181" s="7"/>
      <c r="B181" s="7"/>
      <c r="C181" s="54"/>
      <c r="D181" s="54"/>
      <c r="E181" s="54"/>
      <c r="F181" s="41"/>
      <c r="G181" s="41"/>
      <c r="H181" s="41"/>
      <c r="I181" s="41"/>
      <c r="J181" s="7"/>
      <c r="K181" s="7"/>
      <c r="L181" s="7"/>
      <c r="M181" s="7"/>
      <c r="N181" s="7"/>
      <c r="O181" s="7"/>
    </row>
    <row r="182">
      <c r="A182" s="7"/>
      <c r="B182" s="7"/>
      <c r="C182" s="51"/>
      <c r="D182" s="51"/>
      <c r="E182" s="51"/>
      <c r="F182" s="7"/>
      <c r="G182" s="7"/>
      <c r="H182" s="7"/>
      <c r="I182" s="7"/>
      <c r="J182" s="7"/>
      <c r="K182" s="7"/>
      <c r="L182" s="7"/>
      <c r="M182" s="7"/>
      <c r="N182" s="7"/>
      <c r="O182" s="7"/>
    </row>
    <row r="183">
      <c r="A183" s="7"/>
      <c r="B183" s="7"/>
      <c r="C183" s="45"/>
      <c r="D183" s="45"/>
      <c r="E183" s="45"/>
      <c r="F183" s="7"/>
      <c r="G183" s="7"/>
      <c r="H183" s="7"/>
      <c r="I183" s="7"/>
      <c r="J183" s="7"/>
      <c r="K183" s="7"/>
      <c r="L183" s="7"/>
      <c r="M183" s="7"/>
      <c r="N183" s="7"/>
      <c r="O183" s="7"/>
    </row>
    <row r="184">
      <c r="A184" s="7"/>
      <c r="B184" s="7"/>
      <c r="C184" s="45"/>
      <c r="D184" s="45"/>
      <c r="E184" s="45"/>
      <c r="F184" s="7"/>
      <c r="G184" s="7"/>
      <c r="H184" s="7"/>
      <c r="I184" s="7"/>
      <c r="J184" s="7"/>
      <c r="K184" s="7"/>
      <c r="L184" s="7"/>
      <c r="M184" s="7"/>
      <c r="N184" s="7"/>
      <c r="O184" s="7"/>
    </row>
    <row r="185">
      <c r="A185" s="7"/>
      <c r="B185" s="7"/>
      <c r="C185" s="45"/>
      <c r="D185" s="45"/>
      <c r="E185" s="45"/>
      <c r="F185" s="7"/>
      <c r="G185" s="7"/>
      <c r="H185" s="7"/>
      <c r="I185" s="7"/>
      <c r="J185" s="7"/>
      <c r="K185" s="7"/>
      <c r="L185" s="7"/>
      <c r="M185" s="7"/>
      <c r="N185" s="7"/>
      <c r="O185" s="7"/>
    </row>
    <row r="186">
      <c r="A186" s="7"/>
      <c r="B186" s="7"/>
      <c r="C186" s="56"/>
      <c r="D186" s="56"/>
      <c r="E186" s="56"/>
      <c r="F186" s="7"/>
      <c r="G186" s="7"/>
      <c r="H186" s="7"/>
      <c r="I186" s="7"/>
      <c r="J186" s="7"/>
      <c r="K186" s="7"/>
      <c r="L186" s="7"/>
      <c r="M186" s="7"/>
      <c r="N186" s="7"/>
      <c r="O186" s="7"/>
    </row>
    <row r="187">
      <c r="A187" s="7"/>
      <c r="B187" s="7"/>
      <c r="C187" s="39"/>
      <c r="D187" s="39"/>
      <c r="E187" s="39"/>
      <c r="F187" s="7"/>
      <c r="G187" s="7"/>
      <c r="H187" s="7"/>
      <c r="I187" s="7"/>
      <c r="J187" s="7"/>
      <c r="K187" s="7"/>
      <c r="L187" s="7"/>
      <c r="M187" s="7"/>
      <c r="N187" s="7"/>
      <c r="O187" s="7"/>
    </row>
    <row r="188">
      <c r="A188" s="7"/>
      <c r="B188" s="7"/>
      <c r="C188" s="39"/>
      <c r="D188" s="39"/>
      <c r="E188" s="39"/>
      <c r="F188" s="7"/>
      <c r="G188" s="7"/>
      <c r="H188" s="7"/>
      <c r="I188" s="7"/>
      <c r="J188" s="7"/>
      <c r="K188" s="7"/>
      <c r="L188" s="7"/>
      <c r="M188" s="7"/>
      <c r="N188" s="7"/>
      <c r="O188" s="7"/>
    </row>
    <row r="189">
      <c r="A189" s="7"/>
      <c r="B189" s="7"/>
      <c r="C189" s="41"/>
      <c r="D189" s="41"/>
      <c r="E189" s="41"/>
      <c r="F189" s="41"/>
      <c r="G189" s="41"/>
      <c r="H189" s="41"/>
      <c r="I189" s="41"/>
      <c r="J189" s="13"/>
      <c r="K189" s="13"/>
      <c r="L189" s="13"/>
      <c r="M189" s="13"/>
      <c r="N189" s="7"/>
      <c r="O189" s="7"/>
    </row>
    <row r="190">
      <c r="A190" s="7"/>
      <c r="B190" s="7"/>
      <c r="C190" s="41"/>
      <c r="D190" s="41"/>
      <c r="E190" s="41"/>
      <c r="F190" s="41"/>
      <c r="G190" s="41"/>
      <c r="H190" s="41"/>
      <c r="I190" s="41"/>
      <c r="J190" s="7"/>
      <c r="K190" s="7"/>
      <c r="L190" s="7"/>
      <c r="M190" s="7"/>
      <c r="N190" s="7"/>
      <c r="O190" s="7"/>
    </row>
    <row r="191">
      <c r="A191" s="7"/>
      <c r="B191" s="7"/>
      <c r="C191" s="39"/>
      <c r="D191" s="39"/>
      <c r="E191" s="39"/>
      <c r="F191" s="7"/>
      <c r="G191" s="7"/>
      <c r="H191" s="7"/>
      <c r="I191" s="7"/>
      <c r="J191" s="7"/>
      <c r="K191" s="7"/>
      <c r="L191" s="7"/>
      <c r="M191" s="7"/>
      <c r="N191" s="7"/>
      <c r="O191" s="7"/>
    </row>
    <row r="192">
      <c r="A192" s="7"/>
      <c r="B192" s="7"/>
      <c r="C192" s="47"/>
      <c r="D192" s="47"/>
      <c r="E192" s="47"/>
      <c r="F192" s="44"/>
      <c r="G192" s="44"/>
      <c r="H192" s="44"/>
      <c r="I192" s="44"/>
      <c r="J192" s="7"/>
      <c r="K192" s="7"/>
      <c r="L192" s="7"/>
      <c r="M192" s="7"/>
      <c r="N192" s="7"/>
      <c r="O192" s="7"/>
    </row>
    <row r="193">
      <c r="A193" s="7"/>
      <c r="B193" s="7"/>
      <c r="C193" s="76"/>
      <c r="D193" s="76"/>
      <c r="E193" s="76"/>
      <c r="F193" s="7"/>
      <c r="G193" s="7"/>
      <c r="H193" s="7"/>
      <c r="I193" s="7"/>
      <c r="J193" s="7"/>
      <c r="K193" s="7"/>
      <c r="L193" s="7"/>
      <c r="M193" s="7"/>
      <c r="N193" s="7"/>
      <c r="O193" s="7"/>
    </row>
    <row r="194">
      <c r="A194" s="7"/>
      <c r="B194" s="7"/>
      <c r="C194" s="56"/>
      <c r="D194" s="56"/>
      <c r="E194" s="56"/>
      <c r="F194" s="7"/>
      <c r="G194" s="7"/>
      <c r="H194" s="7"/>
      <c r="I194" s="7"/>
      <c r="J194" s="7"/>
      <c r="K194" s="7"/>
      <c r="L194" s="7"/>
      <c r="M194" s="7"/>
      <c r="N194" s="7"/>
      <c r="O194" s="7"/>
    </row>
    <row r="195">
      <c r="A195" s="7"/>
      <c r="B195" s="7"/>
      <c r="C195" s="45"/>
      <c r="D195" s="45"/>
      <c r="E195" s="45"/>
      <c r="F195" s="7"/>
      <c r="G195" s="7"/>
      <c r="H195" s="7"/>
      <c r="I195" s="7"/>
      <c r="J195" s="7"/>
      <c r="K195" s="7"/>
      <c r="L195" s="7"/>
      <c r="M195" s="7"/>
      <c r="N195" s="7"/>
      <c r="O195" s="7"/>
    </row>
    <row r="196">
      <c r="A196" s="7"/>
      <c r="B196" s="7"/>
      <c r="C196" s="7"/>
      <c r="D196" s="7"/>
      <c r="E196" s="7"/>
      <c r="F196" s="7"/>
      <c r="G196" s="7"/>
      <c r="H196" s="7"/>
      <c r="I196" s="7"/>
      <c r="J196" s="7"/>
      <c r="K196" s="7"/>
      <c r="L196" s="7"/>
      <c r="M196" s="7"/>
      <c r="N196" s="7"/>
      <c r="O196" s="7"/>
    </row>
    <row r="197">
      <c r="A197" s="7"/>
      <c r="B197" s="7"/>
      <c r="C197" s="13"/>
      <c r="D197" s="13"/>
      <c r="E197" s="13"/>
      <c r="F197" s="13"/>
      <c r="G197" s="13"/>
      <c r="H197" s="13"/>
      <c r="I197" s="13"/>
      <c r="J197" s="7"/>
      <c r="K197" s="7"/>
      <c r="L197" s="7"/>
      <c r="M197" s="7"/>
      <c r="N197" s="7"/>
      <c r="O197" s="7"/>
    </row>
    <row r="198">
      <c r="A198" s="7"/>
      <c r="B198" s="7"/>
      <c r="C198" s="41"/>
      <c r="D198" s="41"/>
      <c r="E198" s="41"/>
      <c r="F198" s="41"/>
      <c r="G198" s="41"/>
      <c r="H198" s="41"/>
      <c r="I198" s="41"/>
      <c r="J198" s="56"/>
      <c r="K198" s="56"/>
      <c r="L198" s="7"/>
      <c r="M198" s="13"/>
      <c r="N198" s="7"/>
      <c r="O198" s="7"/>
    </row>
    <row r="199">
      <c r="A199" s="7"/>
      <c r="B199" s="7"/>
      <c r="C199" s="45"/>
      <c r="D199" s="45"/>
      <c r="E199" s="45"/>
      <c r="F199" s="13"/>
      <c r="G199" s="13"/>
      <c r="H199" s="13"/>
      <c r="I199" s="13"/>
      <c r="J199" s="45"/>
      <c r="K199" s="45"/>
      <c r="L199" s="7"/>
      <c r="M199" s="7"/>
      <c r="N199" s="7"/>
      <c r="O199" s="7"/>
    </row>
    <row r="200">
      <c r="A200" s="7"/>
      <c r="B200" s="7"/>
      <c r="C200" s="45"/>
      <c r="D200" s="45"/>
      <c r="E200" s="45"/>
      <c r="F200" s="13"/>
      <c r="G200" s="13"/>
      <c r="H200" s="13"/>
      <c r="I200" s="13"/>
      <c r="J200" s="7"/>
      <c r="K200" s="7"/>
      <c r="L200" s="7"/>
      <c r="M200" s="7"/>
      <c r="N200" s="7"/>
      <c r="O200" s="7"/>
    </row>
    <row r="201">
      <c r="A201" s="7"/>
      <c r="B201" s="7"/>
      <c r="C201" s="45"/>
      <c r="D201" s="45"/>
      <c r="E201" s="45"/>
      <c r="F201" s="13"/>
      <c r="G201" s="13"/>
      <c r="H201" s="13"/>
      <c r="I201" s="13"/>
      <c r="J201" s="7"/>
      <c r="K201" s="7"/>
      <c r="L201" s="7"/>
      <c r="M201" s="7"/>
      <c r="N201" s="7"/>
      <c r="O201" s="7"/>
    </row>
    <row r="202">
      <c r="A202" s="7"/>
      <c r="B202" s="7"/>
      <c r="C202" s="45"/>
      <c r="D202" s="45"/>
      <c r="E202" s="45"/>
      <c r="F202" s="13"/>
      <c r="G202" s="13"/>
      <c r="H202" s="13"/>
      <c r="I202" s="13"/>
      <c r="J202" s="7"/>
      <c r="K202" s="7"/>
      <c r="L202" s="7"/>
      <c r="M202" s="7"/>
      <c r="N202" s="7"/>
      <c r="O202" s="7"/>
    </row>
    <row r="203">
      <c r="A203" s="7"/>
      <c r="B203" s="7"/>
      <c r="C203" s="45"/>
      <c r="D203" s="45"/>
      <c r="E203" s="45"/>
      <c r="F203" s="13"/>
      <c r="G203" s="13"/>
      <c r="H203" s="13"/>
      <c r="I203" s="13"/>
      <c r="J203" s="7"/>
      <c r="K203" s="7"/>
      <c r="L203" s="7"/>
      <c r="M203" s="7"/>
      <c r="N203" s="7"/>
      <c r="O203" s="7"/>
    </row>
    <row r="204">
      <c r="A204" s="7"/>
      <c r="B204" s="7"/>
      <c r="C204" s="45"/>
      <c r="D204" s="45"/>
      <c r="E204" s="45"/>
      <c r="F204" s="7"/>
      <c r="G204" s="7"/>
      <c r="H204" s="7"/>
      <c r="I204" s="7"/>
      <c r="J204" s="7"/>
      <c r="K204" s="7"/>
      <c r="L204" s="7"/>
      <c r="M204" s="7"/>
      <c r="N204" s="7"/>
      <c r="O204" s="7"/>
    </row>
    <row r="205">
      <c r="A205" s="7"/>
      <c r="B205" s="7"/>
      <c r="C205" s="43"/>
      <c r="D205" s="43"/>
      <c r="E205" s="43"/>
      <c r="F205" s="52"/>
      <c r="G205" s="52"/>
      <c r="H205" s="52"/>
      <c r="I205" s="52"/>
      <c r="J205" s="52"/>
      <c r="K205" s="52"/>
      <c r="L205" s="52"/>
      <c r="M205" s="52"/>
      <c r="N205" s="7"/>
      <c r="O205" s="7"/>
    </row>
    <row r="206">
      <c r="A206" s="7"/>
      <c r="B206" s="7"/>
      <c r="C206" s="56"/>
      <c r="D206" s="56"/>
      <c r="E206" s="56"/>
      <c r="F206" s="7"/>
      <c r="G206" s="7"/>
      <c r="H206" s="7"/>
      <c r="I206" s="7"/>
      <c r="J206" s="7"/>
      <c r="K206" s="7"/>
      <c r="L206" s="7"/>
      <c r="M206" s="7"/>
      <c r="N206" s="7"/>
      <c r="O206" s="7"/>
    </row>
    <row r="207">
      <c r="A207" s="7"/>
      <c r="B207" s="7"/>
      <c r="C207" s="45"/>
      <c r="D207" s="45"/>
      <c r="E207" s="45"/>
      <c r="F207" s="13"/>
      <c r="G207" s="13"/>
      <c r="H207" s="13"/>
      <c r="I207" s="13"/>
      <c r="J207" s="7"/>
      <c r="K207" s="7"/>
      <c r="L207" s="7"/>
      <c r="M207" s="7"/>
      <c r="N207" s="7"/>
      <c r="O207" s="7"/>
    </row>
    <row r="208">
      <c r="A208" s="7"/>
      <c r="B208" s="7"/>
      <c r="C208" s="13"/>
      <c r="D208" s="13"/>
      <c r="E208" s="13"/>
      <c r="F208" s="41"/>
      <c r="G208" s="41"/>
      <c r="H208" s="41"/>
      <c r="I208" s="41"/>
      <c r="J208" s="7"/>
      <c r="K208" s="7"/>
      <c r="L208" s="7"/>
      <c r="M208" s="13"/>
      <c r="N208" s="7"/>
      <c r="O208" s="7"/>
    </row>
    <row r="209">
      <c r="A209" s="38"/>
      <c r="B209" s="38"/>
      <c r="C209" s="13"/>
      <c r="D209" s="13"/>
      <c r="E209" s="13"/>
      <c r="F209" s="13"/>
      <c r="G209" s="13"/>
      <c r="H209" s="13"/>
      <c r="I209" s="13"/>
      <c r="J209" s="7"/>
      <c r="K209" s="7"/>
      <c r="L209" s="7"/>
      <c r="M209" s="7"/>
      <c r="N209" s="7"/>
      <c r="O209" s="7"/>
    </row>
    <row r="210">
      <c r="A210" s="7"/>
      <c r="B210" s="7"/>
      <c r="C210" s="13"/>
      <c r="D210" s="13"/>
      <c r="E210" s="13"/>
      <c r="F210" s="41"/>
      <c r="G210" s="41"/>
      <c r="H210" s="41"/>
      <c r="I210" s="41"/>
      <c r="J210" s="67"/>
      <c r="K210" s="67"/>
      <c r="L210" s="67"/>
      <c r="M210" s="67"/>
      <c r="N210" s="7"/>
      <c r="O210" s="7"/>
    </row>
    <row r="211">
      <c r="A211" s="7"/>
      <c r="B211" s="7"/>
      <c r="C211" s="13"/>
      <c r="D211" s="13"/>
      <c r="E211" s="13"/>
      <c r="F211" s="7"/>
      <c r="G211" s="7"/>
      <c r="H211" s="7"/>
      <c r="I211" s="7"/>
      <c r="J211" s="7"/>
      <c r="K211" s="7"/>
      <c r="L211" s="7"/>
      <c r="M211" s="7"/>
      <c r="N211" s="7"/>
      <c r="O211" s="7"/>
    </row>
    <row r="212">
      <c r="A212" s="38"/>
      <c r="B212" s="38"/>
      <c r="C212" s="45"/>
      <c r="D212" s="45"/>
      <c r="E212" s="45"/>
      <c r="F212" s="13"/>
      <c r="G212" s="13"/>
      <c r="H212" s="13"/>
      <c r="I212" s="13"/>
      <c r="J212" s="7"/>
      <c r="K212" s="7"/>
      <c r="L212" s="7"/>
      <c r="M212" s="13"/>
      <c r="N212" s="7"/>
      <c r="O212" s="7"/>
    </row>
    <row r="213">
      <c r="A213" s="38"/>
      <c r="B213" s="38"/>
      <c r="C213" s="45"/>
      <c r="D213" s="45"/>
      <c r="E213" s="45"/>
      <c r="F213" s="13"/>
      <c r="G213" s="13"/>
      <c r="H213" s="13"/>
      <c r="I213" s="13"/>
      <c r="J213" s="7"/>
      <c r="K213" s="7"/>
      <c r="L213" s="7"/>
      <c r="M213" s="7"/>
      <c r="N213" s="7"/>
      <c r="O213" s="7"/>
    </row>
    <row r="214">
      <c r="A214" s="7"/>
      <c r="B214" s="7"/>
      <c r="C214" s="13"/>
      <c r="D214" s="13"/>
      <c r="E214" s="13"/>
      <c r="F214" s="7"/>
      <c r="G214" s="7"/>
      <c r="H214" s="7"/>
      <c r="I214" s="7"/>
      <c r="J214" s="7"/>
      <c r="K214" s="7"/>
      <c r="L214" s="7"/>
      <c r="M214" s="67"/>
      <c r="N214" s="7"/>
      <c r="O214" s="7"/>
    </row>
    <row r="215">
      <c r="A215" s="7"/>
      <c r="B215" s="7"/>
      <c r="C215" s="13"/>
      <c r="D215" s="13"/>
      <c r="E215" s="13"/>
      <c r="F215" s="13"/>
      <c r="G215" s="13"/>
      <c r="H215" s="13"/>
      <c r="I215" s="13"/>
      <c r="J215" s="7"/>
      <c r="K215" s="7"/>
      <c r="L215" s="7"/>
      <c r="M215" s="44"/>
      <c r="N215" s="7"/>
      <c r="O215" s="7"/>
    </row>
    <row r="216">
      <c r="A216" s="7"/>
      <c r="B216" s="7"/>
      <c r="C216" s="41"/>
      <c r="D216" s="41"/>
      <c r="E216" s="41"/>
      <c r="F216" s="41"/>
      <c r="G216" s="41"/>
      <c r="H216" s="41"/>
      <c r="I216" s="41"/>
      <c r="J216" s="7"/>
      <c r="K216" s="7"/>
      <c r="L216" s="7"/>
      <c r="M216" s="41"/>
      <c r="N216" s="7"/>
      <c r="O216" s="7"/>
    </row>
    <row r="217">
      <c r="A217" s="7"/>
      <c r="B217" s="7"/>
      <c r="C217" s="45"/>
      <c r="D217" s="45"/>
      <c r="E217" s="45"/>
      <c r="F217" s="13"/>
      <c r="G217" s="13"/>
      <c r="H217" s="13"/>
      <c r="I217" s="13"/>
      <c r="J217" s="7"/>
      <c r="K217" s="7"/>
      <c r="L217" s="7"/>
      <c r="M217" s="7"/>
      <c r="N217" s="7"/>
      <c r="O217" s="7"/>
    </row>
    <row r="218">
      <c r="A218" s="7"/>
      <c r="B218" s="7"/>
      <c r="C218" s="45"/>
      <c r="D218" s="45"/>
      <c r="E218" s="45"/>
      <c r="F218" s="7"/>
      <c r="G218" s="7"/>
      <c r="H218" s="7"/>
      <c r="I218" s="7"/>
      <c r="J218" s="7"/>
      <c r="K218" s="7"/>
      <c r="L218" s="7"/>
      <c r="M218" s="7"/>
      <c r="N218" s="7"/>
      <c r="O218" s="7"/>
    </row>
    <row r="219">
      <c r="A219" s="7"/>
      <c r="B219" s="7"/>
      <c r="C219" s="49"/>
      <c r="D219" s="49"/>
      <c r="E219" s="49"/>
      <c r="F219" s="7"/>
      <c r="G219" s="7"/>
      <c r="H219" s="7"/>
      <c r="I219" s="7"/>
      <c r="J219" s="7"/>
      <c r="K219" s="7"/>
      <c r="L219" s="7"/>
      <c r="M219" s="7"/>
      <c r="N219" s="7"/>
      <c r="O219" s="7"/>
    </row>
    <row r="220">
      <c r="A220" s="7"/>
      <c r="B220" s="7"/>
      <c r="C220" s="13"/>
      <c r="D220" s="13"/>
      <c r="E220" s="13"/>
      <c r="F220" s="13"/>
      <c r="G220" s="13"/>
      <c r="H220" s="13"/>
      <c r="I220" s="13"/>
      <c r="J220" s="7"/>
      <c r="K220" s="7"/>
      <c r="L220" s="7"/>
      <c r="M220" s="7"/>
      <c r="N220" s="7"/>
      <c r="O220" s="7"/>
    </row>
    <row r="221">
      <c r="A221" s="7"/>
      <c r="B221" s="7"/>
      <c r="C221" s="13"/>
      <c r="D221" s="13"/>
      <c r="E221" s="13"/>
      <c r="F221" s="13"/>
      <c r="G221" s="13"/>
      <c r="H221" s="13"/>
      <c r="I221" s="13"/>
      <c r="J221" s="7"/>
      <c r="K221" s="7"/>
      <c r="L221" s="7"/>
      <c r="M221" s="7"/>
      <c r="N221" s="7"/>
      <c r="O221" s="7"/>
    </row>
    <row r="222">
      <c r="A222" s="7"/>
      <c r="B222" s="7"/>
      <c r="C222" s="45"/>
      <c r="D222" s="45"/>
      <c r="E222" s="45"/>
      <c r="F222" s="13"/>
      <c r="G222" s="13"/>
      <c r="H222" s="13"/>
      <c r="I222" s="13"/>
      <c r="J222" s="7"/>
      <c r="K222" s="7"/>
      <c r="L222" s="7"/>
      <c r="M222" s="7"/>
      <c r="N222" s="7"/>
      <c r="O222" s="7"/>
    </row>
    <row r="223">
      <c r="A223" s="7"/>
      <c r="B223" s="7"/>
      <c r="C223" s="39"/>
      <c r="D223" s="39"/>
      <c r="E223" s="39"/>
      <c r="F223" s="7"/>
      <c r="G223" s="7"/>
      <c r="H223" s="7"/>
      <c r="I223" s="7"/>
      <c r="J223" s="7"/>
      <c r="K223" s="7"/>
      <c r="L223" s="7"/>
      <c r="M223" s="52"/>
      <c r="N223" s="7"/>
      <c r="O223" s="7"/>
    </row>
    <row r="224">
      <c r="A224" s="7"/>
      <c r="B224" s="7"/>
      <c r="C224" s="39"/>
      <c r="D224" s="39"/>
      <c r="E224" s="39"/>
      <c r="F224" s="7"/>
      <c r="G224" s="7"/>
      <c r="H224" s="7"/>
      <c r="I224" s="7"/>
      <c r="J224" s="7"/>
      <c r="K224" s="7"/>
      <c r="L224" s="7"/>
      <c r="M224" s="7"/>
      <c r="N224" s="7"/>
      <c r="O224" s="7"/>
    </row>
    <row r="225">
      <c r="A225" s="7"/>
      <c r="B225" s="7"/>
      <c r="C225" s="43"/>
      <c r="D225" s="43"/>
      <c r="E225" s="43"/>
      <c r="F225" s="7"/>
      <c r="G225" s="7"/>
      <c r="H225" s="7"/>
      <c r="I225" s="7"/>
      <c r="J225" s="7"/>
      <c r="K225" s="7"/>
      <c r="L225" s="7"/>
      <c r="M225" s="7"/>
      <c r="N225" s="7"/>
      <c r="O225" s="7"/>
    </row>
    <row r="226">
      <c r="A226" s="38"/>
      <c r="B226" s="38"/>
      <c r="C226" s="45"/>
      <c r="D226" s="45"/>
      <c r="E226" s="45"/>
      <c r="F226" s="13"/>
      <c r="G226" s="13"/>
      <c r="H226" s="13"/>
      <c r="I226" s="13"/>
      <c r="J226" s="7"/>
      <c r="K226" s="7"/>
      <c r="L226" s="7"/>
      <c r="M226" s="13"/>
      <c r="N226" s="7"/>
      <c r="O226" s="7"/>
    </row>
    <row r="227">
      <c r="A227" s="7"/>
      <c r="B227" s="7"/>
      <c r="C227" s="45"/>
      <c r="D227" s="45"/>
      <c r="E227" s="45"/>
      <c r="F227" s="13"/>
      <c r="G227" s="13"/>
      <c r="H227" s="13"/>
      <c r="I227" s="13"/>
      <c r="J227" s="7"/>
      <c r="K227" s="7"/>
      <c r="L227" s="7"/>
      <c r="M227" s="7"/>
      <c r="N227" s="7"/>
      <c r="O227" s="7"/>
    </row>
    <row r="228">
      <c r="A228" s="7"/>
      <c r="B228" s="7"/>
      <c r="C228" s="39"/>
      <c r="D228" s="39"/>
      <c r="E228" s="39"/>
      <c r="F228" s="7"/>
      <c r="G228" s="7"/>
      <c r="H228" s="7"/>
      <c r="I228" s="7"/>
      <c r="J228" s="7"/>
      <c r="K228" s="7"/>
      <c r="L228" s="7"/>
      <c r="M228" s="7"/>
      <c r="N228" s="7"/>
      <c r="O228" s="7"/>
    </row>
    <row r="229">
      <c r="A229" s="7"/>
      <c r="B229" s="7"/>
      <c r="C229" s="76"/>
      <c r="D229" s="76"/>
      <c r="E229" s="76"/>
      <c r="F229" s="76"/>
      <c r="G229" s="76"/>
      <c r="H229" s="76"/>
      <c r="I229" s="76"/>
      <c r="J229" s="7"/>
      <c r="K229" s="7"/>
      <c r="L229" s="7"/>
      <c r="M229" s="7"/>
      <c r="N229" s="7"/>
      <c r="O229" s="7"/>
    </row>
    <row r="230">
      <c r="A230" s="7"/>
      <c r="B230" s="7"/>
      <c r="C230" s="39"/>
      <c r="D230" s="39"/>
      <c r="E230" s="39"/>
      <c r="F230" s="7"/>
      <c r="G230" s="7"/>
      <c r="H230" s="7"/>
      <c r="I230" s="7"/>
      <c r="J230" s="7"/>
      <c r="K230" s="7"/>
      <c r="L230" s="7"/>
      <c r="M230" s="7"/>
      <c r="N230" s="7"/>
      <c r="O230" s="7"/>
    </row>
    <row r="231">
      <c r="A231" s="7"/>
      <c r="B231" s="7"/>
      <c r="C231" s="60"/>
      <c r="D231" s="60"/>
      <c r="E231" s="60"/>
      <c r="F231" s="7"/>
      <c r="G231" s="7"/>
      <c r="H231" s="7"/>
      <c r="I231" s="7"/>
      <c r="J231" s="7"/>
      <c r="K231" s="7"/>
      <c r="L231" s="7"/>
      <c r="M231" s="44"/>
      <c r="N231" s="7"/>
      <c r="O231" s="7"/>
    </row>
    <row r="232">
      <c r="A232" s="7"/>
      <c r="B232" s="7"/>
      <c r="C232" s="56"/>
      <c r="D232" s="56"/>
      <c r="E232" s="56"/>
      <c r="F232" s="7"/>
      <c r="G232" s="7"/>
      <c r="H232" s="7"/>
      <c r="I232" s="7"/>
      <c r="J232" s="7"/>
      <c r="K232" s="7"/>
      <c r="L232" s="7"/>
      <c r="M232" s="44"/>
      <c r="N232" s="7"/>
      <c r="O232" s="7"/>
    </row>
    <row r="233">
      <c r="A233" s="7"/>
      <c r="B233" s="7"/>
      <c r="C233" s="47"/>
      <c r="D233" s="47"/>
      <c r="E233" s="47"/>
      <c r="F233" s="41"/>
      <c r="G233" s="41"/>
      <c r="H233" s="41"/>
      <c r="I233" s="41"/>
      <c r="J233" s="41"/>
      <c r="K233" s="41"/>
      <c r="L233" s="41"/>
      <c r="M233" s="41"/>
      <c r="N233" s="7"/>
      <c r="O233" s="7"/>
    </row>
    <row r="234">
      <c r="A234" s="38"/>
      <c r="B234" s="38"/>
      <c r="C234" s="45"/>
      <c r="D234" s="45"/>
      <c r="E234" s="45"/>
      <c r="F234" s="7"/>
      <c r="G234" s="7"/>
      <c r="H234" s="7"/>
      <c r="I234" s="7"/>
      <c r="J234" s="7"/>
      <c r="K234" s="7"/>
      <c r="L234" s="7"/>
      <c r="M234" s="7"/>
      <c r="N234" s="7"/>
      <c r="O234" s="7"/>
    </row>
    <row r="235">
      <c r="A235" s="7"/>
      <c r="B235" s="7"/>
      <c r="C235" s="51"/>
      <c r="D235" s="51"/>
      <c r="E235" s="51"/>
      <c r="F235" s="7"/>
      <c r="G235" s="7"/>
      <c r="H235" s="7"/>
      <c r="I235" s="7"/>
      <c r="J235" s="7"/>
      <c r="K235" s="7"/>
      <c r="L235" s="7"/>
      <c r="M235" s="7"/>
      <c r="N235" s="7"/>
      <c r="O235" s="7"/>
    </row>
    <row r="236">
      <c r="A236" s="7"/>
      <c r="B236" s="7"/>
      <c r="C236" s="45"/>
      <c r="D236" s="45"/>
      <c r="E236" s="45"/>
      <c r="F236" s="7"/>
      <c r="G236" s="7"/>
      <c r="H236" s="7"/>
      <c r="I236" s="7"/>
      <c r="J236" s="7"/>
      <c r="K236" s="7"/>
      <c r="L236" s="7"/>
      <c r="M236" s="7"/>
      <c r="N236" s="7"/>
      <c r="O236" s="7"/>
    </row>
    <row r="237">
      <c r="A237" s="7"/>
      <c r="B237" s="7"/>
      <c r="C237" s="45"/>
      <c r="D237" s="45"/>
      <c r="E237" s="45"/>
      <c r="F237" s="7"/>
      <c r="G237" s="7"/>
      <c r="H237" s="7"/>
      <c r="I237" s="7"/>
      <c r="J237" s="7"/>
      <c r="K237" s="7"/>
      <c r="L237" s="7"/>
      <c r="M237" s="7"/>
      <c r="N237" s="7"/>
      <c r="O237" s="7"/>
    </row>
    <row r="238">
      <c r="A238" s="7"/>
      <c r="B238" s="7"/>
      <c r="C238" s="13"/>
      <c r="D238" s="13"/>
      <c r="E238" s="13"/>
      <c r="F238" s="7"/>
      <c r="G238" s="7"/>
      <c r="H238" s="7"/>
      <c r="I238" s="7"/>
      <c r="J238" s="7"/>
      <c r="K238" s="7"/>
      <c r="L238" s="7"/>
      <c r="M238" s="7"/>
      <c r="N238" s="7"/>
      <c r="O238" s="7"/>
    </row>
    <row r="239">
      <c r="A239" s="7"/>
      <c r="B239" s="7"/>
      <c r="C239" s="41"/>
      <c r="D239" s="41"/>
      <c r="E239" s="41"/>
      <c r="F239" s="41"/>
      <c r="G239" s="41"/>
      <c r="H239" s="41"/>
      <c r="I239" s="41"/>
      <c r="J239" s="41"/>
      <c r="K239" s="41"/>
      <c r="L239" s="41"/>
      <c r="M239" s="78"/>
      <c r="N239" s="7"/>
      <c r="O239" s="7"/>
    </row>
    <row r="240">
      <c r="A240" s="7"/>
      <c r="B240" s="7"/>
      <c r="C240" s="54"/>
      <c r="D240" s="54"/>
      <c r="E240" s="54"/>
      <c r="F240" s="41"/>
      <c r="G240" s="41"/>
      <c r="H240" s="41"/>
      <c r="I240" s="41"/>
      <c r="J240" s="7"/>
      <c r="K240" s="7"/>
      <c r="L240" s="7"/>
      <c r="M240" s="7"/>
      <c r="N240" s="7"/>
      <c r="O240" s="7"/>
    </row>
    <row r="241">
      <c r="A241" s="7"/>
      <c r="B241" s="7"/>
      <c r="C241" s="13"/>
      <c r="D241" s="13"/>
      <c r="E241" s="13"/>
      <c r="F241" s="13"/>
      <c r="G241" s="13"/>
      <c r="H241" s="13"/>
      <c r="I241" s="13"/>
      <c r="J241" s="7"/>
      <c r="K241" s="7"/>
      <c r="L241" s="7"/>
      <c r="M241" s="7"/>
      <c r="N241" s="7"/>
      <c r="O241" s="7"/>
    </row>
    <row r="242">
      <c r="A242" s="7"/>
      <c r="B242" s="7"/>
      <c r="C242" s="45"/>
      <c r="D242" s="45"/>
      <c r="E242" s="45"/>
      <c r="F242" s="7"/>
      <c r="G242" s="7"/>
      <c r="H242" s="7"/>
      <c r="I242" s="7"/>
      <c r="J242" s="7"/>
      <c r="K242" s="7"/>
      <c r="L242" s="7"/>
      <c r="M242" s="7"/>
      <c r="N242" s="7"/>
      <c r="O242" s="7"/>
    </row>
    <row r="243">
      <c r="A243" s="7"/>
      <c r="B243" s="7"/>
      <c r="C243" s="13"/>
      <c r="D243" s="13"/>
      <c r="E243" s="13"/>
      <c r="F243" s="7"/>
      <c r="G243" s="7"/>
      <c r="H243" s="7"/>
      <c r="I243" s="7"/>
      <c r="J243" s="7"/>
      <c r="K243" s="7"/>
      <c r="L243" s="7"/>
      <c r="M243" s="67"/>
      <c r="N243" s="7"/>
      <c r="O243" s="7"/>
    </row>
    <row r="244">
      <c r="A244" s="7"/>
      <c r="B244" s="7"/>
      <c r="C244" s="13"/>
      <c r="D244" s="13"/>
      <c r="E244" s="13"/>
      <c r="F244" s="13"/>
      <c r="G244" s="13"/>
      <c r="H244" s="13"/>
      <c r="I244" s="13"/>
      <c r="J244" s="7"/>
      <c r="K244" s="7"/>
      <c r="L244" s="7"/>
      <c r="M244" s="44"/>
      <c r="N244" s="7"/>
      <c r="O244" s="7"/>
    </row>
    <row r="245">
      <c r="A245" s="7"/>
      <c r="B245" s="7"/>
      <c r="C245" s="41"/>
      <c r="D245" s="41"/>
      <c r="E245" s="41"/>
      <c r="F245" s="41"/>
      <c r="G245" s="41"/>
      <c r="H245" s="41"/>
      <c r="I245" s="41"/>
      <c r="J245" s="7"/>
      <c r="K245" s="7"/>
      <c r="L245" s="7"/>
      <c r="M245" s="41"/>
      <c r="N245" s="7"/>
      <c r="O245" s="7"/>
    </row>
    <row r="246">
      <c r="A246" s="7"/>
      <c r="B246" s="7"/>
      <c r="C246" s="13"/>
      <c r="D246" s="13"/>
      <c r="E246" s="13"/>
      <c r="F246" s="13"/>
      <c r="G246" s="13"/>
      <c r="H246" s="13"/>
      <c r="I246" s="13"/>
      <c r="J246" s="7"/>
      <c r="K246" s="7"/>
      <c r="L246" s="7"/>
      <c r="M246" s="7"/>
      <c r="N246" s="7"/>
      <c r="O246" s="7"/>
    </row>
    <row r="247">
      <c r="A247" s="7"/>
      <c r="B247" s="7"/>
      <c r="C247" s="65"/>
      <c r="D247" s="65"/>
      <c r="E247" s="65"/>
      <c r="F247" s="13"/>
      <c r="G247" s="13"/>
      <c r="H247" s="13"/>
      <c r="I247" s="13"/>
      <c r="J247" s="7"/>
      <c r="K247" s="7"/>
      <c r="L247" s="7"/>
      <c r="M247" s="79"/>
      <c r="N247" s="7"/>
      <c r="O247" s="7"/>
    </row>
    <row r="248">
      <c r="A248" s="7"/>
      <c r="B248" s="7"/>
      <c r="C248" s="54"/>
      <c r="D248" s="54"/>
      <c r="E248" s="54"/>
      <c r="F248" s="13"/>
      <c r="G248" s="13"/>
      <c r="H248" s="13"/>
      <c r="I248" s="13"/>
      <c r="J248" s="7"/>
      <c r="K248" s="7"/>
      <c r="L248" s="7"/>
      <c r="M248" s="13"/>
      <c r="N248" s="7"/>
      <c r="O248" s="7"/>
    </row>
    <row r="249">
      <c r="A249" s="7"/>
      <c r="B249" s="7"/>
      <c r="C249" s="13"/>
      <c r="D249" s="13"/>
      <c r="E249" s="13"/>
      <c r="F249" s="13"/>
      <c r="G249" s="13"/>
      <c r="H249" s="13"/>
      <c r="I249" s="13"/>
      <c r="J249" s="7"/>
      <c r="K249" s="7"/>
      <c r="L249" s="7"/>
      <c r="M249" s="13"/>
      <c r="N249" s="7"/>
      <c r="O249" s="7"/>
    </row>
    <row r="250">
      <c r="A250" s="7"/>
      <c r="B250" s="7"/>
      <c r="C250" s="41"/>
      <c r="D250" s="41"/>
      <c r="E250" s="41"/>
      <c r="F250" s="41"/>
      <c r="G250" s="41"/>
      <c r="H250" s="41"/>
      <c r="I250" s="41"/>
      <c r="J250" s="41"/>
      <c r="K250" s="41"/>
      <c r="L250" s="41"/>
      <c r="M250" s="78"/>
      <c r="N250" s="7"/>
      <c r="O250" s="7"/>
    </row>
    <row r="251">
      <c r="A251" s="7"/>
      <c r="B251" s="7"/>
      <c r="C251" s="45"/>
      <c r="D251" s="45"/>
      <c r="E251" s="45"/>
      <c r="F251" s="7"/>
      <c r="G251" s="7"/>
      <c r="H251" s="7"/>
      <c r="I251" s="7"/>
      <c r="J251" s="7"/>
      <c r="K251" s="7"/>
      <c r="L251" s="7"/>
      <c r="M251" s="13"/>
      <c r="N251" s="7"/>
      <c r="O251" s="7"/>
    </row>
    <row r="252">
      <c r="A252" s="7"/>
      <c r="B252" s="7"/>
      <c r="C252" s="13"/>
      <c r="D252" s="13"/>
      <c r="E252" s="13"/>
      <c r="F252" s="13"/>
      <c r="G252" s="13"/>
      <c r="H252" s="13"/>
      <c r="I252" s="13"/>
      <c r="J252" s="7"/>
      <c r="K252" s="7"/>
      <c r="L252" s="7"/>
      <c r="M252" s="13"/>
      <c r="N252" s="7"/>
      <c r="O252" s="7"/>
    </row>
    <row r="253">
      <c r="A253" s="7"/>
      <c r="B253" s="7"/>
      <c r="C253" s="45"/>
      <c r="D253" s="45"/>
      <c r="E253" s="45"/>
      <c r="F253" s="13"/>
      <c r="G253" s="13"/>
      <c r="H253" s="13"/>
      <c r="I253" s="13"/>
      <c r="J253" s="7"/>
      <c r="K253" s="7"/>
      <c r="L253" s="7"/>
      <c r="M253" s="13"/>
      <c r="N253" s="7"/>
      <c r="O253" s="7"/>
    </row>
    <row r="254">
      <c r="A254" s="38"/>
      <c r="B254" s="38"/>
      <c r="C254" s="13"/>
      <c r="D254" s="13"/>
      <c r="E254" s="13"/>
      <c r="F254" s="13"/>
      <c r="G254" s="13"/>
      <c r="H254" s="13"/>
      <c r="I254" s="13"/>
      <c r="J254" s="7"/>
      <c r="K254" s="7"/>
      <c r="L254" s="7"/>
      <c r="M254" s="7"/>
      <c r="N254" s="7"/>
      <c r="O254" s="7"/>
    </row>
    <row r="255">
      <c r="A255" s="7"/>
      <c r="B255" s="7"/>
      <c r="C255" s="55"/>
      <c r="D255" s="55"/>
      <c r="E255" s="55"/>
      <c r="F255" s="41"/>
      <c r="G255" s="41"/>
      <c r="H255" s="41"/>
      <c r="I255" s="41"/>
      <c r="J255" s="13"/>
      <c r="K255" s="13"/>
      <c r="L255" s="13"/>
      <c r="M255" s="41"/>
      <c r="N255" s="7"/>
      <c r="O255" s="7"/>
    </row>
    <row r="256">
      <c r="A256" s="7"/>
      <c r="B256" s="7"/>
      <c r="C256" s="45"/>
      <c r="D256" s="45"/>
      <c r="E256" s="45"/>
      <c r="F256" s="7"/>
      <c r="G256" s="7"/>
      <c r="H256" s="7"/>
      <c r="I256" s="7"/>
      <c r="J256" s="7"/>
      <c r="K256" s="7"/>
      <c r="L256" s="7"/>
      <c r="M256" s="38"/>
      <c r="N256" s="7"/>
      <c r="O256" s="7"/>
    </row>
    <row r="257">
      <c r="A257" s="7"/>
      <c r="B257" s="7"/>
      <c r="C257" s="49"/>
      <c r="D257" s="49"/>
      <c r="E257" s="49"/>
      <c r="F257" s="7"/>
      <c r="G257" s="7"/>
      <c r="H257" s="7"/>
      <c r="I257" s="7"/>
      <c r="J257" s="7"/>
      <c r="K257" s="7"/>
      <c r="L257" s="7"/>
      <c r="M257" s="13"/>
      <c r="N257" s="7"/>
      <c r="O257" s="7"/>
    </row>
    <row r="258">
      <c r="A258" s="7"/>
      <c r="B258" s="7"/>
      <c r="C258" s="13"/>
      <c r="D258" s="13"/>
      <c r="E258" s="13"/>
      <c r="F258" s="13"/>
      <c r="G258" s="13"/>
      <c r="H258" s="13"/>
      <c r="I258" s="13"/>
      <c r="J258" s="7"/>
      <c r="K258" s="7"/>
      <c r="L258" s="7"/>
      <c r="M258" s="13"/>
      <c r="N258" s="7"/>
      <c r="O258" s="7"/>
    </row>
    <row r="259">
      <c r="A259" s="7"/>
      <c r="B259" s="7"/>
      <c r="C259" s="13"/>
      <c r="D259" s="13"/>
      <c r="E259" s="13"/>
      <c r="F259" s="13"/>
      <c r="G259" s="13"/>
      <c r="H259" s="13"/>
      <c r="I259" s="13"/>
      <c r="J259" s="7"/>
      <c r="K259" s="7"/>
      <c r="L259" s="7"/>
      <c r="M259" s="13"/>
      <c r="N259" s="7"/>
      <c r="O259" s="7"/>
    </row>
    <row r="260">
      <c r="A260" s="7"/>
      <c r="B260" s="7"/>
      <c r="C260" s="41"/>
      <c r="D260" s="41"/>
      <c r="E260" s="41"/>
      <c r="F260" s="41"/>
      <c r="G260" s="41"/>
      <c r="H260" s="41"/>
      <c r="I260" s="41"/>
      <c r="J260" s="13"/>
      <c r="K260" s="13"/>
      <c r="L260" s="13"/>
      <c r="M260" s="13"/>
      <c r="N260" s="7"/>
      <c r="O260" s="7"/>
    </row>
    <row r="261">
      <c r="A261" s="7"/>
      <c r="B261" s="7"/>
      <c r="C261" s="39"/>
      <c r="D261" s="39"/>
      <c r="E261" s="39"/>
      <c r="F261" s="7"/>
      <c r="G261" s="7"/>
      <c r="H261" s="7"/>
      <c r="I261" s="7"/>
      <c r="J261" s="7"/>
      <c r="K261" s="7"/>
      <c r="L261" s="7"/>
      <c r="M261" s="7"/>
      <c r="N261" s="7"/>
      <c r="O261" s="7"/>
    </row>
    <row r="262">
      <c r="A262" s="7"/>
      <c r="B262" s="7"/>
      <c r="C262" s="13"/>
      <c r="D262" s="13"/>
      <c r="E262" s="13"/>
      <c r="F262" s="13"/>
      <c r="G262" s="13"/>
      <c r="H262" s="13"/>
      <c r="I262" s="13"/>
      <c r="J262" s="7"/>
      <c r="K262" s="7"/>
      <c r="L262" s="7"/>
      <c r="M262" s="13"/>
      <c r="N262" s="7"/>
      <c r="O262" s="7"/>
    </row>
    <row r="263">
      <c r="A263" s="38"/>
      <c r="B263" s="38"/>
      <c r="C263" s="45"/>
      <c r="D263" s="45"/>
      <c r="E263" s="45"/>
      <c r="F263" s="7"/>
      <c r="G263" s="7"/>
      <c r="H263" s="7"/>
      <c r="I263" s="7"/>
      <c r="J263" s="7"/>
      <c r="K263" s="7"/>
      <c r="L263" s="7"/>
      <c r="M263" s="13"/>
      <c r="N263" s="7"/>
      <c r="O263" s="7"/>
    </row>
    <row r="264">
      <c r="A264" s="7"/>
      <c r="B264" s="7"/>
      <c r="C264" s="51"/>
      <c r="D264" s="51"/>
      <c r="E264" s="51"/>
      <c r="F264" s="7"/>
      <c r="G264" s="7"/>
      <c r="H264" s="7"/>
      <c r="I264" s="7"/>
      <c r="J264" s="7"/>
      <c r="K264" s="7"/>
      <c r="L264" s="7"/>
      <c r="M264" s="7"/>
      <c r="N264" s="7"/>
      <c r="O264" s="7"/>
    </row>
    <row r="265">
      <c r="A265" s="7"/>
      <c r="B265" s="7"/>
      <c r="C265" s="45"/>
      <c r="D265" s="45"/>
      <c r="E265" s="45"/>
      <c r="F265" s="7"/>
      <c r="G265" s="7"/>
      <c r="H265" s="7"/>
      <c r="I265" s="7"/>
      <c r="J265" s="7"/>
      <c r="K265" s="7"/>
      <c r="L265" s="7"/>
      <c r="M265" s="7"/>
      <c r="N265" s="7"/>
      <c r="O265" s="7"/>
    </row>
    <row r="266">
      <c r="A266" s="7"/>
      <c r="B266" s="7"/>
      <c r="C266" s="51"/>
      <c r="D266" s="51"/>
      <c r="E266" s="51"/>
      <c r="F266" s="45"/>
      <c r="G266" s="45"/>
      <c r="H266" s="45"/>
      <c r="I266" s="45"/>
      <c r="J266" s="7"/>
      <c r="K266" s="7"/>
      <c r="L266" s="7"/>
      <c r="M266" s="7"/>
      <c r="N266" s="7"/>
      <c r="O266" s="7"/>
    </row>
    <row r="267">
      <c r="A267" s="7"/>
      <c r="B267" s="7"/>
      <c r="C267" s="51"/>
      <c r="D267" s="51"/>
      <c r="E267" s="51"/>
      <c r="F267" s="7"/>
      <c r="G267" s="7"/>
      <c r="H267" s="7"/>
      <c r="I267" s="7"/>
      <c r="J267" s="7"/>
      <c r="K267" s="7"/>
      <c r="L267" s="7"/>
      <c r="M267" s="7"/>
      <c r="N267" s="7"/>
      <c r="O267" s="7"/>
    </row>
    <row r="268">
      <c r="A268" s="7"/>
      <c r="B268" s="7"/>
      <c r="C268" s="41"/>
      <c r="D268" s="41"/>
      <c r="E268" s="41"/>
      <c r="F268" s="44"/>
      <c r="G268" s="44"/>
      <c r="H268" s="44"/>
      <c r="I268" s="44"/>
      <c r="J268" s="41"/>
      <c r="K268" s="41"/>
      <c r="L268" s="41"/>
      <c r="M268" s="7"/>
      <c r="N268" s="7"/>
      <c r="O268" s="7"/>
    </row>
    <row r="269">
      <c r="A269" s="7"/>
      <c r="B269" s="7"/>
      <c r="C269" s="13"/>
      <c r="D269" s="13"/>
      <c r="E269" s="13"/>
      <c r="F269" s="44"/>
      <c r="G269" s="44"/>
      <c r="H269" s="44"/>
      <c r="I269" s="44"/>
      <c r="J269" s="7"/>
      <c r="K269" s="7"/>
      <c r="L269" s="7"/>
      <c r="M269" s="64"/>
      <c r="N269" s="7"/>
      <c r="O269" s="7"/>
    </row>
    <row r="270">
      <c r="A270" s="7"/>
      <c r="B270" s="7"/>
      <c r="C270" s="52"/>
      <c r="D270" s="52"/>
      <c r="E270" s="52"/>
      <c r="F270" s="81"/>
      <c r="G270" s="81"/>
      <c r="H270" s="81"/>
      <c r="I270" s="81"/>
      <c r="J270" s="7"/>
      <c r="K270" s="7"/>
      <c r="L270" s="7"/>
      <c r="M270" s="13"/>
      <c r="N270" s="7"/>
      <c r="O270" s="7"/>
    </row>
    <row r="271">
      <c r="A271" s="7"/>
      <c r="B271" s="7"/>
      <c r="C271" s="66"/>
      <c r="D271" s="66"/>
      <c r="E271" s="66"/>
      <c r="F271" s="44"/>
      <c r="G271" s="44"/>
      <c r="H271" s="44"/>
      <c r="I271" s="44"/>
      <c r="J271" s="7"/>
      <c r="K271" s="7"/>
      <c r="L271" s="7"/>
      <c r="M271" s="7"/>
      <c r="N271" s="7"/>
      <c r="O271" s="7"/>
    </row>
    <row r="272">
      <c r="A272" s="7"/>
      <c r="B272" s="7"/>
      <c r="C272" s="13"/>
      <c r="D272" s="13"/>
      <c r="E272" s="13"/>
      <c r="F272" s="41"/>
      <c r="G272" s="41"/>
      <c r="H272" s="41"/>
      <c r="I272" s="41"/>
      <c r="J272" s="7"/>
      <c r="K272" s="7"/>
      <c r="L272" s="7"/>
      <c r="M272" s="13"/>
      <c r="N272" s="7"/>
      <c r="O272" s="7"/>
    </row>
    <row r="273">
      <c r="A273" s="7"/>
      <c r="B273" s="7"/>
      <c r="C273" s="13"/>
      <c r="D273" s="13"/>
      <c r="E273" s="13"/>
      <c r="F273" s="41"/>
      <c r="G273" s="41"/>
      <c r="H273" s="41"/>
      <c r="I273" s="41"/>
      <c r="J273" s="7"/>
      <c r="K273" s="7"/>
      <c r="L273" s="7"/>
      <c r="M273" s="13"/>
      <c r="N273" s="7"/>
      <c r="O273" s="7"/>
    </row>
    <row r="274">
      <c r="A274" s="7"/>
      <c r="B274" s="7"/>
      <c r="C274" s="49"/>
      <c r="D274" s="49"/>
      <c r="E274" s="49"/>
      <c r="F274" s="7"/>
      <c r="G274" s="7"/>
      <c r="H274" s="7"/>
      <c r="I274" s="7"/>
      <c r="J274" s="7"/>
      <c r="K274" s="7"/>
      <c r="L274" s="7"/>
      <c r="M274" s="7"/>
      <c r="N274" s="7"/>
      <c r="O274" s="7"/>
    </row>
    <row r="275">
      <c r="A275" s="7"/>
      <c r="B275" s="7"/>
      <c r="C275" s="49"/>
      <c r="D275" s="49"/>
      <c r="E275" s="49"/>
      <c r="F275" s="7"/>
      <c r="G275" s="7"/>
      <c r="H275" s="7"/>
      <c r="I275" s="7"/>
      <c r="J275" s="7"/>
      <c r="K275" s="7"/>
      <c r="L275" s="7"/>
      <c r="M275" s="7"/>
      <c r="N275" s="7"/>
      <c r="O275" s="7"/>
    </row>
    <row r="276">
      <c r="A276" s="7"/>
      <c r="B276" s="7"/>
      <c r="C276" s="41"/>
      <c r="D276" s="41"/>
      <c r="E276" s="41"/>
      <c r="F276" s="41"/>
      <c r="G276" s="41"/>
      <c r="H276" s="41"/>
      <c r="I276" s="41"/>
      <c r="J276" s="7"/>
      <c r="K276" s="7"/>
      <c r="L276" s="7"/>
      <c r="M276" s="7"/>
      <c r="N276" s="7"/>
      <c r="O276" s="7"/>
    </row>
    <row r="277">
      <c r="A277" s="7"/>
      <c r="B277" s="7"/>
      <c r="C277" s="41"/>
      <c r="D277" s="41"/>
      <c r="E277" s="41"/>
      <c r="F277" s="41"/>
      <c r="G277" s="41"/>
      <c r="H277" s="41"/>
      <c r="I277" s="41"/>
      <c r="J277" s="7"/>
      <c r="K277" s="7"/>
      <c r="L277" s="7"/>
      <c r="M277" s="82"/>
      <c r="N277" s="7"/>
      <c r="O277" s="7"/>
    </row>
    <row r="278">
      <c r="A278" s="7"/>
      <c r="B278" s="7"/>
      <c r="C278" s="43"/>
      <c r="D278" s="43"/>
      <c r="E278" s="43"/>
      <c r="F278" s="7"/>
      <c r="G278" s="7"/>
      <c r="H278" s="7"/>
      <c r="I278" s="7"/>
      <c r="J278" s="7"/>
      <c r="K278" s="7"/>
      <c r="L278" s="7"/>
      <c r="M278" s="43"/>
      <c r="N278" s="7"/>
      <c r="O278" s="7"/>
    </row>
    <row r="279">
      <c r="A279" s="7"/>
      <c r="B279" s="7"/>
      <c r="C279" s="13"/>
      <c r="D279" s="13"/>
      <c r="E279" s="13"/>
      <c r="F279" s="7"/>
      <c r="G279" s="7"/>
      <c r="H279" s="7"/>
      <c r="I279" s="7"/>
      <c r="J279" s="7"/>
      <c r="K279" s="7"/>
      <c r="L279" s="7"/>
      <c r="M279" s="67"/>
      <c r="N279" s="7"/>
      <c r="O279" s="7"/>
    </row>
    <row r="280">
      <c r="A280" s="7"/>
      <c r="B280" s="7"/>
      <c r="C280" s="13"/>
      <c r="D280" s="13"/>
      <c r="E280" s="13"/>
      <c r="F280" s="13"/>
      <c r="G280" s="13"/>
      <c r="H280" s="13"/>
      <c r="I280" s="13"/>
      <c r="J280" s="7"/>
      <c r="K280" s="7"/>
      <c r="L280" s="7"/>
      <c r="M280" s="44"/>
      <c r="N280" s="7"/>
      <c r="O280" s="7"/>
    </row>
    <row r="281">
      <c r="A281" s="7"/>
      <c r="B281" s="7"/>
      <c r="C281" s="41"/>
      <c r="D281" s="41"/>
      <c r="E281" s="41"/>
      <c r="F281" s="41"/>
      <c r="G281" s="41"/>
      <c r="H281" s="41"/>
      <c r="I281" s="41"/>
      <c r="J281" s="7"/>
      <c r="K281" s="7"/>
      <c r="L281" s="7"/>
      <c r="M281" s="41"/>
      <c r="N281" s="7"/>
      <c r="O281" s="7"/>
    </row>
    <row r="282">
      <c r="A282" s="7"/>
      <c r="B282" s="7"/>
      <c r="C282" s="45"/>
      <c r="D282" s="45"/>
      <c r="E282" s="45"/>
      <c r="F282" s="7"/>
      <c r="G282" s="7"/>
      <c r="H282" s="7"/>
      <c r="I282" s="7"/>
      <c r="J282" s="41"/>
      <c r="K282" s="41"/>
      <c r="L282" s="41"/>
      <c r="M282" s="7"/>
      <c r="N282" s="7"/>
      <c r="O282" s="7"/>
    </row>
    <row r="283">
      <c r="A283" s="7"/>
      <c r="B283" s="7"/>
      <c r="C283" s="45"/>
      <c r="D283" s="45"/>
      <c r="E283" s="45"/>
      <c r="F283" s="7"/>
      <c r="G283" s="7"/>
      <c r="H283" s="7"/>
      <c r="I283" s="7"/>
      <c r="J283" s="7"/>
      <c r="K283" s="7"/>
      <c r="L283" s="7"/>
      <c r="M283" s="7"/>
      <c r="N283" s="7"/>
      <c r="O283" s="7"/>
    </row>
    <row r="284">
      <c r="A284" s="7"/>
      <c r="B284" s="7"/>
      <c r="C284" s="65"/>
      <c r="D284" s="65"/>
      <c r="E284" s="65"/>
      <c r="F284" s="7"/>
      <c r="G284" s="7"/>
      <c r="H284" s="7"/>
      <c r="I284" s="7"/>
      <c r="J284" s="7"/>
      <c r="K284" s="7"/>
      <c r="L284" s="7"/>
      <c r="M284" s="7"/>
      <c r="N284" s="7"/>
      <c r="O284" s="7"/>
    </row>
    <row r="285">
      <c r="A285" s="7"/>
      <c r="B285" s="7"/>
      <c r="C285" s="13"/>
      <c r="D285" s="13"/>
      <c r="E285" s="13"/>
      <c r="F285" s="7"/>
      <c r="G285" s="7"/>
      <c r="H285" s="7"/>
      <c r="I285" s="7"/>
      <c r="J285" s="7"/>
      <c r="K285" s="7"/>
      <c r="L285" s="7"/>
      <c r="M285" s="7"/>
      <c r="N285" s="7"/>
      <c r="O285" s="7"/>
    </row>
    <row r="286">
      <c r="A286" s="7"/>
      <c r="B286" s="7"/>
      <c r="C286" s="49"/>
      <c r="D286" s="49"/>
      <c r="E286" s="49"/>
      <c r="F286" s="7"/>
      <c r="G286" s="7"/>
      <c r="H286" s="7"/>
      <c r="I286" s="7"/>
      <c r="J286" s="7"/>
      <c r="K286" s="7"/>
      <c r="L286" s="7"/>
      <c r="M286" s="7"/>
      <c r="N286" s="7"/>
      <c r="O286" s="7"/>
    </row>
    <row r="287">
      <c r="A287" s="7"/>
      <c r="B287" s="7"/>
      <c r="C287" s="51"/>
      <c r="D287" s="51"/>
      <c r="E287" s="51"/>
      <c r="F287" s="7"/>
      <c r="G287" s="7"/>
      <c r="H287" s="7"/>
      <c r="I287" s="7"/>
      <c r="J287" s="7"/>
      <c r="K287" s="7"/>
      <c r="L287" s="7"/>
      <c r="M287" s="7"/>
      <c r="N287" s="7"/>
      <c r="O287" s="7"/>
    </row>
    <row r="288">
      <c r="A288" s="7"/>
      <c r="B288" s="7"/>
      <c r="C288" s="41"/>
      <c r="D288" s="41"/>
      <c r="E288" s="41"/>
      <c r="F288" s="41"/>
      <c r="G288" s="41"/>
      <c r="H288" s="41"/>
      <c r="I288" s="41"/>
      <c r="J288" s="7"/>
      <c r="K288" s="7"/>
      <c r="L288" s="7"/>
      <c r="M288" s="7"/>
      <c r="N288" s="7"/>
      <c r="O288" s="7"/>
    </row>
    <row r="289">
      <c r="A289" s="7"/>
      <c r="B289" s="7"/>
      <c r="C289" s="41"/>
      <c r="D289" s="41"/>
      <c r="E289" s="41"/>
      <c r="F289" s="41"/>
      <c r="G289" s="41"/>
      <c r="H289" s="41"/>
      <c r="I289" s="41"/>
      <c r="J289" s="7"/>
      <c r="K289" s="7"/>
      <c r="L289" s="7"/>
      <c r="M289" s="7"/>
      <c r="N289" s="7"/>
      <c r="O289" s="7"/>
    </row>
    <row r="290">
      <c r="A290" s="7"/>
      <c r="B290" s="7"/>
      <c r="C290" s="41"/>
      <c r="D290" s="41"/>
      <c r="E290" s="41"/>
      <c r="F290" s="41"/>
      <c r="G290" s="41"/>
      <c r="H290" s="41"/>
      <c r="I290" s="41"/>
      <c r="J290" s="7"/>
      <c r="K290" s="7"/>
      <c r="L290" s="7"/>
      <c r="M290" s="7"/>
      <c r="N290" s="7"/>
      <c r="O290" s="7"/>
    </row>
    <row r="291">
      <c r="A291" s="7"/>
      <c r="B291" s="7"/>
      <c r="C291" s="49"/>
      <c r="D291" s="49"/>
      <c r="E291" s="49"/>
      <c r="F291" s="7"/>
      <c r="G291" s="7"/>
      <c r="H291" s="7"/>
      <c r="I291" s="7"/>
      <c r="J291" s="7"/>
      <c r="K291" s="7"/>
      <c r="L291" s="7"/>
      <c r="M291" s="7"/>
      <c r="N291" s="7"/>
      <c r="O291" s="7"/>
    </row>
    <row r="292">
      <c r="A292" s="7"/>
      <c r="B292" s="7"/>
      <c r="C292" s="41"/>
      <c r="D292" s="41"/>
      <c r="E292" s="41"/>
      <c r="F292" s="41"/>
      <c r="G292" s="41"/>
      <c r="H292" s="41"/>
      <c r="I292" s="41"/>
      <c r="J292" s="41"/>
      <c r="K292" s="41"/>
      <c r="L292" s="41"/>
      <c r="M292" s="7"/>
      <c r="N292" s="7"/>
      <c r="O292" s="7"/>
    </row>
    <row r="293">
      <c r="A293" s="7"/>
      <c r="B293" s="7"/>
      <c r="C293" s="54"/>
      <c r="D293" s="54"/>
      <c r="E293" s="54"/>
      <c r="F293" s="41"/>
      <c r="G293" s="41"/>
      <c r="H293" s="41"/>
      <c r="I293" s="41"/>
      <c r="J293" s="41"/>
      <c r="K293" s="41"/>
      <c r="L293" s="41"/>
      <c r="M293" s="41"/>
      <c r="N293" s="7"/>
      <c r="O293" s="7"/>
    </row>
    <row r="294">
      <c r="A294" s="7"/>
      <c r="B294" s="7"/>
      <c r="C294" s="41"/>
      <c r="D294" s="41"/>
      <c r="E294" s="41"/>
      <c r="F294" s="41"/>
      <c r="G294" s="41"/>
      <c r="H294" s="41"/>
      <c r="I294" s="41"/>
      <c r="J294" s="7"/>
      <c r="K294" s="7"/>
      <c r="L294" s="7"/>
      <c r="M294" s="13"/>
      <c r="N294" s="7"/>
      <c r="O294" s="7"/>
    </row>
    <row r="295">
      <c r="A295" s="7"/>
      <c r="B295" s="7"/>
      <c r="C295" s="41"/>
      <c r="D295" s="41"/>
      <c r="E295" s="41"/>
      <c r="F295" s="41"/>
      <c r="G295" s="41"/>
      <c r="H295" s="41"/>
      <c r="I295" s="41"/>
      <c r="J295" s="13"/>
      <c r="K295" s="13"/>
      <c r="L295" s="13"/>
      <c r="M295" s="13"/>
      <c r="N295" s="7"/>
      <c r="O295" s="7"/>
    </row>
    <row r="296">
      <c r="A296" s="7"/>
      <c r="B296" s="7"/>
      <c r="C296" s="41"/>
      <c r="D296" s="41"/>
      <c r="E296" s="41"/>
      <c r="F296" s="41"/>
      <c r="G296" s="41"/>
      <c r="H296" s="41"/>
      <c r="I296" s="41"/>
      <c r="J296" s="13"/>
      <c r="K296" s="13"/>
      <c r="L296" s="13"/>
      <c r="M296" s="13"/>
      <c r="N296" s="7"/>
      <c r="O296" s="7"/>
    </row>
    <row r="297">
      <c r="A297" s="7"/>
      <c r="B297" s="7"/>
      <c r="C297" s="41"/>
      <c r="D297" s="41"/>
      <c r="E297" s="41"/>
      <c r="F297" s="41"/>
      <c r="G297" s="41"/>
      <c r="H297" s="41"/>
      <c r="I297" s="41"/>
      <c r="J297" s="45"/>
      <c r="K297" s="45"/>
      <c r="L297" s="41"/>
      <c r="M297" s="41"/>
      <c r="N297" s="7"/>
      <c r="O297" s="7"/>
    </row>
    <row r="298">
      <c r="A298" s="7"/>
      <c r="B298" s="7"/>
      <c r="C298" s="63"/>
      <c r="D298" s="63"/>
      <c r="E298" s="63"/>
      <c r="F298" s="41"/>
      <c r="G298" s="41"/>
      <c r="H298" s="41"/>
      <c r="I298" s="41"/>
      <c r="J298" s="13"/>
      <c r="K298" s="13"/>
      <c r="L298" s="13"/>
      <c r="M298" s="67"/>
      <c r="N298" s="7"/>
      <c r="O298" s="7"/>
    </row>
    <row r="299">
      <c r="A299" s="38"/>
      <c r="B299" s="38"/>
      <c r="C299" s="56"/>
      <c r="D299" s="56"/>
      <c r="E299" s="56"/>
      <c r="F299" s="7"/>
      <c r="G299" s="7"/>
      <c r="H299" s="7"/>
      <c r="I299" s="7"/>
      <c r="J299" s="7"/>
      <c r="K299" s="7"/>
      <c r="L299" s="7"/>
      <c r="M299" s="7"/>
      <c r="N299" s="7"/>
      <c r="O299" s="7"/>
    </row>
    <row r="300">
      <c r="A300" s="38"/>
      <c r="B300" s="38"/>
      <c r="C300" s="56"/>
      <c r="D300" s="56"/>
      <c r="E300" s="56"/>
      <c r="F300" s="7"/>
      <c r="G300" s="7"/>
      <c r="H300" s="7"/>
      <c r="I300" s="7"/>
      <c r="J300" s="7"/>
      <c r="K300" s="7"/>
      <c r="L300" s="7"/>
      <c r="M300" s="7"/>
      <c r="N300" s="7"/>
      <c r="O300" s="7"/>
    </row>
    <row r="301">
      <c r="A301" s="7"/>
      <c r="B301" s="7"/>
      <c r="C301" s="41"/>
      <c r="D301" s="41"/>
      <c r="E301" s="41"/>
      <c r="F301" s="41"/>
      <c r="G301" s="41"/>
      <c r="H301" s="41"/>
      <c r="I301" s="41"/>
      <c r="J301" s="41"/>
      <c r="K301" s="41"/>
      <c r="L301" s="41"/>
      <c r="M301" s="82"/>
      <c r="N301" s="7"/>
      <c r="O301" s="7"/>
    </row>
    <row r="302">
      <c r="A302" s="7"/>
      <c r="B302" s="7"/>
      <c r="C302" s="82"/>
      <c r="D302" s="82"/>
      <c r="E302" s="82"/>
      <c r="F302" s="82"/>
      <c r="G302" s="82"/>
      <c r="H302" s="82"/>
      <c r="I302" s="82"/>
      <c r="J302" s="41"/>
      <c r="K302" s="41"/>
      <c r="L302" s="41"/>
      <c r="M302" s="67"/>
      <c r="N302" s="7"/>
      <c r="O302" s="7"/>
    </row>
    <row r="303">
      <c r="A303" s="7"/>
      <c r="B303" s="7"/>
      <c r="C303" s="41"/>
      <c r="D303" s="41"/>
      <c r="E303" s="41"/>
      <c r="F303" s="41"/>
      <c r="G303" s="41"/>
      <c r="H303" s="41"/>
      <c r="I303" s="41"/>
      <c r="J303" s="7"/>
      <c r="K303" s="7"/>
      <c r="L303" s="7"/>
      <c r="M303" s="7"/>
      <c r="N303" s="7"/>
      <c r="O303" s="7"/>
    </row>
    <row r="304">
      <c r="A304" s="7"/>
      <c r="B304" s="7"/>
      <c r="C304" s="49"/>
      <c r="D304" s="49"/>
      <c r="E304" s="49"/>
      <c r="F304" s="44"/>
      <c r="G304" s="44"/>
      <c r="H304" s="44"/>
      <c r="I304" s="44"/>
      <c r="J304" s="41"/>
      <c r="K304" s="41"/>
      <c r="L304" s="41"/>
      <c r="M304" s="13"/>
      <c r="N304" s="7"/>
      <c r="O304" s="7"/>
    </row>
    <row r="305">
      <c r="A305" s="38"/>
      <c r="B305" s="38"/>
      <c r="C305" s="41"/>
      <c r="D305" s="41"/>
      <c r="E305" s="41"/>
      <c r="F305" s="41"/>
      <c r="G305" s="41"/>
      <c r="H305" s="41"/>
      <c r="I305" s="41"/>
      <c r="J305" s="7"/>
      <c r="K305" s="7"/>
      <c r="L305" s="7"/>
      <c r="M305" s="67"/>
      <c r="N305" s="7"/>
      <c r="O305" s="7"/>
    </row>
    <row r="306">
      <c r="A306" s="7"/>
      <c r="B306" s="7"/>
      <c r="C306" s="41"/>
      <c r="D306" s="41"/>
      <c r="E306" s="41"/>
      <c r="F306" s="41"/>
      <c r="G306" s="41"/>
      <c r="H306" s="41"/>
      <c r="I306" s="41"/>
      <c r="J306" s="41"/>
      <c r="K306" s="41"/>
      <c r="L306" s="41"/>
      <c r="M306" s="7"/>
      <c r="N306" s="7"/>
      <c r="O306" s="7"/>
    </row>
    <row r="307">
      <c r="A307" s="7"/>
      <c r="B307" s="7"/>
      <c r="C307" s="41"/>
      <c r="D307" s="41"/>
      <c r="E307" s="41"/>
      <c r="F307" s="41"/>
      <c r="G307" s="41"/>
      <c r="H307" s="41"/>
      <c r="I307" s="41"/>
      <c r="J307" s="7"/>
      <c r="K307" s="7"/>
      <c r="L307" s="7"/>
      <c r="M307" s="7"/>
      <c r="N307" s="7"/>
      <c r="O307" s="7"/>
    </row>
    <row r="308">
      <c r="A308" s="7"/>
      <c r="B308" s="7"/>
      <c r="C308" s="49"/>
      <c r="D308" s="49"/>
      <c r="E308" s="49"/>
      <c r="F308" s="48"/>
      <c r="G308" s="48"/>
      <c r="H308" s="48"/>
      <c r="I308" s="48"/>
      <c r="J308" s="41"/>
      <c r="K308" s="41"/>
      <c r="L308" s="41"/>
      <c r="M308" s="13"/>
      <c r="N308" s="7"/>
      <c r="O308" s="7"/>
    </row>
    <row r="309">
      <c r="A309" s="38"/>
      <c r="B309" s="38"/>
      <c r="C309" s="41"/>
      <c r="D309" s="41"/>
      <c r="E309" s="41"/>
      <c r="F309" s="41"/>
      <c r="G309" s="41"/>
      <c r="H309" s="41"/>
      <c r="I309" s="41"/>
      <c r="J309" s="7"/>
      <c r="K309" s="7"/>
      <c r="L309" s="7"/>
      <c r="M309" s="7"/>
      <c r="N309" s="7"/>
      <c r="O309" s="7"/>
    </row>
    <row r="310">
      <c r="A310" s="7"/>
      <c r="B310" s="7"/>
      <c r="C310" s="13"/>
      <c r="D310" s="13"/>
      <c r="E310" s="13"/>
      <c r="F310" s="7"/>
      <c r="G310" s="7"/>
      <c r="H310" s="7"/>
      <c r="I310" s="7"/>
      <c r="J310" s="7"/>
      <c r="K310" s="7"/>
      <c r="L310" s="7"/>
      <c r="M310" s="67"/>
      <c r="N310" s="7"/>
      <c r="O310" s="7"/>
    </row>
    <row r="311">
      <c r="A311" s="7"/>
      <c r="B311" s="7"/>
      <c r="C311" s="13"/>
      <c r="D311" s="13"/>
      <c r="E311" s="13"/>
      <c r="F311" s="13"/>
      <c r="G311" s="13"/>
      <c r="H311" s="13"/>
      <c r="I311" s="13"/>
      <c r="J311" s="7"/>
      <c r="K311" s="7"/>
      <c r="L311" s="7"/>
      <c r="M311" s="44"/>
      <c r="N311" s="7"/>
      <c r="O311" s="7"/>
    </row>
    <row r="312">
      <c r="A312" s="7"/>
      <c r="B312" s="7"/>
      <c r="C312" s="41"/>
      <c r="D312" s="41"/>
      <c r="E312" s="41"/>
      <c r="F312" s="41"/>
      <c r="G312" s="41"/>
      <c r="H312" s="41"/>
      <c r="I312" s="41"/>
      <c r="J312" s="41"/>
      <c r="K312" s="41"/>
      <c r="L312" s="41"/>
      <c r="M312" s="41"/>
      <c r="N312" s="7"/>
      <c r="O312" s="7"/>
    </row>
    <row r="313">
      <c r="A313" s="7"/>
      <c r="B313" s="7"/>
      <c r="C313" s="41"/>
      <c r="D313" s="41"/>
      <c r="E313" s="41"/>
      <c r="F313" s="41"/>
      <c r="G313" s="41"/>
      <c r="H313" s="41"/>
      <c r="I313" s="41"/>
      <c r="J313" s="41"/>
      <c r="K313" s="41"/>
      <c r="L313" s="41"/>
      <c r="M313" s="82"/>
      <c r="N313" s="7"/>
      <c r="O313" s="7"/>
    </row>
    <row r="314">
      <c r="A314" s="7"/>
      <c r="B314" s="7"/>
      <c r="C314" s="41"/>
      <c r="D314" s="41"/>
      <c r="E314" s="41"/>
      <c r="F314" s="41"/>
      <c r="G314" s="41"/>
      <c r="H314" s="41"/>
      <c r="I314" s="41"/>
      <c r="J314" s="13"/>
      <c r="K314" s="13"/>
      <c r="L314" s="13"/>
      <c r="M314" s="13"/>
      <c r="N314" s="7"/>
      <c r="O314" s="7"/>
    </row>
    <row r="315">
      <c r="A315" s="38"/>
      <c r="B315" s="38"/>
      <c r="C315" s="41"/>
      <c r="D315" s="41"/>
      <c r="E315" s="41"/>
      <c r="F315" s="41"/>
      <c r="G315" s="41"/>
      <c r="H315" s="41"/>
      <c r="I315" s="41"/>
      <c r="J315" s="7"/>
      <c r="K315" s="7"/>
      <c r="L315" s="7"/>
      <c r="M315" s="13"/>
      <c r="N315" s="7"/>
      <c r="O315" s="7"/>
    </row>
    <row r="316">
      <c r="A316" s="38"/>
      <c r="B316" s="38"/>
      <c r="C316" s="41"/>
      <c r="D316" s="41"/>
      <c r="E316" s="41"/>
      <c r="F316" s="41"/>
      <c r="G316" s="41"/>
      <c r="H316" s="41"/>
      <c r="I316" s="41"/>
      <c r="J316" s="7"/>
      <c r="K316" s="7"/>
      <c r="L316" s="7"/>
      <c r="M316" s="13"/>
      <c r="N316" s="7"/>
      <c r="O316" s="7"/>
    </row>
    <row r="317">
      <c r="A317" s="38"/>
      <c r="B317" s="38"/>
      <c r="C317" s="41"/>
      <c r="D317" s="41"/>
      <c r="E317" s="41"/>
      <c r="F317" s="41"/>
      <c r="G317" s="41"/>
      <c r="H317" s="41"/>
      <c r="I317" s="41"/>
      <c r="J317" s="7"/>
      <c r="K317" s="7"/>
      <c r="L317" s="7"/>
      <c r="M317" s="13"/>
      <c r="N317" s="7"/>
      <c r="O317" s="7"/>
    </row>
    <row r="318">
      <c r="A318" s="7"/>
      <c r="B318" s="7"/>
      <c r="C318" s="41"/>
      <c r="D318" s="41"/>
      <c r="E318" s="41"/>
      <c r="F318" s="41"/>
      <c r="G318" s="41"/>
      <c r="H318" s="41"/>
      <c r="I318" s="41"/>
      <c r="J318" s="41"/>
      <c r="K318" s="41"/>
      <c r="L318" s="41"/>
      <c r="M318" s="82"/>
      <c r="N318" s="7"/>
      <c r="O318" s="7"/>
    </row>
    <row r="319">
      <c r="A319" s="7"/>
      <c r="B319" s="7"/>
      <c r="C319" s="48"/>
      <c r="D319" s="48"/>
      <c r="E319" s="48"/>
      <c r="F319" s="41"/>
      <c r="G319" s="41"/>
      <c r="H319" s="41"/>
      <c r="I319" s="41"/>
      <c r="J319" s="41"/>
      <c r="K319" s="41"/>
      <c r="L319" s="41"/>
      <c r="M319" s="67"/>
      <c r="N319" s="7"/>
      <c r="O319" s="7"/>
    </row>
    <row r="320">
      <c r="A320" s="7"/>
      <c r="B320" s="7"/>
      <c r="C320" s="48"/>
      <c r="D320" s="48"/>
      <c r="E320" s="48"/>
      <c r="F320" s="41"/>
      <c r="G320" s="41"/>
      <c r="H320" s="41"/>
      <c r="I320" s="41"/>
      <c r="J320" s="41"/>
      <c r="K320" s="41"/>
      <c r="L320" s="41"/>
      <c r="M320" s="13"/>
      <c r="N320" s="7"/>
      <c r="O320" s="7"/>
    </row>
    <row r="321">
      <c r="A321" s="7"/>
      <c r="B321" s="7"/>
      <c r="C321" s="54"/>
      <c r="D321" s="54"/>
      <c r="E321" s="54"/>
      <c r="F321" s="48"/>
      <c r="G321" s="48"/>
      <c r="H321" s="48"/>
      <c r="I321" s="48"/>
      <c r="J321" s="41"/>
      <c r="K321" s="41"/>
      <c r="L321" s="41"/>
      <c r="M321" s="67"/>
      <c r="N321" s="7"/>
      <c r="O321" s="7"/>
    </row>
    <row r="322">
      <c r="A322" s="7"/>
      <c r="B322" s="7"/>
      <c r="C322" s="41"/>
      <c r="D322" s="41"/>
      <c r="E322" s="41"/>
      <c r="F322" s="41"/>
      <c r="G322" s="41"/>
      <c r="H322" s="41"/>
      <c r="I322" s="41"/>
      <c r="J322" s="7"/>
      <c r="K322" s="7"/>
      <c r="L322" s="7"/>
      <c r="M322" s="67"/>
      <c r="N322" s="7"/>
      <c r="O322" s="7"/>
    </row>
    <row r="323">
      <c r="A323" s="7"/>
      <c r="B323" s="7"/>
      <c r="C323" s="41"/>
      <c r="D323" s="41"/>
      <c r="E323" s="41"/>
      <c r="F323" s="48"/>
      <c r="G323" s="48"/>
      <c r="H323" s="48"/>
      <c r="I323" s="48"/>
      <c r="J323" s="7"/>
      <c r="K323" s="7"/>
      <c r="L323" s="7"/>
      <c r="M323" s="67"/>
      <c r="N323" s="7"/>
      <c r="O323" s="7"/>
    </row>
    <row r="324">
      <c r="A324" s="7"/>
      <c r="B324" s="7"/>
      <c r="C324" s="54"/>
      <c r="D324" s="54"/>
      <c r="E324" s="54"/>
      <c r="F324" s="41"/>
      <c r="G324" s="41"/>
      <c r="H324" s="41"/>
      <c r="I324" s="41"/>
      <c r="J324" s="7"/>
      <c r="K324" s="7"/>
      <c r="L324" s="7"/>
      <c r="M324" s="67"/>
      <c r="N324" s="7"/>
      <c r="O324" s="7"/>
    </row>
    <row r="325">
      <c r="A325" s="7"/>
      <c r="B325" s="7"/>
      <c r="C325" s="54"/>
      <c r="D325" s="54"/>
      <c r="E325" s="54"/>
      <c r="F325" s="41"/>
      <c r="G325" s="41"/>
      <c r="H325" s="41"/>
      <c r="I325" s="41"/>
      <c r="J325" s="41"/>
      <c r="K325" s="41"/>
      <c r="L325" s="41"/>
      <c r="M325" s="13"/>
      <c r="N325" s="7"/>
      <c r="O325" s="7"/>
    </row>
    <row r="326">
      <c r="A326" s="7"/>
      <c r="B326" s="7"/>
      <c r="C326" s="54"/>
      <c r="D326" s="54"/>
      <c r="E326" s="54"/>
      <c r="F326" s="48"/>
      <c r="G326" s="48"/>
      <c r="H326" s="48"/>
      <c r="I326" s="48"/>
      <c r="J326" s="41"/>
      <c r="K326" s="41"/>
      <c r="L326" s="41"/>
      <c r="M326" s="82"/>
      <c r="N326" s="7"/>
      <c r="O326" s="7"/>
    </row>
    <row r="327">
      <c r="A327" s="7"/>
      <c r="B327" s="7"/>
      <c r="C327" s="54"/>
      <c r="D327" s="54"/>
      <c r="E327" s="54"/>
      <c r="F327" s="48"/>
      <c r="G327" s="48"/>
      <c r="H327" s="48"/>
      <c r="I327" s="48"/>
      <c r="J327" s="41"/>
      <c r="K327" s="41"/>
      <c r="L327" s="41"/>
      <c r="M327" s="82"/>
      <c r="N327" s="7"/>
      <c r="O327" s="7"/>
    </row>
    <row r="328">
      <c r="A328" s="7"/>
      <c r="B328" s="7"/>
      <c r="C328" s="81"/>
      <c r="D328" s="81"/>
      <c r="E328" s="81"/>
      <c r="F328" s="81"/>
      <c r="G328" s="81"/>
      <c r="H328" s="81"/>
      <c r="I328" s="81"/>
      <c r="J328" s="81"/>
      <c r="K328" s="81"/>
      <c r="L328" s="81"/>
      <c r="M328" s="78"/>
      <c r="N328" s="7"/>
      <c r="O328" s="7"/>
    </row>
    <row r="329">
      <c r="A329" s="7"/>
      <c r="B329" s="7"/>
      <c r="C329" s="41"/>
      <c r="D329" s="41"/>
      <c r="E329" s="41"/>
      <c r="F329" s="41"/>
      <c r="G329" s="41"/>
      <c r="H329" s="41"/>
      <c r="I329" s="41"/>
      <c r="J329" s="41"/>
      <c r="K329" s="41"/>
      <c r="L329" s="41"/>
      <c r="M329" s="38"/>
      <c r="N329" s="7"/>
      <c r="O329" s="7"/>
    </row>
    <row r="330">
      <c r="A330" s="7"/>
      <c r="B330" s="7"/>
      <c r="C330" s="41"/>
      <c r="D330" s="41"/>
      <c r="E330" s="41"/>
      <c r="F330" s="48"/>
      <c r="G330" s="48"/>
      <c r="H330" s="48"/>
      <c r="I330" s="48"/>
      <c r="J330" s="41"/>
      <c r="K330" s="41"/>
      <c r="L330" s="41"/>
      <c r="M330" s="7"/>
      <c r="N330" s="7"/>
      <c r="O330" s="7"/>
    </row>
    <row r="331">
      <c r="A331" s="7"/>
      <c r="B331" s="7"/>
      <c r="C331" s="54"/>
      <c r="D331" s="54"/>
      <c r="E331" s="54"/>
      <c r="F331" s="41"/>
      <c r="G331" s="41"/>
      <c r="H331" s="41"/>
      <c r="I331" s="41"/>
      <c r="J331" s="41"/>
      <c r="K331" s="41"/>
      <c r="L331" s="41"/>
      <c r="M331" s="78"/>
      <c r="N331" s="7"/>
      <c r="O331" s="7"/>
    </row>
    <row r="332">
      <c r="A332" s="38"/>
      <c r="B332" s="38"/>
      <c r="C332" s="41"/>
      <c r="D332" s="41"/>
      <c r="E332" s="41"/>
      <c r="F332" s="41"/>
      <c r="G332" s="41"/>
      <c r="H332" s="41"/>
      <c r="I332" s="41"/>
      <c r="J332" s="7"/>
      <c r="K332" s="7"/>
      <c r="L332" s="7"/>
      <c r="M332" s="13"/>
      <c r="N332" s="7"/>
      <c r="O332" s="7"/>
    </row>
    <row r="333">
      <c r="A333" s="7"/>
      <c r="B333" s="7"/>
      <c r="C333" s="45"/>
      <c r="D333" s="45"/>
      <c r="E333" s="45"/>
      <c r="F333" s="7"/>
      <c r="G333" s="7"/>
      <c r="H333" s="7"/>
      <c r="I333" s="7"/>
      <c r="J333" s="7"/>
      <c r="K333" s="7"/>
      <c r="L333" s="7"/>
      <c r="M333" s="7"/>
      <c r="N333" s="7"/>
      <c r="O333" s="7"/>
    </row>
    <row r="334">
      <c r="A334" s="7"/>
      <c r="B334" s="7"/>
      <c r="C334" s="54"/>
      <c r="D334" s="54"/>
      <c r="E334" s="54"/>
      <c r="F334" s="41"/>
      <c r="G334" s="41"/>
      <c r="H334" s="41"/>
      <c r="I334" s="41"/>
      <c r="J334" s="41"/>
      <c r="K334" s="41"/>
      <c r="L334" s="41"/>
      <c r="M334" s="82"/>
      <c r="N334" s="7"/>
      <c r="O334" s="7"/>
    </row>
    <row r="335">
      <c r="A335" s="7"/>
      <c r="B335" s="7"/>
      <c r="C335" s="41"/>
      <c r="D335" s="41"/>
      <c r="E335" s="41"/>
      <c r="F335" s="41"/>
      <c r="G335" s="41"/>
      <c r="H335" s="41"/>
      <c r="I335" s="41"/>
      <c r="J335" s="47"/>
      <c r="K335" s="47"/>
      <c r="L335" s="13"/>
      <c r="M335" s="41"/>
      <c r="N335" s="7"/>
      <c r="O335" s="7"/>
    </row>
    <row r="336">
      <c r="A336" s="7"/>
      <c r="B336" s="7"/>
      <c r="C336" s="41"/>
      <c r="D336" s="41"/>
      <c r="E336" s="41"/>
      <c r="F336" s="41"/>
      <c r="G336" s="41"/>
      <c r="H336" s="41"/>
      <c r="I336" s="41"/>
      <c r="J336" s="13"/>
      <c r="K336" s="13"/>
      <c r="L336" s="13"/>
      <c r="M336" s="13"/>
      <c r="N336" s="7"/>
      <c r="O336" s="7"/>
    </row>
    <row r="337">
      <c r="A337" s="7"/>
      <c r="B337" s="7"/>
      <c r="C337" s="54"/>
      <c r="D337" s="54"/>
      <c r="E337" s="54"/>
      <c r="F337" s="41"/>
      <c r="G337" s="41"/>
      <c r="H337" s="41"/>
      <c r="I337" s="41"/>
      <c r="J337" s="41"/>
      <c r="K337" s="41"/>
      <c r="L337" s="41"/>
      <c r="M337" s="41"/>
      <c r="N337" s="7"/>
      <c r="O337" s="7"/>
    </row>
    <row r="338">
      <c r="A338" s="7"/>
      <c r="B338" s="7"/>
      <c r="C338" s="54"/>
      <c r="D338" s="54"/>
      <c r="E338" s="54"/>
      <c r="F338" s="41"/>
      <c r="G338" s="41"/>
      <c r="H338" s="41"/>
      <c r="I338" s="41"/>
      <c r="J338" s="13"/>
      <c r="K338" s="13"/>
      <c r="L338" s="13"/>
      <c r="M338" s="67"/>
      <c r="N338" s="7"/>
      <c r="O338" s="7"/>
    </row>
    <row r="339">
      <c r="A339" s="7"/>
      <c r="B339" s="7"/>
      <c r="C339" s="54"/>
      <c r="D339" s="54"/>
      <c r="E339" s="54"/>
      <c r="F339" s="41"/>
      <c r="G339" s="41"/>
      <c r="H339" s="41"/>
      <c r="I339" s="41"/>
      <c r="J339" s="7"/>
      <c r="K339" s="7"/>
      <c r="L339" s="7"/>
      <c r="M339" s="13"/>
      <c r="N339" s="7"/>
      <c r="O339" s="7"/>
    </row>
    <row r="340">
      <c r="A340" s="7"/>
      <c r="B340" s="7"/>
      <c r="C340" s="54"/>
      <c r="D340" s="54"/>
      <c r="E340" s="54"/>
      <c r="F340" s="48"/>
      <c r="G340" s="48"/>
      <c r="H340" s="48"/>
      <c r="I340" s="48"/>
      <c r="J340" s="41"/>
      <c r="K340" s="41"/>
      <c r="L340" s="41"/>
      <c r="M340" s="67"/>
      <c r="N340" s="7"/>
      <c r="O340" s="7"/>
    </row>
    <row r="341">
      <c r="A341" s="7"/>
      <c r="B341" s="7"/>
      <c r="C341" s="63"/>
      <c r="D341" s="63"/>
      <c r="E341" s="63"/>
      <c r="F341" s="41"/>
      <c r="G341" s="41"/>
      <c r="H341" s="41"/>
      <c r="I341" s="41"/>
      <c r="J341" s="13"/>
      <c r="K341" s="13"/>
      <c r="L341" s="13"/>
      <c r="M341" s="13"/>
      <c r="N341" s="7"/>
      <c r="O341" s="7"/>
    </row>
  </sheetData>
  <autoFilter ref="$A$2:$O$8">
    <sortState ref="A2:O8">
      <sortCondition ref="C2:C8"/>
    </sortState>
  </autoFilter>
  <conditionalFormatting sqref="A2:O341">
    <cfRule type="expression" dxfId="10" priority="1">
      <formula>#REF!="隔週B"</formula>
    </cfRule>
  </conditionalFormatting>
  <conditionalFormatting sqref="A2:O341">
    <cfRule type="expression" dxfId="2" priority="2">
      <formula>#REF!="隔週A"</formula>
    </cfRule>
  </conditionalFormatting>
  <conditionalFormatting sqref="A2:O341">
    <cfRule type="expression" dxfId="9" priority="3">
      <formula>$D2="検"</formula>
    </cfRule>
  </conditionalFormatting>
  <conditionalFormatting sqref="G2:I341">
    <cfRule type="expression" dxfId="10" priority="4">
      <formula>#REF!="隔週B"</formula>
    </cfRule>
  </conditionalFormatting>
  <conditionalFormatting sqref="G2:I341">
    <cfRule type="expression" dxfId="2" priority="5">
      <formula>#REF!="隔週A"</formula>
    </cfRule>
  </conditionalFormatting>
  <conditionalFormatting sqref="L1:L341">
    <cfRule type="cellIs" dxfId="3" priority="6" operator="equal">
      <formula>"R"</formula>
    </cfRule>
  </conditionalFormatting>
  <conditionalFormatting sqref="B1:E341 A2:A341 F2:O341">
    <cfRule type="expression" dxfId="10" priority="7">
      <formula>$D1="隔週B"</formula>
    </cfRule>
  </conditionalFormatting>
  <conditionalFormatting sqref="B1:E341 A2:A341 F2:O341">
    <cfRule type="expression" dxfId="2" priority="8">
      <formula>$D1="隔週A"</formula>
    </cfRule>
  </conditionalFormatting>
  <conditionalFormatting sqref="B1:E341 A2:A341 F2:O341">
    <cfRule type="expression" dxfId="8" priority="9">
      <formula>#REF!=TRUE</formula>
    </cfRule>
  </conditionalFormatting>
  <conditionalFormatting sqref="C6:D341 H6:O341">
    <cfRule type="expression" dxfId="10" priority="10">
      <formula>$H8="隔週B"</formula>
    </cfRule>
  </conditionalFormatting>
  <conditionalFormatting sqref="C6:D341 H6:O341">
    <cfRule type="expression" dxfId="2" priority="11">
      <formula>$H8="隔週A"</formula>
    </cfRule>
  </conditionalFormatting>
  <conditionalFormatting sqref="C6:D341 H6:O341">
    <cfRule type="expression" dxfId="9" priority="12">
      <formula>$H6="検"</formula>
    </cfRule>
  </conditionalFormatting>
  <conditionalFormatting sqref="C3:D5 H3:O5">
    <cfRule type="expression" dxfId="9" priority="13">
      <formula>$H3="検"</formula>
    </cfRule>
  </conditionalFormatting>
  <conditionalFormatting sqref="I6:K341">
    <cfRule type="expression" dxfId="10" priority="14">
      <formula>#REF!="隔週B"</formula>
    </cfRule>
  </conditionalFormatting>
  <conditionalFormatting sqref="I6:K341">
    <cfRule type="expression" dxfId="2" priority="15">
      <formula>#REF!="隔週A"</formula>
    </cfRule>
  </conditionalFormatting>
  <conditionalFormatting sqref="I6:K341">
    <cfRule type="expression" dxfId="9" priority="16">
      <formula>#REF!="検"</formula>
    </cfRule>
  </conditionalFormatting>
  <conditionalFormatting sqref="C3:D5 H3:O5">
    <cfRule type="expression" dxfId="10" priority="17">
      <formula>#REF!="隔週B"</formula>
    </cfRule>
  </conditionalFormatting>
  <conditionalFormatting sqref="C3:D5 H3:O5">
    <cfRule type="expression" dxfId="2" priority="18">
      <formula>#REF!="隔週A"</formula>
    </cfRule>
  </conditionalFormatting>
  <conditionalFormatting sqref="G2:I341 J3:K5">
    <cfRule type="expression" dxfId="9" priority="19">
      <formula>$C2="検"</formula>
    </cfRule>
  </conditionalFormatting>
  <hyperlinks>
    <hyperlink r:id="rId2" location="gid=689531587" ref="K3"/>
    <hyperlink r:id="rId3" location="gid=689531587" ref="K4"/>
    <hyperlink r:id="rId4" location="gid=689531587" ref="K5"/>
    <hyperlink r:id="rId5" location="gid=689531587" ref="K6"/>
    <hyperlink r:id="rId6" location="gid=689531587" ref="K7"/>
    <hyperlink r:id="rId7" location="gid=689531587" ref="K8"/>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7.63"/>
    <col customWidth="1" min="3" max="3" width="35.13"/>
    <col customWidth="1" min="4" max="5" width="7.63"/>
    <col customWidth="1" min="6" max="6" width="12.63"/>
    <col customWidth="1" min="7" max="7" width="7.63"/>
    <col customWidth="1" min="8" max="10" width="12.63"/>
    <col customWidth="1" min="11" max="11" width="35.13"/>
    <col customWidth="1" min="12" max="15" width="7.63"/>
  </cols>
  <sheetData>
    <row r="1">
      <c r="A1" s="84" t="s">
        <v>503</v>
      </c>
      <c r="B1" s="34" t="s">
        <v>136</v>
      </c>
      <c r="C1" s="34" t="s">
        <v>0</v>
      </c>
      <c r="D1" s="35" t="s">
        <v>1</v>
      </c>
      <c r="E1" s="35" t="s">
        <v>137</v>
      </c>
      <c r="F1" s="35" t="s">
        <v>138</v>
      </c>
      <c r="G1" s="34" t="s">
        <v>139</v>
      </c>
      <c r="H1" s="34" t="s">
        <v>140</v>
      </c>
      <c r="I1" s="34" t="s">
        <v>141</v>
      </c>
      <c r="J1" s="34" t="s">
        <v>142</v>
      </c>
      <c r="K1" s="34" t="s">
        <v>143</v>
      </c>
      <c r="L1" s="34" t="s">
        <v>6</v>
      </c>
      <c r="M1" s="34" t="s">
        <v>3</v>
      </c>
      <c r="N1" s="34" t="s">
        <v>4</v>
      </c>
      <c r="O1" s="36" t="s">
        <v>144</v>
      </c>
    </row>
    <row r="2" ht="17.25" customHeight="1">
      <c r="A2" s="91">
        <v>46113.0</v>
      </c>
      <c r="B2" s="38">
        <v>12.0</v>
      </c>
      <c r="C2" s="39" t="s">
        <v>504</v>
      </c>
      <c r="D2" s="13">
        <v>2.0</v>
      </c>
      <c r="E2" s="38" t="s">
        <v>51</v>
      </c>
      <c r="F2" s="40"/>
      <c r="G2" s="41" t="s">
        <v>180</v>
      </c>
      <c r="H2" s="41"/>
      <c r="I2" s="41"/>
      <c r="J2" s="41"/>
      <c r="K2" s="39" t="s">
        <v>505</v>
      </c>
      <c r="L2" s="13"/>
      <c r="M2" s="13" t="s">
        <v>152</v>
      </c>
      <c r="N2" s="13" t="s">
        <v>150</v>
      </c>
      <c r="O2" s="7" t="b">
        <v>0</v>
      </c>
    </row>
    <row r="3" ht="17.25" customHeight="1">
      <c r="A3" s="91">
        <v>46126.0</v>
      </c>
      <c r="B3" s="7">
        <v>21.0</v>
      </c>
      <c r="C3" s="39" t="s">
        <v>506</v>
      </c>
      <c r="D3" s="13">
        <v>0.7</v>
      </c>
      <c r="E3" s="38" t="s">
        <v>51</v>
      </c>
      <c r="F3" s="42"/>
      <c r="G3" s="41" t="s">
        <v>148</v>
      </c>
      <c r="H3" s="41"/>
      <c r="I3" s="41"/>
      <c r="J3" s="41"/>
      <c r="K3" s="39"/>
      <c r="L3" s="43"/>
      <c r="M3" s="43" t="s">
        <v>152</v>
      </c>
      <c r="N3" s="13" t="s">
        <v>150</v>
      </c>
      <c r="O3" s="7" t="b">
        <v>0</v>
      </c>
    </row>
    <row r="4" ht="17.25" customHeight="1">
      <c r="A4" s="91">
        <v>46127.0</v>
      </c>
      <c r="B4" s="7">
        <v>12.0</v>
      </c>
      <c r="C4" s="39" t="s">
        <v>504</v>
      </c>
      <c r="D4" s="7">
        <v>2.0</v>
      </c>
      <c r="E4" s="38" t="s">
        <v>51</v>
      </c>
      <c r="F4" s="8"/>
      <c r="G4" s="44" t="s">
        <v>180</v>
      </c>
      <c r="H4" s="44"/>
      <c r="I4" s="44"/>
      <c r="J4" s="44"/>
      <c r="K4" s="39" t="s">
        <v>505</v>
      </c>
      <c r="L4" s="7"/>
      <c r="M4" s="7" t="s">
        <v>152</v>
      </c>
      <c r="N4" s="7" t="s">
        <v>150</v>
      </c>
      <c r="O4" s="7" t="b">
        <v>0</v>
      </c>
    </row>
    <row r="5" ht="17.25" customHeight="1">
      <c r="A5" s="91">
        <v>46129.0</v>
      </c>
      <c r="B5" s="7">
        <v>20.0</v>
      </c>
      <c r="C5" s="39" t="s">
        <v>507</v>
      </c>
      <c r="D5" s="13">
        <v>2.2</v>
      </c>
      <c r="E5" s="38" t="s">
        <v>51</v>
      </c>
      <c r="F5" s="8"/>
      <c r="G5" s="7" t="s">
        <v>148</v>
      </c>
      <c r="H5" s="7"/>
      <c r="I5" s="7"/>
      <c r="J5" s="7"/>
      <c r="K5" s="39"/>
      <c r="L5" s="7"/>
      <c r="M5" s="7" t="s">
        <v>152</v>
      </c>
      <c r="N5" s="7" t="s">
        <v>158</v>
      </c>
      <c r="O5" s="7" t="b">
        <v>0</v>
      </c>
    </row>
    <row r="6" ht="17.25" customHeight="1">
      <c r="A6" s="91">
        <v>46132.0</v>
      </c>
      <c r="B6" s="7">
        <v>20.0</v>
      </c>
      <c r="C6" s="45" t="s">
        <v>508</v>
      </c>
      <c r="D6" s="7">
        <v>0.1</v>
      </c>
      <c r="E6" s="38" t="s">
        <v>51</v>
      </c>
      <c r="F6" s="8"/>
      <c r="G6" s="46" t="s">
        <v>148</v>
      </c>
      <c r="H6" s="46"/>
      <c r="I6" s="46"/>
      <c r="J6" s="46"/>
      <c r="K6" s="45"/>
      <c r="L6" s="7"/>
      <c r="M6" s="7" t="s">
        <v>152</v>
      </c>
      <c r="N6" s="7" t="s">
        <v>150</v>
      </c>
      <c r="O6" s="7" t="b">
        <v>0</v>
      </c>
    </row>
    <row r="7" ht="17.25" customHeight="1">
      <c r="A7" s="91">
        <v>46126.0</v>
      </c>
      <c r="B7" s="7">
        <v>10.0</v>
      </c>
      <c r="C7" s="13" t="s">
        <v>509</v>
      </c>
      <c r="D7" s="13">
        <v>0.9</v>
      </c>
      <c r="E7" s="38" t="s">
        <v>510</v>
      </c>
      <c r="F7" s="40"/>
      <c r="G7" s="41" t="s">
        <v>148</v>
      </c>
      <c r="H7" s="41"/>
      <c r="I7" s="41"/>
      <c r="J7" s="41"/>
      <c r="K7" s="88">
        <v>3317.0</v>
      </c>
      <c r="L7" s="13"/>
      <c r="M7" s="13" t="s">
        <v>158</v>
      </c>
      <c r="N7" s="13" t="s">
        <v>150</v>
      </c>
      <c r="O7" s="7" t="b">
        <v>0</v>
      </c>
    </row>
    <row r="8" ht="17.25" customHeight="1">
      <c r="A8" s="91">
        <v>46126.0</v>
      </c>
      <c r="B8" s="7">
        <v>18.0</v>
      </c>
      <c r="C8" s="47" t="s">
        <v>511</v>
      </c>
      <c r="D8" s="13">
        <v>6.8</v>
      </c>
      <c r="E8" s="38" t="s">
        <v>510</v>
      </c>
      <c r="F8" s="40"/>
      <c r="G8" s="48" t="s">
        <v>180</v>
      </c>
      <c r="H8" s="48"/>
      <c r="I8" s="48"/>
      <c r="J8" s="48"/>
      <c r="K8" s="47"/>
      <c r="L8" s="13"/>
      <c r="M8" s="13" t="s">
        <v>158</v>
      </c>
      <c r="N8" s="13" t="s">
        <v>150</v>
      </c>
      <c r="O8" s="7" t="b">
        <v>0</v>
      </c>
    </row>
    <row r="9" ht="17.25" customHeight="1">
      <c r="A9" s="91">
        <v>46127.0</v>
      </c>
      <c r="B9" s="7">
        <v>19.0</v>
      </c>
      <c r="C9" s="47" t="s">
        <v>512</v>
      </c>
      <c r="D9" s="13">
        <v>3.5</v>
      </c>
      <c r="E9" s="38" t="s">
        <v>510</v>
      </c>
      <c r="F9" s="40"/>
      <c r="G9" s="48" t="s">
        <v>148</v>
      </c>
      <c r="H9" s="48"/>
      <c r="I9" s="48"/>
      <c r="J9" s="48"/>
      <c r="K9" s="47"/>
      <c r="L9" s="13"/>
      <c r="M9" s="13" t="s">
        <v>158</v>
      </c>
      <c r="N9" s="13" t="s">
        <v>150</v>
      </c>
      <c r="O9" s="7" t="b">
        <v>0</v>
      </c>
    </row>
    <row r="10" ht="17.25" customHeight="1">
      <c r="A10" s="91">
        <v>46127.0</v>
      </c>
      <c r="B10" s="7">
        <v>9.0</v>
      </c>
      <c r="C10" s="13" t="s">
        <v>513</v>
      </c>
      <c r="D10" s="7">
        <v>0.2</v>
      </c>
      <c r="E10" s="38" t="s">
        <v>510</v>
      </c>
      <c r="F10" s="8"/>
      <c r="G10" s="13" t="s">
        <v>148</v>
      </c>
      <c r="H10" s="13"/>
      <c r="I10" s="13"/>
      <c r="J10" s="13"/>
      <c r="K10" s="13"/>
      <c r="L10" s="7"/>
      <c r="M10" s="7" t="s">
        <v>152</v>
      </c>
      <c r="N10" s="7" t="s">
        <v>150</v>
      </c>
      <c r="O10" s="7" t="b">
        <v>0</v>
      </c>
    </row>
    <row r="11" ht="17.25" customHeight="1">
      <c r="A11" s="91">
        <v>46127.0</v>
      </c>
      <c r="B11" s="7">
        <v>10.0</v>
      </c>
      <c r="C11" s="47" t="s">
        <v>514</v>
      </c>
      <c r="D11" s="13">
        <v>2.8</v>
      </c>
      <c r="E11" s="38" t="s">
        <v>510</v>
      </c>
      <c r="F11" s="40"/>
      <c r="G11" s="48" t="s">
        <v>148</v>
      </c>
      <c r="H11" s="48"/>
      <c r="I11" s="48"/>
      <c r="J11" s="48"/>
      <c r="K11" s="47"/>
      <c r="L11" s="13"/>
      <c r="M11" s="13" t="s">
        <v>152</v>
      </c>
      <c r="N11" s="13" t="s">
        <v>150</v>
      </c>
      <c r="O11" s="7" t="b">
        <v>0</v>
      </c>
    </row>
    <row r="12" ht="17.25" customHeight="1">
      <c r="A12" s="91">
        <v>46127.0</v>
      </c>
      <c r="B12" s="7">
        <v>10.0</v>
      </c>
      <c r="C12" s="49" t="s">
        <v>515</v>
      </c>
      <c r="D12" s="38">
        <v>2.8</v>
      </c>
      <c r="E12" s="38" t="s">
        <v>510</v>
      </c>
      <c r="F12" s="8"/>
      <c r="G12" s="7" t="s">
        <v>148</v>
      </c>
      <c r="H12" s="7"/>
      <c r="I12" s="7"/>
      <c r="J12" s="7"/>
      <c r="K12" s="49"/>
      <c r="L12" s="7"/>
      <c r="M12" s="38" t="s">
        <v>152</v>
      </c>
      <c r="N12" s="38" t="s">
        <v>150</v>
      </c>
      <c r="O12" s="7" t="b">
        <v>0</v>
      </c>
    </row>
    <row r="13" ht="17.25" customHeight="1">
      <c r="A13" s="91">
        <v>46128.0</v>
      </c>
      <c r="B13" s="7">
        <v>19.0</v>
      </c>
      <c r="C13" s="51" t="s">
        <v>516</v>
      </c>
      <c r="D13" s="7">
        <v>4.0</v>
      </c>
      <c r="E13" s="38" t="s">
        <v>510</v>
      </c>
      <c r="F13" s="8"/>
      <c r="G13" s="46" t="s">
        <v>148</v>
      </c>
      <c r="H13" s="46"/>
      <c r="I13" s="46"/>
      <c r="J13" s="46"/>
      <c r="K13" s="51"/>
      <c r="L13" s="7"/>
      <c r="M13" s="38" t="s">
        <v>152</v>
      </c>
      <c r="N13" s="7" t="s">
        <v>150</v>
      </c>
      <c r="O13" s="7" t="b">
        <v>0</v>
      </c>
    </row>
    <row r="14" ht="17.25" customHeight="1">
      <c r="A14" s="91">
        <v>46128.0</v>
      </c>
      <c r="B14" s="7">
        <v>10.0</v>
      </c>
      <c r="C14" s="45" t="s">
        <v>517</v>
      </c>
      <c r="D14" s="7">
        <v>0.8</v>
      </c>
      <c r="E14" s="38" t="s">
        <v>510</v>
      </c>
      <c r="F14" s="8"/>
      <c r="G14" s="7" t="s">
        <v>148</v>
      </c>
      <c r="H14" s="7"/>
      <c r="I14" s="7"/>
      <c r="J14" s="7"/>
      <c r="K14" s="45"/>
      <c r="L14" s="7"/>
      <c r="M14" s="7" t="s">
        <v>152</v>
      </c>
      <c r="N14" s="7" t="s">
        <v>150</v>
      </c>
      <c r="O14" s="7" t="b">
        <v>0</v>
      </c>
    </row>
    <row r="15" ht="17.25" customHeight="1">
      <c r="A15" s="91">
        <v>46128.0</v>
      </c>
      <c r="B15" s="7">
        <v>15.0</v>
      </c>
      <c r="C15" s="41" t="s">
        <v>518</v>
      </c>
      <c r="D15" s="13">
        <v>6.8</v>
      </c>
      <c r="E15" s="38" t="s">
        <v>510</v>
      </c>
      <c r="F15" s="40"/>
      <c r="G15" s="13" t="s">
        <v>180</v>
      </c>
      <c r="H15" s="13"/>
      <c r="I15" s="13"/>
      <c r="J15" s="13"/>
      <c r="K15" s="41"/>
      <c r="L15" s="13"/>
      <c r="M15" s="13" t="s">
        <v>158</v>
      </c>
      <c r="N15" s="41" t="s">
        <v>150</v>
      </c>
      <c r="O15" s="7" t="b">
        <v>0</v>
      </c>
    </row>
    <row r="16" ht="17.25" customHeight="1">
      <c r="A16" s="91">
        <v>46129.0</v>
      </c>
      <c r="B16" s="7">
        <v>8.0</v>
      </c>
      <c r="C16" s="49" t="s">
        <v>519</v>
      </c>
      <c r="D16" s="7">
        <v>2.4</v>
      </c>
      <c r="E16" s="38" t="s">
        <v>510</v>
      </c>
      <c r="F16" s="8"/>
      <c r="G16" s="7" t="s">
        <v>148</v>
      </c>
      <c r="H16" s="7"/>
      <c r="I16" s="7"/>
      <c r="J16" s="7"/>
      <c r="K16" s="49"/>
      <c r="L16" s="7"/>
      <c r="M16" s="38" t="s">
        <v>152</v>
      </c>
      <c r="N16" s="38" t="s">
        <v>150</v>
      </c>
      <c r="O16" s="7" t="b">
        <v>0</v>
      </c>
    </row>
    <row r="17" ht="17.25" customHeight="1">
      <c r="A17" s="91">
        <v>46129.0</v>
      </c>
      <c r="B17" s="7">
        <v>18.0</v>
      </c>
      <c r="C17" s="49" t="s">
        <v>520</v>
      </c>
      <c r="D17" s="7">
        <v>4.0</v>
      </c>
      <c r="E17" s="38" t="s">
        <v>510</v>
      </c>
      <c r="F17" s="8"/>
      <c r="G17" s="7" t="s">
        <v>180</v>
      </c>
      <c r="H17" s="7"/>
      <c r="I17" s="7"/>
      <c r="J17" s="7"/>
      <c r="K17" s="49"/>
      <c r="L17" s="7"/>
      <c r="M17" s="38" t="s">
        <v>158</v>
      </c>
      <c r="N17" s="38" t="s">
        <v>150</v>
      </c>
      <c r="O17" s="7" t="b">
        <v>0</v>
      </c>
    </row>
    <row r="18" ht="17.25" customHeight="1">
      <c r="A18" s="91">
        <v>46129.0</v>
      </c>
      <c r="B18" s="7">
        <v>19.0</v>
      </c>
      <c r="C18" s="49" t="s">
        <v>521</v>
      </c>
      <c r="D18" s="7">
        <v>4.0</v>
      </c>
      <c r="E18" s="38" t="s">
        <v>510</v>
      </c>
      <c r="F18" s="8"/>
      <c r="G18" s="7" t="s">
        <v>148</v>
      </c>
      <c r="H18" s="7"/>
      <c r="I18" s="7"/>
      <c r="J18" s="7"/>
      <c r="K18" s="49"/>
      <c r="L18" s="7"/>
      <c r="M18" s="38" t="s">
        <v>158</v>
      </c>
      <c r="N18" s="38" t="s">
        <v>150</v>
      </c>
      <c r="O18" s="7" t="b">
        <v>0</v>
      </c>
    </row>
    <row r="19" ht="17.25" customHeight="1">
      <c r="A19" s="91">
        <v>46130.0</v>
      </c>
      <c r="B19" s="7">
        <v>15.0</v>
      </c>
      <c r="C19" s="52" t="s">
        <v>522</v>
      </c>
      <c r="D19" s="52">
        <v>5.6</v>
      </c>
      <c r="E19" s="38" t="s">
        <v>510</v>
      </c>
      <c r="F19" s="53"/>
      <c r="G19" s="52" t="s">
        <v>148</v>
      </c>
      <c r="H19" s="52"/>
      <c r="I19" s="52"/>
      <c r="J19" s="52"/>
      <c r="K19" s="52"/>
      <c r="L19" s="52"/>
      <c r="M19" s="52" t="s">
        <v>158</v>
      </c>
      <c r="N19" s="52" t="s">
        <v>150</v>
      </c>
      <c r="O19" s="7" t="b">
        <v>0</v>
      </c>
    </row>
    <row r="20" ht="17.25" customHeight="1">
      <c r="A20" s="91">
        <v>46130.0</v>
      </c>
      <c r="B20" s="7">
        <v>17.0</v>
      </c>
      <c r="C20" s="52" t="s">
        <v>523</v>
      </c>
      <c r="D20" s="52">
        <v>2.2</v>
      </c>
      <c r="E20" s="38" t="s">
        <v>510</v>
      </c>
      <c r="F20" s="53"/>
      <c r="G20" s="52" t="s">
        <v>148</v>
      </c>
      <c r="H20" s="52"/>
      <c r="I20" s="52"/>
      <c r="J20" s="52"/>
      <c r="K20" s="52"/>
      <c r="L20" s="52"/>
      <c r="M20" s="52" t="s">
        <v>158</v>
      </c>
      <c r="N20" s="52" t="s">
        <v>150</v>
      </c>
      <c r="O20" s="7" t="b">
        <v>0</v>
      </c>
    </row>
    <row r="21" ht="17.25" customHeight="1">
      <c r="A21" s="91">
        <v>46131.0</v>
      </c>
      <c r="B21" s="7">
        <v>17.0</v>
      </c>
      <c r="C21" s="54" t="s">
        <v>524</v>
      </c>
      <c r="D21" s="13">
        <v>2.8</v>
      </c>
      <c r="E21" s="38" t="s">
        <v>510</v>
      </c>
      <c r="F21" s="40"/>
      <c r="G21" s="48" t="s">
        <v>148</v>
      </c>
      <c r="H21" s="48"/>
      <c r="I21" s="48"/>
      <c r="J21" s="48"/>
      <c r="K21" s="54"/>
      <c r="L21" s="13"/>
      <c r="M21" s="13" t="s">
        <v>158</v>
      </c>
      <c r="N21" s="13" t="s">
        <v>150</v>
      </c>
      <c r="O21" s="7" t="b">
        <v>0</v>
      </c>
    </row>
    <row r="22" ht="17.25" customHeight="1">
      <c r="A22" s="91">
        <v>46131.0</v>
      </c>
      <c r="B22" s="7">
        <v>18.0</v>
      </c>
      <c r="C22" s="54" t="s">
        <v>525</v>
      </c>
      <c r="D22" s="41">
        <v>5.0</v>
      </c>
      <c r="E22" s="38" t="s">
        <v>510</v>
      </c>
      <c r="F22" s="40"/>
      <c r="G22" s="41" t="s">
        <v>148</v>
      </c>
      <c r="H22" s="41"/>
      <c r="I22" s="41"/>
      <c r="J22" s="41"/>
      <c r="K22" s="54"/>
      <c r="L22" s="13"/>
      <c r="M22" s="13" t="s">
        <v>152</v>
      </c>
      <c r="N22" s="13" t="s">
        <v>150</v>
      </c>
      <c r="O22" s="7" t="b">
        <v>0</v>
      </c>
    </row>
    <row r="23" ht="17.25" customHeight="1">
      <c r="A23" s="91">
        <v>46132.0</v>
      </c>
      <c r="B23" s="7">
        <v>12.0</v>
      </c>
      <c r="C23" s="55" t="s">
        <v>526</v>
      </c>
      <c r="D23" s="7">
        <v>2.3</v>
      </c>
      <c r="E23" s="38" t="s">
        <v>510</v>
      </c>
      <c r="F23" s="8"/>
      <c r="G23" s="41" t="s">
        <v>148</v>
      </c>
      <c r="H23" s="41"/>
      <c r="I23" s="41"/>
      <c r="J23" s="41"/>
      <c r="K23" s="55"/>
      <c r="L23" s="7"/>
      <c r="M23" s="7" t="s">
        <v>152</v>
      </c>
      <c r="N23" s="7" t="s">
        <v>150</v>
      </c>
      <c r="O23" s="7" t="b">
        <v>0</v>
      </c>
    </row>
    <row r="24" ht="17.25" customHeight="1">
      <c r="A24" s="91">
        <v>46132.0</v>
      </c>
      <c r="B24" s="7">
        <v>17.0</v>
      </c>
      <c r="C24" s="41" t="s">
        <v>527</v>
      </c>
      <c r="D24" s="41">
        <v>2.6</v>
      </c>
      <c r="E24" s="38" t="s">
        <v>510</v>
      </c>
      <c r="F24" s="40"/>
      <c r="G24" s="41" t="s">
        <v>148</v>
      </c>
      <c r="H24" s="41"/>
      <c r="I24" s="41"/>
      <c r="J24" s="41"/>
      <c r="K24" s="41"/>
      <c r="L24" s="13"/>
      <c r="M24" s="13" t="s">
        <v>150</v>
      </c>
      <c r="N24" s="41" t="s">
        <v>223</v>
      </c>
      <c r="O24" s="7" t="b">
        <v>0</v>
      </c>
    </row>
    <row r="25" ht="17.25" customHeight="1">
      <c r="A25" s="91">
        <v>46132.0</v>
      </c>
      <c r="B25" s="7">
        <v>17.0</v>
      </c>
      <c r="C25" s="41" t="s">
        <v>528</v>
      </c>
      <c r="D25" s="13">
        <v>2.4</v>
      </c>
      <c r="E25" s="38" t="s">
        <v>510</v>
      </c>
      <c r="F25" s="40"/>
      <c r="G25" s="41" t="s">
        <v>148</v>
      </c>
      <c r="H25" s="41"/>
      <c r="I25" s="41"/>
      <c r="J25" s="41"/>
      <c r="K25" s="41"/>
      <c r="L25" s="13"/>
      <c r="M25" s="13" t="s">
        <v>150</v>
      </c>
      <c r="N25" s="13" t="s">
        <v>223</v>
      </c>
      <c r="O25" s="7" t="b">
        <v>0</v>
      </c>
    </row>
    <row r="26" ht="17.25" customHeight="1">
      <c r="A26" s="91">
        <v>46132.0</v>
      </c>
      <c r="B26" s="7">
        <v>20.0</v>
      </c>
      <c r="C26" s="45" t="s">
        <v>508</v>
      </c>
      <c r="D26" s="7"/>
      <c r="E26" s="7"/>
      <c r="F26" s="12"/>
      <c r="G26" s="7"/>
      <c r="H26" s="7"/>
      <c r="I26" s="7"/>
      <c r="J26" s="7"/>
      <c r="K26" s="45" t="s">
        <v>529</v>
      </c>
      <c r="L26" s="56" t="s">
        <v>530</v>
      </c>
      <c r="M26" s="7"/>
      <c r="N26" s="7"/>
      <c r="O26" s="7" t="b">
        <v>0</v>
      </c>
    </row>
    <row r="27" ht="17.25" customHeight="1">
      <c r="A27" s="91">
        <v>46130.0</v>
      </c>
      <c r="B27" s="7">
        <v>10.0</v>
      </c>
      <c r="C27" s="45" t="s">
        <v>531</v>
      </c>
      <c r="D27" s="7">
        <v>2.0</v>
      </c>
      <c r="E27" s="7"/>
      <c r="F27" s="12"/>
      <c r="G27" s="7"/>
      <c r="H27" s="7"/>
      <c r="I27" s="7"/>
      <c r="J27" s="7"/>
      <c r="K27" s="45" t="s">
        <v>532</v>
      </c>
      <c r="L27" s="56" t="s">
        <v>533</v>
      </c>
      <c r="M27" s="7"/>
      <c r="N27" s="7"/>
      <c r="O27" s="7" t="b">
        <v>0</v>
      </c>
    </row>
    <row r="28" ht="17.25" customHeight="1">
      <c r="A28" s="91">
        <v>46137.0</v>
      </c>
      <c r="B28" s="7">
        <v>10.0</v>
      </c>
      <c r="C28" s="49" t="s">
        <v>531</v>
      </c>
      <c r="D28" s="7">
        <v>2.0</v>
      </c>
      <c r="E28" s="7"/>
      <c r="F28" s="8"/>
      <c r="G28" s="48"/>
      <c r="H28" s="48"/>
      <c r="I28" s="48"/>
      <c r="J28" s="48"/>
      <c r="K28" s="49" t="s">
        <v>532</v>
      </c>
      <c r="L28" s="7" t="s">
        <v>533</v>
      </c>
      <c r="M28" s="7"/>
      <c r="N28" s="7"/>
      <c r="O28" s="7" t="b">
        <v>0</v>
      </c>
    </row>
    <row r="29" ht="17.25" customHeight="1">
      <c r="A29" s="91">
        <v>46091.0</v>
      </c>
      <c r="B29" s="7">
        <v>11.0</v>
      </c>
      <c r="C29" s="45" t="s">
        <v>534</v>
      </c>
      <c r="D29" s="7"/>
      <c r="E29" s="7" t="s">
        <v>52</v>
      </c>
      <c r="F29" s="8"/>
      <c r="G29" s="7"/>
      <c r="H29" s="7"/>
      <c r="I29" s="7"/>
      <c r="J29" s="7"/>
      <c r="K29" s="45" t="s">
        <v>535</v>
      </c>
      <c r="L29" s="7" t="s">
        <v>536</v>
      </c>
      <c r="M29" s="7"/>
      <c r="N29" s="7"/>
      <c r="O29" s="7" t="b">
        <v>0</v>
      </c>
    </row>
    <row r="30" ht="17.25" customHeight="1">
      <c r="A30" s="91">
        <v>46098.0</v>
      </c>
      <c r="B30" s="7">
        <v>11.0</v>
      </c>
      <c r="C30" s="45" t="s">
        <v>534</v>
      </c>
      <c r="D30" s="7"/>
      <c r="E30" s="7" t="s">
        <v>52</v>
      </c>
      <c r="F30" s="8"/>
      <c r="G30" s="7"/>
      <c r="H30" s="7"/>
      <c r="I30" s="7"/>
      <c r="J30" s="7"/>
      <c r="K30" s="45" t="s">
        <v>535</v>
      </c>
      <c r="L30" s="7" t="s">
        <v>536</v>
      </c>
      <c r="M30" s="7"/>
      <c r="N30" s="7"/>
      <c r="O30" s="7" t="b">
        <v>0</v>
      </c>
    </row>
    <row r="31" ht="17.25" customHeight="1">
      <c r="A31" s="91">
        <v>46105.0</v>
      </c>
      <c r="B31" s="7">
        <v>11.0</v>
      </c>
      <c r="C31" s="49" t="s">
        <v>534</v>
      </c>
      <c r="D31" s="7"/>
      <c r="E31" s="7" t="s">
        <v>52</v>
      </c>
      <c r="F31" s="40"/>
      <c r="G31" s="7"/>
      <c r="H31" s="7"/>
      <c r="I31" s="7"/>
      <c r="J31" s="7"/>
      <c r="K31" s="49" t="s">
        <v>535</v>
      </c>
      <c r="L31" s="13" t="s">
        <v>536</v>
      </c>
      <c r="M31" s="13"/>
      <c r="N31" s="13"/>
      <c r="O31" s="7" t="b">
        <v>0</v>
      </c>
    </row>
    <row r="32" ht="17.25" customHeight="1">
      <c r="A32" s="91">
        <v>46112.0</v>
      </c>
      <c r="B32" s="7">
        <v>11.0</v>
      </c>
      <c r="C32" s="45" t="s">
        <v>534</v>
      </c>
      <c r="D32" s="7"/>
      <c r="E32" s="7" t="s">
        <v>52</v>
      </c>
      <c r="F32" s="40"/>
      <c r="G32" s="7"/>
      <c r="H32" s="7"/>
      <c r="I32" s="7"/>
      <c r="J32" s="7"/>
      <c r="K32" s="45" t="s">
        <v>535</v>
      </c>
      <c r="L32" s="13" t="s">
        <v>536</v>
      </c>
      <c r="M32" s="13"/>
      <c r="N32" s="13"/>
      <c r="O32" s="7" t="b">
        <v>0</v>
      </c>
    </row>
    <row r="33" ht="17.25" customHeight="1">
      <c r="A33" s="91">
        <v>46119.0</v>
      </c>
      <c r="B33" s="7">
        <v>11.0</v>
      </c>
      <c r="C33" s="43" t="s">
        <v>534</v>
      </c>
      <c r="D33" s="43"/>
      <c r="E33" s="7" t="s">
        <v>52</v>
      </c>
      <c r="F33" s="42"/>
      <c r="G33" s="43"/>
      <c r="H33" s="43"/>
      <c r="I33" s="43"/>
      <c r="J33" s="43"/>
      <c r="K33" s="43" t="s">
        <v>535</v>
      </c>
      <c r="L33" s="43" t="s">
        <v>536</v>
      </c>
      <c r="M33" s="43"/>
      <c r="N33" s="7"/>
      <c r="O33" s="7" t="b">
        <v>0</v>
      </c>
    </row>
    <row r="34" ht="17.25" customHeight="1">
      <c r="A34" s="91">
        <v>46119.0</v>
      </c>
      <c r="B34" s="7">
        <v>21.0</v>
      </c>
      <c r="C34" s="54" t="s">
        <v>506</v>
      </c>
      <c r="D34" s="39"/>
      <c r="E34" s="7"/>
      <c r="F34" s="40"/>
      <c r="G34" s="41"/>
      <c r="H34" s="41"/>
      <c r="I34" s="41"/>
      <c r="J34" s="41"/>
      <c r="K34" s="54" t="s">
        <v>529</v>
      </c>
      <c r="L34" s="13"/>
      <c r="M34" s="13"/>
      <c r="N34" s="39"/>
      <c r="O34" s="7" t="b">
        <v>0</v>
      </c>
    </row>
    <row r="35" ht="17.25" customHeight="1">
      <c r="A35" s="91">
        <v>46122.0</v>
      </c>
      <c r="B35" s="7">
        <v>20.0</v>
      </c>
      <c r="C35" s="49" t="s">
        <v>507</v>
      </c>
      <c r="D35" s="7"/>
      <c r="E35" s="7"/>
      <c r="F35" s="40"/>
      <c r="G35" s="7"/>
      <c r="H35" s="7"/>
      <c r="I35" s="7"/>
      <c r="J35" s="7"/>
      <c r="K35" s="49" t="s">
        <v>529</v>
      </c>
      <c r="L35" s="13"/>
      <c r="M35" s="13"/>
      <c r="N35" s="13"/>
      <c r="O35" s="7" t="b">
        <v>0</v>
      </c>
    </row>
    <row r="36" ht="17.25" customHeight="1">
      <c r="A36" s="91">
        <v>46126.0</v>
      </c>
      <c r="B36" s="7">
        <v>21.0</v>
      </c>
      <c r="C36" s="13" t="s">
        <v>506</v>
      </c>
      <c r="D36" s="48"/>
      <c r="E36" s="7"/>
      <c r="F36" s="40"/>
      <c r="G36" s="48"/>
      <c r="H36" s="48"/>
      <c r="I36" s="48"/>
      <c r="J36" s="48"/>
      <c r="K36" s="13" t="s">
        <v>529</v>
      </c>
      <c r="L36" s="13"/>
      <c r="M36" s="13"/>
      <c r="N36" s="13"/>
      <c r="O36" s="7" t="b">
        <v>0</v>
      </c>
    </row>
    <row r="37" ht="17.25" customHeight="1">
      <c r="A37" s="91">
        <v>46129.0</v>
      </c>
      <c r="B37" s="7">
        <v>20.0</v>
      </c>
      <c r="C37" s="57" t="s">
        <v>507</v>
      </c>
      <c r="D37" s="13"/>
      <c r="E37" s="7"/>
      <c r="F37" s="58"/>
      <c r="G37" s="41"/>
      <c r="H37" s="41"/>
      <c r="I37" s="41"/>
      <c r="J37" s="41"/>
      <c r="K37" s="57" t="s">
        <v>529</v>
      </c>
      <c r="L37" s="44"/>
      <c r="M37" s="44"/>
      <c r="N37" s="44"/>
      <c r="O37" s="7" t="b">
        <v>0</v>
      </c>
    </row>
    <row r="38" ht="17.25" customHeight="1">
      <c r="A38" s="91"/>
      <c r="B38" s="7"/>
      <c r="C38" s="54"/>
      <c r="D38" s="13"/>
      <c r="E38" s="7"/>
      <c r="F38" s="59"/>
      <c r="G38" s="48"/>
      <c r="H38" s="48"/>
      <c r="I38" s="48"/>
      <c r="J38" s="48"/>
      <c r="K38" s="54"/>
      <c r="L38" s="41"/>
      <c r="M38" s="41"/>
      <c r="N38" s="41"/>
      <c r="O38" s="7" t="b">
        <v>0</v>
      </c>
    </row>
    <row r="39" ht="17.25" customHeight="1">
      <c r="A39" s="91"/>
      <c r="B39" s="7"/>
      <c r="C39" s="49"/>
      <c r="D39" s="7"/>
      <c r="E39" s="7"/>
      <c r="F39" s="40"/>
      <c r="G39" s="46"/>
      <c r="H39" s="46"/>
      <c r="I39" s="46"/>
      <c r="J39" s="46"/>
      <c r="K39" s="49"/>
      <c r="L39" s="13"/>
      <c r="M39" s="13"/>
      <c r="N39" s="13"/>
      <c r="O39" s="7" t="b">
        <v>0</v>
      </c>
    </row>
    <row r="40" ht="17.25" customHeight="1">
      <c r="A40" s="91"/>
      <c r="B40" s="7"/>
      <c r="C40" s="51"/>
      <c r="D40" s="7"/>
      <c r="E40" s="7"/>
      <c r="F40" s="8"/>
      <c r="G40" s="46"/>
      <c r="H40" s="46"/>
      <c r="I40" s="46"/>
      <c r="J40" s="46"/>
      <c r="K40" s="51"/>
      <c r="L40" s="7"/>
      <c r="M40" s="38"/>
      <c r="N40" s="7"/>
      <c r="O40" s="7" t="b">
        <v>0</v>
      </c>
    </row>
    <row r="41" ht="17.25" customHeight="1">
      <c r="A41" s="91"/>
      <c r="B41" s="7"/>
      <c r="C41" s="13"/>
      <c r="D41" s="13"/>
      <c r="E41" s="7"/>
      <c r="F41" s="8"/>
      <c r="G41" s="13"/>
      <c r="H41" s="13"/>
      <c r="I41" s="13"/>
      <c r="J41" s="13"/>
      <c r="K41" s="13"/>
      <c r="L41" s="7"/>
      <c r="M41" s="7"/>
      <c r="N41" s="7"/>
      <c r="O41" s="7" t="b">
        <v>0</v>
      </c>
    </row>
    <row r="42" ht="17.25" customHeight="1">
      <c r="A42" s="91"/>
      <c r="B42" s="7"/>
      <c r="C42" s="43"/>
      <c r="D42" s="39"/>
      <c r="E42" s="7"/>
      <c r="F42" s="40"/>
      <c r="G42" s="7"/>
      <c r="H42" s="7"/>
      <c r="I42" s="7"/>
      <c r="J42" s="7"/>
      <c r="K42" s="43"/>
      <c r="L42" s="13"/>
      <c r="M42" s="13"/>
      <c r="N42" s="7"/>
      <c r="O42" s="7" t="b">
        <v>0</v>
      </c>
    </row>
    <row r="43" ht="17.25" customHeight="1">
      <c r="A43" s="91"/>
      <c r="B43" s="7"/>
      <c r="C43" s="45"/>
      <c r="D43" s="7"/>
      <c r="E43" s="7"/>
      <c r="F43" s="8"/>
      <c r="G43" s="7"/>
      <c r="H43" s="7"/>
      <c r="I43" s="7"/>
      <c r="J43" s="7"/>
      <c r="K43" s="45"/>
      <c r="L43" s="7"/>
      <c r="M43" s="7"/>
      <c r="N43" s="7"/>
      <c r="O43" s="7" t="b">
        <v>0</v>
      </c>
    </row>
    <row r="44" ht="17.25" customHeight="1">
      <c r="A44" s="91"/>
      <c r="B44" s="7"/>
      <c r="C44" s="49"/>
      <c r="D44" s="7"/>
      <c r="E44" s="7"/>
      <c r="F44" s="40"/>
      <c r="G44" s="13"/>
      <c r="H44" s="13"/>
      <c r="I44" s="13"/>
      <c r="J44" s="13"/>
      <c r="K44" s="49"/>
      <c r="L44" s="13"/>
      <c r="M44" s="13"/>
      <c r="N44" s="13"/>
      <c r="O44" s="7" t="b">
        <v>0</v>
      </c>
    </row>
    <row r="45" ht="17.25" customHeight="1">
      <c r="A45" s="91"/>
      <c r="B45" s="7"/>
      <c r="C45" s="49"/>
      <c r="D45" s="7"/>
      <c r="E45" s="7"/>
      <c r="F45" s="40"/>
      <c r="G45" s="13"/>
      <c r="H45" s="13"/>
      <c r="I45" s="13"/>
      <c r="J45" s="13"/>
      <c r="K45" s="49"/>
      <c r="L45" s="13"/>
      <c r="M45" s="13"/>
      <c r="N45" s="13"/>
      <c r="O45" s="7" t="b">
        <v>0</v>
      </c>
    </row>
    <row r="46" ht="17.25" customHeight="1">
      <c r="A46" s="91"/>
      <c r="B46" s="7"/>
      <c r="C46" s="45"/>
      <c r="D46" s="39"/>
      <c r="E46" s="7"/>
      <c r="F46" s="8"/>
      <c r="G46" s="7"/>
      <c r="H46" s="7"/>
      <c r="I46" s="7"/>
      <c r="J46" s="7"/>
      <c r="K46" s="45"/>
      <c r="L46" s="7"/>
      <c r="M46" s="7"/>
      <c r="N46" s="7"/>
      <c r="O46" s="7" t="b">
        <v>0</v>
      </c>
    </row>
    <row r="47" ht="17.25" customHeight="1">
      <c r="A47" s="91"/>
      <c r="B47" s="7"/>
      <c r="C47" s="52"/>
      <c r="D47" s="52"/>
      <c r="E47" s="7"/>
      <c r="F47" s="53"/>
      <c r="G47" s="52"/>
      <c r="H47" s="52"/>
      <c r="I47" s="52"/>
      <c r="J47" s="52"/>
      <c r="K47" s="52"/>
      <c r="L47" s="52"/>
      <c r="M47" s="52"/>
      <c r="N47" s="52"/>
      <c r="O47" s="7" t="b">
        <v>0</v>
      </c>
    </row>
    <row r="48" ht="17.25" customHeight="1">
      <c r="A48" s="91"/>
      <c r="B48" s="7"/>
      <c r="C48" s="41"/>
      <c r="D48" s="41"/>
      <c r="E48" s="7"/>
      <c r="F48" s="12"/>
      <c r="G48" s="41"/>
      <c r="H48" s="41"/>
      <c r="I48" s="41"/>
      <c r="J48" s="41"/>
      <c r="K48" s="41"/>
      <c r="L48" s="56"/>
      <c r="M48" s="13"/>
      <c r="N48" s="13"/>
      <c r="O48" s="7" t="b">
        <v>0</v>
      </c>
    </row>
    <row r="49" ht="17.25" customHeight="1">
      <c r="A49" s="91"/>
      <c r="B49" s="7"/>
      <c r="C49" s="60"/>
      <c r="D49" s="7"/>
      <c r="E49" s="7"/>
      <c r="F49" s="8"/>
      <c r="G49" s="7"/>
      <c r="H49" s="7"/>
      <c r="I49" s="7"/>
      <c r="J49" s="7"/>
      <c r="K49" s="60"/>
      <c r="L49" s="7"/>
      <c r="M49" s="7"/>
      <c r="N49" s="7"/>
      <c r="O49" s="7" t="b">
        <v>0</v>
      </c>
    </row>
    <row r="50" ht="17.25" customHeight="1">
      <c r="A50" s="91"/>
      <c r="B50" s="7"/>
      <c r="C50" s="52"/>
      <c r="D50" s="52"/>
      <c r="E50" s="7"/>
      <c r="F50" s="53"/>
      <c r="G50" s="7"/>
      <c r="H50" s="7"/>
      <c r="I50" s="7"/>
      <c r="J50" s="7"/>
      <c r="K50" s="52"/>
      <c r="L50" s="52"/>
      <c r="M50" s="52"/>
      <c r="N50" s="52"/>
      <c r="O50" s="7" t="b">
        <v>0</v>
      </c>
    </row>
    <row r="51" ht="17.25" customHeight="1">
      <c r="A51" s="91"/>
      <c r="B51" s="7"/>
      <c r="C51" s="48"/>
      <c r="D51" s="13"/>
      <c r="E51" s="7"/>
      <c r="F51" s="40"/>
      <c r="G51" s="41"/>
      <c r="H51" s="41"/>
      <c r="I51" s="41"/>
      <c r="J51" s="41"/>
      <c r="K51" s="48"/>
      <c r="L51" s="13"/>
      <c r="M51" s="13"/>
      <c r="N51" s="41"/>
      <c r="O51" s="7" t="b">
        <v>0</v>
      </c>
    </row>
    <row r="52" ht="17.25" customHeight="1">
      <c r="A52" s="91"/>
      <c r="B52" s="7"/>
      <c r="C52" s="54"/>
      <c r="D52" s="41"/>
      <c r="E52" s="7"/>
      <c r="F52" s="40"/>
      <c r="G52" s="41"/>
      <c r="H52" s="41"/>
      <c r="I52" s="41"/>
      <c r="J52" s="41"/>
      <c r="K52" s="54"/>
      <c r="L52" s="13"/>
      <c r="M52" s="13"/>
      <c r="N52" s="13"/>
      <c r="O52" s="7" t="b">
        <v>0</v>
      </c>
    </row>
    <row r="53" ht="17.25" customHeight="1">
      <c r="A53" s="91"/>
      <c r="B53" s="7"/>
      <c r="C53" s="48"/>
      <c r="D53" s="41"/>
      <c r="E53" s="7"/>
      <c r="F53" s="40"/>
      <c r="G53" s="41"/>
      <c r="H53" s="41"/>
      <c r="I53" s="41"/>
      <c r="J53" s="41"/>
      <c r="K53" s="48"/>
      <c r="L53" s="13"/>
      <c r="M53" s="13"/>
      <c r="N53" s="41"/>
      <c r="O53" s="7" t="b">
        <v>0</v>
      </c>
    </row>
    <row r="54" ht="17.25" customHeight="1">
      <c r="A54" s="91"/>
      <c r="B54" s="7"/>
      <c r="C54" s="48"/>
      <c r="D54" s="41"/>
      <c r="E54" s="7"/>
      <c r="F54" s="40"/>
      <c r="G54" s="41"/>
      <c r="H54" s="41"/>
      <c r="I54" s="41"/>
      <c r="J54" s="41"/>
      <c r="K54" s="48"/>
      <c r="L54" s="13"/>
      <c r="M54" s="13"/>
      <c r="N54" s="41"/>
      <c r="O54" s="7" t="b">
        <v>0</v>
      </c>
    </row>
    <row r="55" ht="17.25" customHeight="1">
      <c r="A55" s="91"/>
      <c r="B55" s="7"/>
      <c r="C55" s="54"/>
      <c r="D55" s="13"/>
      <c r="E55" s="7"/>
      <c r="F55" s="40"/>
      <c r="G55" s="41"/>
      <c r="H55" s="41"/>
      <c r="I55" s="41"/>
      <c r="J55" s="41"/>
      <c r="K55" s="54"/>
      <c r="L55" s="13"/>
      <c r="M55" s="13"/>
      <c r="N55" s="13"/>
      <c r="O55" s="7" t="b">
        <v>0</v>
      </c>
    </row>
    <row r="56" ht="17.25" customHeight="1">
      <c r="A56" s="91"/>
      <c r="B56" s="7"/>
      <c r="C56" s="48"/>
      <c r="D56" s="41"/>
      <c r="E56" s="7"/>
      <c r="F56" s="40"/>
      <c r="G56" s="41"/>
      <c r="H56" s="41"/>
      <c r="I56" s="41"/>
      <c r="J56" s="41"/>
      <c r="K56" s="48"/>
      <c r="L56" s="13"/>
      <c r="M56" s="13"/>
      <c r="N56" s="41"/>
      <c r="O56" s="7" t="b">
        <v>0</v>
      </c>
    </row>
    <row r="57" ht="17.25" customHeight="1">
      <c r="A57" s="91"/>
      <c r="B57" s="7"/>
      <c r="C57" s="54"/>
      <c r="D57" s="13"/>
      <c r="E57" s="7"/>
      <c r="F57" s="40"/>
      <c r="G57" s="41"/>
      <c r="H57" s="41"/>
      <c r="I57" s="41"/>
      <c r="J57" s="41"/>
      <c r="K57" s="54"/>
      <c r="L57" s="13"/>
      <c r="M57" s="13"/>
      <c r="N57" s="13"/>
      <c r="O57" s="7" t="b">
        <v>0</v>
      </c>
    </row>
    <row r="58" ht="17.25" customHeight="1">
      <c r="A58" s="91"/>
      <c r="B58" s="7"/>
      <c r="C58" s="43"/>
      <c r="D58" s="43"/>
      <c r="E58" s="7"/>
      <c r="F58" s="40"/>
      <c r="G58" s="41"/>
      <c r="H58" s="41"/>
      <c r="I58" s="41"/>
      <c r="J58" s="41"/>
      <c r="K58" s="43"/>
      <c r="L58" s="13"/>
      <c r="M58" s="13"/>
      <c r="N58" s="13"/>
      <c r="O58" s="7" t="b">
        <v>0</v>
      </c>
    </row>
    <row r="59" ht="17.25" customHeight="1">
      <c r="A59" s="91"/>
      <c r="B59" s="7"/>
      <c r="C59" s="45"/>
      <c r="D59" s="7"/>
      <c r="E59" s="7"/>
      <c r="F59" s="8"/>
      <c r="G59" s="7"/>
      <c r="H59" s="7"/>
      <c r="I59" s="7"/>
      <c r="J59" s="7"/>
      <c r="K59" s="45"/>
      <c r="L59" s="7"/>
      <c r="M59" s="7"/>
      <c r="N59" s="7"/>
      <c r="O59" s="7" t="b">
        <v>0</v>
      </c>
    </row>
    <row r="60" ht="17.25" customHeight="1">
      <c r="A60" s="91"/>
      <c r="B60" s="7"/>
      <c r="C60" s="45"/>
      <c r="D60" s="38"/>
      <c r="E60" s="7"/>
      <c r="F60" s="61"/>
      <c r="G60" s="13"/>
      <c r="H60" s="13"/>
      <c r="I60" s="13"/>
      <c r="J60" s="13"/>
      <c r="K60" s="45"/>
      <c r="L60" s="45"/>
      <c r="M60" s="7"/>
      <c r="N60" s="7"/>
      <c r="O60" s="7" t="b">
        <v>0</v>
      </c>
    </row>
    <row r="61" ht="17.25" customHeight="1">
      <c r="A61" s="91"/>
      <c r="B61" s="7"/>
      <c r="C61" s="45"/>
      <c r="D61" s="7"/>
      <c r="E61" s="7"/>
      <c r="F61" s="8"/>
      <c r="G61" s="13"/>
      <c r="H61" s="13"/>
      <c r="I61" s="13"/>
      <c r="J61" s="13"/>
      <c r="K61" s="45"/>
      <c r="L61" s="7"/>
      <c r="M61" s="7"/>
      <c r="N61" s="7"/>
      <c r="O61" s="7" t="b">
        <v>0</v>
      </c>
    </row>
    <row r="62" ht="17.25" customHeight="1">
      <c r="A62" s="91"/>
      <c r="B62" s="7"/>
      <c r="C62" s="45"/>
      <c r="D62" s="7"/>
      <c r="E62" s="7"/>
      <c r="F62" s="8"/>
      <c r="G62" s="13"/>
      <c r="H62" s="13"/>
      <c r="I62" s="13"/>
      <c r="J62" s="13"/>
      <c r="K62" s="45"/>
      <c r="L62" s="7"/>
      <c r="M62" s="7"/>
      <c r="N62" s="7"/>
      <c r="O62" s="7" t="b">
        <v>0</v>
      </c>
    </row>
    <row r="63" ht="17.25" customHeight="1">
      <c r="A63" s="91"/>
      <c r="B63" s="7"/>
      <c r="C63" s="45"/>
      <c r="D63" s="38"/>
      <c r="E63" s="7"/>
      <c r="F63" s="8"/>
      <c r="G63" s="13"/>
      <c r="H63" s="13"/>
      <c r="I63" s="13"/>
      <c r="J63" s="13"/>
      <c r="K63" s="45"/>
      <c r="L63" s="7"/>
      <c r="M63" s="7"/>
      <c r="N63" s="7"/>
      <c r="O63" s="7" t="b">
        <v>0</v>
      </c>
    </row>
    <row r="64" ht="17.25" customHeight="1">
      <c r="A64" s="91"/>
      <c r="B64" s="7"/>
      <c r="C64" s="45"/>
      <c r="D64" s="7"/>
      <c r="E64" s="7"/>
      <c r="F64" s="8"/>
      <c r="G64" s="13"/>
      <c r="H64" s="13"/>
      <c r="I64" s="13"/>
      <c r="J64" s="13"/>
      <c r="K64" s="45"/>
      <c r="L64" s="7"/>
      <c r="M64" s="7"/>
      <c r="N64" s="7"/>
      <c r="O64" s="7" t="b">
        <v>0</v>
      </c>
    </row>
    <row r="65" ht="17.25" customHeight="1">
      <c r="A65" s="91"/>
      <c r="B65" s="7"/>
      <c r="C65" s="63"/>
      <c r="D65" s="7"/>
      <c r="E65" s="7"/>
      <c r="F65" s="12"/>
      <c r="G65" s="7"/>
      <c r="H65" s="7"/>
      <c r="I65" s="7"/>
      <c r="J65" s="7"/>
      <c r="K65" s="63"/>
      <c r="L65" s="56"/>
      <c r="M65" s="7"/>
      <c r="N65" s="7"/>
      <c r="O65" s="7" t="b">
        <v>0</v>
      </c>
    </row>
    <row r="66" ht="17.25" customHeight="1">
      <c r="A66" s="91"/>
      <c r="B66" s="7"/>
      <c r="C66" s="45"/>
      <c r="D66" s="7"/>
      <c r="E66" s="7"/>
      <c r="F66" s="12"/>
      <c r="G66" s="7"/>
      <c r="H66" s="7"/>
      <c r="I66" s="7"/>
      <c r="J66" s="7"/>
      <c r="K66" s="45"/>
      <c r="L66" s="56"/>
      <c r="M66" s="7"/>
      <c r="N66" s="7"/>
      <c r="O66" s="7" t="b">
        <v>0</v>
      </c>
    </row>
    <row r="67" ht="17.25" customHeight="1">
      <c r="A67" s="91"/>
      <c r="B67" s="7"/>
      <c r="C67" s="41"/>
      <c r="D67" s="48"/>
      <c r="E67" s="7"/>
      <c r="F67" s="8"/>
      <c r="G67" s="41"/>
      <c r="H67" s="41"/>
      <c r="I67" s="41"/>
      <c r="J67" s="41"/>
      <c r="K67" s="41"/>
      <c r="L67" s="7"/>
      <c r="M67" s="7"/>
      <c r="N67" s="7"/>
      <c r="O67" s="7" t="b">
        <v>0</v>
      </c>
    </row>
    <row r="68" ht="17.25" customHeight="1">
      <c r="A68" s="91"/>
      <c r="B68" s="7"/>
      <c r="C68" s="54"/>
      <c r="D68" s="64"/>
      <c r="E68" s="7"/>
      <c r="F68" s="8"/>
      <c r="G68" s="44"/>
      <c r="H68" s="44"/>
      <c r="I68" s="44"/>
      <c r="J68" s="44"/>
      <c r="K68" s="54"/>
      <c r="L68" s="7"/>
      <c r="M68" s="7"/>
      <c r="N68" s="7"/>
      <c r="O68" s="7" t="b">
        <v>0</v>
      </c>
    </row>
    <row r="69" ht="17.25" customHeight="1">
      <c r="A69" s="91"/>
      <c r="B69" s="7"/>
      <c r="C69" s="65"/>
      <c r="D69" s="43"/>
      <c r="E69" s="7"/>
      <c r="F69" s="8"/>
      <c r="G69" s="43"/>
      <c r="H69" s="43"/>
      <c r="I69" s="43"/>
      <c r="J69" s="43"/>
      <c r="K69" s="65"/>
      <c r="L69" s="7"/>
      <c r="M69" s="7"/>
      <c r="N69" s="43"/>
      <c r="O69" s="7" t="b">
        <v>0</v>
      </c>
    </row>
    <row r="70" ht="17.25" customHeight="1">
      <c r="A70" s="91"/>
      <c r="B70" s="7"/>
      <c r="C70" s="56"/>
      <c r="D70" s="7"/>
      <c r="E70" s="7"/>
      <c r="F70" s="8"/>
      <c r="G70" s="13"/>
      <c r="H70" s="13"/>
      <c r="I70" s="13"/>
      <c r="J70" s="13"/>
      <c r="K70" s="56"/>
      <c r="L70" s="7"/>
      <c r="M70" s="7"/>
      <c r="N70" s="7"/>
      <c r="O70" s="7" t="b">
        <v>0</v>
      </c>
    </row>
    <row r="71" ht="17.25" customHeight="1">
      <c r="A71" s="91"/>
      <c r="B71" s="7"/>
      <c r="C71" s="45"/>
      <c r="D71" s="7"/>
      <c r="E71" s="7"/>
      <c r="F71" s="8"/>
      <c r="G71" s="46"/>
      <c r="H71" s="46"/>
      <c r="I71" s="46"/>
      <c r="J71" s="46"/>
      <c r="K71" s="45"/>
      <c r="L71" s="7"/>
      <c r="M71" s="7"/>
      <c r="N71" s="13"/>
      <c r="O71" s="7" t="b">
        <v>0</v>
      </c>
    </row>
    <row r="72" ht="17.25" customHeight="1">
      <c r="A72" s="91"/>
      <c r="B72" s="7"/>
      <c r="C72" s="39"/>
      <c r="D72" s="13"/>
      <c r="E72" s="7"/>
      <c r="F72" s="12"/>
      <c r="G72" s="13"/>
      <c r="H72" s="13"/>
      <c r="I72" s="13"/>
      <c r="J72" s="13"/>
      <c r="K72" s="39"/>
      <c r="L72" s="56"/>
      <c r="M72" s="7"/>
      <c r="N72" s="13"/>
      <c r="O72" s="7" t="b">
        <v>0</v>
      </c>
    </row>
    <row r="73" ht="17.25" customHeight="1">
      <c r="A73" s="91"/>
      <c r="B73" s="7"/>
      <c r="C73" s="39"/>
      <c r="D73" s="13"/>
      <c r="E73" s="7"/>
      <c r="F73" s="8"/>
      <c r="G73" s="13"/>
      <c r="H73" s="13"/>
      <c r="I73" s="13"/>
      <c r="J73" s="13"/>
      <c r="K73" s="39"/>
      <c r="L73" s="7"/>
      <c r="M73" s="7"/>
      <c r="N73" s="13"/>
      <c r="O73" s="7" t="b">
        <v>0</v>
      </c>
    </row>
    <row r="74" ht="17.25" customHeight="1">
      <c r="A74" s="91"/>
      <c r="B74" s="7"/>
      <c r="C74" s="39"/>
      <c r="D74" s="13"/>
      <c r="E74" s="7"/>
      <c r="F74" s="8"/>
      <c r="G74" s="13"/>
      <c r="H74" s="13"/>
      <c r="I74" s="13"/>
      <c r="J74" s="13"/>
      <c r="K74" s="39"/>
      <c r="L74" s="7"/>
      <c r="M74" s="7"/>
      <c r="N74" s="13"/>
      <c r="O74" s="7" t="b">
        <v>0</v>
      </c>
    </row>
    <row r="75" ht="17.25" customHeight="1">
      <c r="A75" s="91"/>
      <c r="B75" s="7"/>
      <c r="C75" s="49"/>
      <c r="D75" s="7"/>
      <c r="E75" s="7"/>
      <c r="F75" s="8"/>
      <c r="G75" s="7"/>
      <c r="H75" s="7"/>
      <c r="I75" s="7"/>
      <c r="J75" s="7"/>
      <c r="K75" s="49"/>
      <c r="L75" s="7"/>
      <c r="M75" s="7"/>
      <c r="N75" s="52"/>
      <c r="O75" s="7" t="b">
        <v>0</v>
      </c>
    </row>
    <row r="76" ht="17.25" customHeight="1">
      <c r="A76" s="91"/>
      <c r="B76" s="7"/>
      <c r="C76" s="66"/>
      <c r="D76" s="7"/>
      <c r="E76" s="7"/>
      <c r="F76" s="8"/>
      <c r="G76" s="7"/>
      <c r="H76" s="7"/>
      <c r="I76" s="7"/>
      <c r="J76" s="7"/>
      <c r="K76" s="66"/>
      <c r="L76" s="7"/>
      <c r="M76" s="7"/>
      <c r="N76" s="7"/>
      <c r="O76" s="7" t="b">
        <v>0</v>
      </c>
    </row>
    <row r="77" ht="17.25" customHeight="1">
      <c r="A77" s="91"/>
      <c r="B77" s="7"/>
      <c r="C77" s="49"/>
      <c r="D77" s="7"/>
      <c r="E77" s="7"/>
      <c r="F77" s="8"/>
      <c r="G77" s="7"/>
      <c r="H77" s="7"/>
      <c r="I77" s="7"/>
      <c r="J77" s="7"/>
      <c r="K77" s="49"/>
      <c r="L77" s="7"/>
      <c r="M77" s="7"/>
      <c r="N77" s="7"/>
      <c r="O77" s="7" t="b">
        <v>0</v>
      </c>
    </row>
    <row r="78" ht="17.25" customHeight="1">
      <c r="A78" s="91"/>
      <c r="B78" s="7"/>
      <c r="C78" s="49"/>
      <c r="D78" s="7"/>
      <c r="E78" s="7"/>
      <c r="F78" s="8"/>
      <c r="G78" s="46"/>
      <c r="H78" s="46"/>
      <c r="I78" s="46"/>
      <c r="J78" s="46"/>
      <c r="K78" s="49"/>
      <c r="L78" s="7"/>
      <c r="M78" s="7"/>
      <c r="N78" s="13"/>
      <c r="O78" s="7" t="b">
        <v>0</v>
      </c>
    </row>
    <row r="79" ht="17.25" customHeight="1">
      <c r="A79" s="91"/>
      <c r="B79" s="7"/>
      <c r="C79" s="45"/>
      <c r="D79" s="7"/>
      <c r="E79" s="7"/>
      <c r="F79" s="8"/>
      <c r="G79" s="7"/>
      <c r="H79" s="7"/>
      <c r="I79" s="7"/>
      <c r="J79" s="7"/>
      <c r="K79" s="45"/>
      <c r="L79" s="7"/>
      <c r="M79" s="7"/>
      <c r="N79" s="13"/>
      <c r="O79" s="7" t="b">
        <v>0</v>
      </c>
    </row>
    <row r="80" ht="17.25" customHeight="1">
      <c r="A80" s="91"/>
      <c r="B80" s="7"/>
      <c r="C80" s="13"/>
      <c r="D80" s="13"/>
      <c r="E80" s="7"/>
      <c r="F80" s="8"/>
      <c r="G80" s="7"/>
      <c r="H80" s="7"/>
      <c r="I80" s="7"/>
      <c r="J80" s="7"/>
      <c r="K80" s="13"/>
      <c r="L80" s="7"/>
      <c r="M80" s="7"/>
      <c r="N80" s="67"/>
      <c r="O80" s="7" t="b">
        <v>0</v>
      </c>
    </row>
    <row r="81" ht="17.25" customHeight="1">
      <c r="A81" s="91"/>
      <c r="B81" s="7"/>
      <c r="C81" s="13"/>
      <c r="D81" s="44"/>
      <c r="E81" s="7"/>
      <c r="F81" s="8"/>
      <c r="G81" s="13"/>
      <c r="H81" s="13"/>
      <c r="I81" s="13"/>
      <c r="J81" s="13"/>
      <c r="K81" s="13"/>
      <c r="L81" s="7"/>
      <c r="M81" s="7"/>
      <c r="N81" s="44"/>
      <c r="O81" s="7" t="b">
        <v>0</v>
      </c>
    </row>
    <row r="82" ht="17.25" customHeight="1">
      <c r="A82" s="91"/>
      <c r="B82" s="7"/>
      <c r="C82" s="41"/>
      <c r="D82" s="44"/>
      <c r="E82" s="7"/>
      <c r="F82" s="8"/>
      <c r="G82" s="41"/>
      <c r="H82" s="41"/>
      <c r="I82" s="41"/>
      <c r="J82" s="41"/>
      <c r="K82" s="41"/>
      <c r="L82" s="7"/>
      <c r="M82" s="7"/>
      <c r="N82" s="41"/>
      <c r="O82" s="7" t="b">
        <v>0</v>
      </c>
    </row>
    <row r="83" ht="17.25" customHeight="1">
      <c r="A83" s="91"/>
      <c r="B83" s="7"/>
      <c r="C83" s="13"/>
      <c r="D83" s="13"/>
      <c r="E83" s="7"/>
      <c r="F83" s="40"/>
      <c r="G83" s="7"/>
      <c r="H83" s="7"/>
      <c r="I83" s="7"/>
      <c r="J83" s="7"/>
      <c r="K83" s="13"/>
      <c r="L83" s="13"/>
      <c r="M83" s="13"/>
      <c r="N83" s="13"/>
      <c r="O83" s="7" t="b">
        <v>0</v>
      </c>
    </row>
    <row r="84" ht="17.25" customHeight="1">
      <c r="A84" s="91"/>
      <c r="B84" s="7"/>
      <c r="C84" s="54"/>
      <c r="D84" s="13"/>
      <c r="E84" s="7"/>
      <c r="F84" s="8"/>
      <c r="G84" s="41"/>
      <c r="H84" s="41"/>
      <c r="I84" s="41"/>
      <c r="J84" s="41"/>
      <c r="K84" s="54"/>
      <c r="L84" s="7"/>
      <c r="M84" s="7"/>
      <c r="N84" s="7"/>
      <c r="O84" s="7" t="b">
        <v>0</v>
      </c>
    </row>
    <row r="85" ht="17.25" customHeight="1">
      <c r="A85" s="91"/>
      <c r="B85" s="38"/>
      <c r="C85" s="13"/>
      <c r="D85" s="7"/>
      <c r="E85" s="7"/>
      <c r="F85" s="8"/>
      <c r="G85" s="7"/>
      <c r="H85" s="7"/>
      <c r="I85" s="7"/>
      <c r="J85" s="7"/>
      <c r="K85" s="13"/>
      <c r="L85" s="7"/>
      <c r="M85" s="7"/>
      <c r="N85" s="13"/>
      <c r="O85" s="7" t="b">
        <v>0</v>
      </c>
    </row>
    <row r="86" ht="17.25" customHeight="1">
      <c r="A86" s="91"/>
      <c r="B86" s="38"/>
      <c r="C86" s="45"/>
      <c r="D86" s="7"/>
      <c r="E86" s="7"/>
      <c r="F86" s="8"/>
      <c r="G86" s="7"/>
      <c r="H86" s="7"/>
      <c r="I86" s="7"/>
      <c r="J86" s="7"/>
      <c r="K86" s="45"/>
      <c r="L86" s="7"/>
      <c r="M86" s="7"/>
      <c r="N86" s="7"/>
      <c r="O86" s="7" t="b">
        <v>0</v>
      </c>
    </row>
    <row r="87" ht="17.25" customHeight="1">
      <c r="A87" s="91"/>
      <c r="B87" s="7"/>
      <c r="C87" s="49"/>
      <c r="D87" s="7"/>
      <c r="E87" s="7"/>
      <c r="F87" s="8"/>
      <c r="G87" s="7"/>
      <c r="H87" s="7"/>
      <c r="I87" s="7"/>
      <c r="J87" s="7"/>
      <c r="K87" s="49"/>
      <c r="L87" s="7"/>
      <c r="M87" s="7"/>
      <c r="N87" s="38"/>
      <c r="O87" s="7" t="b">
        <v>0</v>
      </c>
    </row>
    <row r="88" ht="17.25" customHeight="1">
      <c r="A88" s="91"/>
      <c r="B88" s="7"/>
      <c r="C88" s="51"/>
      <c r="D88" s="39"/>
      <c r="E88" s="7"/>
      <c r="F88" s="12"/>
      <c r="G88" s="7"/>
      <c r="H88" s="7"/>
      <c r="I88" s="7"/>
      <c r="J88" s="7"/>
      <c r="K88" s="51"/>
      <c r="L88" s="56"/>
      <c r="M88" s="7"/>
      <c r="N88" s="7"/>
      <c r="O88" s="7" t="b">
        <v>0</v>
      </c>
    </row>
    <row r="89" ht="17.25" customHeight="1">
      <c r="A89" s="91"/>
      <c r="B89" s="7"/>
      <c r="C89" s="13"/>
      <c r="D89" s="13"/>
      <c r="E89" s="7"/>
      <c r="F89" s="8"/>
      <c r="G89" s="7"/>
      <c r="H89" s="7"/>
      <c r="I89" s="7"/>
      <c r="J89" s="7"/>
      <c r="K89" s="13"/>
      <c r="L89" s="7"/>
      <c r="M89" s="7"/>
      <c r="N89" s="13"/>
      <c r="O89" s="7" t="b">
        <v>0</v>
      </c>
    </row>
    <row r="90" ht="17.25" customHeight="1">
      <c r="A90" s="91"/>
      <c r="B90" s="7"/>
      <c r="C90" s="13"/>
      <c r="D90" s="7"/>
      <c r="E90" s="7"/>
      <c r="F90" s="8"/>
      <c r="G90" s="48"/>
      <c r="H90" s="48"/>
      <c r="I90" s="48"/>
      <c r="J90" s="48"/>
      <c r="K90" s="13"/>
      <c r="L90" s="7"/>
      <c r="M90" s="7"/>
      <c r="N90" s="13"/>
      <c r="O90" s="7" t="b">
        <v>0</v>
      </c>
    </row>
    <row r="91" ht="17.25" customHeight="1">
      <c r="A91" s="91"/>
      <c r="B91" s="7"/>
      <c r="C91" s="13"/>
      <c r="D91" s="13"/>
      <c r="E91" s="7"/>
      <c r="F91" s="8"/>
      <c r="G91" s="47"/>
      <c r="H91" s="47"/>
      <c r="I91" s="47"/>
      <c r="J91" s="47"/>
      <c r="K91" s="13"/>
      <c r="L91" s="7"/>
      <c r="M91" s="7"/>
      <c r="N91" s="13"/>
      <c r="O91" s="7" t="b">
        <v>0</v>
      </c>
    </row>
    <row r="92" ht="17.25" customHeight="1">
      <c r="A92" s="91"/>
      <c r="B92" s="7"/>
      <c r="C92" s="49"/>
      <c r="D92" s="7"/>
      <c r="E92" s="7"/>
      <c r="F92" s="8"/>
      <c r="G92" s="7"/>
      <c r="H92" s="7"/>
      <c r="I92" s="7"/>
      <c r="J92" s="7"/>
      <c r="K92" s="49"/>
      <c r="L92" s="7"/>
      <c r="M92" s="7"/>
      <c r="N92" s="7"/>
      <c r="O92" s="7" t="b">
        <v>0</v>
      </c>
    </row>
    <row r="93" ht="17.25" customHeight="1">
      <c r="A93" s="91"/>
      <c r="B93" s="7"/>
      <c r="C93" s="41"/>
      <c r="D93" s="48"/>
      <c r="E93" s="7"/>
      <c r="F93" s="68"/>
      <c r="G93" s="41"/>
      <c r="H93" s="41"/>
      <c r="I93" s="41"/>
      <c r="J93" s="41"/>
      <c r="K93" s="41"/>
      <c r="L93" s="48"/>
      <c r="M93" s="48"/>
      <c r="N93" s="48"/>
      <c r="O93" s="7" t="b">
        <v>0</v>
      </c>
    </row>
    <row r="94" ht="17.25" customHeight="1">
      <c r="A94" s="91"/>
      <c r="B94" s="7"/>
      <c r="C94" s="13"/>
      <c r="D94" s="7"/>
      <c r="E94" s="7"/>
      <c r="F94" s="8"/>
      <c r="G94" s="48"/>
      <c r="H94" s="48"/>
      <c r="I94" s="48"/>
      <c r="J94" s="48"/>
      <c r="K94" s="13"/>
      <c r="L94" s="7"/>
      <c r="M94" s="7"/>
      <c r="N94" s="13"/>
      <c r="O94" s="7" t="b">
        <v>0</v>
      </c>
    </row>
    <row r="95" ht="17.25" customHeight="1">
      <c r="A95" s="91"/>
      <c r="B95" s="38"/>
      <c r="C95" s="49"/>
      <c r="D95" s="7"/>
      <c r="E95" s="7"/>
      <c r="F95" s="8"/>
      <c r="G95" s="7"/>
      <c r="H95" s="7"/>
      <c r="I95" s="7"/>
      <c r="J95" s="7"/>
      <c r="K95" s="49"/>
      <c r="L95" s="7"/>
      <c r="M95" s="7"/>
      <c r="N95" s="7"/>
      <c r="O95" s="7" t="b">
        <v>0</v>
      </c>
    </row>
    <row r="96" ht="17.25" customHeight="1">
      <c r="A96" s="91"/>
      <c r="B96" s="38"/>
      <c r="C96" s="13"/>
      <c r="D96" s="7"/>
      <c r="E96" s="7"/>
      <c r="F96" s="8"/>
      <c r="G96" s="7"/>
      <c r="H96" s="7"/>
      <c r="I96" s="7"/>
      <c r="J96" s="7"/>
      <c r="K96" s="13"/>
      <c r="L96" s="7"/>
      <c r="M96" s="7"/>
      <c r="N96" s="38"/>
      <c r="O96" s="7" t="b">
        <v>0</v>
      </c>
    </row>
    <row r="97" ht="17.25" customHeight="1">
      <c r="A97" s="91"/>
      <c r="B97" s="7"/>
      <c r="C97" s="13"/>
      <c r="D97" s="13"/>
      <c r="E97" s="7"/>
      <c r="F97" s="8"/>
      <c r="G97" s="13"/>
      <c r="H97" s="13"/>
      <c r="I97" s="13"/>
      <c r="J97" s="13"/>
      <c r="K97" s="13"/>
      <c r="L97" s="7"/>
      <c r="M97" s="7"/>
      <c r="N97" s="13"/>
      <c r="O97" s="7" t="b">
        <v>0</v>
      </c>
    </row>
    <row r="98" ht="17.25" customHeight="1">
      <c r="A98" s="91"/>
      <c r="B98" s="7"/>
      <c r="C98" s="13"/>
      <c r="D98" s="13"/>
      <c r="E98" s="7"/>
      <c r="F98" s="8"/>
      <c r="G98" s="13"/>
      <c r="H98" s="13"/>
      <c r="I98" s="13"/>
      <c r="J98" s="13"/>
      <c r="K98" s="13"/>
      <c r="L98" s="7"/>
      <c r="M98" s="7"/>
      <c r="N98" s="13"/>
      <c r="O98" s="7" t="b">
        <v>0</v>
      </c>
    </row>
    <row r="99" ht="17.25" customHeight="1">
      <c r="A99" s="91"/>
      <c r="B99" s="38"/>
      <c r="C99" s="13"/>
      <c r="D99" s="7"/>
      <c r="E99" s="7"/>
      <c r="F99" s="8"/>
      <c r="G99" s="7"/>
      <c r="H99" s="7"/>
      <c r="I99" s="7"/>
      <c r="J99" s="7"/>
      <c r="K99" s="13"/>
      <c r="L99" s="7"/>
      <c r="M99" s="7"/>
      <c r="N99" s="7"/>
      <c r="O99" s="7" t="b">
        <v>0</v>
      </c>
    </row>
    <row r="100" ht="17.25" customHeight="1">
      <c r="A100" s="91"/>
      <c r="B100" s="38"/>
      <c r="C100" s="51"/>
      <c r="D100" s="7"/>
      <c r="E100" s="7"/>
      <c r="F100" s="8"/>
      <c r="G100" s="7"/>
      <c r="H100" s="7"/>
      <c r="I100" s="7"/>
      <c r="J100" s="7"/>
      <c r="K100" s="51"/>
      <c r="L100" s="7"/>
      <c r="M100" s="7"/>
      <c r="N100" s="7"/>
      <c r="O100" s="7" t="b">
        <v>0</v>
      </c>
    </row>
    <row r="101" ht="17.25" customHeight="1">
      <c r="A101" s="91"/>
      <c r="B101" s="38"/>
      <c r="C101" s="13"/>
      <c r="D101" s="7"/>
      <c r="E101" s="7"/>
      <c r="F101" s="8"/>
      <c r="G101" s="7"/>
      <c r="H101" s="7"/>
      <c r="I101" s="7"/>
      <c r="J101" s="7"/>
      <c r="K101" s="13"/>
      <c r="L101" s="7"/>
      <c r="M101" s="7"/>
      <c r="N101" s="7"/>
      <c r="O101" s="7" t="b">
        <v>0</v>
      </c>
    </row>
    <row r="102" ht="17.25" customHeight="1">
      <c r="A102" s="91"/>
      <c r="B102" s="7"/>
      <c r="C102" s="45"/>
      <c r="D102" s="7"/>
      <c r="E102" s="7"/>
      <c r="F102" s="8"/>
      <c r="G102" s="7"/>
      <c r="H102" s="7"/>
      <c r="I102" s="7"/>
      <c r="J102" s="7"/>
      <c r="K102" s="45"/>
      <c r="L102" s="7"/>
      <c r="M102" s="7"/>
      <c r="N102" s="7"/>
      <c r="O102" s="7" t="b">
        <v>0</v>
      </c>
    </row>
    <row r="103" ht="17.25" customHeight="1">
      <c r="A103" s="91"/>
      <c r="B103" s="7"/>
      <c r="C103" s="43"/>
      <c r="D103" s="7"/>
      <c r="E103" s="7"/>
      <c r="F103" s="8"/>
      <c r="G103" s="7"/>
      <c r="H103" s="7"/>
      <c r="I103" s="7"/>
      <c r="J103" s="7"/>
      <c r="K103" s="43"/>
      <c r="L103" s="7"/>
      <c r="M103" s="7"/>
      <c r="N103" s="38"/>
      <c r="O103" s="7" t="b">
        <v>0</v>
      </c>
    </row>
    <row r="104" ht="17.25" customHeight="1">
      <c r="A104" s="91"/>
      <c r="B104" s="7"/>
      <c r="C104" s="65"/>
      <c r="D104" s="43"/>
      <c r="E104" s="7"/>
      <c r="F104" s="42"/>
      <c r="G104" s="43"/>
      <c r="H104" s="43"/>
      <c r="I104" s="43"/>
      <c r="J104" s="43"/>
      <c r="K104" s="65"/>
      <c r="L104" s="43"/>
      <c r="M104" s="43"/>
      <c r="N104" s="43"/>
      <c r="O104" s="7" t="b">
        <v>0</v>
      </c>
    </row>
    <row r="105" ht="17.25" customHeight="1">
      <c r="A105" s="91"/>
      <c r="B105" s="7"/>
      <c r="C105" s="51"/>
      <c r="D105" s="7"/>
      <c r="E105" s="7"/>
      <c r="F105" s="8"/>
      <c r="G105" s="7"/>
      <c r="H105" s="7"/>
      <c r="I105" s="7"/>
      <c r="J105" s="7"/>
      <c r="K105" s="51"/>
      <c r="L105" s="7"/>
      <c r="M105" s="7"/>
      <c r="N105" s="7"/>
      <c r="O105" s="7" t="b">
        <v>0</v>
      </c>
    </row>
    <row r="106" ht="17.25" customHeight="1">
      <c r="A106" s="91"/>
      <c r="B106" s="7"/>
      <c r="C106" s="45"/>
      <c r="D106" s="39"/>
      <c r="E106" s="7"/>
      <c r="F106" s="8"/>
      <c r="G106" s="7"/>
      <c r="H106" s="7"/>
      <c r="I106" s="7"/>
      <c r="J106" s="7"/>
      <c r="K106" s="45"/>
      <c r="L106" s="7"/>
      <c r="M106" s="7"/>
      <c r="N106" s="7"/>
      <c r="O106" s="7" t="b">
        <v>0</v>
      </c>
    </row>
    <row r="107" ht="17.25" customHeight="1">
      <c r="A107" s="91"/>
      <c r="B107" s="7"/>
      <c r="C107" s="45"/>
      <c r="D107" s="38"/>
      <c r="E107" s="7"/>
      <c r="F107" s="8"/>
      <c r="G107" s="7"/>
      <c r="H107" s="7"/>
      <c r="I107" s="7"/>
      <c r="J107" s="7"/>
      <c r="K107" s="45"/>
      <c r="L107" s="7"/>
      <c r="M107" s="7"/>
      <c r="N107" s="7"/>
      <c r="O107" s="7" t="b">
        <v>0</v>
      </c>
    </row>
    <row r="108" ht="17.25" customHeight="1">
      <c r="A108" s="91"/>
      <c r="B108" s="7"/>
      <c r="C108" s="69"/>
      <c r="D108" s="7"/>
      <c r="E108" s="7"/>
      <c r="F108" s="8"/>
      <c r="G108" s="7"/>
      <c r="H108" s="7"/>
      <c r="I108" s="7"/>
      <c r="J108" s="7"/>
      <c r="K108" s="69"/>
      <c r="L108" s="7"/>
      <c r="M108" s="7"/>
      <c r="N108" s="7"/>
      <c r="O108" s="7" t="b">
        <v>0</v>
      </c>
    </row>
    <row r="109" ht="17.25" customHeight="1">
      <c r="A109" s="91"/>
      <c r="B109" s="7"/>
      <c r="C109" s="63"/>
      <c r="D109" s="7"/>
      <c r="E109" s="7"/>
      <c r="F109" s="8"/>
      <c r="G109" s="13"/>
      <c r="H109" s="13"/>
      <c r="I109" s="13"/>
      <c r="J109" s="13"/>
      <c r="K109" s="63"/>
      <c r="L109" s="7"/>
      <c r="M109" s="7"/>
      <c r="N109" s="7"/>
      <c r="O109" s="7" t="b">
        <v>0</v>
      </c>
    </row>
    <row r="110" ht="17.25" customHeight="1">
      <c r="A110" s="91"/>
      <c r="B110" s="7"/>
      <c r="C110" s="45"/>
      <c r="D110" s="7"/>
      <c r="E110" s="7"/>
      <c r="F110" s="8"/>
      <c r="G110" s="7"/>
      <c r="H110" s="7"/>
      <c r="I110" s="7"/>
      <c r="J110" s="7"/>
      <c r="K110" s="45"/>
      <c r="L110" s="7"/>
      <c r="M110" s="7"/>
      <c r="N110" s="7"/>
      <c r="O110" s="7" t="b">
        <v>0</v>
      </c>
    </row>
    <row r="111" ht="17.25" customHeight="1">
      <c r="A111" s="91"/>
      <c r="B111" s="7"/>
      <c r="C111" s="45"/>
      <c r="D111" s="7"/>
      <c r="E111" s="7"/>
      <c r="F111" s="8"/>
      <c r="G111" s="7"/>
      <c r="H111" s="7"/>
      <c r="I111" s="7"/>
      <c r="J111" s="7"/>
      <c r="K111" s="45"/>
      <c r="L111" s="7"/>
      <c r="M111" s="7"/>
      <c r="N111" s="7"/>
      <c r="O111" s="7" t="b">
        <v>0</v>
      </c>
    </row>
    <row r="112" ht="17.25" customHeight="1">
      <c r="A112" s="91"/>
      <c r="B112" s="7"/>
      <c r="C112" s="45"/>
      <c r="D112" s="7"/>
      <c r="E112" s="7"/>
      <c r="F112" s="8"/>
      <c r="G112" s="7"/>
      <c r="H112" s="7"/>
      <c r="I112" s="7"/>
      <c r="J112" s="7"/>
      <c r="K112" s="45"/>
      <c r="L112" s="7"/>
      <c r="M112" s="7"/>
      <c r="N112" s="7"/>
      <c r="O112" s="7" t="b">
        <v>0</v>
      </c>
    </row>
    <row r="113" ht="17.25" customHeight="1">
      <c r="A113" s="91"/>
      <c r="B113" s="7"/>
      <c r="C113" s="45"/>
      <c r="D113" s="7"/>
      <c r="E113" s="7"/>
      <c r="F113" s="8"/>
      <c r="G113" s="7"/>
      <c r="H113" s="7"/>
      <c r="I113" s="7"/>
      <c r="J113" s="7"/>
      <c r="K113" s="45"/>
      <c r="L113" s="7"/>
      <c r="M113" s="7"/>
      <c r="N113" s="7"/>
      <c r="O113" s="7" t="b">
        <v>0</v>
      </c>
    </row>
    <row r="114" ht="17.25" customHeight="1">
      <c r="A114" s="91"/>
      <c r="B114" s="7"/>
      <c r="C114" s="45"/>
      <c r="D114" s="7"/>
      <c r="E114" s="7"/>
      <c r="F114" s="8"/>
      <c r="G114" s="7"/>
      <c r="H114" s="7"/>
      <c r="I114" s="7"/>
      <c r="J114" s="7"/>
      <c r="K114" s="45"/>
      <c r="L114" s="7"/>
      <c r="M114" s="7"/>
      <c r="N114" s="13"/>
      <c r="O114" s="7" t="b">
        <v>0</v>
      </c>
    </row>
    <row r="115" ht="17.25" customHeight="1">
      <c r="A115" s="91"/>
      <c r="B115" s="7"/>
      <c r="C115" s="65"/>
      <c r="D115" s="43"/>
      <c r="E115" s="7"/>
      <c r="F115" s="8"/>
      <c r="G115" s="7"/>
      <c r="H115" s="7"/>
      <c r="I115" s="7"/>
      <c r="J115" s="7"/>
      <c r="K115" s="65"/>
      <c r="L115" s="7"/>
      <c r="M115" s="7"/>
      <c r="N115" s="7"/>
      <c r="O115" s="7" t="b">
        <v>0</v>
      </c>
    </row>
    <row r="116" ht="17.25" customHeight="1">
      <c r="A116" s="91"/>
      <c r="B116" s="7"/>
      <c r="C116" s="13"/>
      <c r="D116" s="13"/>
      <c r="E116" s="7"/>
      <c r="F116" s="8"/>
      <c r="G116" s="13"/>
      <c r="H116" s="13"/>
      <c r="I116" s="13"/>
      <c r="J116" s="13"/>
      <c r="K116" s="13"/>
      <c r="L116" s="7"/>
      <c r="M116" s="7"/>
      <c r="N116" s="13"/>
      <c r="O116" s="7" t="b">
        <v>0</v>
      </c>
    </row>
    <row r="117" ht="17.25" customHeight="1">
      <c r="A117" s="91"/>
      <c r="B117" s="7"/>
      <c r="C117" s="41"/>
      <c r="D117" s="13"/>
      <c r="E117" s="7"/>
      <c r="F117" s="8"/>
      <c r="G117" s="41"/>
      <c r="H117" s="41"/>
      <c r="I117" s="41"/>
      <c r="J117" s="41"/>
      <c r="K117" s="41"/>
      <c r="L117" s="7"/>
      <c r="M117" s="7"/>
      <c r="N117" s="13"/>
      <c r="O117" s="7" t="b">
        <v>0</v>
      </c>
    </row>
    <row r="118" ht="17.25" customHeight="1">
      <c r="A118" s="91"/>
      <c r="B118" s="7"/>
      <c r="C118" s="39"/>
      <c r="D118" s="7"/>
      <c r="E118" s="7"/>
      <c r="F118" s="8"/>
      <c r="G118" s="7"/>
      <c r="H118" s="7"/>
      <c r="I118" s="7"/>
      <c r="J118" s="7"/>
      <c r="K118" s="39"/>
      <c r="L118" s="7"/>
      <c r="M118" s="7"/>
      <c r="N118" s="13"/>
      <c r="O118" s="7" t="b">
        <v>0</v>
      </c>
    </row>
    <row r="119" ht="17.25" customHeight="1">
      <c r="A119" s="91"/>
      <c r="B119" s="7"/>
      <c r="C119" s="45"/>
      <c r="D119" s="7"/>
      <c r="E119" s="7"/>
      <c r="F119" s="61"/>
      <c r="G119" s="7"/>
      <c r="H119" s="7"/>
      <c r="I119" s="7"/>
      <c r="J119" s="7"/>
      <c r="K119" s="45"/>
      <c r="L119" s="45"/>
      <c r="M119" s="7"/>
      <c r="N119" s="7"/>
      <c r="O119" s="7" t="b">
        <v>0</v>
      </c>
    </row>
    <row r="120" ht="17.25" customHeight="1">
      <c r="A120" s="91"/>
      <c r="B120" s="7"/>
      <c r="C120" s="45"/>
      <c r="D120" s="7"/>
      <c r="E120" s="7"/>
      <c r="F120" s="8"/>
      <c r="G120" s="7"/>
      <c r="H120" s="7"/>
      <c r="I120" s="7"/>
      <c r="J120" s="7"/>
      <c r="K120" s="45"/>
      <c r="L120" s="7"/>
      <c r="M120" s="7"/>
      <c r="N120" s="7"/>
      <c r="O120" s="7" t="b">
        <v>0</v>
      </c>
    </row>
    <row r="121" ht="17.25" customHeight="1">
      <c r="A121" s="91"/>
      <c r="B121" s="7"/>
      <c r="C121" s="45"/>
      <c r="D121" s="7"/>
      <c r="E121" s="7"/>
      <c r="F121" s="8"/>
      <c r="G121" s="7"/>
      <c r="H121" s="7"/>
      <c r="I121" s="7"/>
      <c r="J121" s="7"/>
      <c r="K121" s="45"/>
      <c r="L121" s="7"/>
      <c r="M121" s="7"/>
      <c r="N121" s="7"/>
      <c r="O121" s="7" t="b">
        <v>0</v>
      </c>
    </row>
    <row r="122" ht="17.25" customHeight="1">
      <c r="A122" s="91"/>
      <c r="B122" s="7"/>
      <c r="C122" s="41"/>
      <c r="D122" s="13"/>
      <c r="E122" s="7"/>
      <c r="F122" s="8"/>
      <c r="G122" s="41"/>
      <c r="H122" s="41"/>
      <c r="I122" s="41"/>
      <c r="J122" s="41"/>
      <c r="K122" s="41"/>
      <c r="L122" s="7"/>
      <c r="M122" s="7"/>
      <c r="N122" s="7"/>
      <c r="O122" s="7" t="b">
        <v>0</v>
      </c>
    </row>
    <row r="123" ht="17.25" customHeight="1">
      <c r="A123" s="91"/>
      <c r="B123" s="38"/>
      <c r="C123" s="45"/>
      <c r="D123" s="7"/>
      <c r="E123" s="7"/>
      <c r="F123" s="8"/>
      <c r="G123" s="7"/>
      <c r="H123" s="7"/>
      <c r="I123" s="7"/>
      <c r="J123" s="7"/>
      <c r="K123" s="45"/>
      <c r="L123" s="7"/>
      <c r="M123" s="7"/>
      <c r="N123" s="7"/>
      <c r="O123" s="7" t="b">
        <v>0</v>
      </c>
    </row>
    <row r="124" ht="17.25" customHeight="1">
      <c r="A124" s="91"/>
      <c r="B124" s="7"/>
      <c r="C124" s="49"/>
      <c r="D124" s="7"/>
      <c r="E124" s="7"/>
      <c r="F124" s="8"/>
      <c r="G124" s="7"/>
      <c r="H124" s="7"/>
      <c r="I124" s="7"/>
      <c r="J124" s="7"/>
      <c r="K124" s="49"/>
      <c r="L124" s="7"/>
      <c r="M124" s="7"/>
      <c r="N124" s="13"/>
      <c r="O124" s="7" t="b">
        <v>0</v>
      </c>
    </row>
    <row r="125" ht="17.25" customHeight="1">
      <c r="A125" s="91"/>
      <c r="B125" s="7"/>
      <c r="C125" s="13"/>
      <c r="D125" s="13"/>
      <c r="E125" s="7"/>
      <c r="F125" s="8"/>
      <c r="G125" s="7"/>
      <c r="H125" s="7"/>
      <c r="I125" s="7"/>
      <c r="J125" s="7"/>
      <c r="K125" s="13"/>
      <c r="L125" s="7"/>
      <c r="M125" s="7"/>
      <c r="N125" s="67"/>
      <c r="O125" s="7" t="b">
        <v>0</v>
      </c>
    </row>
    <row r="126" ht="17.25" customHeight="1">
      <c r="A126" s="91"/>
      <c r="B126" s="7"/>
      <c r="C126" s="13"/>
      <c r="D126" s="44"/>
      <c r="E126" s="7"/>
      <c r="F126" s="8"/>
      <c r="G126" s="13"/>
      <c r="H126" s="13"/>
      <c r="I126" s="13"/>
      <c r="J126" s="13"/>
      <c r="K126" s="13"/>
      <c r="L126" s="7"/>
      <c r="M126" s="7"/>
      <c r="N126" s="44"/>
      <c r="O126" s="7" t="b">
        <v>0</v>
      </c>
    </row>
    <row r="127" ht="17.25" customHeight="1">
      <c r="A127" s="91"/>
      <c r="B127" s="7"/>
      <c r="C127" s="41"/>
      <c r="D127" s="41"/>
      <c r="E127" s="7"/>
      <c r="F127" s="8"/>
      <c r="G127" s="41"/>
      <c r="H127" s="41"/>
      <c r="I127" s="41"/>
      <c r="J127" s="41"/>
      <c r="K127" s="41"/>
      <c r="L127" s="7"/>
      <c r="M127" s="7"/>
      <c r="N127" s="41"/>
      <c r="O127" s="7" t="b">
        <v>0</v>
      </c>
    </row>
    <row r="128" ht="17.25" customHeight="1">
      <c r="A128" s="91"/>
      <c r="B128" s="7"/>
      <c r="C128" s="49"/>
      <c r="D128" s="7"/>
      <c r="E128" s="7"/>
      <c r="F128" s="8"/>
      <c r="G128" s="7"/>
      <c r="H128" s="7"/>
      <c r="I128" s="7"/>
      <c r="J128" s="7"/>
      <c r="K128" s="49"/>
      <c r="L128" s="7"/>
      <c r="M128" s="7"/>
      <c r="N128" s="7"/>
      <c r="O128" s="7" t="b">
        <v>0</v>
      </c>
    </row>
    <row r="129" ht="17.25" customHeight="1">
      <c r="A129" s="91"/>
      <c r="B129" s="7"/>
      <c r="C129" s="13"/>
      <c r="D129" s="7"/>
      <c r="E129" s="7"/>
      <c r="F129" s="8"/>
      <c r="G129" s="7"/>
      <c r="H129" s="7"/>
      <c r="I129" s="7"/>
      <c r="J129" s="7"/>
      <c r="K129" s="13"/>
      <c r="L129" s="7"/>
      <c r="M129" s="7"/>
      <c r="N129" s="7"/>
      <c r="O129" s="7" t="b">
        <v>0</v>
      </c>
    </row>
    <row r="130" ht="17.25" customHeight="1">
      <c r="A130" s="91"/>
      <c r="B130" s="7"/>
      <c r="C130" s="45"/>
      <c r="D130" s="7"/>
      <c r="E130" s="7"/>
      <c r="F130" s="8"/>
      <c r="G130" s="7"/>
      <c r="H130" s="7"/>
      <c r="I130" s="7"/>
      <c r="J130" s="7"/>
      <c r="K130" s="45"/>
      <c r="L130" s="7"/>
      <c r="M130" s="7"/>
      <c r="N130" s="7"/>
      <c r="O130" s="7" t="b">
        <v>0</v>
      </c>
    </row>
    <row r="131" ht="17.25" customHeight="1">
      <c r="A131" s="91"/>
      <c r="B131" s="7"/>
      <c r="C131" s="54"/>
      <c r="D131" s="39"/>
      <c r="E131" s="7"/>
      <c r="F131" s="40"/>
      <c r="G131" s="41"/>
      <c r="H131" s="41"/>
      <c r="I131" s="41"/>
      <c r="J131" s="41"/>
      <c r="K131" s="54"/>
      <c r="L131" s="13"/>
      <c r="M131" s="13"/>
      <c r="N131" s="13"/>
      <c r="O131" s="7" t="b">
        <v>0</v>
      </c>
    </row>
    <row r="132" ht="17.25" customHeight="1">
      <c r="A132" s="91"/>
      <c r="B132" s="7"/>
      <c r="C132" s="7"/>
      <c r="D132" s="7"/>
      <c r="E132" s="7"/>
      <c r="F132" s="8"/>
      <c r="G132" s="13"/>
      <c r="H132" s="13"/>
      <c r="I132" s="13"/>
      <c r="J132" s="13"/>
      <c r="K132" s="7"/>
      <c r="L132" s="7"/>
      <c r="M132" s="7"/>
      <c r="N132" s="7"/>
      <c r="O132" s="7" t="b">
        <v>0</v>
      </c>
    </row>
    <row r="133" ht="17.25" customHeight="1">
      <c r="A133" s="91"/>
      <c r="B133" s="7"/>
      <c r="C133" s="39"/>
      <c r="D133" s="39"/>
      <c r="E133" s="7"/>
      <c r="F133" s="8"/>
      <c r="G133" s="13"/>
      <c r="H133" s="13"/>
      <c r="I133" s="13"/>
      <c r="J133" s="13"/>
      <c r="K133" s="39"/>
      <c r="L133" s="7"/>
      <c r="M133" s="7"/>
      <c r="N133" s="13"/>
      <c r="O133" s="7" t="b">
        <v>0</v>
      </c>
    </row>
    <row r="134" ht="17.25" customHeight="1">
      <c r="A134" s="91"/>
      <c r="B134" s="38"/>
      <c r="C134" s="49"/>
      <c r="D134" s="7"/>
      <c r="E134" s="7"/>
      <c r="F134" s="8"/>
      <c r="G134" s="7"/>
      <c r="H134" s="7"/>
      <c r="I134" s="7"/>
      <c r="J134" s="7"/>
      <c r="K134" s="49"/>
      <c r="L134" s="7"/>
      <c r="M134" s="7"/>
      <c r="N134" s="13"/>
      <c r="O134" s="7" t="b">
        <v>0</v>
      </c>
    </row>
    <row r="135" ht="17.25" customHeight="1">
      <c r="A135" s="91"/>
      <c r="B135" s="7"/>
      <c r="C135" s="45"/>
      <c r="D135" s="7"/>
      <c r="E135" s="7"/>
      <c r="F135" s="8"/>
      <c r="G135" s="46"/>
      <c r="H135" s="46"/>
      <c r="I135" s="46"/>
      <c r="J135" s="46"/>
      <c r="K135" s="45"/>
      <c r="L135" s="7"/>
      <c r="M135" s="7"/>
      <c r="N135" s="7"/>
      <c r="O135" s="7" t="b">
        <v>0</v>
      </c>
    </row>
    <row r="136" ht="17.25" customHeight="1">
      <c r="A136" s="91"/>
      <c r="B136" s="7"/>
      <c r="C136" s="70"/>
      <c r="D136" s="41"/>
      <c r="E136" s="7"/>
      <c r="F136" s="59"/>
      <c r="G136" s="41"/>
      <c r="H136" s="41"/>
      <c r="I136" s="41"/>
      <c r="J136" s="41"/>
      <c r="K136" s="70"/>
      <c r="L136" s="41"/>
      <c r="M136" s="41"/>
      <c r="N136" s="41"/>
      <c r="O136" s="7" t="b">
        <v>0</v>
      </c>
    </row>
    <row r="137" ht="17.25" customHeight="1">
      <c r="A137" s="91"/>
      <c r="B137" s="7"/>
      <c r="C137" s="49"/>
      <c r="D137" s="7"/>
      <c r="E137" s="7"/>
      <c r="F137" s="12"/>
      <c r="G137" s="7"/>
      <c r="H137" s="7"/>
      <c r="I137" s="7"/>
      <c r="J137" s="7"/>
      <c r="K137" s="49"/>
      <c r="L137" s="56"/>
      <c r="M137" s="7"/>
      <c r="N137" s="7"/>
      <c r="O137" s="7" t="b">
        <v>0</v>
      </c>
    </row>
    <row r="138" ht="17.25" customHeight="1">
      <c r="A138" s="91"/>
      <c r="B138" s="7"/>
      <c r="C138" s="49"/>
      <c r="D138" s="7"/>
      <c r="E138" s="7"/>
      <c r="F138" s="8"/>
      <c r="G138" s="7"/>
      <c r="H138" s="7"/>
      <c r="I138" s="7"/>
      <c r="J138" s="7"/>
      <c r="K138" s="49"/>
      <c r="L138" s="7"/>
      <c r="M138" s="7"/>
      <c r="N138" s="7"/>
      <c r="O138" s="7" t="b">
        <v>0</v>
      </c>
    </row>
    <row r="139" ht="17.25" customHeight="1">
      <c r="A139" s="91"/>
      <c r="B139" s="7"/>
      <c r="C139" s="49"/>
      <c r="D139" s="7"/>
      <c r="E139" s="7"/>
      <c r="F139" s="8"/>
      <c r="G139" s="7"/>
      <c r="H139" s="7"/>
      <c r="I139" s="7"/>
      <c r="J139" s="7"/>
      <c r="K139" s="49"/>
      <c r="L139" s="7"/>
      <c r="M139" s="7"/>
      <c r="N139" s="7"/>
      <c r="O139" s="7" t="b">
        <v>0</v>
      </c>
    </row>
    <row r="140" ht="17.25" customHeight="1">
      <c r="A140" s="91"/>
      <c r="B140" s="7"/>
      <c r="C140" s="49"/>
      <c r="D140" s="7"/>
      <c r="E140" s="7"/>
      <c r="F140" s="8"/>
      <c r="G140" s="7"/>
      <c r="H140" s="7"/>
      <c r="I140" s="7"/>
      <c r="J140" s="7"/>
      <c r="K140" s="49"/>
      <c r="L140" s="7"/>
      <c r="M140" s="7"/>
      <c r="N140" s="7"/>
      <c r="O140" s="7" t="b">
        <v>0</v>
      </c>
    </row>
    <row r="141" ht="17.25" customHeight="1">
      <c r="A141" s="91"/>
      <c r="B141" s="7"/>
      <c r="C141" s="39"/>
      <c r="D141" s="39"/>
      <c r="E141" s="7"/>
      <c r="F141" s="8"/>
      <c r="G141" s="13"/>
      <c r="H141" s="13"/>
      <c r="I141" s="13"/>
      <c r="J141" s="13"/>
      <c r="K141" s="39"/>
      <c r="L141" s="7"/>
      <c r="M141" s="7"/>
      <c r="N141" s="7"/>
      <c r="O141" s="7" t="b">
        <v>0</v>
      </c>
    </row>
    <row r="142" ht="17.25" customHeight="1">
      <c r="A142" s="91"/>
      <c r="B142" s="7"/>
      <c r="C142" s="13"/>
      <c r="D142" s="7"/>
      <c r="E142" s="7"/>
      <c r="F142" s="8"/>
      <c r="G142" s="13"/>
      <c r="H142" s="13"/>
      <c r="I142" s="13"/>
      <c r="J142" s="13"/>
      <c r="K142" s="13"/>
      <c r="L142" s="7"/>
      <c r="M142" s="7"/>
      <c r="N142" s="52"/>
      <c r="O142" s="7" t="b">
        <v>0</v>
      </c>
    </row>
    <row r="143" ht="17.25" customHeight="1">
      <c r="A143" s="91"/>
      <c r="B143" s="7"/>
      <c r="C143" s="45"/>
      <c r="D143" s="7"/>
      <c r="E143" s="7"/>
      <c r="F143" s="8"/>
      <c r="G143" s="7"/>
      <c r="H143" s="7"/>
      <c r="I143" s="7"/>
      <c r="J143" s="7"/>
      <c r="K143" s="45"/>
      <c r="L143" s="7"/>
      <c r="M143" s="7"/>
      <c r="N143" s="13"/>
      <c r="O143" s="7" t="b">
        <v>0</v>
      </c>
    </row>
    <row r="144" ht="17.25" customHeight="1">
      <c r="A144" s="91"/>
      <c r="B144" s="7"/>
      <c r="C144" s="45"/>
      <c r="D144" s="7"/>
      <c r="E144" s="7"/>
      <c r="F144" s="8"/>
      <c r="G144" s="7"/>
      <c r="H144" s="7"/>
      <c r="I144" s="7"/>
      <c r="J144" s="7"/>
      <c r="K144" s="45"/>
      <c r="L144" s="7"/>
      <c r="M144" s="7"/>
      <c r="N144" s="13"/>
      <c r="O144" s="7" t="b">
        <v>0</v>
      </c>
    </row>
    <row r="145" ht="17.25" customHeight="1">
      <c r="A145" s="91"/>
      <c r="B145" s="7"/>
      <c r="C145" s="45"/>
      <c r="D145" s="7"/>
      <c r="E145" s="7"/>
      <c r="F145" s="8"/>
      <c r="G145" s="7"/>
      <c r="H145" s="7"/>
      <c r="I145" s="7"/>
      <c r="J145" s="7"/>
      <c r="K145" s="45"/>
      <c r="L145" s="7"/>
      <c r="M145" s="7"/>
      <c r="N145" s="13"/>
      <c r="O145" s="7" t="b">
        <v>0</v>
      </c>
    </row>
    <row r="146" ht="17.25" customHeight="1">
      <c r="A146" s="91"/>
      <c r="B146" s="38"/>
      <c r="C146" s="13"/>
      <c r="D146" s="7"/>
      <c r="E146" s="7"/>
      <c r="F146" s="8"/>
      <c r="G146" s="7"/>
      <c r="H146" s="7"/>
      <c r="I146" s="7"/>
      <c r="J146" s="7"/>
      <c r="K146" s="13"/>
      <c r="L146" s="7"/>
      <c r="M146" s="7"/>
      <c r="N146" s="7"/>
      <c r="O146" s="7" t="b">
        <v>0</v>
      </c>
    </row>
    <row r="147" ht="17.25" customHeight="1">
      <c r="A147" s="91"/>
      <c r="B147" s="7"/>
      <c r="C147" s="39"/>
      <c r="D147" s="7"/>
      <c r="E147" s="7"/>
      <c r="F147" s="8"/>
      <c r="G147" s="7"/>
      <c r="H147" s="7"/>
      <c r="I147" s="7"/>
      <c r="J147" s="7"/>
      <c r="K147" s="39"/>
      <c r="L147" s="7"/>
      <c r="M147" s="7"/>
      <c r="N147" s="7"/>
      <c r="O147" s="7" t="b">
        <v>0</v>
      </c>
    </row>
    <row r="148" ht="17.25" customHeight="1">
      <c r="A148" s="91"/>
      <c r="B148" s="7"/>
      <c r="C148" s="45"/>
      <c r="D148" s="7"/>
      <c r="E148" s="7"/>
      <c r="F148" s="8"/>
      <c r="G148" s="7"/>
      <c r="H148" s="7"/>
      <c r="I148" s="7"/>
      <c r="J148" s="7"/>
      <c r="K148" s="45"/>
      <c r="L148" s="7"/>
      <c r="M148" s="7"/>
      <c r="N148" s="7"/>
      <c r="O148" s="7" t="b">
        <v>0</v>
      </c>
    </row>
    <row r="149" ht="17.25" customHeight="1">
      <c r="A149" s="91"/>
      <c r="B149" s="7"/>
      <c r="C149" s="7"/>
      <c r="D149" s="7"/>
      <c r="E149" s="7"/>
      <c r="F149" s="8"/>
      <c r="G149" s="7"/>
      <c r="H149" s="7"/>
      <c r="I149" s="7"/>
      <c r="J149" s="7"/>
      <c r="K149" s="7"/>
      <c r="L149" s="7"/>
      <c r="M149" s="7"/>
      <c r="N149" s="7"/>
      <c r="O149" s="7" t="b">
        <v>0</v>
      </c>
    </row>
    <row r="150" ht="17.25" customHeight="1">
      <c r="A150" s="91"/>
      <c r="B150" s="7"/>
      <c r="C150" s="45"/>
      <c r="D150" s="7"/>
      <c r="E150" s="7"/>
      <c r="F150" s="8"/>
      <c r="G150" s="7"/>
      <c r="H150" s="7"/>
      <c r="I150" s="7"/>
      <c r="J150" s="7"/>
      <c r="K150" s="45"/>
      <c r="L150" s="7"/>
      <c r="M150" s="7"/>
      <c r="N150" s="7"/>
      <c r="O150" s="7" t="b">
        <v>0</v>
      </c>
    </row>
    <row r="151" ht="17.25" customHeight="1">
      <c r="A151" s="91"/>
      <c r="B151" s="7"/>
      <c r="C151" s="45"/>
      <c r="D151" s="7"/>
      <c r="E151" s="7"/>
      <c r="F151" s="8"/>
      <c r="G151" s="7"/>
      <c r="H151" s="7"/>
      <c r="I151" s="7"/>
      <c r="J151" s="7"/>
      <c r="K151" s="45"/>
      <c r="L151" s="7"/>
      <c r="M151" s="7"/>
      <c r="N151" s="7"/>
      <c r="O151" s="7" t="b">
        <v>0</v>
      </c>
    </row>
    <row r="152" ht="17.25" customHeight="1">
      <c r="A152" s="91"/>
      <c r="B152" s="7"/>
      <c r="C152" s="71"/>
      <c r="D152" s="13"/>
      <c r="E152" s="7"/>
      <c r="F152" s="8"/>
      <c r="G152" s="13"/>
      <c r="H152" s="13"/>
      <c r="I152" s="13"/>
      <c r="J152" s="13"/>
      <c r="K152" s="71"/>
      <c r="L152" s="7"/>
      <c r="M152" s="7"/>
      <c r="N152" s="7"/>
      <c r="O152" s="7" t="b">
        <v>0</v>
      </c>
    </row>
    <row r="153" ht="17.25" customHeight="1">
      <c r="A153" s="91"/>
      <c r="B153" s="7"/>
      <c r="C153" s="13"/>
      <c r="D153" s="13"/>
      <c r="E153" s="7"/>
      <c r="F153" s="12"/>
      <c r="G153" s="13"/>
      <c r="H153" s="13"/>
      <c r="I153" s="13"/>
      <c r="J153" s="13"/>
      <c r="K153" s="13"/>
      <c r="L153" s="56"/>
      <c r="M153" s="7"/>
      <c r="N153" s="13"/>
      <c r="O153" s="7" t="b">
        <v>0</v>
      </c>
    </row>
    <row r="154" ht="17.25" customHeight="1">
      <c r="A154" s="91"/>
      <c r="B154" s="7"/>
      <c r="C154" s="13"/>
      <c r="D154" s="13"/>
      <c r="E154" s="7"/>
      <c r="F154" s="8"/>
      <c r="G154" s="13"/>
      <c r="H154" s="13"/>
      <c r="I154" s="13"/>
      <c r="J154" s="13"/>
      <c r="K154" s="13"/>
      <c r="L154" s="7"/>
      <c r="M154" s="7"/>
      <c r="N154" s="7"/>
      <c r="O154" s="7" t="b">
        <v>0</v>
      </c>
    </row>
    <row r="155" ht="17.25" customHeight="1">
      <c r="A155" s="91"/>
      <c r="B155" s="7"/>
      <c r="C155" s="51"/>
      <c r="D155" s="7"/>
      <c r="E155" s="7"/>
      <c r="F155" s="8"/>
      <c r="G155" s="7"/>
      <c r="H155" s="7"/>
      <c r="I155" s="7"/>
      <c r="J155" s="7"/>
      <c r="K155" s="51"/>
      <c r="L155" s="7"/>
      <c r="M155" s="7"/>
      <c r="N155" s="7"/>
      <c r="O155" s="7" t="b">
        <v>0</v>
      </c>
    </row>
    <row r="156" ht="17.25" customHeight="1">
      <c r="A156" s="91"/>
      <c r="B156" s="7"/>
      <c r="C156" s="45"/>
      <c r="D156" s="7"/>
      <c r="E156" s="7"/>
      <c r="F156" s="8"/>
      <c r="G156" s="7"/>
      <c r="H156" s="7"/>
      <c r="I156" s="7"/>
      <c r="J156" s="7"/>
      <c r="K156" s="45"/>
      <c r="L156" s="7"/>
      <c r="M156" s="7"/>
      <c r="N156" s="7"/>
      <c r="O156" s="7" t="b">
        <v>0</v>
      </c>
    </row>
    <row r="157" ht="17.25" customHeight="1">
      <c r="A157" s="91"/>
      <c r="B157" s="7"/>
      <c r="C157" s="45"/>
      <c r="D157" s="7"/>
      <c r="E157" s="7"/>
      <c r="F157" s="8"/>
      <c r="G157" s="7"/>
      <c r="H157" s="7"/>
      <c r="I157" s="7"/>
      <c r="J157" s="7"/>
      <c r="K157" s="45"/>
      <c r="L157" s="7"/>
      <c r="M157" s="7"/>
      <c r="N157" s="7"/>
      <c r="O157" s="7" t="b">
        <v>0</v>
      </c>
    </row>
    <row r="158" ht="17.25" customHeight="1">
      <c r="A158" s="91"/>
      <c r="B158" s="7"/>
      <c r="C158" s="63"/>
      <c r="D158" s="7"/>
      <c r="E158" s="7"/>
      <c r="F158" s="8"/>
      <c r="G158" s="13"/>
      <c r="H158" s="13"/>
      <c r="I158" s="13"/>
      <c r="J158" s="13"/>
      <c r="K158" s="63"/>
      <c r="L158" s="7"/>
      <c r="M158" s="7"/>
      <c r="N158" s="7"/>
      <c r="O158" s="7" t="b">
        <v>0</v>
      </c>
    </row>
    <row r="159" ht="17.25" customHeight="1">
      <c r="A159" s="91"/>
      <c r="B159" s="7"/>
      <c r="C159" s="72"/>
      <c r="D159" s="7"/>
      <c r="E159" s="7"/>
      <c r="F159" s="8"/>
      <c r="G159" s="13"/>
      <c r="H159" s="13"/>
      <c r="I159" s="13"/>
      <c r="J159" s="13"/>
      <c r="K159" s="72"/>
      <c r="L159" s="7"/>
      <c r="M159" s="7"/>
      <c r="N159" s="7"/>
      <c r="O159" s="7" t="b">
        <v>0</v>
      </c>
    </row>
    <row r="160" ht="17.25" customHeight="1">
      <c r="A160" s="91"/>
      <c r="B160" s="7"/>
      <c r="C160" s="45"/>
      <c r="D160" s="7"/>
      <c r="E160" s="7"/>
      <c r="F160" s="8"/>
      <c r="G160" s="46"/>
      <c r="H160" s="46"/>
      <c r="I160" s="46"/>
      <c r="J160" s="46"/>
      <c r="K160" s="45"/>
      <c r="L160" s="7"/>
      <c r="M160" s="7"/>
      <c r="N160" s="7"/>
      <c r="O160" s="7" t="b">
        <v>0</v>
      </c>
    </row>
    <row r="161" ht="17.25" customHeight="1">
      <c r="A161" s="91"/>
      <c r="B161" s="7"/>
      <c r="C161" s="45"/>
      <c r="D161" s="38"/>
      <c r="E161" s="7"/>
      <c r="F161" s="8"/>
      <c r="G161" s="46"/>
      <c r="H161" s="46"/>
      <c r="I161" s="46"/>
      <c r="J161" s="46"/>
      <c r="K161" s="45"/>
      <c r="L161" s="7"/>
      <c r="M161" s="7"/>
      <c r="N161" s="7"/>
      <c r="O161" s="7" t="b">
        <v>0</v>
      </c>
    </row>
    <row r="162" ht="17.25" customHeight="1">
      <c r="A162" s="91"/>
      <c r="B162" s="7"/>
      <c r="C162" s="49"/>
      <c r="D162" s="7"/>
      <c r="E162" s="7"/>
      <c r="F162" s="8"/>
      <c r="G162" s="7"/>
      <c r="H162" s="7"/>
      <c r="I162" s="7"/>
      <c r="J162" s="7"/>
      <c r="K162" s="49"/>
      <c r="L162" s="7"/>
      <c r="M162" s="7"/>
      <c r="N162" s="7"/>
      <c r="O162" s="7" t="b">
        <v>0</v>
      </c>
    </row>
    <row r="163" ht="17.25" customHeight="1">
      <c r="A163" s="91"/>
      <c r="B163" s="7"/>
      <c r="C163" s="39"/>
      <c r="D163" s="7"/>
      <c r="E163" s="7"/>
      <c r="F163" s="8"/>
      <c r="G163" s="7"/>
      <c r="H163" s="7"/>
      <c r="I163" s="7"/>
      <c r="J163" s="7"/>
      <c r="K163" s="39"/>
      <c r="L163" s="7"/>
      <c r="M163" s="7"/>
      <c r="N163" s="7"/>
      <c r="O163" s="7" t="b">
        <v>0</v>
      </c>
    </row>
    <row r="164" ht="17.25" customHeight="1">
      <c r="A164" s="91"/>
      <c r="B164" s="7"/>
      <c r="C164" s="45"/>
      <c r="D164" s="7"/>
      <c r="E164" s="7"/>
      <c r="F164" s="8"/>
      <c r="G164" s="13"/>
      <c r="H164" s="13"/>
      <c r="I164" s="13"/>
      <c r="J164" s="13"/>
      <c r="K164" s="45"/>
      <c r="L164" s="7"/>
      <c r="M164" s="7"/>
      <c r="N164" s="7"/>
      <c r="O164" s="7" t="b">
        <v>0</v>
      </c>
    </row>
    <row r="165" ht="17.25" customHeight="1">
      <c r="A165" s="91"/>
      <c r="B165" s="7"/>
      <c r="C165" s="51"/>
      <c r="D165" s="7"/>
      <c r="E165" s="7"/>
      <c r="F165" s="8"/>
      <c r="G165" s="13"/>
      <c r="H165" s="13"/>
      <c r="I165" s="13"/>
      <c r="J165" s="13"/>
      <c r="K165" s="51"/>
      <c r="L165" s="7"/>
      <c r="M165" s="7"/>
      <c r="N165" s="7"/>
      <c r="O165" s="7" t="b">
        <v>0</v>
      </c>
    </row>
    <row r="166" ht="17.25" customHeight="1">
      <c r="A166" s="91"/>
      <c r="B166" s="7"/>
      <c r="C166" s="45"/>
      <c r="D166" s="39"/>
      <c r="E166" s="7"/>
      <c r="F166" s="8"/>
      <c r="G166" s="7"/>
      <c r="H166" s="7"/>
      <c r="I166" s="7"/>
      <c r="J166" s="7"/>
      <c r="K166" s="45"/>
      <c r="L166" s="7"/>
      <c r="M166" s="7"/>
      <c r="N166" s="7"/>
      <c r="O166" s="7" t="b">
        <v>0</v>
      </c>
    </row>
    <row r="167" ht="17.25" customHeight="1">
      <c r="A167" s="91"/>
      <c r="B167" s="7"/>
      <c r="C167" s="13"/>
      <c r="D167" s="7"/>
      <c r="E167" s="7"/>
      <c r="F167" s="8"/>
      <c r="G167" s="13"/>
      <c r="H167" s="13"/>
      <c r="I167" s="13"/>
      <c r="J167" s="13"/>
      <c r="K167" s="13"/>
      <c r="L167" s="7"/>
      <c r="M167" s="7"/>
      <c r="N167" s="7"/>
      <c r="O167" s="7" t="b">
        <v>0</v>
      </c>
    </row>
    <row r="168" ht="17.25" customHeight="1">
      <c r="A168" s="91"/>
      <c r="B168" s="7"/>
      <c r="C168" s="13"/>
      <c r="D168" s="7"/>
      <c r="E168" s="7"/>
      <c r="F168" s="8"/>
      <c r="G168" s="7"/>
      <c r="H168" s="7"/>
      <c r="I168" s="7"/>
      <c r="J168" s="7"/>
      <c r="K168" s="13"/>
      <c r="L168" s="7"/>
      <c r="M168" s="7"/>
      <c r="N168" s="7"/>
      <c r="O168" s="7" t="b">
        <v>0</v>
      </c>
    </row>
    <row r="169" ht="17.25" customHeight="1">
      <c r="A169" s="91"/>
      <c r="B169" s="38"/>
      <c r="C169" s="47"/>
      <c r="D169" s="44"/>
      <c r="E169" s="7"/>
      <c r="F169" s="8"/>
      <c r="G169" s="44"/>
      <c r="H169" s="44"/>
      <c r="I169" s="44"/>
      <c r="J169" s="44"/>
      <c r="K169" s="47"/>
      <c r="L169" s="7"/>
      <c r="M169" s="7"/>
      <c r="N169" s="7"/>
      <c r="O169" s="7" t="b">
        <v>0</v>
      </c>
    </row>
    <row r="170" ht="17.25" customHeight="1">
      <c r="A170" s="91"/>
      <c r="B170" s="38"/>
      <c r="C170" s="73"/>
      <c r="D170" s="38"/>
      <c r="E170" s="7"/>
      <c r="F170" s="8"/>
      <c r="G170" s="7"/>
      <c r="H170" s="7"/>
      <c r="I170" s="7"/>
      <c r="J170" s="7"/>
      <c r="K170" s="73"/>
      <c r="L170" s="7"/>
      <c r="M170" s="7"/>
      <c r="N170" s="7"/>
      <c r="O170" s="7" t="b">
        <v>0</v>
      </c>
    </row>
    <row r="171" ht="17.25" customHeight="1">
      <c r="A171" s="91"/>
      <c r="B171" s="7"/>
      <c r="C171" s="13"/>
      <c r="D171" s="13"/>
      <c r="E171" s="7"/>
      <c r="F171" s="8"/>
      <c r="G171" s="7"/>
      <c r="H171" s="7"/>
      <c r="I171" s="7"/>
      <c r="J171" s="7"/>
      <c r="K171" s="13"/>
      <c r="L171" s="7"/>
      <c r="M171" s="7"/>
      <c r="N171" s="67"/>
      <c r="O171" s="7" t="b">
        <v>0</v>
      </c>
    </row>
    <row r="172" ht="17.25" customHeight="1">
      <c r="A172" s="91"/>
      <c r="B172" s="7"/>
      <c r="C172" s="13"/>
      <c r="D172" s="44"/>
      <c r="E172" s="7"/>
      <c r="F172" s="8"/>
      <c r="G172" s="13"/>
      <c r="H172" s="13"/>
      <c r="I172" s="13"/>
      <c r="J172" s="13"/>
      <c r="K172" s="13"/>
      <c r="L172" s="7"/>
      <c r="M172" s="7"/>
      <c r="N172" s="44"/>
      <c r="O172" s="7" t="b">
        <v>0</v>
      </c>
    </row>
    <row r="173" ht="17.25" customHeight="1">
      <c r="A173" s="91"/>
      <c r="B173" s="7"/>
      <c r="C173" s="41"/>
      <c r="D173" s="44"/>
      <c r="E173" s="7"/>
      <c r="F173" s="8"/>
      <c r="G173" s="41"/>
      <c r="H173" s="41"/>
      <c r="I173" s="41"/>
      <c r="J173" s="41"/>
      <c r="K173" s="41"/>
      <c r="L173" s="7"/>
      <c r="M173" s="7"/>
      <c r="N173" s="44"/>
      <c r="O173" s="7" t="b">
        <v>0</v>
      </c>
    </row>
    <row r="174" ht="17.25" customHeight="1">
      <c r="A174" s="91"/>
      <c r="B174" s="7"/>
      <c r="C174" s="45"/>
      <c r="D174" s="7"/>
      <c r="E174" s="7"/>
      <c r="F174" s="8"/>
      <c r="G174" s="7"/>
      <c r="H174" s="7"/>
      <c r="I174" s="7"/>
      <c r="J174" s="7"/>
      <c r="K174" s="45"/>
      <c r="L174" s="7"/>
      <c r="M174" s="7"/>
      <c r="N174" s="7"/>
      <c r="O174" s="7" t="b">
        <v>0</v>
      </c>
    </row>
    <row r="175" ht="17.25" customHeight="1">
      <c r="A175" s="91"/>
      <c r="B175" s="7"/>
      <c r="C175" s="51"/>
      <c r="D175" s="7"/>
      <c r="E175" s="7"/>
      <c r="F175" s="8"/>
      <c r="G175" s="46"/>
      <c r="H175" s="46"/>
      <c r="I175" s="46"/>
      <c r="J175" s="46"/>
      <c r="K175" s="51"/>
      <c r="L175" s="7"/>
      <c r="M175" s="7"/>
      <c r="N175" s="7"/>
      <c r="O175" s="7" t="b">
        <v>0</v>
      </c>
    </row>
    <row r="176" ht="17.25" customHeight="1">
      <c r="A176" s="91"/>
      <c r="B176" s="7"/>
      <c r="C176" s="49"/>
      <c r="D176" s="7"/>
      <c r="E176" s="7"/>
      <c r="F176" s="8"/>
      <c r="G176" s="7"/>
      <c r="H176" s="7"/>
      <c r="I176" s="7"/>
      <c r="J176" s="7"/>
      <c r="K176" s="49"/>
      <c r="L176" s="7"/>
      <c r="M176" s="7"/>
      <c r="N176" s="7"/>
      <c r="O176" s="7" t="b">
        <v>0</v>
      </c>
    </row>
    <row r="177" ht="17.25" customHeight="1">
      <c r="A177" s="91"/>
      <c r="B177" s="38"/>
      <c r="C177" s="54"/>
      <c r="D177" s="13"/>
      <c r="E177" s="7"/>
      <c r="F177" s="40"/>
      <c r="G177" s="41"/>
      <c r="H177" s="41"/>
      <c r="I177" s="41"/>
      <c r="J177" s="41"/>
      <c r="K177" s="54"/>
      <c r="L177" s="13"/>
      <c r="M177" s="13"/>
      <c r="N177" s="13"/>
      <c r="O177" s="7" t="b">
        <v>0</v>
      </c>
    </row>
    <row r="178" ht="17.25" customHeight="1">
      <c r="A178" s="91"/>
      <c r="B178" s="7"/>
      <c r="C178" s="49"/>
      <c r="D178" s="38"/>
      <c r="E178" s="7"/>
      <c r="F178" s="8"/>
      <c r="G178" s="7"/>
      <c r="H178" s="7"/>
      <c r="I178" s="7"/>
      <c r="J178" s="7"/>
      <c r="K178" s="49"/>
      <c r="L178" s="7"/>
      <c r="M178" s="7"/>
      <c r="N178" s="7"/>
      <c r="O178" s="7" t="b">
        <v>0</v>
      </c>
    </row>
    <row r="179" ht="17.25" customHeight="1">
      <c r="A179" s="91"/>
      <c r="B179" s="7"/>
      <c r="C179" s="74"/>
      <c r="D179" s="13"/>
      <c r="E179" s="7"/>
      <c r="F179" s="8"/>
      <c r="G179" s="48"/>
      <c r="H179" s="48"/>
      <c r="I179" s="48"/>
      <c r="J179" s="48"/>
      <c r="K179" s="74"/>
      <c r="L179" s="7"/>
      <c r="M179" s="7"/>
      <c r="N179" s="13"/>
      <c r="O179" s="7" t="b">
        <v>0</v>
      </c>
    </row>
    <row r="180" ht="17.25" customHeight="1">
      <c r="A180" s="91"/>
      <c r="B180" s="7"/>
      <c r="C180" s="45"/>
      <c r="D180" s="7"/>
      <c r="E180" s="7"/>
      <c r="F180" s="8"/>
      <c r="G180" s="7"/>
      <c r="H180" s="7"/>
      <c r="I180" s="7"/>
      <c r="J180" s="7"/>
      <c r="K180" s="45"/>
      <c r="L180" s="7"/>
      <c r="M180" s="7"/>
      <c r="N180" s="7"/>
      <c r="O180" s="7" t="b">
        <v>0</v>
      </c>
    </row>
    <row r="181" ht="17.25" customHeight="1">
      <c r="A181" s="91"/>
      <c r="B181" s="7"/>
      <c r="C181" s="45"/>
      <c r="D181" s="7"/>
      <c r="E181" s="7"/>
      <c r="F181" s="8"/>
      <c r="G181" s="7"/>
      <c r="H181" s="7"/>
      <c r="I181" s="7"/>
      <c r="J181" s="7"/>
      <c r="K181" s="45"/>
      <c r="L181" s="7"/>
      <c r="M181" s="7"/>
      <c r="N181" s="7"/>
      <c r="O181" s="7" t="b">
        <v>0</v>
      </c>
    </row>
    <row r="182" ht="17.25" customHeight="1">
      <c r="A182" s="91"/>
      <c r="B182" s="7"/>
      <c r="C182" s="13"/>
      <c r="D182" s="46"/>
      <c r="E182" s="7"/>
      <c r="F182" s="8"/>
      <c r="G182" s="46"/>
      <c r="H182" s="46"/>
      <c r="I182" s="46"/>
      <c r="J182" s="46"/>
      <c r="K182" s="13"/>
      <c r="L182" s="7"/>
      <c r="M182" s="7"/>
      <c r="N182" s="7"/>
      <c r="O182" s="7" t="b">
        <v>0</v>
      </c>
    </row>
    <row r="183" ht="17.25" customHeight="1">
      <c r="A183" s="91"/>
      <c r="B183" s="38"/>
      <c r="C183" s="49"/>
      <c r="D183" s="75"/>
      <c r="E183" s="7"/>
      <c r="F183" s="8"/>
      <c r="G183" s="46"/>
      <c r="H183" s="46"/>
      <c r="I183" s="46"/>
      <c r="J183" s="46"/>
      <c r="K183" s="49"/>
      <c r="L183" s="7"/>
      <c r="M183" s="7"/>
      <c r="N183" s="13"/>
      <c r="O183" s="7" t="b">
        <v>0</v>
      </c>
    </row>
    <row r="184" ht="17.25" customHeight="1">
      <c r="A184" s="91"/>
      <c r="B184" s="7"/>
      <c r="C184" s="13"/>
      <c r="D184" s="7"/>
      <c r="E184" s="7"/>
      <c r="F184" s="8"/>
      <c r="G184" s="7"/>
      <c r="H184" s="7"/>
      <c r="I184" s="7"/>
      <c r="J184" s="7"/>
      <c r="K184" s="13"/>
      <c r="L184" s="7"/>
      <c r="M184" s="7"/>
      <c r="N184" s="52"/>
      <c r="O184" s="7" t="b">
        <v>0</v>
      </c>
    </row>
    <row r="185" ht="17.25" customHeight="1">
      <c r="A185" s="91"/>
      <c r="B185" s="7"/>
      <c r="C185" s="39"/>
      <c r="D185" s="7"/>
      <c r="E185" s="7"/>
      <c r="F185" s="8"/>
      <c r="G185" s="7"/>
      <c r="H185" s="7"/>
      <c r="I185" s="7"/>
      <c r="J185" s="7"/>
      <c r="K185" s="39"/>
      <c r="L185" s="7"/>
      <c r="M185" s="7"/>
      <c r="N185" s="7"/>
      <c r="O185" s="7" t="b">
        <v>0</v>
      </c>
    </row>
    <row r="186" ht="17.25" customHeight="1">
      <c r="A186" s="91"/>
      <c r="B186" s="7"/>
      <c r="C186" s="39"/>
      <c r="D186" s="7"/>
      <c r="E186" s="7"/>
      <c r="F186" s="8"/>
      <c r="G186" s="7"/>
      <c r="H186" s="7"/>
      <c r="I186" s="7"/>
      <c r="J186" s="7"/>
      <c r="K186" s="39"/>
      <c r="L186" s="7"/>
      <c r="M186" s="7"/>
      <c r="N186" s="7"/>
      <c r="O186" s="7" t="b">
        <v>0</v>
      </c>
    </row>
    <row r="187" ht="17.25" customHeight="1">
      <c r="A187" s="91"/>
      <c r="B187" s="7"/>
      <c r="C187" s="7"/>
      <c r="D187" s="7"/>
      <c r="E187" s="7"/>
      <c r="F187" s="8"/>
      <c r="G187" s="7"/>
      <c r="H187" s="7"/>
      <c r="I187" s="7"/>
      <c r="J187" s="7"/>
      <c r="K187" s="7"/>
      <c r="L187" s="7"/>
      <c r="M187" s="7"/>
      <c r="N187" s="13"/>
      <c r="O187" s="7" t="b">
        <v>0</v>
      </c>
    </row>
    <row r="188" ht="17.25" customHeight="1">
      <c r="A188" s="91"/>
      <c r="B188" s="7"/>
      <c r="C188" s="54"/>
      <c r="D188" s="41"/>
      <c r="E188" s="7"/>
      <c r="F188" s="8"/>
      <c r="G188" s="41"/>
      <c r="H188" s="41"/>
      <c r="I188" s="41"/>
      <c r="J188" s="41"/>
      <c r="K188" s="54"/>
      <c r="L188" s="7"/>
      <c r="M188" s="7"/>
      <c r="N188" s="7"/>
      <c r="O188" s="7" t="b">
        <v>0</v>
      </c>
    </row>
    <row r="189" ht="17.25" customHeight="1">
      <c r="A189" s="91"/>
      <c r="B189" s="7"/>
      <c r="C189" s="51"/>
      <c r="D189" s="7"/>
      <c r="E189" s="7"/>
      <c r="F189" s="8"/>
      <c r="G189" s="7"/>
      <c r="H189" s="7"/>
      <c r="I189" s="7"/>
      <c r="J189" s="7"/>
      <c r="K189" s="51"/>
      <c r="L189" s="7"/>
      <c r="M189" s="7"/>
      <c r="N189" s="7"/>
      <c r="O189" s="7" t="b">
        <v>0</v>
      </c>
    </row>
    <row r="190" ht="17.25" customHeight="1">
      <c r="A190" s="91"/>
      <c r="B190" s="7"/>
      <c r="C190" s="45"/>
      <c r="D190" s="7"/>
      <c r="E190" s="7"/>
      <c r="F190" s="8"/>
      <c r="G190" s="7"/>
      <c r="H190" s="7"/>
      <c r="I190" s="7"/>
      <c r="J190" s="7"/>
      <c r="K190" s="45"/>
      <c r="L190" s="7"/>
      <c r="M190" s="7"/>
      <c r="N190" s="7"/>
      <c r="O190" s="7" t="b">
        <v>0</v>
      </c>
    </row>
    <row r="191" ht="17.25" customHeight="1">
      <c r="A191" s="91"/>
      <c r="B191" s="7"/>
      <c r="C191" s="45"/>
      <c r="D191" s="7"/>
      <c r="E191" s="7"/>
      <c r="F191" s="8"/>
      <c r="G191" s="7"/>
      <c r="H191" s="7"/>
      <c r="I191" s="7"/>
      <c r="J191" s="7"/>
      <c r="K191" s="45"/>
      <c r="L191" s="7"/>
      <c r="M191" s="7"/>
      <c r="N191" s="7"/>
      <c r="O191" s="7" t="b">
        <v>0</v>
      </c>
    </row>
    <row r="192" ht="17.25" customHeight="1">
      <c r="A192" s="91"/>
      <c r="B192" s="7"/>
      <c r="C192" s="45"/>
      <c r="D192" s="7"/>
      <c r="E192" s="7"/>
      <c r="F192" s="8"/>
      <c r="G192" s="7"/>
      <c r="H192" s="7"/>
      <c r="I192" s="7"/>
      <c r="J192" s="7"/>
      <c r="K192" s="45"/>
      <c r="L192" s="7"/>
      <c r="M192" s="7"/>
      <c r="N192" s="7"/>
      <c r="O192" s="7" t="b">
        <v>0</v>
      </c>
    </row>
    <row r="193" ht="17.25" customHeight="1">
      <c r="A193" s="91"/>
      <c r="B193" s="7"/>
      <c r="C193" s="56"/>
      <c r="D193" s="7"/>
      <c r="E193" s="7"/>
      <c r="F193" s="8"/>
      <c r="G193" s="7"/>
      <c r="H193" s="7"/>
      <c r="I193" s="7"/>
      <c r="J193" s="7"/>
      <c r="K193" s="56"/>
      <c r="L193" s="7"/>
      <c r="M193" s="7"/>
      <c r="N193" s="7"/>
      <c r="O193" s="7" t="b">
        <v>0</v>
      </c>
    </row>
    <row r="194" ht="17.25" customHeight="1">
      <c r="A194" s="91"/>
      <c r="B194" s="7"/>
      <c r="C194" s="39"/>
      <c r="D194" s="7"/>
      <c r="E194" s="7"/>
      <c r="F194" s="8"/>
      <c r="G194" s="7"/>
      <c r="H194" s="7"/>
      <c r="I194" s="7"/>
      <c r="J194" s="7"/>
      <c r="K194" s="39"/>
      <c r="L194" s="7"/>
      <c r="M194" s="7"/>
      <c r="N194" s="7"/>
      <c r="O194" s="7" t="b">
        <v>0</v>
      </c>
    </row>
    <row r="195" ht="17.25" customHeight="1">
      <c r="A195" s="91"/>
      <c r="B195" s="7"/>
      <c r="C195" s="39"/>
      <c r="D195" s="7"/>
      <c r="E195" s="7"/>
      <c r="F195" s="8"/>
      <c r="G195" s="7"/>
      <c r="H195" s="7"/>
      <c r="I195" s="7"/>
      <c r="J195" s="7"/>
      <c r="K195" s="39"/>
      <c r="L195" s="7"/>
      <c r="M195" s="7"/>
      <c r="N195" s="7"/>
      <c r="O195" s="7" t="b">
        <v>0</v>
      </c>
    </row>
    <row r="196" ht="17.25" customHeight="1">
      <c r="A196" s="91"/>
      <c r="B196" s="7"/>
      <c r="C196" s="41"/>
      <c r="D196" s="41"/>
      <c r="E196" s="7"/>
      <c r="F196" s="40"/>
      <c r="G196" s="41"/>
      <c r="H196" s="41"/>
      <c r="I196" s="41"/>
      <c r="J196" s="41"/>
      <c r="K196" s="41"/>
      <c r="L196" s="13"/>
      <c r="M196" s="13"/>
      <c r="N196" s="13"/>
      <c r="O196" s="7" t="b">
        <v>0</v>
      </c>
    </row>
    <row r="197" ht="17.25" customHeight="1">
      <c r="A197" s="91"/>
      <c r="B197" s="7"/>
      <c r="C197" s="41"/>
      <c r="D197" s="41"/>
      <c r="E197" s="7"/>
      <c r="F197" s="8"/>
      <c r="G197" s="41"/>
      <c r="H197" s="41"/>
      <c r="I197" s="41"/>
      <c r="J197" s="41"/>
      <c r="K197" s="41"/>
      <c r="L197" s="7"/>
      <c r="M197" s="7"/>
      <c r="N197" s="7"/>
      <c r="O197" s="7" t="b">
        <v>0</v>
      </c>
    </row>
    <row r="198" ht="17.25" customHeight="1">
      <c r="A198" s="91"/>
      <c r="B198" s="7"/>
      <c r="C198" s="39"/>
      <c r="D198" s="7"/>
      <c r="E198" s="7"/>
      <c r="F198" s="8"/>
      <c r="G198" s="7"/>
      <c r="H198" s="7"/>
      <c r="I198" s="7"/>
      <c r="J198" s="7"/>
      <c r="K198" s="39"/>
      <c r="L198" s="7"/>
      <c r="M198" s="7"/>
      <c r="N198" s="7"/>
      <c r="O198" s="7" t="b">
        <v>0</v>
      </c>
    </row>
    <row r="199" ht="17.25" customHeight="1">
      <c r="A199" s="91"/>
      <c r="B199" s="7"/>
      <c r="C199" s="47"/>
      <c r="D199" s="7"/>
      <c r="E199" s="7"/>
      <c r="F199" s="8"/>
      <c r="G199" s="44"/>
      <c r="H199" s="44"/>
      <c r="I199" s="44"/>
      <c r="J199" s="44"/>
      <c r="K199" s="47"/>
      <c r="L199" s="7"/>
      <c r="M199" s="7"/>
      <c r="N199" s="7"/>
      <c r="O199" s="7" t="b">
        <v>0</v>
      </c>
    </row>
    <row r="200" ht="17.25" customHeight="1">
      <c r="A200" s="91"/>
      <c r="B200" s="7"/>
      <c r="C200" s="76"/>
      <c r="D200" s="7"/>
      <c r="E200" s="7"/>
      <c r="F200" s="8"/>
      <c r="G200" s="7"/>
      <c r="H200" s="7"/>
      <c r="I200" s="7"/>
      <c r="J200" s="7"/>
      <c r="K200" s="76"/>
      <c r="L200" s="7"/>
      <c r="M200" s="7"/>
      <c r="N200" s="7"/>
      <c r="O200" s="7" t="b">
        <v>0</v>
      </c>
    </row>
    <row r="201" ht="17.25" customHeight="1">
      <c r="A201" s="91"/>
      <c r="B201" s="7"/>
      <c r="C201" s="56"/>
      <c r="D201" s="7"/>
      <c r="E201" s="7"/>
      <c r="F201" s="8"/>
      <c r="G201" s="7"/>
      <c r="H201" s="7"/>
      <c r="I201" s="7"/>
      <c r="J201" s="7"/>
      <c r="K201" s="56"/>
      <c r="L201" s="7"/>
      <c r="M201" s="7"/>
      <c r="N201" s="7"/>
      <c r="O201" s="7" t="b">
        <v>0</v>
      </c>
    </row>
    <row r="202" ht="17.25" customHeight="1">
      <c r="A202" s="91"/>
      <c r="B202" s="7"/>
      <c r="C202" s="45"/>
      <c r="D202" s="7"/>
      <c r="E202" s="7"/>
      <c r="F202" s="8"/>
      <c r="G202" s="7"/>
      <c r="H202" s="7"/>
      <c r="I202" s="7"/>
      <c r="J202" s="7"/>
      <c r="K202" s="45"/>
      <c r="L202" s="7"/>
      <c r="M202" s="7"/>
      <c r="N202" s="7"/>
      <c r="O202" s="7" t="b">
        <v>0</v>
      </c>
    </row>
    <row r="203" ht="17.25" customHeight="1">
      <c r="A203" s="91"/>
      <c r="B203" s="7"/>
      <c r="C203" s="7"/>
      <c r="D203" s="7"/>
      <c r="E203" s="7"/>
      <c r="F203" s="8"/>
      <c r="G203" s="7"/>
      <c r="H203" s="7"/>
      <c r="I203" s="7"/>
      <c r="J203" s="7"/>
      <c r="K203" s="7"/>
      <c r="L203" s="7"/>
      <c r="M203" s="7"/>
      <c r="N203" s="7"/>
      <c r="O203" s="7" t="b">
        <v>0</v>
      </c>
    </row>
    <row r="204" ht="17.25" customHeight="1">
      <c r="A204" s="91"/>
      <c r="B204" s="7"/>
      <c r="C204" s="13"/>
      <c r="D204" s="13"/>
      <c r="E204" s="7"/>
      <c r="F204" s="8"/>
      <c r="G204" s="13"/>
      <c r="H204" s="13"/>
      <c r="I204" s="13"/>
      <c r="J204" s="13"/>
      <c r="K204" s="13"/>
      <c r="L204" s="7"/>
      <c r="M204" s="7"/>
      <c r="N204" s="7"/>
      <c r="O204" s="7" t="b">
        <v>0</v>
      </c>
    </row>
    <row r="205" ht="17.25" customHeight="1">
      <c r="A205" s="91"/>
      <c r="B205" s="7"/>
      <c r="C205" s="41"/>
      <c r="D205" s="13"/>
      <c r="E205" s="7"/>
      <c r="F205" s="12"/>
      <c r="G205" s="41"/>
      <c r="H205" s="41"/>
      <c r="I205" s="41"/>
      <c r="J205" s="41"/>
      <c r="K205" s="41"/>
      <c r="L205" s="56"/>
      <c r="M205" s="7"/>
      <c r="N205" s="13"/>
      <c r="O205" s="7" t="b">
        <v>0</v>
      </c>
    </row>
    <row r="206" ht="17.25" customHeight="1">
      <c r="A206" s="91"/>
      <c r="B206" s="7"/>
      <c r="C206" s="45"/>
      <c r="D206" s="38"/>
      <c r="E206" s="7"/>
      <c r="F206" s="61"/>
      <c r="G206" s="13"/>
      <c r="H206" s="13"/>
      <c r="I206" s="13"/>
      <c r="J206" s="13"/>
      <c r="K206" s="45"/>
      <c r="L206" s="45"/>
      <c r="M206" s="7"/>
      <c r="N206" s="7"/>
      <c r="O206" s="7" t="b">
        <v>0</v>
      </c>
    </row>
    <row r="207" ht="17.25" customHeight="1">
      <c r="A207" s="91"/>
      <c r="B207" s="7"/>
      <c r="C207" s="45"/>
      <c r="D207" s="7"/>
      <c r="E207" s="7"/>
      <c r="F207" s="8"/>
      <c r="G207" s="13"/>
      <c r="H207" s="13"/>
      <c r="I207" s="13"/>
      <c r="J207" s="13"/>
      <c r="K207" s="45"/>
      <c r="L207" s="7"/>
      <c r="M207" s="7"/>
      <c r="N207" s="7"/>
      <c r="O207" s="7" t="b">
        <v>0</v>
      </c>
    </row>
    <row r="208" ht="17.25" customHeight="1">
      <c r="A208" s="91"/>
      <c r="B208" s="7"/>
      <c r="C208" s="45"/>
      <c r="D208" s="7"/>
      <c r="E208" s="7"/>
      <c r="F208" s="8"/>
      <c r="G208" s="13"/>
      <c r="H208" s="13"/>
      <c r="I208" s="13"/>
      <c r="J208" s="13"/>
      <c r="K208" s="45"/>
      <c r="L208" s="7"/>
      <c r="M208" s="7"/>
      <c r="N208" s="7"/>
      <c r="O208" s="7" t="b">
        <v>0</v>
      </c>
    </row>
    <row r="209" ht="17.25" customHeight="1">
      <c r="A209" s="91"/>
      <c r="B209" s="7"/>
      <c r="C209" s="45"/>
      <c r="D209" s="38"/>
      <c r="E209" s="7"/>
      <c r="F209" s="8"/>
      <c r="G209" s="13"/>
      <c r="H209" s="13"/>
      <c r="I209" s="13"/>
      <c r="J209" s="13"/>
      <c r="K209" s="45"/>
      <c r="L209" s="7"/>
      <c r="M209" s="7"/>
      <c r="N209" s="7"/>
      <c r="O209" s="7" t="b">
        <v>0</v>
      </c>
    </row>
    <row r="210" ht="17.25" customHeight="1">
      <c r="A210" s="91"/>
      <c r="B210" s="7"/>
      <c r="C210" s="45"/>
      <c r="D210" s="7"/>
      <c r="E210" s="7"/>
      <c r="F210" s="8"/>
      <c r="G210" s="13"/>
      <c r="H210" s="13"/>
      <c r="I210" s="13"/>
      <c r="J210" s="13"/>
      <c r="K210" s="45"/>
      <c r="L210" s="7"/>
      <c r="M210" s="7"/>
      <c r="N210" s="7"/>
      <c r="O210" s="7" t="b">
        <v>0</v>
      </c>
    </row>
    <row r="211" ht="17.25" customHeight="1">
      <c r="A211" s="91"/>
      <c r="B211" s="7"/>
      <c r="C211" s="45"/>
      <c r="D211" s="7"/>
      <c r="E211" s="7"/>
      <c r="F211" s="8"/>
      <c r="G211" s="7"/>
      <c r="H211" s="7"/>
      <c r="I211" s="7"/>
      <c r="J211" s="7"/>
      <c r="K211" s="45"/>
      <c r="L211" s="7"/>
      <c r="M211" s="7"/>
      <c r="N211" s="7"/>
      <c r="O211" s="7" t="b">
        <v>0</v>
      </c>
    </row>
    <row r="212" ht="17.25" customHeight="1">
      <c r="A212" s="91"/>
      <c r="B212" s="7"/>
      <c r="C212" s="43"/>
      <c r="D212" s="52"/>
      <c r="E212" s="7"/>
      <c r="F212" s="53"/>
      <c r="G212" s="52"/>
      <c r="H212" s="52"/>
      <c r="I212" s="52"/>
      <c r="J212" s="52"/>
      <c r="K212" s="43"/>
      <c r="L212" s="52"/>
      <c r="M212" s="52"/>
      <c r="N212" s="52"/>
      <c r="O212" s="7" t="b">
        <v>0</v>
      </c>
    </row>
    <row r="213" ht="17.25" customHeight="1">
      <c r="A213" s="91"/>
      <c r="B213" s="7"/>
      <c r="C213" s="56"/>
      <c r="D213" s="7"/>
      <c r="E213" s="7"/>
      <c r="F213" s="8"/>
      <c r="G213" s="7"/>
      <c r="H213" s="7"/>
      <c r="I213" s="7"/>
      <c r="J213" s="7"/>
      <c r="K213" s="56"/>
      <c r="L213" s="7"/>
      <c r="M213" s="7"/>
      <c r="N213" s="7"/>
      <c r="O213" s="7" t="b">
        <v>0</v>
      </c>
    </row>
    <row r="214" ht="17.25" customHeight="1">
      <c r="A214" s="91"/>
      <c r="B214" s="7"/>
      <c r="C214" s="45"/>
      <c r="D214" s="7"/>
      <c r="E214" s="7"/>
      <c r="F214" s="8"/>
      <c r="G214" s="13"/>
      <c r="H214" s="13"/>
      <c r="I214" s="13"/>
      <c r="J214" s="13"/>
      <c r="K214" s="45"/>
      <c r="L214" s="7"/>
      <c r="M214" s="7"/>
      <c r="N214" s="7"/>
      <c r="O214" s="7" t="b">
        <v>0</v>
      </c>
    </row>
    <row r="215" ht="17.25" customHeight="1">
      <c r="A215" s="91"/>
      <c r="B215" s="7"/>
      <c r="C215" s="13"/>
      <c r="D215" s="13"/>
      <c r="E215" s="7"/>
      <c r="F215" s="8"/>
      <c r="G215" s="41"/>
      <c r="H215" s="41"/>
      <c r="I215" s="41"/>
      <c r="J215" s="41"/>
      <c r="K215" s="13"/>
      <c r="L215" s="7"/>
      <c r="M215" s="7"/>
      <c r="N215" s="13"/>
      <c r="O215" s="7" t="b">
        <v>0</v>
      </c>
    </row>
    <row r="216" ht="17.25" customHeight="1">
      <c r="A216" s="91"/>
      <c r="B216" s="38"/>
      <c r="C216" s="13"/>
      <c r="D216" s="13"/>
      <c r="E216" s="7"/>
      <c r="F216" s="8"/>
      <c r="G216" s="13"/>
      <c r="H216" s="13"/>
      <c r="I216" s="13"/>
      <c r="J216" s="13"/>
      <c r="K216" s="13"/>
      <c r="L216" s="7"/>
      <c r="M216" s="7"/>
      <c r="N216" s="7"/>
      <c r="O216" s="7" t="b">
        <v>0</v>
      </c>
    </row>
    <row r="217" ht="17.25" customHeight="1">
      <c r="A217" s="91"/>
      <c r="B217" s="7"/>
      <c r="C217" s="13"/>
      <c r="D217" s="13"/>
      <c r="E217" s="7"/>
      <c r="F217" s="77"/>
      <c r="G217" s="41"/>
      <c r="H217" s="41"/>
      <c r="I217" s="41"/>
      <c r="J217" s="41"/>
      <c r="K217" s="13"/>
      <c r="L217" s="67"/>
      <c r="M217" s="67"/>
      <c r="N217" s="67"/>
      <c r="O217" s="7" t="b">
        <v>0</v>
      </c>
    </row>
    <row r="218" ht="17.25" customHeight="1">
      <c r="A218" s="91"/>
      <c r="B218" s="7"/>
      <c r="C218" s="13"/>
      <c r="D218" s="7"/>
      <c r="E218" s="7"/>
      <c r="F218" s="8"/>
      <c r="G218" s="7"/>
      <c r="H218" s="7"/>
      <c r="I218" s="7"/>
      <c r="J218" s="7"/>
      <c r="K218" s="13"/>
      <c r="L218" s="7"/>
      <c r="M218" s="7"/>
      <c r="N218" s="7"/>
      <c r="O218" s="7" t="b">
        <v>0</v>
      </c>
    </row>
    <row r="219" ht="17.25" customHeight="1">
      <c r="A219" s="91"/>
      <c r="B219" s="38"/>
      <c r="C219" s="45"/>
      <c r="D219" s="7"/>
      <c r="E219" s="7"/>
      <c r="F219" s="8"/>
      <c r="G219" s="13"/>
      <c r="H219" s="13"/>
      <c r="I219" s="13"/>
      <c r="J219" s="13"/>
      <c r="K219" s="45"/>
      <c r="L219" s="7"/>
      <c r="M219" s="7"/>
      <c r="N219" s="13"/>
      <c r="O219" s="7" t="b">
        <v>0</v>
      </c>
    </row>
    <row r="220" ht="17.25" customHeight="1">
      <c r="A220" s="91"/>
      <c r="B220" s="38"/>
      <c r="C220" s="45"/>
      <c r="D220" s="7"/>
      <c r="E220" s="7"/>
      <c r="F220" s="8"/>
      <c r="G220" s="13"/>
      <c r="H220" s="13"/>
      <c r="I220" s="13"/>
      <c r="J220" s="13"/>
      <c r="K220" s="45"/>
      <c r="L220" s="7"/>
      <c r="M220" s="7"/>
      <c r="N220" s="7"/>
      <c r="O220" s="7" t="b">
        <v>0</v>
      </c>
    </row>
    <row r="221" ht="17.25" customHeight="1">
      <c r="A221" s="91"/>
      <c r="B221" s="7"/>
      <c r="C221" s="13"/>
      <c r="D221" s="13"/>
      <c r="E221" s="7"/>
      <c r="F221" s="8"/>
      <c r="G221" s="7"/>
      <c r="H221" s="7"/>
      <c r="I221" s="7"/>
      <c r="J221" s="7"/>
      <c r="K221" s="13"/>
      <c r="L221" s="7"/>
      <c r="M221" s="7"/>
      <c r="N221" s="67"/>
      <c r="O221" s="7" t="b">
        <v>0</v>
      </c>
    </row>
    <row r="222" ht="17.25" customHeight="1">
      <c r="A222" s="91"/>
      <c r="B222" s="7"/>
      <c r="C222" s="13"/>
      <c r="D222" s="44"/>
      <c r="E222" s="7"/>
      <c r="F222" s="8"/>
      <c r="G222" s="13"/>
      <c r="H222" s="13"/>
      <c r="I222" s="13"/>
      <c r="J222" s="13"/>
      <c r="K222" s="13"/>
      <c r="L222" s="7"/>
      <c r="M222" s="7"/>
      <c r="N222" s="44"/>
      <c r="O222" s="7" t="b">
        <v>0</v>
      </c>
    </row>
    <row r="223" ht="17.25" customHeight="1">
      <c r="A223" s="91"/>
      <c r="B223" s="7"/>
      <c r="C223" s="41"/>
      <c r="D223" s="44"/>
      <c r="E223" s="7"/>
      <c r="F223" s="8"/>
      <c r="G223" s="41"/>
      <c r="H223" s="41"/>
      <c r="I223" s="41"/>
      <c r="J223" s="41"/>
      <c r="K223" s="41"/>
      <c r="L223" s="7"/>
      <c r="M223" s="7"/>
      <c r="N223" s="41"/>
      <c r="O223" s="7" t="b">
        <v>0</v>
      </c>
    </row>
    <row r="224" ht="17.25" customHeight="1">
      <c r="A224" s="91"/>
      <c r="B224" s="7"/>
      <c r="C224" s="45"/>
      <c r="D224" s="7"/>
      <c r="E224" s="7"/>
      <c r="F224" s="8"/>
      <c r="G224" s="13"/>
      <c r="H224" s="13"/>
      <c r="I224" s="13"/>
      <c r="J224" s="13"/>
      <c r="K224" s="45"/>
      <c r="L224" s="7"/>
      <c r="M224" s="7"/>
      <c r="N224" s="7"/>
      <c r="O224" s="7" t="b">
        <v>0</v>
      </c>
    </row>
    <row r="225" ht="17.25" customHeight="1">
      <c r="A225" s="91"/>
      <c r="B225" s="7"/>
      <c r="C225" s="45"/>
      <c r="D225" s="7"/>
      <c r="E225" s="7"/>
      <c r="F225" s="8"/>
      <c r="G225" s="7"/>
      <c r="H225" s="7"/>
      <c r="I225" s="7"/>
      <c r="J225" s="7"/>
      <c r="K225" s="45"/>
      <c r="L225" s="7"/>
      <c r="M225" s="7"/>
      <c r="N225" s="7"/>
      <c r="O225" s="7" t="b">
        <v>0</v>
      </c>
    </row>
    <row r="226" ht="17.25" customHeight="1">
      <c r="A226" s="91"/>
      <c r="B226" s="7"/>
      <c r="C226" s="49"/>
      <c r="D226" s="7"/>
      <c r="E226" s="7"/>
      <c r="F226" s="8"/>
      <c r="G226" s="7"/>
      <c r="H226" s="7"/>
      <c r="I226" s="7"/>
      <c r="J226" s="7"/>
      <c r="K226" s="49"/>
      <c r="L226" s="7"/>
      <c r="M226" s="7"/>
      <c r="N226" s="7"/>
      <c r="O226" s="7" t="b">
        <v>0</v>
      </c>
    </row>
    <row r="227" ht="17.25" customHeight="1">
      <c r="A227" s="91"/>
      <c r="B227" s="7"/>
      <c r="C227" s="13"/>
      <c r="D227" s="7"/>
      <c r="E227" s="7"/>
      <c r="F227" s="8"/>
      <c r="G227" s="13"/>
      <c r="H227" s="13"/>
      <c r="I227" s="13"/>
      <c r="J227" s="13"/>
      <c r="K227" s="13"/>
      <c r="L227" s="7"/>
      <c r="M227" s="7"/>
      <c r="N227" s="7"/>
      <c r="O227" s="7" t="b">
        <v>0</v>
      </c>
    </row>
    <row r="228" ht="17.25" customHeight="1">
      <c r="A228" s="91"/>
      <c r="B228" s="7"/>
      <c r="C228" s="13"/>
      <c r="D228" s="7"/>
      <c r="E228" s="7"/>
      <c r="F228" s="8"/>
      <c r="G228" s="13"/>
      <c r="H228" s="13"/>
      <c r="I228" s="13"/>
      <c r="J228" s="13"/>
      <c r="K228" s="13"/>
      <c r="L228" s="7"/>
      <c r="M228" s="7"/>
      <c r="N228" s="7"/>
      <c r="O228" s="7" t="b">
        <v>0</v>
      </c>
    </row>
    <row r="229" ht="17.25" customHeight="1">
      <c r="A229" s="91"/>
      <c r="B229" s="7"/>
      <c r="C229" s="45"/>
      <c r="D229" s="7"/>
      <c r="E229" s="7"/>
      <c r="F229" s="8"/>
      <c r="G229" s="13"/>
      <c r="H229" s="13"/>
      <c r="I229" s="13"/>
      <c r="J229" s="13"/>
      <c r="K229" s="45"/>
      <c r="L229" s="7"/>
      <c r="M229" s="7"/>
      <c r="N229" s="7"/>
      <c r="O229" s="7" t="b">
        <v>0</v>
      </c>
    </row>
    <row r="230" ht="17.25" customHeight="1">
      <c r="A230" s="91"/>
      <c r="B230" s="7"/>
      <c r="C230" s="39"/>
      <c r="D230" s="7"/>
      <c r="E230" s="7"/>
      <c r="F230" s="8"/>
      <c r="G230" s="7"/>
      <c r="H230" s="7"/>
      <c r="I230" s="7"/>
      <c r="J230" s="7"/>
      <c r="K230" s="39"/>
      <c r="L230" s="7"/>
      <c r="M230" s="7"/>
      <c r="N230" s="52"/>
      <c r="O230" s="7" t="b">
        <v>0</v>
      </c>
    </row>
    <row r="231" ht="17.25" customHeight="1">
      <c r="A231" s="91"/>
      <c r="B231" s="7"/>
      <c r="C231" s="39"/>
      <c r="D231" s="7"/>
      <c r="E231" s="7"/>
      <c r="F231" s="8"/>
      <c r="G231" s="7"/>
      <c r="H231" s="7"/>
      <c r="I231" s="7"/>
      <c r="J231" s="7"/>
      <c r="K231" s="39"/>
      <c r="L231" s="7"/>
      <c r="M231" s="7"/>
      <c r="N231" s="7"/>
      <c r="O231" s="7" t="b">
        <v>0</v>
      </c>
    </row>
    <row r="232" ht="17.25" customHeight="1">
      <c r="A232" s="91"/>
      <c r="B232" s="7"/>
      <c r="C232" s="43"/>
      <c r="D232" s="39"/>
      <c r="E232" s="7"/>
      <c r="F232" s="8"/>
      <c r="G232" s="7"/>
      <c r="H232" s="7"/>
      <c r="I232" s="7"/>
      <c r="J232" s="7"/>
      <c r="K232" s="43"/>
      <c r="L232" s="7"/>
      <c r="M232" s="7"/>
      <c r="N232" s="7"/>
      <c r="O232" s="7" t="b">
        <v>0</v>
      </c>
    </row>
    <row r="233" ht="17.25" customHeight="1">
      <c r="A233" s="91"/>
      <c r="B233" s="38"/>
      <c r="C233" s="45"/>
      <c r="D233" s="7"/>
      <c r="E233" s="7"/>
      <c r="F233" s="8"/>
      <c r="G233" s="13"/>
      <c r="H233" s="13"/>
      <c r="I233" s="13"/>
      <c r="J233" s="13"/>
      <c r="K233" s="45"/>
      <c r="L233" s="7"/>
      <c r="M233" s="7"/>
      <c r="N233" s="13"/>
      <c r="O233" s="7" t="b">
        <v>0</v>
      </c>
    </row>
    <row r="234" ht="17.25" customHeight="1">
      <c r="A234" s="91"/>
      <c r="B234" s="7"/>
      <c r="C234" s="45"/>
      <c r="D234" s="7"/>
      <c r="E234" s="7"/>
      <c r="F234" s="8"/>
      <c r="G234" s="13"/>
      <c r="H234" s="13"/>
      <c r="I234" s="13"/>
      <c r="J234" s="13"/>
      <c r="K234" s="45"/>
      <c r="L234" s="7"/>
      <c r="M234" s="7"/>
      <c r="N234" s="7"/>
      <c r="O234" s="7" t="b">
        <v>0</v>
      </c>
    </row>
    <row r="235" ht="17.25" customHeight="1">
      <c r="A235" s="91"/>
      <c r="B235" s="7"/>
      <c r="C235" s="39"/>
      <c r="D235" s="7"/>
      <c r="E235" s="7"/>
      <c r="F235" s="8"/>
      <c r="G235" s="7"/>
      <c r="H235" s="7"/>
      <c r="I235" s="7"/>
      <c r="J235" s="7"/>
      <c r="K235" s="39"/>
      <c r="L235" s="7"/>
      <c r="M235" s="7"/>
      <c r="N235" s="7"/>
      <c r="O235" s="7" t="b">
        <v>0</v>
      </c>
    </row>
    <row r="236" ht="17.25" customHeight="1">
      <c r="A236" s="91"/>
      <c r="B236" s="7"/>
      <c r="C236" s="76"/>
      <c r="D236" s="43"/>
      <c r="E236" s="7"/>
      <c r="F236" s="8"/>
      <c r="G236" s="76"/>
      <c r="H236" s="76"/>
      <c r="I236" s="76"/>
      <c r="J236" s="76"/>
      <c r="K236" s="76"/>
      <c r="L236" s="7"/>
      <c r="M236" s="7"/>
      <c r="N236" s="7"/>
      <c r="O236" s="7" t="b">
        <v>0</v>
      </c>
    </row>
    <row r="237" ht="17.25" customHeight="1">
      <c r="A237" s="91"/>
      <c r="B237" s="7"/>
      <c r="C237" s="39"/>
      <c r="D237" s="7"/>
      <c r="E237" s="7"/>
      <c r="F237" s="8"/>
      <c r="G237" s="7"/>
      <c r="H237" s="7"/>
      <c r="I237" s="7"/>
      <c r="J237" s="7"/>
      <c r="K237" s="39"/>
      <c r="L237" s="7"/>
      <c r="M237" s="7"/>
      <c r="N237" s="7"/>
      <c r="O237" s="7" t="b">
        <v>0</v>
      </c>
    </row>
    <row r="238" ht="17.25" customHeight="1">
      <c r="A238" s="91"/>
      <c r="B238" s="7"/>
      <c r="C238" s="60"/>
      <c r="D238" s="7"/>
      <c r="E238" s="7"/>
      <c r="F238" s="8"/>
      <c r="G238" s="7"/>
      <c r="H238" s="7"/>
      <c r="I238" s="7"/>
      <c r="J238" s="7"/>
      <c r="K238" s="60"/>
      <c r="L238" s="7"/>
      <c r="M238" s="7"/>
      <c r="N238" s="44"/>
      <c r="O238" s="7" t="b">
        <v>0</v>
      </c>
    </row>
    <row r="239" ht="17.25" customHeight="1">
      <c r="A239" s="91"/>
      <c r="B239" s="7"/>
      <c r="C239" s="56"/>
      <c r="D239" s="7"/>
      <c r="E239" s="7"/>
      <c r="F239" s="8"/>
      <c r="G239" s="7"/>
      <c r="H239" s="7"/>
      <c r="I239" s="7"/>
      <c r="J239" s="7"/>
      <c r="K239" s="56"/>
      <c r="L239" s="7"/>
      <c r="M239" s="7"/>
      <c r="N239" s="44"/>
      <c r="O239" s="7" t="b">
        <v>0</v>
      </c>
    </row>
    <row r="240" ht="17.25" customHeight="1">
      <c r="A240" s="91"/>
      <c r="B240" s="7"/>
      <c r="C240" s="47"/>
      <c r="D240" s="41"/>
      <c r="E240" s="7"/>
      <c r="F240" s="59"/>
      <c r="G240" s="41"/>
      <c r="H240" s="41"/>
      <c r="I240" s="41"/>
      <c r="J240" s="41"/>
      <c r="K240" s="47"/>
      <c r="L240" s="41"/>
      <c r="M240" s="41"/>
      <c r="N240" s="41"/>
      <c r="O240" s="7" t="b">
        <v>0</v>
      </c>
    </row>
    <row r="241" ht="17.25" customHeight="1">
      <c r="A241" s="91"/>
      <c r="B241" s="38"/>
      <c r="C241" s="45"/>
      <c r="D241" s="7"/>
      <c r="E241" s="7"/>
      <c r="F241" s="8"/>
      <c r="G241" s="7"/>
      <c r="H241" s="7"/>
      <c r="I241" s="7"/>
      <c r="J241" s="7"/>
      <c r="K241" s="45"/>
      <c r="L241" s="7"/>
      <c r="M241" s="7"/>
      <c r="N241" s="7"/>
      <c r="O241" s="7" t="b">
        <v>0</v>
      </c>
    </row>
    <row r="242" ht="17.25" customHeight="1">
      <c r="A242" s="91"/>
      <c r="B242" s="7"/>
      <c r="C242" s="51"/>
      <c r="D242" s="7"/>
      <c r="E242" s="7"/>
      <c r="F242" s="8"/>
      <c r="G242" s="7"/>
      <c r="H242" s="7"/>
      <c r="I242" s="7"/>
      <c r="J242" s="7"/>
      <c r="K242" s="51"/>
      <c r="L242" s="7"/>
      <c r="M242" s="7"/>
      <c r="N242" s="7"/>
      <c r="O242" s="7" t="b">
        <v>0</v>
      </c>
    </row>
    <row r="243" ht="17.25" customHeight="1">
      <c r="A243" s="91"/>
      <c r="B243" s="7"/>
      <c r="C243" s="45"/>
      <c r="D243" s="7"/>
      <c r="E243" s="7"/>
      <c r="F243" s="8"/>
      <c r="G243" s="7"/>
      <c r="H243" s="7"/>
      <c r="I243" s="7"/>
      <c r="J243" s="7"/>
      <c r="K243" s="45"/>
      <c r="L243" s="7"/>
      <c r="M243" s="7"/>
      <c r="N243" s="7"/>
      <c r="O243" s="7" t="b">
        <v>0</v>
      </c>
    </row>
    <row r="244" ht="17.25" customHeight="1">
      <c r="A244" s="91"/>
      <c r="B244" s="7"/>
      <c r="C244" s="45"/>
      <c r="D244" s="7"/>
      <c r="E244" s="7"/>
      <c r="F244" s="8"/>
      <c r="G244" s="7"/>
      <c r="H244" s="7"/>
      <c r="I244" s="7"/>
      <c r="J244" s="7"/>
      <c r="K244" s="45"/>
      <c r="L244" s="7"/>
      <c r="M244" s="7"/>
      <c r="N244" s="7"/>
      <c r="O244" s="7" t="b">
        <v>0</v>
      </c>
    </row>
    <row r="245" ht="17.25" customHeight="1">
      <c r="A245" s="91"/>
      <c r="B245" s="7"/>
      <c r="C245" s="13"/>
      <c r="D245" s="7"/>
      <c r="E245" s="7"/>
      <c r="F245" s="8"/>
      <c r="G245" s="7"/>
      <c r="H245" s="7"/>
      <c r="I245" s="7"/>
      <c r="J245" s="7"/>
      <c r="K245" s="13"/>
      <c r="L245" s="7"/>
      <c r="M245" s="7"/>
      <c r="N245" s="7"/>
      <c r="O245" s="7" t="b">
        <v>0</v>
      </c>
    </row>
    <row r="246" ht="17.25" customHeight="1">
      <c r="A246" s="91"/>
      <c r="B246" s="7"/>
      <c r="C246" s="41"/>
      <c r="D246" s="41"/>
      <c r="E246" s="7"/>
      <c r="F246" s="59"/>
      <c r="G246" s="41"/>
      <c r="H246" s="41"/>
      <c r="I246" s="41"/>
      <c r="J246" s="41"/>
      <c r="K246" s="41"/>
      <c r="L246" s="41"/>
      <c r="M246" s="41"/>
      <c r="N246" s="78"/>
      <c r="O246" s="7" t="b">
        <v>0</v>
      </c>
    </row>
    <row r="247" ht="17.25" customHeight="1">
      <c r="A247" s="91"/>
      <c r="B247" s="7"/>
      <c r="C247" s="54"/>
      <c r="D247" s="13"/>
      <c r="E247" s="7"/>
      <c r="F247" s="8"/>
      <c r="G247" s="41"/>
      <c r="H247" s="41"/>
      <c r="I247" s="41"/>
      <c r="J247" s="41"/>
      <c r="K247" s="54"/>
      <c r="L247" s="7"/>
      <c r="M247" s="7"/>
      <c r="N247" s="7"/>
      <c r="O247" s="7" t="b">
        <v>0</v>
      </c>
    </row>
    <row r="248" ht="17.25" customHeight="1">
      <c r="A248" s="91"/>
      <c r="B248" s="7"/>
      <c r="C248" s="13"/>
      <c r="D248" s="7"/>
      <c r="E248" s="7"/>
      <c r="F248" s="8"/>
      <c r="G248" s="13"/>
      <c r="H248" s="13"/>
      <c r="I248" s="13"/>
      <c r="J248" s="13"/>
      <c r="K248" s="13"/>
      <c r="L248" s="7"/>
      <c r="M248" s="7"/>
      <c r="N248" s="7"/>
      <c r="O248" s="7" t="b">
        <v>0</v>
      </c>
    </row>
    <row r="249" ht="17.25" customHeight="1">
      <c r="A249" s="91"/>
      <c r="B249" s="7"/>
      <c r="C249" s="45"/>
      <c r="D249" s="7"/>
      <c r="E249" s="7"/>
      <c r="F249" s="8"/>
      <c r="G249" s="7"/>
      <c r="H249" s="7"/>
      <c r="I249" s="7"/>
      <c r="J249" s="7"/>
      <c r="K249" s="45"/>
      <c r="L249" s="7"/>
      <c r="M249" s="7"/>
      <c r="N249" s="7"/>
      <c r="O249" s="7" t="b">
        <v>0</v>
      </c>
    </row>
    <row r="250" ht="17.25" customHeight="1">
      <c r="A250" s="91"/>
      <c r="B250" s="7"/>
      <c r="C250" s="13"/>
      <c r="D250" s="13"/>
      <c r="E250" s="7"/>
      <c r="F250" s="8"/>
      <c r="G250" s="7"/>
      <c r="H250" s="7"/>
      <c r="I250" s="7"/>
      <c r="J250" s="7"/>
      <c r="K250" s="13"/>
      <c r="L250" s="7"/>
      <c r="M250" s="7"/>
      <c r="N250" s="67"/>
      <c r="O250" s="7" t="b">
        <v>0</v>
      </c>
    </row>
    <row r="251" ht="17.25" customHeight="1">
      <c r="A251" s="91"/>
      <c r="B251" s="7"/>
      <c r="C251" s="13"/>
      <c r="D251" s="44"/>
      <c r="E251" s="7"/>
      <c r="F251" s="8"/>
      <c r="G251" s="13"/>
      <c r="H251" s="13"/>
      <c r="I251" s="13"/>
      <c r="J251" s="13"/>
      <c r="K251" s="13"/>
      <c r="L251" s="7"/>
      <c r="M251" s="7"/>
      <c r="N251" s="44"/>
      <c r="O251" s="7" t="b">
        <v>0</v>
      </c>
    </row>
    <row r="252" ht="17.25" customHeight="1">
      <c r="A252" s="91"/>
      <c r="B252" s="7"/>
      <c r="C252" s="41"/>
      <c r="D252" s="44"/>
      <c r="E252" s="7"/>
      <c r="F252" s="8"/>
      <c r="G252" s="41"/>
      <c r="H252" s="41"/>
      <c r="I252" s="41"/>
      <c r="J252" s="41"/>
      <c r="K252" s="41"/>
      <c r="L252" s="7"/>
      <c r="M252" s="7"/>
      <c r="N252" s="41"/>
      <c r="O252" s="7" t="b">
        <v>0</v>
      </c>
    </row>
    <row r="253" ht="17.25" customHeight="1">
      <c r="A253" s="91"/>
      <c r="B253" s="7"/>
      <c r="C253" s="13"/>
      <c r="D253" s="13"/>
      <c r="E253" s="7"/>
      <c r="F253" s="8"/>
      <c r="G253" s="13"/>
      <c r="H253" s="13"/>
      <c r="I253" s="13"/>
      <c r="J253" s="13"/>
      <c r="K253" s="13"/>
      <c r="L253" s="7"/>
      <c r="M253" s="7"/>
      <c r="N253" s="7"/>
      <c r="O253" s="7" t="b">
        <v>0</v>
      </c>
    </row>
    <row r="254" ht="17.25" customHeight="1">
      <c r="A254" s="91"/>
      <c r="B254" s="7"/>
      <c r="C254" s="65"/>
      <c r="D254" s="39"/>
      <c r="E254" s="7"/>
      <c r="F254" s="8"/>
      <c r="G254" s="13"/>
      <c r="H254" s="13"/>
      <c r="I254" s="13"/>
      <c r="J254" s="13"/>
      <c r="K254" s="65"/>
      <c r="L254" s="7"/>
      <c r="M254" s="7"/>
      <c r="N254" s="79"/>
      <c r="O254" s="7" t="b">
        <v>0</v>
      </c>
    </row>
    <row r="255" ht="17.25" customHeight="1">
      <c r="A255" s="91"/>
      <c r="B255" s="7"/>
      <c r="C255" s="54"/>
      <c r="D255" s="13"/>
      <c r="E255" s="7"/>
      <c r="F255" s="8"/>
      <c r="G255" s="13"/>
      <c r="H255" s="13"/>
      <c r="I255" s="13"/>
      <c r="J255" s="13"/>
      <c r="K255" s="54"/>
      <c r="L255" s="7"/>
      <c r="M255" s="7"/>
      <c r="N255" s="13"/>
      <c r="O255" s="7" t="b">
        <v>0</v>
      </c>
    </row>
    <row r="256" ht="17.25" customHeight="1">
      <c r="A256" s="91"/>
      <c r="B256" s="7"/>
      <c r="C256" s="13"/>
      <c r="D256" s="13"/>
      <c r="E256" s="7"/>
      <c r="F256" s="8"/>
      <c r="G256" s="13"/>
      <c r="H256" s="13"/>
      <c r="I256" s="13"/>
      <c r="J256" s="13"/>
      <c r="K256" s="13"/>
      <c r="L256" s="7"/>
      <c r="M256" s="7"/>
      <c r="N256" s="13"/>
      <c r="O256" s="7" t="b">
        <v>0</v>
      </c>
    </row>
    <row r="257" ht="17.25" customHeight="1">
      <c r="A257" s="91"/>
      <c r="B257" s="7"/>
      <c r="C257" s="41"/>
      <c r="D257" s="13"/>
      <c r="E257" s="7"/>
      <c r="F257" s="59"/>
      <c r="G257" s="41"/>
      <c r="H257" s="41"/>
      <c r="I257" s="41"/>
      <c r="J257" s="41"/>
      <c r="K257" s="41"/>
      <c r="L257" s="41"/>
      <c r="M257" s="41"/>
      <c r="N257" s="78"/>
      <c r="O257" s="7" t="b">
        <v>0</v>
      </c>
    </row>
    <row r="258" ht="17.25" customHeight="1">
      <c r="A258" s="91"/>
      <c r="B258" s="7"/>
      <c r="C258" s="45"/>
      <c r="D258" s="7"/>
      <c r="E258" s="7"/>
      <c r="F258" s="8"/>
      <c r="G258" s="7"/>
      <c r="H258" s="7"/>
      <c r="I258" s="7"/>
      <c r="J258" s="7"/>
      <c r="K258" s="45"/>
      <c r="L258" s="7"/>
      <c r="M258" s="7"/>
      <c r="N258" s="13"/>
      <c r="O258" s="7" t="b">
        <v>0</v>
      </c>
    </row>
    <row r="259" ht="17.25" customHeight="1">
      <c r="A259" s="91"/>
      <c r="B259" s="7"/>
      <c r="C259" s="13"/>
      <c r="D259" s="13"/>
      <c r="E259" s="7"/>
      <c r="F259" s="8"/>
      <c r="G259" s="13"/>
      <c r="H259" s="13"/>
      <c r="I259" s="13"/>
      <c r="J259" s="13"/>
      <c r="K259" s="13"/>
      <c r="L259" s="7"/>
      <c r="M259" s="7"/>
      <c r="N259" s="13"/>
      <c r="O259" s="7" t="b">
        <v>0</v>
      </c>
    </row>
    <row r="260" ht="17.25" customHeight="1">
      <c r="A260" s="91"/>
      <c r="B260" s="7"/>
      <c r="C260" s="45"/>
      <c r="D260" s="7"/>
      <c r="E260" s="7"/>
      <c r="F260" s="8"/>
      <c r="G260" s="13"/>
      <c r="H260" s="13"/>
      <c r="I260" s="13"/>
      <c r="J260" s="13"/>
      <c r="K260" s="45"/>
      <c r="L260" s="7"/>
      <c r="M260" s="7"/>
      <c r="N260" s="13"/>
      <c r="O260" s="7" t="b">
        <v>0</v>
      </c>
    </row>
    <row r="261" ht="17.25" customHeight="1">
      <c r="A261" s="91"/>
      <c r="B261" s="38"/>
      <c r="C261" s="13"/>
      <c r="D261" s="7"/>
      <c r="E261" s="7"/>
      <c r="F261" s="8"/>
      <c r="G261" s="13"/>
      <c r="H261" s="13"/>
      <c r="I261" s="13"/>
      <c r="J261" s="13"/>
      <c r="K261" s="13"/>
      <c r="L261" s="7"/>
      <c r="M261" s="7"/>
      <c r="N261" s="7"/>
      <c r="O261" s="7" t="b">
        <v>0</v>
      </c>
    </row>
    <row r="262" ht="17.25" customHeight="1">
      <c r="A262" s="91"/>
      <c r="B262" s="7"/>
      <c r="C262" s="55"/>
      <c r="D262" s="39"/>
      <c r="E262" s="7"/>
      <c r="F262" s="40"/>
      <c r="G262" s="41"/>
      <c r="H262" s="41"/>
      <c r="I262" s="41"/>
      <c r="J262" s="41"/>
      <c r="K262" s="55"/>
      <c r="L262" s="13"/>
      <c r="M262" s="13"/>
      <c r="N262" s="41"/>
      <c r="O262" s="7" t="b">
        <v>0</v>
      </c>
    </row>
    <row r="263" ht="17.25" customHeight="1">
      <c r="A263" s="91"/>
      <c r="B263" s="7"/>
      <c r="C263" s="45"/>
      <c r="D263" s="13"/>
      <c r="E263" s="7"/>
      <c r="F263" s="8"/>
      <c r="G263" s="7"/>
      <c r="H263" s="7"/>
      <c r="I263" s="7"/>
      <c r="J263" s="7"/>
      <c r="K263" s="45"/>
      <c r="L263" s="7"/>
      <c r="M263" s="7"/>
      <c r="N263" s="38"/>
      <c r="O263" s="7" t="b">
        <v>0</v>
      </c>
    </row>
    <row r="264" ht="17.25" customHeight="1">
      <c r="A264" s="91"/>
      <c r="B264" s="7"/>
      <c r="C264" s="49"/>
      <c r="D264" s="7"/>
      <c r="E264" s="7"/>
      <c r="F264" s="8"/>
      <c r="G264" s="7"/>
      <c r="H264" s="7"/>
      <c r="I264" s="7"/>
      <c r="J264" s="7"/>
      <c r="K264" s="49"/>
      <c r="L264" s="7"/>
      <c r="M264" s="7"/>
      <c r="N264" s="13"/>
      <c r="O264" s="7" t="b">
        <v>0</v>
      </c>
    </row>
    <row r="265" ht="17.25" customHeight="1">
      <c r="A265" s="91"/>
      <c r="B265" s="7"/>
      <c r="C265" s="13"/>
      <c r="D265" s="80"/>
      <c r="E265" s="7"/>
      <c r="F265" s="8"/>
      <c r="G265" s="13"/>
      <c r="H265" s="13"/>
      <c r="I265" s="13"/>
      <c r="J265" s="13"/>
      <c r="K265" s="13"/>
      <c r="L265" s="7"/>
      <c r="M265" s="7"/>
      <c r="N265" s="13"/>
      <c r="O265" s="7" t="b">
        <v>0</v>
      </c>
    </row>
    <row r="266" ht="17.25" customHeight="1">
      <c r="A266" s="91"/>
      <c r="B266" s="7"/>
      <c r="C266" s="13"/>
      <c r="D266" s="13"/>
      <c r="E266" s="7"/>
      <c r="F266" s="8"/>
      <c r="G266" s="13"/>
      <c r="H266" s="13"/>
      <c r="I266" s="13"/>
      <c r="J266" s="13"/>
      <c r="K266" s="13"/>
      <c r="L266" s="7"/>
      <c r="M266" s="7"/>
      <c r="N266" s="13"/>
      <c r="O266" s="7" t="b">
        <v>0</v>
      </c>
    </row>
    <row r="267" ht="17.25" customHeight="1">
      <c r="A267" s="91"/>
      <c r="B267" s="7"/>
      <c r="C267" s="41"/>
      <c r="D267" s="41"/>
      <c r="E267" s="7"/>
      <c r="F267" s="40"/>
      <c r="G267" s="41"/>
      <c r="H267" s="41"/>
      <c r="I267" s="41"/>
      <c r="J267" s="41"/>
      <c r="K267" s="41"/>
      <c r="L267" s="13"/>
      <c r="M267" s="13"/>
      <c r="N267" s="13"/>
      <c r="O267" s="7" t="b">
        <v>0</v>
      </c>
    </row>
    <row r="268" ht="17.25" customHeight="1">
      <c r="A268" s="91"/>
      <c r="B268" s="7"/>
      <c r="C268" s="39"/>
      <c r="D268" s="7"/>
      <c r="E268" s="7"/>
      <c r="F268" s="8"/>
      <c r="G268" s="7"/>
      <c r="H268" s="7"/>
      <c r="I268" s="7"/>
      <c r="J268" s="7"/>
      <c r="K268" s="39"/>
      <c r="L268" s="7"/>
      <c r="M268" s="7"/>
      <c r="N268" s="7"/>
      <c r="O268" s="7" t="b">
        <v>0</v>
      </c>
    </row>
    <row r="269" ht="17.25" customHeight="1">
      <c r="A269" s="91"/>
      <c r="B269" s="7"/>
      <c r="C269" s="13"/>
      <c r="D269" s="13"/>
      <c r="E269" s="7"/>
      <c r="F269" s="8"/>
      <c r="G269" s="13"/>
      <c r="H269" s="13"/>
      <c r="I269" s="13"/>
      <c r="J269" s="13"/>
      <c r="K269" s="13"/>
      <c r="L269" s="7"/>
      <c r="M269" s="7"/>
      <c r="N269" s="13"/>
      <c r="O269" s="7" t="b">
        <v>0</v>
      </c>
    </row>
    <row r="270" ht="17.25" customHeight="1">
      <c r="A270" s="91"/>
      <c r="B270" s="38"/>
      <c r="C270" s="45"/>
      <c r="D270" s="7"/>
      <c r="E270" s="7"/>
      <c r="F270" s="8"/>
      <c r="G270" s="7"/>
      <c r="H270" s="7"/>
      <c r="I270" s="7"/>
      <c r="J270" s="7"/>
      <c r="K270" s="45"/>
      <c r="L270" s="7"/>
      <c r="M270" s="7"/>
      <c r="N270" s="13"/>
      <c r="O270" s="7" t="b">
        <v>0</v>
      </c>
    </row>
    <row r="271" ht="17.25" customHeight="1">
      <c r="A271" s="91"/>
      <c r="B271" s="7"/>
      <c r="C271" s="51"/>
      <c r="D271" s="7"/>
      <c r="E271" s="7"/>
      <c r="F271" s="8"/>
      <c r="G271" s="7"/>
      <c r="H271" s="7"/>
      <c r="I271" s="7"/>
      <c r="J271" s="7"/>
      <c r="K271" s="51"/>
      <c r="L271" s="7"/>
      <c r="M271" s="7"/>
      <c r="N271" s="7"/>
      <c r="O271" s="7" t="b">
        <v>0</v>
      </c>
    </row>
    <row r="272" ht="17.25" customHeight="1">
      <c r="A272" s="91"/>
      <c r="B272" s="7"/>
      <c r="C272" s="45"/>
      <c r="D272" s="7"/>
      <c r="E272" s="7"/>
      <c r="F272" s="8"/>
      <c r="G272" s="7"/>
      <c r="H272" s="7"/>
      <c r="I272" s="7"/>
      <c r="J272" s="7"/>
      <c r="K272" s="45"/>
      <c r="L272" s="7"/>
      <c r="M272" s="7"/>
      <c r="N272" s="7"/>
      <c r="O272" s="7" t="b">
        <v>0</v>
      </c>
    </row>
    <row r="273" ht="17.25" customHeight="1">
      <c r="A273" s="91"/>
      <c r="B273" s="7"/>
      <c r="C273" s="51"/>
      <c r="D273" s="7"/>
      <c r="E273" s="7"/>
      <c r="F273" s="8"/>
      <c r="G273" s="45"/>
      <c r="H273" s="45"/>
      <c r="I273" s="45"/>
      <c r="J273" s="45"/>
      <c r="K273" s="51"/>
      <c r="L273" s="7"/>
      <c r="M273" s="7"/>
      <c r="N273" s="7"/>
      <c r="O273" s="7" t="b">
        <v>0</v>
      </c>
    </row>
    <row r="274" ht="17.25" customHeight="1">
      <c r="A274" s="91"/>
      <c r="B274" s="7"/>
      <c r="C274" s="51"/>
      <c r="D274" s="7"/>
      <c r="E274" s="7"/>
      <c r="F274" s="8"/>
      <c r="G274" s="7"/>
      <c r="H274" s="7"/>
      <c r="I274" s="7"/>
      <c r="J274" s="7"/>
      <c r="K274" s="51"/>
      <c r="L274" s="7"/>
      <c r="M274" s="7"/>
      <c r="N274" s="7"/>
      <c r="O274" s="7" t="b">
        <v>0</v>
      </c>
    </row>
    <row r="275" ht="17.25" customHeight="1">
      <c r="A275" s="91"/>
      <c r="B275" s="7"/>
      <c r="C275" s="41"/>
      <c r="D275" s="7"/>
      <c r="E275" s="7"/>
      <c r="F275" s="59"/>
      <c r="G275" s="44"/>
      <c r="H275" s="44"/>
      <c r="I275" s="44"/>
      <c r="J275" s="44"/>
      <c r="K275" s="41"/>
      <c r="L275" s="41"/>
      <c r="M275" s="41"/>
      <c r="N275" s="7"/>
      <c r="O275" s="7" t="b">
        <v>0</v>
      </c>
    </row>
    <row r="276" ht="17.25" customHeight="1">
      <c r="A276" s="91"/>
      <c r="B276" s="7"/>
      <c r="C276" s="13"/>
      <c r="D276" s="7"/>
      <c r="E276" s="7"/>
      <c r="F276" s="8"/>
      <c r="G276" s="44"/>
      <c r="H276" s="44"/>
      <c r="I276" s="44"/>
      <c r="J276" s="44"/>
      <c r="K276" s="13"/>
      <c r="L276" s="7"/>
      <c r="M276" s="7"/>
      <c r="N276" s="64"/>
      <c r="O276" s="7" t="b">
        <v>0</v>
      </c>
    </row>
    <row r="277" ht="17.25" customHeight="1">
      <c r="A277" s="91"/>
      <c r="B277" s="7"/>
      <c r="C277" s="52"/>
      <c r="D277" s="52"/>
      <c r="E277" s="7"/>
      <c r="F277" s="8"/>
      <c r="G277" s="81"/>
      <c r="H277" s="81"/>
      <c r="I277" s="81"/>
      <c r="J277" s="81"/>
      <c r="K277" s="52"/>
      <c r="L277" s="7"/>
      <c r="M277" s="7"/>
      <c r="N277" s="13"/>
      <c r="O277" s="7" t="b">
        <v>0</v>
      </c>
    </row>
    <row r="278" ht="17.25" customHeight="1">
      <c r="A278" s="91"/>
      <c r="B278" s="7"/>
      <c r="C278" s="66"/>
      <c r="D278" s="39"/>
      <c r="E278" s="7"/>
      <c r="F278" s="8"/>
      <c r="G278" s="44"/>
      <c r="H278" s="44"/>
      <c r="I278" s="44"/>
      <c r="J278" s="44"/>
      <c r="K278" s="66"/>
      <c r="L278" s="7"/>
      <c r="M278" s="7"/>
      <c r="N278" s="7"/>
      <c r="O278" s="7" t="b">
        <v>0</v>
      </c>
    </row>
    <row r="279" ht="17.25" customHeight="1">
      <c r="A279" s="91"/>
      <c r="B279" s="7"/>
      <c r="C279" s="13"/>
      <c r="D279" s="13"/>
      <c r="E279" s="7"/>
      <c r="F279" s="8"/>
      <c r="G279" s="41"/>
      <c r="H279" s="41"/>
      <c r="I279" s="41"/>
      <c r="J279" s="41"/>
      <c r="K279" s="13"/>
      <c r="L279" s="7"/>
      <c r="M279" s="7"/>
      <c r="N279" s="13"/>
      <c r="O279" s="7" t="b">
        <v>0</v>
      </c>
    </row>
    <row r="280" ht="17.25" customHeight="1">
      <c r="A280" s="91"/>
      <c r="B280" s="7"/>
      <c r="C280" s="13"/>
      <c r="D280" s="13"/>
      <c r="E280" s="7"/>
      <c r="F280" s="8"/>
      <c r="G280" s="41"/>
      <c r="H280" s="41"/>
      <c r="I280" s="41"/>
      <c r="J280" s="41"/>
      <c r="K280" s="13"/>
      <c r="L280" s="7"/>
      <c r="M280" s="7"/>
      <c r="N280" s="13"/>
      <c r="O280" s="7" t="b">
        <v>0</v>
      </c>
    </row>
    <row r="281" ht="17.25" customHeight="1">
      <c r="A281" s="91"/>
      <c r="B281" s="7"/>
      <c r="C281" s="49"/>
      <c r="D281" s="7"/>
      <c r="E281" s="7"/>
      <c r="F281" s="8"/>
      <c r="G281" s="7"/>
      <c r="H281" s="7"/>
      <c r="I281" s="7"/>
      <c r="J281" s="7"/>
      <c r="K281" s="49"/>
      <c r="L281" s="7"/>
      <c r="M281" s="7"/>
      <c r="N281" s="7"/>
      <c r="O281" s="7" t="b">
        <v>0</v>
      </c>
    </row>
    <row r="282" ht="17.25" customHeight="1">
      <c r="A282" s="91"/>
      <c r="B282" s="7"/>
      <c r="C282" s="49"/>
      <c r="D282" s="7"/>
      <c r="E282" s="7"/>
      <c r="F282" s="8"/>
      <c r="G282" s="7"/>
      <c r="H282" s="7"/>
      <c r="I282" s="7"/>
      <c r="J282" s="7"/>
      <c r="K282" s="49"/>
      <c r="L282" s="7"/>
      <c r="M282" s="7"/>
      <c r="N282" s="7"/>
      <c r="O282" s="7" t="b">
        <v>0</v>
      </c>
    </row>
    <row r="283" ht="17.25" customHeight="1">
      <c r="A283" s="91"/>
      <c r="B283" s="7"/>
      <c r="C283" s="41"/>
      <c r="D283" s="41"/>
      <c r="E283" s="7"/>
      <c r="F283" s="8"/>
      <c r="G283" s="41"/>
      <c r="H283" s="41"/>
      <c r="I283" s="41"/>
      <c r="J283" s="41"/>
      <c r="K283" s="41"/>
      <c r="L283" s="7"/>
      <c r="M283" s="7"/>
      <c r="N283" s="7"/>
      <c r="O283" s="7" t="b">
        <v>0</v>
      </c>
    </row>
    <row r="284" ht="17.25" customHeight="1">
      <c r="A284" s="91"/>
      <c r="B284" s="7"/>
      <c r="C284" s="41"/>
      <c r="D284" s="13"/>
      <c r="E284" s="7"/>
      <c r="F284" s="8"/>
      <c r="G284" s="41"/>
      <c r="H284" s="41"/>
      <c r="I284" s="41"/>
      <c r="J284" s="41"/>
      <c r="K284" s="41"/>
      <c r="L284" s="7"/>
      <c r="M284" s="7"/>
      <c r="N284" s="82"/>
      <c r="O284" s="7" t="b">
        <v>0</v>
      </c>
    </row>
    <row r="285" ht="17.25" customHeight="1">
      <c r="A285" s="91"/>
      <c r="B285" s="7"/>
      <c r="C285" s="43"/>
      <c r="D285" s="43"/>
      <c r="E285" s="7"/>
      <c r="F285" s="8"/>
      <c r="G285" s="7"/>
      <c r="H285" s="7"/>
      <c r="I285" s="7"/>
      <c r="J285" s="7"/>
      <c r="K285" s="43"/>
      <c r="L285" s="7"/>
      <c r="M285" s="7"/>
      <c r="N285" s="43"/>
      <c r="O285" s="7" t="b">
        <v>0</v>
      </c>
    </row>
    <row r="286" ht="17.25" customHeight="1">
      <c r="A286" s="91"/>
      <c r="B286" s="7"/>
      <c r="C286" s="13"/>
      <c r="D286" s="13"/>
      <c r="E286" s="7"/>
      <c r="F286" s="8"/>
      <c r="G286" s="7"/>
      <c r="H286" s="7"/>
      <c r="I286" s="7"/>
      <c r="J286" s="7"/>
      <c r="K286" s="13"/>
      <c r="L286" s="7"/>
      <c r="M286" s="7"/>
      <c r="N286" s="67"/>
      <c r="O286" s="7" t="b">
        <v>0</v>
      </c>
    </row>
    <row r="287" ht="17.25" customHeight="1">
      <c r="A287" s="91"/>
      <c r="B287" s="7"/>
      <c r="C287" s="13"/>
      <c r="D287" s="44"/>
      <c r="E287" s="7"/>
      <c r="F287" s="8"/>
      <c r="G287" s="13"/>
      <c r="H287" s="13"/>
      <c r="I287" s="13"/>
      <c r="J287" s="13"/>
      <c r="K287" s="13"/>
      <c r="L287" s="7"/>
      <c r="M287" s="7"/>
      <c r="N287" s="44"/>
      <c r="O287" s="7" t="b">
        <v>0</v>
      </c>
    </row>
    <row r="288" ht="17.25" customHeight="1">
      <c r="A288" s="91"/>
      <c r="B288" s="7"/>
      <c r="C288" s="41"/>
      <c r="D288" s="44"/>
      <c r="E288" s="7"/>
      <c r="F288" s="8"/>
      <c r="G288" s="41"/>
      <c r="H288" s="41"/>
      <c r="I288" s="41"/>
      <c r="J288" s="41"/>
      <c r="K288" s="41"/>
      <c r="L288" s="7"/>
      <c r="M288" s="7"/>
      <c r="N288" s="41"/>
      <c r="O288" s="7" t="b">
        <v>0</v>
      </c>
    </row>
    <row r="289" ht="17.25" customHeight="1">
      <c r="A289" s="91"/>
      <c r="B289" s="7"/>
      <c r="C289" s="45"/>
      <c r="D289" s="7"/>
      <c r="E289" s="7"/>
      <c r="F289" s="59"/>
      <c r="G289" s="7"/>
      <c r="H289" s="7"/>
      <c r="I289" s="7"/>
      <c r="J289" s="7"/>
      <c r="K289" s="45"/>
      <c r="L289" s="41"/>
      <c r="M289" s="41"/>
      <c r="N289" s="7"/>
      <c r="O289" s="7" t="b">
        <v>0</v>
      </c>
    </row>
    <row r="290" ht="17.25" customHeight="1">
      <c r="A290" s="91"/>
      <c r="B290" s="7"/>
      <c r="C290" s="45"/>
      <c r="D290" s="39"/>
      <c r="E290" s="7"/>
      <c r="F290" s="8"/>
      <c r="G290" s="7"/>
      <c r="H290" s="7"/>
      <c r="I290" s="7"/>
      <c r="J290" s="7"/>
      <c r="K290" s="45"/>
      <c r="L290" s="7"/>
      <c r="M290" s="7"/>
      <c r="N290" s="7"/>
      <c r="O290" s="7" t="b">
        <v>0</v>
      </c>
    </row>
    <row r="291" ht="17.25" customHeight="1">
      <c r="A291" s="91"/>
      <c r="B291" s="7"/>
      <c r="C291" s="65"/>
      <c r="D291" s="43"/>
      <c r="E291" s="7"/>
      <c r="F291" s="8"/>
      <c r="G291" s="7"/>
      <c r="H291" s="7"/>
      <c r="I291" s="7"/>
      <c r="J291" s="7"/>
      <c r="K291" s="65"/>
      <c r="L291" s="7"/>
      <c r="M291" s="7"/>
      <c r="N291" s="7"/>
      <c r="O291" s="7" t="b">
        <v>0</v>
      </c>
    </row>
    <row r="292" ht="17.25" customHeight="1">
      <c r="A292" s="91"/>
      <c r="B292" s="7"/>
      <c r="C292" s="13"/>
      <c r="D292" s="7"/>
      <c r="E292" s="7"/>
      <c r="F292" s="8"/>
      <c r="G292" s="7"/>
      <c r="H292" s="7"/>
      <c r="I292" s="7"/>
      <c r="J292" s="7"/>
      <c r="K292" s="13"/>
      <c r="L292" s="7"/>
      <c r="M292" s="7"/>
      <c r="N292" s="7"/>
      <c r="O292" s="7" t="b">
        <v>0</v>
      </c>
    </row>
    <row r="293" ht="17.25" customHeight="1">
      <c r="A293" s="91"/>
      <c r="B293" s="7"/>
      <c r="C293" s="49"/>
      <c r="D293" s="7"/>
      <c r="E293" s="7"/>
      <c r="F293" s="8"/>
      <c r="G293" s="7"/>
      <c r="H293" s="7"/>
      <c r="I293" s="7"/>
      <c r="J293" s="7"/>
      <c r="K293" s="49"/>
      <c r="L293" s="7"/>
      <c r="M293" s="7"/>
      <c r="N293" s="7"/>
      <c r="O293" s="7" t="b">
        <v>0</v>
      </c>
    </row>
    <row r="294" ht="17.25" customHeight="1">
      <c r="A294" s="91"/>
      <c r="B294" s="7"/>
      <c r="C294" s="51"/>
      <c r="D294" s="7"/>
      <c r="E294" s="7"/>
      <c r="F294" s="8"/>
      <c r="G294" s="7"/>
      <c r="H294" s="7"/>
      <c r="I294" s="7"/>
      <c r="J294" s="7"/>
      <c r="K294" s="51"/>
      <c r="L294" s="7"/>
      <c r="M294" s="7"/>
      <c r="N294" s="7"/>
      <c r="O294" s="7" t="b">
        <v>0</v>
      </c>
    </row>
    <row r="295" ht="17.25" customHeight="1">
      <c r="A295" s="91"/>
      <c r="B295" s="7"/>
      <c r="C295" s="41"/>
      <c r="D295" s="41"/>
      <c r="E295" s="7"/>
      <c r="F295" s="8"/>
      <c r="G295" s="41"/>
      <c r="H295" s="41"/>
      <c r="I295" s="41"/>
      <c r="J295" s="41"/>
      <c r="K295" s="41"/>
      <c r="L295" s="7"/>
      <c r="M295" s="7"/>
      <c r="N295" s="7"/>
      <c r="O295" s="7" t="b">
        <v>0</v>
      </c>
    </row>
    <row r="296" ht="17.25" customHeight="1">
      <c r="A296" s="91"/>
      <c r="B296" s="7"/>
      <c r="C296" s="41"/>
      <c r="D296" s="13"/>
      <c r="E296" s="7"/>
      <c r="F296" s="8"/>
      <c r="G296" s="41"/>
      <c r="H296" s="41"/>
      <c r="I296" s="41"/>
      <c r="J296" s="41"/>
      <c r="K296" s="41"/>
      <c r="L296" s="7"/>
      <c r="M296" s="7"/>
      <c r="N296" s="7"/>
      <c r="O296" s="7" t="b">
        <v>0</v>
      </c>
    </row>
    <row r="297" ht="17.25" customHeight="1">
      <c r="A297" s="91"/>
      <c r="B297" s="7"/>
      <c r="C297" s="41"/>
      <c r="D297" s="41"/>
      <c r="E297" s="7"/>
      <c r="F297" s="8"/>
      <c r="G297" s="41"/>
      <c r="H297" s="41"/>
      <c r="I297" s="41"/>
      <c r="J297" s="41"/>
      <c r="K297" s="41"/>
      <c r="L297" s="7"/>
      <c r="M297" s="7"/>
      <c r="N297" s="7"/>
      <c r="O297" s="7" t="b">
        <v>0</v>
      </c>
    </row>
    <row r="298" ht="17.25" customHeight="1">
      <c r="A298" s="91"/>
      <c r="B298" s="7"/>
      <c r="C298" s="49"/>
      <c r="D298" s="7"/>
      <c r="E298" s="7"/>
      <c r="F298" s="8"/>
      <c r="G298" s="7"/>
      <c r="H298" s="7"/>
      <c r="I298" s="7"/>
      <c r="J298" s="7"/>
      <c r="K298" s="49"/>
      <c r="L298" s="7"/>
      <c r="M298" s="7"/>
      <c r="N298" s="7"/>
      <c r="O298" s="7" t="b">
        <v>0</v>
      </c>
    </row>
    <row r="299" ht="17.25" customHeight="1">
      <c r="A299" s="91"/>
      <c r="B299" s="7"/>
      <c r="C299" s="41"/>
      <c r="D299" s="41"/>
      <c r="E299" s="7"/>
      <c r="F299" s="59"/>
      <c r="G299" s="41"/>
      <c r="H299" s="41"/>
      <c r="I299" s="41"/>
      <c r="J299" s="41"/>
      <c r="K299" s="41"/>
      <c r="L299" s="41"/>
      <c r="M299" s="41"/>
      <c r="N299" s="7"/>
      <c r="O299" s="7" t="b">
        <v>0</v>
      </c>
    </row>
    <row r="300" ht="17.25" customHeight="1">
      <c r="A300" s="91"/>
      <c r="B300" s="7"/>
      <c r="C300" s="54"/>
      <c r="D300" s="41"/>
      <c r="E300" s="7"/>
      <c r="F300" s="59"/>
      <c r="G300" s="41"/>
      <c r="H300" s="41"/>
      <c r="I300" s="41"/>
      <c r="J300" s="41"/>
      <c r="K300" s="54"/>
      <c r="L300" s="41"/>
      <c r="M300" s="41"/>
      <c r="N300" s="41"/>
      <c r="O300" s="7" t="b">
        <v>0</v>
      </c>
    </row>
    <row r="301" ht="17.25" customHeight="1">
      <c r="A301" s="91"/>
      <c r="B301" s="7"/>
      <c r="C301" s="41"/>
      <c r="D301" s="13"/>
      <c r="E301" s="7"/>
      <c r="F301" s="8"/>
      <c r="G301" s="41"/>
      <c r="H301" s="41"/>
      <c r="I301" s="41"/>
      <c r="J301" s="41"/>
      <c r="K301" s="41"/>
      <c r="L301" s="7"/>
      <c r="M301" s="7"/>
      <c r="N301" s="13"/>
      <c r="O301" s="7" t="b">
        <v>0</v>
      </c>
    </row>
    <row r="302" ht="17.25" customHeight="1">
      <c r="A302" s="91"/>
      <c r="B302" s="7"/>
      <c r="C302" s="41"/>
      <c r="D302" s="41"/>
      <c r="E302" s="7"/>
      <c r="F302" s="40"/>
      <c r="G302" s="41"/>
      <c r="H302" s="41"/>
      <c r="I302" s="41"/>
      <c r="J302" s="41"/>
      <c r="K302" s="41"/>
      <c r="L302" s="13"/>
      <c r="M302" s="13"/>
      <c r="N302" s="13"/>
      <c r="O302" s="7" t="b">
        <v>0</v>
      </c>
    </row>
    <row r="303" ht="17.25" customHeight="1">
      <c r="A303" s="91"/>
      <c r="B303" s="7"/>
      <c r="C303" s="41"/>
      <c r="D303" s="41"/>
      <c r="E303" s="7"/>
      <c r="F303" s="40"/>
      <c r="G303" s="41"/>
      <c r="H303" s="41"/>
      <c r="I303" s="41"/>
      <c r="J303" s="41"/>
      <c r="K303" s="41"/>
      <c r="L303" s="13"/>
      <c r="M303" s="13"/>
      <c r="N303" s="13"/>
      <c r="O303" s="7" t="b">
        <v>0</v>
      </c>
    </row>
    <row r="304" ht="17.25" customHeight="1">
      <c r="A304" s="91"/>
      <c r="B304" s="7"/>
      <c r="C304" s="41"/>
      <c r="D304" s="13"/>
      <c r="E304" s="7"/>
      <c r="F304" s="61"/>
      <c r="G304" s="41"/>
      <c r="H304" s="41"/>
      <c r="I304" s="41"/>
      <c r="J304" s="41"/>
      <c r="K304" s="41"/>
      <c r="L304" s="45"/>
      <c r="M304" s="41"/>
      <c r="N304" s="41"/>
      <c r="O304" s="7" t="b">
        <v>0</v>
      </c>
    </row>
    <row r="305" ht="17.25" customHeight="1">
      <c r="A305" s="91"/>
      <c r="B305" s="7"/>
      <c r="C305" s="63"/>
      <c r="D305" s="13"/>
      <c r="E305" s="7"/>
      <c r="F305" s="40"/>
      <c r="G305" s="41"/>
      <c r="H305" s="41"/>
      <c r="I305" s="41"/>
      <c r="J305" s="41"/>
      <c r="K305" s="63"/>
      <c r="L305" s="13"/>
      <c r="M305" s="13"/>
      <c r="N305" s="67"/>
      <c r="O305" s="7" t="b">
        <v>0</v>
      </c>
    </row>
    <row r="306" ht="17.25" customHeight="1">
      <c r="A306" s="91"/>
      <c r="B306" s="38"/>
      <c r="C306" s="56"/>
      <c r="D306" s="7"/>
      <c r="E306" s="7"/>
      <c r="F306" s="8"/>
      <c r="G306" s="7"/>
      <c r="H306" s="7"/>
      <c r="I306" s="7"/>
      <c r="J306" s="7"/>
      <c r="K306" s="56"/>
      <c r="L306" s="7"/>
      <c r="M306" s="7"/>
      <c r="N306" s="7"/>
      <c r="O306" s="7" t="b">
        <v>0</v>
      </c>
    </row>
    <row r="307" ht="17.25" customHeight="1">
      <c r="A307" s="91"/>
      <c r="B307" s="38"/>
      <c r="C307" s="56"/>
      <c r="D307" s="39"/>
      <c r="E307" s="7"/>
      <c r="F307" s="8"/>
      <c r="G307" s="7"/>
      <c r="H307" s="7"/>
      <c r="I307" s="7"/>
      <c r="J307" s="7"/>
      <c r="K307" s="56"/>
      <c r="L307" s="7"/>
      <c r="M307" s="7"/>
      <c r="N307" s="7"/>
      <c r="O307" s="7" t="b">
        <v>0</v>
      </c>
    </row>
    <row r="308" ht="17.25" customHeight="1">
      <c r="A308" s="91"/>
      <c r="B308" s="7"/>
      <c r="C308" s="41"/>
      <c r="D308" s="41"/>
      <c r="E308" s="7"/>
      <c r="F308" s="59"/>
      <c r="G308" s="41"/>
      <c r="H308" s="41"/>
      <c r="I308" s="41"/>
      <c r="J308" s="41"/>
      <c r="K308" s="41"/>
      <c r="L308" s="41"/>
      <c r="M308" s="41"/>
      <c r="N308" s="82"/>
      <c r="O308" s="7" t="b">
        <v>0</v>
      </c>
    </row>
    <row r="309" ht="17.25" customHeight="1">
      <c r="A309" s="91"/>
      <c r="B309" s="7"/>
      <c r="C309" s="82"/>
      <c r="D309" s="82"/>
      <c r="E309" s="7"/>
      <c r="F309" s="59"/>
      <c r="G309" s="82"/>
      <c r="H309" s="82"/>
      <c r="I309" s="82"/>
      <c r="J309" s="82"/>
      <c r="K309" s="82"/>
      <c r="L309" s="41"/>
      <c r="M309" s="41"/>
      <c r="N309" s="67"/>
      <c r="O309" s="7" t="b">
        <v>0</v>
      </c>
    </row>
    <row r="310" ht="17.25" customHeight="1">
      <c r="A310" s="91"/>
      <c r="B310" s="7"/>
      <c r="C310" s="41"/>
      <c r="D310" s="13"/>
      <c r="E310" s="7"/>
      <c r="F310" s="8"/>
      <c r="G310" s="41"/>
      <c r="H310" s="41"/>
      <c r="I310" s="41"/>
      <c r="J310" s="41"/>
      <c r="K310" s="41"/>
      <c r="L310" s="7"/>
      <c r="M310" s="7"/>
      <c r="N310" s="7"/>
      <c r="O310" s="7" t="b">
        <v>0</v>
      </c>
    </row>
    <row r="311" ht="17.25" customHeight="1">
      <c r="A311" s="91"/>
      <c r="B311" s="7"/>
      <c r="C311" s="49"/>
      <c r="D311" s="7"/>
      <c r="E311" s="7"/>
      <c r="F311" s="59"/>
      <c r="G311" s="44"/>
      <c r="H311" s="44"/>
      <c r="I311" s="44"/>
      <c r="J311" s="44"/>
      <c r="K311" s="49"/>
      <c r="L311" s="41"/>
      <c r="M311" s="41"/>
      <c r="N311" s="13"/>
      <c r="O311" s="7" t="b">
        <v>0</v>
      </c>
    </row>
    <row r="312" ht="17.25" customHeight="1">
      <c r="A312" s="91"/>
      <c r="B312" s="38"/>
      <c r="C312" s="41"/>
      <c r="D312" s="13"/>
      <c r="E312" s="7"/>
      <c r="F312" s="8"/>
      <c r="G312" s="41"/>
      <c r="H312" s="41"/>
      <c r="I312" s="41"/>
      <c r="J312" s="41"/>
      <c r="K312" s="41"/>
      <c r="L312" s="7"/>
      <c r="M312" s="7"/>
      <c r="N312" s="67"/>
      <c r="O312" s="7" t="b">
        <v>0</v>
      </c>
    </row>
    <row r="313" ht="17.25" customHeight="1">
      <c r="A313" s="91"/>
      <c r="B313" s="7"/>
      <c r="C313" s="41"/>
      <c r="D313" s="13"/>
      <c r="E313" s="7"/>
      <c r="F313" s="59"/>
      <c r="G313" s="41"/>
      <c r="H313" s="41"/>
      <c r="I313" s="41"/>
      <c r="J313" s="41"/>
      <c r="K313" s="41"/>
      <c r="L313" s="41"/>
      <c r="M313" s="41"/>
      <c r="N313" s="7"/>
      <c r="O313" s="7" t="b">
        <v>0</v>
      </c>
    </row>
    <row r="314" ht="17.25" customHeight="1">
      <c r="A314" s="91"/>
      <c r="B314" s="7"/>
      <c r="C314" s="41"/>
      <c r="D314" s="13"/>
      <c r="E314" s="7"/>
      <c r="F314" s="8"/>
      <c r="G314" s="41"/>
      <c r="H314" s="41"/>
      <c r="I314" s="41"/>
      <c r="J314" s="41"/>
      <c r="K314" s="41"/>
      <c r="L314" s="7"/>
      <c r="M314" s="7"/>
      <c r="N314" s="7"/>
      <c r="O314" s="7" t="b">
        <v>0</v>
      </c>
    </row>
    <row r="315" ht="17.25" customHeight="1">
      <c r="A315" s="91"/>
      <c r="B315" s="7"/>
      <c r="C315" s="49"/>
      <c r="D315" s="38"/>
      <c r="E315" s="7"/>
      <c r="F315" s="59"/>
      <c r="G315" s="48"/>
      <c r="H315" s="48"/>
      <c r="I315" s="48"/>
      <c r="J315" s="48"/>
      <c r="K315" s="49"/>
      <c r="L315" s="41"/>
      <c r="M315" s="41"/>
      <c r="N315" s="13"/>
      <c r="O315" s="7" t="b">
        <v>0</v>
      </c>
    </row>
    <row r="316" ht="17.25" customHeight="1">
      <c r="A316" s="91"/>
      <c r="B316" s="38"/>
      <c r="C316" s="41"/>
      <c r="D316" s="41"/>
      <c r="E316" s="7"/>
      <c r="F316" s="8"/>
      <c r="G316" s="41"/>
      <c r="H316" s="41"/>
      <c r="I316" s="41"/>
      <c r="J316" s="41"/>
      <c r="K316" s="41"/>
      <c r="L316" s="7"/>
      <c r="M316" s="7"/>
      <c r="N316" s="7"/>
      <c r="O316" s="7" t="b">
        <v>0</v>
      </c>
    </row>
    <row r="317" ht="17.25" customHeight="1">
      <c r="A317" s="91"/>
      <c r="B317" s="7"/>
      <c r="C317" s="13"/>
      <c r="D317" s="13"/>
      <c r="E317" s="7"/>
      <c r="F317" s="8"/>
      <c r="G317" s="7"/>
      <c r="H317" s="7"/>
      <c r="I317" s="7"/>
      <c r="J317" s="7"/>
      <c r="K317" s="13"/>
      <c r="L317" s="7"/>
      <c r="M317" s="7"/>
      <c r="N317" s="67"/>
      <c r="O317" s="7" t="b">
        <v>0</v>
      </c>
    </row>
    <row r="318" ht="17.25" customHeight="1">
      <c r="A318" s="91"/>
      <c r="B318" s="7"/>
      <c r="C318" s="13"/>
      <c r="D318" s="44"/>
      <c r="E318" s="7"/>
      <c r="F318" s="8"/>
      <c r="G318" s="13"/>
      <c r="H318" s="13"/>
      <c r="I318" s="13"/>
      <c r="J318" s="13"/>
      <c r="K318" s="13"/>
      <c r="L318" s="7"/>
      <c r="M318" s="7"/>
      <c r="N318" s="44"/>
      <c r="O318" s="7" t="b">
        <v>0</v>
      </c>
    </row>
    <row r="319" ht="17.25" customHeight="1">
      <c r="A319" s="91"/>
      <c r="B319" s="7"/>
      <c r="C319" s="41"/>
      <c r="D319" s="44"/>
      <c r="E319" s="7"/>
      <c r="F319" s="59"/>
      <c r="G319" s="41"/>
      <c r="H319" s="41"/>
      <c r="I319" s="41"/>
      <c r="J319" s="41"/>
      <c r="K319" s="41"/>
      <c r="L319" s="41"/>
      <c r="M319" s="41"/>
      <c r="N319" s="41"/>
      <c r="O319" s="7" t="b">
        <v>0</v>
      </c>
    </row>
    <row r="320" ht="17.25" customHeight="1">
      <c r="A320" s="91"/>
      <c r="B320" s="7"/>
      <c r="C320" s="41"/>
      <c r="D320" s="41"/>
      <c r="E320" s="7"/>
      <c r="F320" s="59"/>
      <c r="G320" s="41"/>
      <c r="H320" s="41"/>
      <c r="I320" s="41"/>
      <c r="J320" s="41"/>
      <c r="K320" s="41"/>
      <c r="L320" s="41"/>
      <c r="M320" s="41"/>
      <c r="N320" s="82"/>
      <c r="O320" s="7" t="b">
        <v>0</v>
      </c>
    </row>
    <row r="321" ht="17.25" customHeight="1">
      <c r="A321" s="91"/>
      <c r="B321" s="7"/>
      <c r="C321" s="41"/>
      <c r="D321" s="41"/>
      <c r="E321" s="7"/>
      <c r="F321" s="40"/>
      <c r="G321" s="41"/>
      <c r="H321" s="41"/>
      <c r="I321" s="41"/>
      <c r="J321" s="41"/>
      <c r="K321" s="41"/>
      <c r="L321" s="13"/>
      <c r="M321" s="13"/>
      <c r="N321" s="13"/>
      <c r="O321" s="7" t="b">
        <v>0</v>
      </c>
    </row>
    <row r="322" ht="17.25" customHeight="1">
      <c r="A322" s="91"/>
      <c r="B322" s="38"/>
      <c r="C322" s="41"/>
      <c r="D322" s="54"/>
      <c r="E322" s="7"/>
      <c r="F322" s="8"/>
      <c r="G322" s="41"/>
      <c r="H322" s="41"/>
      <c r="I322" s="41"/>
      <c r="J322" s="41"/>
      <c r="K322" s="41"/>
      <c r="L322" s="7"/>
      <c r="M322" s="7"/>
      <c r="N322" s="13"/>
      <c r="O322" s="7" t="b">
        <v>0</v>
      </c>
    </row>
    <row r="323" ht="17.25" customHeight="1">
      <c r="A323" s="91"/>
      <c r="B323" s="38"/>
      <c r="C323" s="41"/>
      <c r="D323" s="54"/>
      <c r="E323" s="7"/>
      <c r="F323" s="8"/>
      <c r="G323" s="41"/>
      <c r="H323" s="41"/>
      <c r="I323" s="41"/>
      <c r="J323" s="41"/>
      <c r="K323" s="41"/>
      <c r="L323" s="7"/>
      <c r="M323" s="7"/>
      <c r="N323" s="13"/>
      <c r="O323" s="7" t="b">
        <v>0</v>
      </c>
    </row>
    <row r="324" ht="17.25" customHeight="1">
      <c r="A324" s="91"/>
      <c r="B324" s="38"/>
      <c r="C324" s="41"/>
      <c r="D324" s="39"/>
      <c r="E324" s="7"/>
      <c r="F324" s="8"/>
      <c r="G324" s="41"/>
      <c r="H324" s="41"/>
      <c r="I324" s="41"/>
      <c r="J324" s="41"/>
      <c r="K324" s="41"/>
      <c r="L324" s="7"/>
      <c r="M324" s="7"/>
      <c r="N324" s="13"/>
      <c r="O324" s="7" t="b">
        <v>0</v>
      </c>
    </row>
    <row r="325" ht="17.25" customHeight="1">
      <c r="A325" s="91"/>
      <c r="B325" s="7"/>
      <c r="C325" s="41"/>
      <c r="D325" s="41"/>
      <c r="E325" s="7"/>
      <c r="F325" s="59"/>
      <c r="G325" s="41"/>
      <c r="H325" s="41"/>
      <c r="I325" s="41"/>
      <c r="J325" s="41"/>
      <c r="K325" s="41"/>
      <c r="L325" s="41"/>
      <c r="M325" s="41"/>
      <c r="N325" s="82"/>
      <c r="O325" s="7" t="b">
        <v>0</v>
      </c>
    </row>
    <row r="326" ht="17.25" customHeight="1">
      <c r="A326" s="91"/>
      <c r="B326" s="7"/>
      <c r="C326" s="48"/>
      <c r="D326" s="13"/>
      <c r="E326" s="7"/>
      <c r="F326" s="59"/>
      <c r="G326" s="41"/>
      <c r="H326" s="41"/>
      <c r="I326" s="41"/>
      <c r="J326" s="41"/>
      <c r="K326" s="48"/>
      <c r="L326" s="41"/>
      <c r="M326" s="41"/>
      <c r="N326" s="67"/>
      <c r="O326" s="7" t="b">
        <v>0</v>
      </c>
    </row>
    <row r="327" ht="17.25" customHeight="1">
      <c r="A327" s="91"/>
      <c r="B327" s="7"/>
      <c r="C327" s="48"/>
      <c r="D327" s="13"/>
      <c r="E327" s="7"/>
      <c r="F327" s="59"/>
      <c r="G327" s="41"/>
      <c r="H327" s="41"/>
      <c r="I327" s="41"/>
      <c r="J327" s="41"/>
      <c r="K327" s="48"/>
      <c r="L327" s="41"/>
      <c r="M327" s="41"/>
      <c r="N327" s="13"/>
      <c r="O327" s="7" t="b">
        <v>0</v>
      </c>
    </row>
    <row r="328" ht="17.25" customHeight="1">
      <c r="A328" s="91"/>
      <c r="B328" s="7"/>
      <c r="C328" s="54"/>
      <c r="D328" s="41"/>
      <c r="E328" s="7"/>
      <c r="F328" s="59"/>
      <c r="G328" s="48"/>
      <c r="H328" s="48"/>
      <c r="I328" s="48"/>
      <c r="J328" s="48"/>
      <c r="K328" s="54"/>
      <c r="L328" s="41"/>
      <c r="M328" s="41"/>
      <c r="N328" s="67"/>
      <c r="O328" s="7" t="b">
        <v>0</v>
      </c>
    </row>
    <row r="329" ht="17.25" customHeight="1">
      <c r="A329" s="91"/>
      <c r="B329" s="7"/>
      <c r="C329" s="41"/>
      <c r="D329" s="41"/>
      <c r="E329" s="7"/>
      <c r="F329" s="8"/>
      <c r="G329" s="41"/>
      <c r="H329" s="41"/>
      <c r="I329" s="41"/>
      <c r="J329" s="41"/>
      <c r="K329" s="41"/>
      <c r="L329" s="7"/>
      <c r="M329" s="7"/>
      <c r="N329" s="67"/>
      <c r="O329" s="7" t="b">
        <v>0</v>
      </c>
    </row>
    <row r="330" ht="17.25" customHeight="1">
      <c r="A330" s="91"/>
      <c r="B330" s="7"/>
      <c r="C330" s="41"/>
      <c r="D330" s="41"/>
      <c r="E330" s="7"/>
      <c r="F330" s="8"/>
      <c r="G330" s="48"/>
      <c r="H330" s="48"/>
      <c r="I330" s="48"/>
      <c r="J330" s="48"/>
      <c r="K330" s="41"/>
      <c r="L330" s="7"/>
      <c r="M330" s="7"/>
      <c r="N330" s="67"/>
      <c r="O330" s="7" t="b">
        <v>0</v>
      </c>
    </row>
    <row r="331" ht="17.25" customHeight="1">
      <c r="A331" s="91"/>
      <c r="B331" s="7"/>
      <c r="C331" s="54"/>
      <c r="D331" s="41"/>
      <c r="E331" s="7"/>
      <c r="F331" s="8"/>
      <c r="G331" s="41"/>
      <c r="H331" s="41"/>
      <c r="I331" s="41"/>
      <c r="J331" s="41"/>
      <c r="K331" s="54"/>
      <c r="L331" s="7"/>
      <c r="M331" s="7"/>
      <c r="N331" s="67"/>
      <c r="O331" s="7" t="b">
        <v>0</v>
      </c>
    </row>
    <row r="332" ht="17.25" customHeight="1">
      <c r="A332" s="91"/>
      <c r="B332" s="7"/>
      <c r="C332" s="54"/>
      <c r="D332" s="13"/>
      <c r="E332" s="7"/>
      <c r="F332" s="59"/>
      <c r="G332" s="41"/>
      <c r="H332" s="41"/>
      <c r="I332" s="41"/>
      <c r="J332" s="41"/>
      <c r="K332" s="54"/>
      <c r="L332" s="41"/>
      <c r="M332" s="41"/>
      <c r="N332" s="13"/>
      <c r="O332" s="7" t="b">
        <v>0</v>
      </c>
    </row>
    <row r="333" ht="17.25" customHeight="1">
      <c r="A333" s="91"/>
      <c r="B333" s="7"/>
      <c r="C333" s="54"/>
      <c r="D333" s="41"/>
      <c r="E333" s="7"/>
      <c r="F333" s="59"/>
      <c r="G333" s="48"/>
      <c r="H333" s="48"/>
      <c r="I333" s="48"/>
      <c r="J333" s="48"/>
      <c r="K333" s="54"/>
      <c r="L333" s="41"/>
      <c r="M333" s="41"/>
      <c r="N333" s="82"/>
      <c r="O333" s="7" t="b">
        <v>0</v>
      </c>
    </row>
    <row r="334" ht="17.25" customHeight="1">
      <c r="A334" s="91"/>
      <c r="B334" s="7"/>
      <c r="C334" s="54"/>
      <c r="D334" s="41"/>
      <c r="E334" s="7"/>
      <c r="F334" s="59"/>
      <c r="G334" s="48"/>
      <c r="H334" s="48"/>
      <c r="I334" s="48"/>
      <c r="J334" s="48"/>
      <c r="K334" s="54"/>
      <c r="L334" s="41"/>
      <c r="M334" s="41"/>
      <c r="N334" s="82"/>
      <c r="O334" s="7" t="b">
        <v>0</v>
      </c>
    </row>
    <row r="335" ht="17.25" customHeight="1">
      <c r="A335" s="91"/>
      <c r="B335" s="7"/>
      <c r="C335" s="81"/>
      <c r="D335" s="81"/>
      <c r="E335" s="7"/>
      <c r="F335" s="83"/>
      <c r="G335" s="81"/>
      <c r="H335" s="81"/>
      <c r="I335" s="81"/>
      <c r="J335" s="81"/>
      <c r="K335" s="81"/>
      <c r="L335" s="81"/>
      <c r="M335" s="81"/>
      <c r="N335" s="78"/>
      <c r="O335" s="7" t="b">
        <v>0</v>
      </c>
    </row>
    <row r="336" ht="17.25" customHeight="1">
      <c r="A336" s="91"/>
      <c r="B336" s="7"/>
      <c r="C336" s="41"/>
      <c r="D336" s="13"/>
      <c r="E336" s="7"/>
      <c r="F336" s="59"/>
      <c r="G336" s="41"/>
      <c r="H336" s="41"/>
      <c r="I336" s="41"/>
      <c r="J336" s="41"/>
      <c r="K336" s="41"/>
      <c r="L336" s="41"/>
      <c r="M336" s="41"/>
      <c r="N336" s="38"/>
      <c r="O336" s="7" t="b">
        <v>0</v>
      </c>
    </row>
    <row r="337" ht="17.25" customHeight="1">
      <c r="A337" s="91"/>
      <c r="B337" s="7"/>
      <c r="C337" s="41"/>
      <c r="D337" s="41"/>
      <c r="E337" s="7"/>
      <c r="F337" s="59"/>
      <c r="G337" s="48"/>
      <c r="H337" s="48"/>
      <c r="I337" s="48"/>
      <c r="J337" s="48"/>
      <c r="K337" s="41"/>
      <c r="L337" s="41"/>
      <c r="M337" s="41"/>
      <c r="N337" s="7"/>
      <c r="O337" s="7" t="b">
        <v>0</v>
      </c>
    </row>
    <row r="338" ht="17.25" customHeight="1">
      <c r="A338" s="91"/>
      <c r="B338" s="7"/>
      <c r="C338" s="54"/>
      <c r="D338" s="41"/>
      <c r="E338" s="7"/>
      <c r="F338" s="59"/>
      <c r="G338" s="41"/>
      <c r="H338" s="41"/>
      <c r="I338" s="41"/>
      <c r="J338" s="41"/>
      <c r="K338" s="54"/>
      <c r="L338" s="41"/>
      <c r="M338" s="41"/>
      <c r="N338" s="78"/>
      <c r="O338" s="7" t="b">
        <v>0</v>
      </c>
    </row>
    <row r="339" ht="17.25" customHeight="1">
      <c r="A339" s="91"/>
      <c r="B339" s="38"/>
      <c r="C339" s="41"/>
      <c r="D339" s="54"/>
      <c r="E339" s="7"/>
      <c r="F339" s="8"/>
      <c r="G339" s="41"/>
      <c r="H339" s="41"/>
      <c r="I339" s="41"/>
      <c r="J339" s="41"/>
      <c r="K339" s="41"/>
      <c r="L339" s="7"/>
      <c r="M339" s="7"/>
      <c r="N339" s="13"/>
      <c r="O339" s="7" t="b">
        <v>0</v>
      </c>
    </row>
    <row r="340" ht="17.25" customHeight="1">
      <c r="A340" s="91"/>
      <c r="B340" s="7"/>
      <c r="C340" s="45"/>
      <c r="D340" s="7"/>
      <c r="E340" s="7"/>
      <c r="F340" s="8"/>
      <c r="G340" s="7"/>
      <c r="H340" s="7"/>
      <c r="I340" s="7"/>
      <c r="J340" s="7"/>
      <c r="K340" s="45"/>
      <c r="L340" s="7"/>
      <c r="M340" s="7"/>
      <c r="N340" s="7"/>
      <c r="O340" s="7" t="b">
        <v>0</v>
      </c>
    </row>
    <row r="341" ht="17.25" customHeight="1">
      <c r="A341" s="91"/>
      <c r="B341" s="7"/>
      <c r="C341" s="54"/>
      <c r="D341" s="41"/>
      <c r="E341" s="7"/>
      <c r="F341" s="59"/>
      <c r="G341" s="41"/>
      <c r="H341" s="41"/>
      <c r="I341" s="41"/>
      <c r="J341" s="41"/>
      <c r="K341" s="54"/>
      <c r="L341" s="41"/>
      <c r="M341" s="41"/>
      <c r="N341" s="82"/>
      <c r="O341" s="7" t="b">
        <v>0</v>
      </c>
    </row>
    <row r="342" ht="17.25" customHeight="1">
      <c r="A342" s="91"/>
      <c r="B342" s="7"/>
      <c r="C342" s="41"/>
      <c r="D342" s="41"/>
      <c r="E342" s="7"/>
      <c r="F342" s="61"/>
      <c r="G342" s="41"/>
      <c r="H342" s="41"/>
      <c r="I342" s="41"/>
      <c r="J342" s="41"/>
      <c r="K342" s="41"/>
      <c r="L342" s="47"/>
      <c r="M342" s="13"/>
      <c r="N342" s="41"/>
      <c r="O342" s="7" t="b">
        <v>0</v>
      </c>
    </row>
    <row r="343" ht="17.25" customHeight="1">
      <c r="A343" s="91"/>
      <c r="B343" s="7"/>
      <c r="C343" s="41"/>
      <c r="D343" s="41"/>
      <c r="E343" s="7"/>
      <c r="F343" s="40"/>
      <c r="G343" s="41"/>
      <c r="H343" s="41"/>
      <c r="I343" s="41"/>
      <c r="J343" s="41"/>
      <c r="K343" s="41"/>
      <c r="L343" s="13"/>
      <c r="M343" s="13"/>
      <c r="N343" s="13"/>
      <c r="O343" s="7" t="b">
        <v>0</v>
      </c>
    </row>
    <row r="344" ht="17.25" customHeight="1">
      <c r="A344" s="91"/>
      <c r="B344" s="7"/>
      <c r="C344" s="54"/>
      <c r="D344" s="41"/>
      <c r="E344" s="7"/>
      <c r="F344" s="59"/>
      <c r="G344" s="41"/>
      <c r="H344" s="41"/>
      <c r="I344" s="41"/>
      <c r="J344" s="41"/>
      <c r="K344" s="54"/>
      <c r="L344" s="41"/>
      <c r="M344" s="41"/>
      <c r="N344" s="41"/>
      <c r="O344" s="7" t="b">
        <v>0</v>
      </c>
    </row>
    <row r="345" ht="17.25" customHeight="1">
      <c r="A345" s="91"/>
      <c r="B345" s="7"/>
      <c r="C345" s="54"/>
      <c r="D345" s="41"/>
      <c r="E345" s="7"/>
      <c r="F345" s="40"/>
      <c r="G345" s="41"/>
      <c r="H345" s="41"/>
      <c r="I345" s="41"/>
      <c r="J345" s="41"/>
      <c r="K345" s="54"/>
      <c r="L345" s="13"/>
      <c r="M345" s="13"/>
      <c r="N345" s="67"/>
      <c r="O345" s="7" t="b">
        <v>0</v>
      </c>
    </row>
    <row r="346" ht="17.25" customHeight="1">
      <c r="A346" s="91"/>
      <c r="B346" s="7"/>
      <c r="C346" s="54"/>
      <c r="D346" s="41"/>
      <c r="E346" s="7"/>
      <c r="F346" s="8"/>
      <c r="G346" s="41"/>
      <c r="H346" s="41"/>
      <c r="I346" s="41"/>
      <c r="J346" s="41"/>
      <c r="K346" s="54"/>
      <c r="L346" s="7"/>
      <c r="M346" s="7"/>
      <c r="N346" s="13"/>
      <c r="O346" s="7" t="b">
        <v>0</v>
      </c>
    </row>
    <row r="347" ht="17.25" customHeight="1">
      <c r="A347" s="91"/>
      <c r="B347" s="7"/>
      <c r="C347" s="54"/>
      <c r="D347" s="41"/>
      <c r="E347" s="7"/>
      <c r="F347" s="59"/>
      <c r="G347" s="48"/>
      <c r="H347" s="48"/>
      <c r="I347" s="48"/>
      <c r="J347" s="48"/>
      <c r="K347" s="54"/>
      <c r="L347" s="41"/>
      <c r="M347" s="41"/>
      <c r="N347" s="67"/>
      <c r="O347" s="7" t="b">
        <v>0</v>
      </c>
    </row>
    <row r="348" ht="17.25" customHeight="1">
      <c r="A348" s="91"/>
      <c r="B348" s="7"/>
      <c r="C348" s="63"/>
      <c r="D348" s="41"/>
      <c r="E348" s="7"/>
      <c r="F348" s="40"/>
      <c r="G348" s="41"/>
      <c r="H348" s="41"/>
      <c r="I348" s="41"/>
      <c r="J348" s="41"/>
      <c r="K348" s="63"/>
      <c r="L348" s="13"/>
      <c r="M348" s="13"/>
      <c r="N348" s="13"/>
      <c r="O348" s="7" t="b">
        <v>0</v>
      </c>
    </row>
  </sheetData>
  <autoFilter ref="$A$1:$O$39">
    <sortState ref="A1:O39">
      <sortCondition ref="E1:E39"/>
      <sortCondition ref="L1:L39"/>
      <sortCondition ref="A1:A39"/>
    </sortState>
  </autoFilter>
  <conditionalFormatting sqref="H2:J39 H41:J78 H80:J117 H119:J156 H158:J195 H197:J234 H236:J273 H275:J312">
    <cfRule type="expression" dxfId="10" priority="1">
      <formula>$D6="隔週B"</formula>
    </cfRule>
  </conditionalFormatting>
  <conditionalFormatting sqref="H2:J39 H41:J78 H80:J117 H119:J156 H158:J195 H197:J234 H236:J273 H275:J312">
    <cfRule type="expression" dxfId="2" priority="2">
      <formula>$D6="隔週A"</formula>
    </cfRule>
  </conditionalFormatting>
  <conditionalFormatting sqref="H2:J39 H41:J78 H80:J117 H119:J156 H158:J195 H197:J234 H236:J273 H275:J312">
    <cfRule type="expression" dxfId="9" priority="3">
      <formula>$D2="検"</formula>
    </cfRule>
  </conditionalFormatting>
  <conditionalFormatting sqref="M1:M348">
    <cfRule type="cellIs" dxfId="3" priority="4" operator="equal">
      <formula>"R"</formula>
    </cfRule>
  </conditionalFormatting>
  <conditionalFormatting sqref="A2:O348">
    <cfRule type="expression" dxfId="10" priority="5">
      <formula>$E2="隔週B"</formula>
    </cfRule>
  </conditionalFormatting>
  <conditionalFormatting sqref="A2:O348">
    <cfRule type="expression" dxfId="2" priority="6">
      <formula>$E2="隔週A"</formula>
    </cfRule>
  </conditionalFormatting>
  <conditionalFormatting sqref="A2:O348">
    <cfRule type="expression" dxfId="8" priority="7">
      <formula>#REF!=TRUE</formula>
    </cfRule>
  </conditionalFormatting>
  <conditionalFormatting sqref="A2:O348">
    <cfRule type="expression" dxfId="10" priority="8">
      <formula>$E6="隔週B"</formula>
    </cfRule>
  </conditionalFormatting>
  <conditionalFormatting sqref="A2:O348">
    <cfRule type="expression" dxfId="2" priority="9">
      <formula>$E6="隔週A"</formula>
    </cfRule>
  </conditionalFormatting>
  <conditionalFormatting sqref="A2:O348">
    <cfRule type="expression" dxfId="9" priority="10">
      <formula>$E2="検"</formula>
    </cfRule>
  </conditionalFormatting>
  <hyperlinks>
    <hyperlink r:id="rId2" ref="K7"/>
  </hyperlinks>
  <printOptions gridLines="1" horizontalCentered="1"/>
  <pageMargins bottom="0.75" footer="0.0" header="0.0" left="0.25" right="0.25" top="0.75"/>
  <pageSetup fitToWidth="0" paperSize="8" cellComments="atEnd" orientation="landscape" pageOrder="overThenDown"/>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2" max="2" width="12.13"/>
    <col customWidth="1" min="3" max="3" width="33.88"/>
    <col customWidth="1" min="4" max="5" width="13.0"/>
    <col customWidth="1" min="6" max="6" width="19.38"/>
    <col customWidth="1" min="7" max="9" width="13.0"/>
    <col customWidth="1" min="10" max="11" width="11.5"/>
    <col customWidth="1" min="12" max="12" width="10.75"/>
  </cols>
  <sheetData>
    <row r="1">
      <c r="A1" s="84" t="s">
        <v>503</v>
      </c>
      <c r="B1" s="34" t="s">
        <v>136</v>
      </c>
      <c r="C1" s="34" t="s">
        <v>0</v>
      </c>
      <c r="D1" s="35" t="s">
        <v>1</v>
      </c>
      <c r="E1" s="35" t="s">
        <v>137</v>
      </c>
      <c r="F1" s="35" t="s">
        <v>138</v>
      </c>
      <c r="G1" s="34" t="s">
        <v>139</v>
      </c>
      <c r="H1" s="35" t="s">
        <v>143</v>
      </c>
      <c r="I1" s="34" t="s">
        <v>6</v>
      </c>
      <c r="J1" s="34" t="s">
        <v>3</v>
      </c>
      <c r="K1" s="34" t="s">
        <v>4</v>
      </c>
      <c r="L1" s="36" t="s">
        <v>144</v>
      </c>
    </row>
    <row r="2" ht="18.75" customHeight="1">
      <c r="A2" s="92">
        <v>46126.0</v>
      </c>
      <c r="B2" s="7">
        <v>12.0</v>
      </c>
      <c r="C2" s="93" t="s">
        <v>537</v>
      </c>
      <c r="D2" s="93"/>
      <c r="E2" s="93"/>
      <c r="F2" s="7"/>
      <c r="G2" s="94"/>
      <c r="H2" s="7"/>
      <c r="I2" s="7"/>
      <c r="J2" s="93"/>
      <c r="K2" s="93"/>
      <c r="L2" s="7" t="b">
        <v>0</v>
      </c>
    </row>
    <row r="3" ht="17.25" customHeight="1">
      <c r="A3" s="92">
        <v>46129.0</v>
      </c>
      <c r="B3" s="7">
        <v>12.0</v>
      </c>
      <c r="C3" s="93" t="s">
        <v>537</v>
      </c>
      <c r="D3" s="93"/>
      <c r="E3" s="93"/>
      <c r="F3" s="7"/>
      <c r="G3" s="94"/>
      <c r="H3" s="7"/>
      <c r="I3" s="7"/>
      <c r="J3" s="93"/>
      <c r="K3" s="93"/>
      <c r="L3" s="7" t="b">
        <v>0</v>
      </c>
    </row>
    <row r="4" ht="17.25" customHeight="1">
      <c r="A4" s="92">
        <v>46126.0</v>
      </c>
      <c r="B4" s="7">
        <v>20.0</v>
      </c>
      <c r="C4" s="95" t="s">
        <v>538</v>
      </c>
      <c r="D4" s="95"/>
      <c r="E4" s="95"/>
      <c r="F4" s="96"/>
      <c r="G4" s="94"/>
      <c r="H4" s="96"/>
      <c r="I4" s="96"/>
      <c r="J4" s="95"/>
      <c r="K4" s="95"/>
      <c r="L4" s="7" t="b">
        <v>0</v>
      </c>
    </row>
    <row r="5" ht="17.25" customHeight="1">
      <c r="A5" s="92">
        <v>46127.0</v>
      </c>
      <c r="B5" s="7">
        <v>20.0</v>
      </c>
      <c r="C5" s="95" t="s">
        <v>538</v>
      </c>
      <c r="D5" s="95"/>
      <c r="E5" s="95"/>
      <c r="F5" s="96"/>
      <c r="G5" s="94"/>
      <c r="H5" s="96"/>
      <c r="I5" s="96"/>
      <c r="J5" s="95"/>
      <c r="K5" s="95"/>
      <c r="L5" s="7" t="b">
        <v>0</v>
      </c>
    </row>
    <row r="6" ht="17.25" customHeight="1">
      <c r="A6" s="92">
        <v>46128.0</v>
      </c>
      <c r="B6" s="7">
        <v>20.0</v>
      </c>
      <c r="C6" s="95" t="s">
        <v>538</v>
      </c>
      <c r="D6" s="95"/>
      <c r="E6" s="95"/>
      <c r="F6" s="96"/>
      <c r="G6" s="94"/>
      <c r="H6" s="96"/>
      <c r="I6" s="96"/>
      <c r="J6" s="95"/>
      <c r="K6" s="95"/>
      <c r="L6" s="7" t="b">
        <v>0</v>
      </c>
    </row>
    <row r="7" ht="17.25" customHeight="1">
      <c r="A7" s="92">
        <v>46129.0</v>
      </c>
      <c r="B7" s="7">
        <v>20.0</v>
      </c>
      <c r="C7" s="95" t="s">
        <v>538</v>
      </c>
      <c r="D7" s="95"/>
      <c r="E7" s="95"/>
      <c r="F7" s="96"/>
      <c r="G7" s="94"/>
      <c r="H7" s="96"/>
      <c r="I7" s="96"/>
      <c r="J7" s="95"/>
      <c r="K7" s="95"/>
      <c r="L7" s="7" t="b">
        <v>0</v>
      </c>
    </row>
    <row r="8" ht="17.25" customHeight="1">
      <c r="A8" s="92">
        <v>46132.0</v>
      </c>
      <c r="B8" s="7">
        <v>20.0</v>
      </c>
      <c r="C8" s="95" t="s">
        <v>538</v>
      </c>
      <c r="D8" s="95"/>
      <c r="E8" s="95"/>
      <c r="F8" s="96"/>
      <c r="G8" s="94"/>
      <c r="H8" s="96"/>
      <c r="I8" s="96"/>
      <c r="J8" s="95"/>
      <c r="K8" s="95"/>
      <c r="L8" s="7" t="b">
        <v>0</v>
      </c>
    </row>
    <row r="9" ht="17.25" customHeight="1">
      <c r="A9" s="92">
        <v>46126.0</v>
      </c>
      <c r="B9" s="7">
        <v>18.0</v>
      </c>
      <c r="C9" s="93" t="s">
        <v>539</v>
      </c>
      <c r="D9" s="93"/>
      <c r="E9" s="93"/>
      <c r="F9" s="7"/>
      <c r="G9" s="94"/>
      <c r="H9" s="7"/>
      <c r="I9" s="7"/>
      <c r="J9" s="93"/>
      <c r="K9" s="93"/>
      <c r="L9" s="7" t="b">
        <v>0</v>
      </c>
    </row>
    <row r="10" ht="17.25" customHeight="1">
      <c r="A10" s="92">
        <v>46129.0</v>
      </c>
      <c r="B10" s="7">
        <v>18.0</v>
      </c>
      <c r="C10" s="93" t="s">
        <v>539</v>
      </c>
      <c r="D10" s="93"/>
      <c r="E10" s="93"/>
      <c r="F10" s="7"/>
      <c r="G10" s="94"/>
      <c r="H10" s="7"/>
      <c r="I10" s="7"/>
      <c r="J10" s="93"/>
      <c r="K10" s="93"/>
      <c r="L10" s="7" t="b">
        <v>0</v>
      </c>
    </row>
    <row r="11" ht="17.25" customHeight="1">
      <c r="A11" s="92"/>
      <c r="B11" s="7"/>
      <c r="C11" s="97"/>
      <c r="D11" s="98"/>
      <c r="E11" s="98"/>
      <c r="F11" s="7"/>
      <c r="G11" s="48"/>
      <c r="H11" s="7"/>
      <c r="I11" s="7"/>
      <c r="J11" s="98"/>
      <c r="K11" s="99"/>
      <c r="L11" s="7" t="b">
        <v>0</v>
      </c>
    </row>
    <row r="12" ht="17.25" customHeight="1">
      <c r="A12" s="92"/>
      <c r="B12" s="7"/>
      <c r="C12" s="97"/>
      <c r="D12" s="98"/>
      <c r="E12" s="98"/>
      <c r="F12" s="7"/>
      <c r="G12" s="48"/>
      <c r="H12" s="7"/>
      <c r="I12" s="7"/>
      <c r="J12" s="98"/>
      <c r="K12" s="99"/>
      <c r="L12" s="7" t="b">
        <v>0</v>
      </c>
    </row>
    <row r="13" ht="17.25" customHeight="1">
      <c r="A13" s="92"/>
      <c r="B13" s="7"/>
      <c r="C13" s="97"/>
      <c r="D13" s="98"/>
      <c r="E13" s="98"/>
      <c r="F13" s="7"/>
      <c r="G13" s="48"/>
      <c r="H13" s="7"/>
      <c r="I13" s="7"/>
      <c r="J13" s="98"/>
      <c r="K13" s="99"/>
      <c r="L13" s="7" t="b">
        <v>0</v>
      </c>
    </row>
    <row r="14" ht="17.25" customHeight="1">
      <c r="A14" s="92"/>
      <c r="B14" s="7"/>
      <c r="C14" s="97"/>
      <c r="D14" s="98"/>
      <c r="E14" s="98"/>
      <c r="F14" s="7"/>
      <c r="G14" s="48"/>
      <c r="H14" s="7"/>
      <c r="I14" s="7"/>
      <c r="J14" s="98"/>
      <c r="K14" s="99"/>
      <c r="L14" s="7" t="b">
        <v>0</v>
      </c>
    </row>
    <row r="15" ht="17.25" customHeight="1">
      <c r="A15" s="92"/>
      <c r="B15" s="7"/>
      <c r="C15" s="97"/>
      <c r="D15" s="98"/>
      <c r="E15" s="98"/>
      <c r="F15" s="7"/>
      <c r="G15" s="48"/>
      <c r="H15" s="7"/>
      <c r="I15" s="7"/>
      <c r="J15" s="98"/>
      <c r="K15" s="99"/>
      <c r="L15" s="7" t="b">
        <v>0</v>
      </c>
    </row>
    <row r="16" ht="17.25" customHeight="1">
      <c r="A16" s="92"/>
      <c r="B16" s="7"/>
      <c r="C16" s="97"/>
      <c r="D16" s="98"/>
      <c r="E16" s="98"/>
      <c r="F16" s="7"/>
      <c r="G16" s="48"/>
      <c r="H16" s="7"/>
      <c r="I16" s="7"/>
      <c r="J16" s="98"/>
      <c r="K16" s="99"/>
      <c r="L16" s="7" t="b">
        <v>0</v>
      </c>
    </row>
  </sheetData>
  <autoFilter ref="$A$1:$L$1">
    <sortState ref="A1:L1">
      <sortCondition ref="E1"/>
      <sortCondition ref="A1"/>
      <sortCondition ref="F1"/>
    </sortState>
  </autoFilter>
  <printOptions gridLines="1" horizontalCentered="1"/>
  <pageMargins bottom="0.75" footer="0.0" header="0.0" left="0.25" right="0.25" top="0.75"/>
  <pageSetup fitToWidth="0" paperSize="8" cellComments="atEnd" orientation="landscape" pageOrder="overThenDown"/>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75"/>
    <col customWidth="1" min="3" max="3" width="20.38"/>
    <col customWidth="1" min="4" max="5" width="22.0"/>
    <col customWidth="1" min="6" max="6" width="15.75"/>
    <col customWidth="1" min="7" max="7" width="19.63"/>
    <col customWidth="1" min="8" max="8" width="29.5"/>
  </cols>
  <sheetData>
    <row r="1">
      <c r="A1" s="100" t="s">
        <v>540</v>
      </c>
      <c r="B1" s="101" t="s">
        <v>541</v>
      </c>
      <c r="C1" s="101" t="s">
        <v>542</v>
      </c>
      <c r="D1" s="101" t="s">
        <v>543</v>
      </c>
      <c r="E1" s="101" t="s">
        <v>544</v>
      </c>
      <c r="F1" s="101" t="s">
        <v>545</v>
      </c>
      <c r="G1" s="101" t="s">
        <v>546</v>
      </c>
      <c r="H1" s="101" t="s">
        <v>547</v>
      </c>
      <c r="I1" s="101" t="s">
        <v>548</v>
      </c>
      <c r="J1" s="102"/>
      <c r="K1" s="102"/>
      <c r="L1" s="102"/>
      <c r="M1" s="103"/>
      <c r="N1" s="103"/>
      <c r="O1" s="103"/>
      <c r="P1" s="103"/>
      <c r="Q1" s="103"/>
      <c r="R1" s="103"/>
      <c r="S1" s="103"/>
    </row>
    <row r="2">
      <c r="A2" s="104">
        <v>1.0</v>
      </c>
      <c r="B2" s="105" t="s">
        <v>549</v>
      </c>
      <c r="C2" s="105" t="s">
        <v>550</v>
      </c>
      <c r="D2" s="105" t="s">
        <v>551</v>
      </c>
      <c r="E2" s="105" t="s">
        <v>552</v>
      </c>
      <c r="F2" s="106" t="s">
        <v>553</v>
      </c>
      <c r="G2" s="105" t="s">
        <v>554</v>
      </c>
      <c r="H2" s="105" t="s">
        <v>555</v>
      </c>
      <c r="I2" s="107" t="s">
        <v>556</v>
      </c>
      <c r="J2" s="102"/>
      <c r="K2" s="102"/>
      <c r="L2" s="102"/>
      <c r="M2" s="103"/>
      <c r="N2" s="103"/>
      <c r="O2" s="103"/>
      <c r="P2" s="103"/>
      <c r="Q2" s="103"/>
      <c r="R2" s="103"/>
      <c r="S2" s="103"/>
    </row>
    <row r="3">
      <c r="A3" s="104">
        <v>2.0</v>
      </c>
      <c r="B3" s="107" t="s">
        <v>557</v>
      </c>
      <c r="C3" s="107" t="s">
        <v>558</v>
      </c>
      <c r="D3" s="107" t="s">
        <v>559</v>
      </c>
      <c r="E3" s="107" t="s">
        <v>560</v>
      </c>
      <c r="F3" s="108" t="s">
        <v>561</v>
      </c>
      <c r="G3" s="105" t="s">
        <v>554</v>
      </c>
      <c r="H3" s="109" t="s">
        <v>562</v>
      </c>
      <c r="I3" s="107" t="s">
        <v>563</v>
      </c>
      <c r="J3" s="102"/>
      <c r="K3" s="102"/>
      <c r="L3" s="102"/>
      <c r="M3" s="103"/>
      <c r="N3" s="103"/>
      <c r="O3" s="103"/>
      <c r="P3" s="103"/>
      <c r="Q3" s="103"/>
      <c r="R3" s="103"/>
      <c r="S3" s="103"/>
    </row>
    <row r="4">
      <c r="A4" s="104">
        <v>3.0</v>
      </c>
      <c r="B4" s="107" t="s">
        <v>564</v>
      </c>
      <c r="C4" s="107" t="s">
        <v>565</v>
      </c>
      <c r="D4" s="107" t="s">
        <v>566</v>
      </c>
      <c r="E4" s="107" t="s">
        <v>567</v>
      </c>
      <c r="F4" s="108" t="s">
        <v>568</v>
      </c>
      <c r="G4" s="105" t="s">
        <v>569</v>
      </c>
      <c r="H4" s="105" t="s">
        <v>570</v>
      </c>
      <c r="I4" s="107" t="s">
        <v>563</v>
      </c>
      <c r="J4" s="102"/>
      <c r="K4" s="102"/>
      <c r="L4" s="102"/>
      <c r="M4" s="103"/>
      <c r="N4" s="103"/>
      <c r="O4" s="103"/>
      <c r="P4" s="103"/>
      <c r="Q4" s="103"/>
      <c r="R4" s="103"/>
      <c r="S4" s="103"/>
    </row>
    <row r="5">
      <c r="A5" s="104">
        <v>4.0</v>
      </c>
      <c r="B5" s="110" t="s">
        <v>571</v>
      </c>
      <c r="C5" s="110" t="s">
        <v>572</v>
      </c>
      <c r="D5" s="107" t="s">
        <v>573</v>
      </c>
      <c r="E5" s="107" t="s">
        <v>574</v>
      </c>
      <c r="F5" s="111" t="s">
        <v>575</v>
      </c>
      <c r="G5" s="107" t="s">
        <v>576</v>
      </c>
      <c r="H5" s="107" t="s">
        <v>577</v>
      </c>
      <c r="I5" s="107" t="s">
        <v>563</v>
      </c>
      <c r="J5" s="102"/>
      <c r="K5" s="102"/>
      <c r="L5" s="102"/>
      <c r="M5" s="103"/>
      <c r="N5" s="103"/>
      <c r="O5" s="103"/>
      <c r="P5" s="103"/>
      <c r="Q5" s="103"/>
      <c r="R5" s="103"/>
      <c r="S5" s="103"/>
    </row>
    <row r="6">
      <c r="A6" s="104">
        <v>5.0</v>
      </c>
      <c r="B6" s="110" t="s">
        <v>578</v>
      </c>
      <c r="C6" s="110" t="s">
        <v>579</v>
      </c>
      <c r="D6" s="107" t="s">
        <v>580</v>
      </c>
      <c r="E6" s="107" t="s">
        <v>581</v>
      </c>
      <c r="F6" s="111" t="s">
        <v>582</v>
      </c>
      <c r="G6" s="107" t="s">
        <v>583</v>
      </c>
      <c r="H6" s="107" t="s">
        <v>584</v>
      </c>
      <c r="I6" s="107" t="s">
        <v>556</v>
      </c>
      <c r="J6" s="102"/>
      <c r="K6" s="102"/>
      <c r="L6" s="102"/>
      <c r="M6" s="103"/>
      <c r="N6" s="103"/>
      <c r="O6" s="103"/>
      <c r="P6" s="103"/>
      <c r="Q6" s="103"/>
      <c r="R6" s="103"/>
      <c r="S6" s="103"/>
    </row>
    <row r="7">
      <c r="A7" s="104">
        <v>6.0</v>
      </c>
      <c r="B7" s="110" t="s">
        <v>585</v>
      </c>
      <c r="C7" s="110" t="s">
        <v>586</v>
      </c>
      <c r="D7" s="107" t="s">
        <v>587</v>
      </c>
      <c r="E7" s="107" t="s">
        <v>588</v>
      </c>
      <c r="F7" s="108" t="s">
        <v>589</v>
      </c>
      <c r="G7" s="110" t="s">
        <v>590</v>
      </c>
      <c r="H7" s="107" t="s">
        <v>591</v>
      </c>
      <c r="I7" s="107" t="s">
        <v>556</v>
      </c>
      <c r="J7" s="102"/>
      <c r="K7" s="102"/>
      <c r="L7" s="102"/>
      <c r="M7" s="103"/>
      <c r="N7" s="103"/>
      <c r="O7" s="103"/>
      <c r="P7" s="103"/>
      <c r="Q7" s="103"/>
      <c r="R7" s="103"/>
      <c r="S7" s="103"/>
    </row>
    <row r="8">
      <c r="A8" s="104">
        <v>7.0</v>
      </c>
      <c r="B8" s="112" t="s">
        <v>592</v>
      </c>
      <c r="C8" s="112" t="s">
        <v>593</v>
      </c>
      <c r="D8" s="112" t="s">
        <v>594</v>
      </c>
      <c r="E8" s="112" t="s">
        <v>595</v>
      </c>
      <c r="F8" s="113" t="s">
        <v>596</v>
      </c>
      <c r="G8" s="107" t="s">
        <v>597</v>
      </c>
      <c r="H8" s="112" t="s">
        <v>598</v>
      </c>
      <c r="I8" s="107" t="s">
        <v>556</v>
      </c>
      <c r="J8" s="114"/>
      <c r="K8" s="114"/>
      <c r="L8" s="114"/>
      <c r="M8" s="114"/>
      <c r="N8" s="114"/>
      <c r="O8" s="114"/>
      <c r="P8" s="114"/>
      <c r="Q8" s="114"/>
      <c r="R8" s="114"/>
      <c r="S8" s="114"/>
    </row>
    <row r="9">
      <c r="A9" s="104">
        <v>8.0</v>
      </c>
      <c r="B9" s="115" t="s">
        <v>599</v>
      </c>
      <c r="C9" s="115" t="s">
        <v>600</v>
      </c>
      <c r="D9" s="115" t="s">
        <v>601</v>
      </c>
      <c r="E9" s="115" t="s">
        <v>602</v>
      </c>
      <c r="F9" s="108" t="s">
        <v>603</v>
      </c>
      <c r="G9" s="105" t="s">
        <v>604</v>
      </c>
      <c r="H9" s="105" t="s">
        <v>605</v>
      </c>
      <c r="I9" s="107" t="s">
        <v>606</v>
      </c>
      <c r="J9" s="114"/>
      <c r="K9" s="114"/>
      <c r="L9" s="114"/>
      <c r="M9" s="114"/>
      <c r="N9" s="114"/>
      <c r="O9" s="114"/>
      <c r="P9" s="114"/>
      <c r="Q9" s="114"/>
      <c r="R9" s="114"/>
      <c r="S9" s="114"/>
    </row>
  </sheetData>
  <autoFilter ref="$A$1:$S$9"/>
  <printOptions gridLines="1" horizontalCentered="1"/>
  <pageMargins bottom="0.75" footer="0.0" header="0.0" left="0.7" right="0.7" top="0.75"/>
  <pageSetup fitToHeight="0" paperSize="9" cellComments="atEnd" orientation="landscape"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6.13"/>
    <col customWidth="1" min="2" max="2" width="29.75"/>
    <col customWidth="1" min="3" max="3" width="40.38"/>
    <col customWidth="1" min="4" max="4" width="69.63"/>
    <col customWidth="1" min="5" max="6" width="10.5"/>
    <col customWidth="1" min="7" max="7" width="5.13"/>
    <col customWidth="1" min="8" max="8" width="32.13"/>
  </cols>
  <sheetData>
    <row r="1" ht="30.75" customHeight="1">
      <c r="A1" s="116" t="s">
        <v>607</v>
      </c>
      <c r="B1" s="117"/>
      <c r="C1" s="117"/>
      <c r="D1" s="117"/>
      <c r="E1" s="117"/>
      <c r="F1" s="117"/>
      <c r="G1" s="117"/>
      <c r="H1" s="118"/>
    </row>
    <row r="2">
      <c r="A2" s="119" t="s">
        <v>608</v>
      </c>
      <c r="B2" s="120"/>
      <c r="C2" s="121"/>
      <c r="D2" s="120"/>
      <c r="E2" s="122"/>
      <c r="F2" s="122"/>
      <c r="G2" s="120"/>
      <c r="H2" s="120"/>
    </row>
    <row r="3">
      <c r="A3" s="123" t="s">
        <v>609</v>
      </c>
      <c r="B3" s="120"/>
      <c r="C3" s="120"/>
      <c r="D3" s="120"/>
      <c r="E3" s="122"/>
      <c r="F3" s="124"/>
      <c r="G3" s="120"/>
      <c r="H3" s="120"/>
    </row>
    <row r="4">
      <c r="A4" s="119" t="s">
        <v>610</v>
      </c>
      <c r="B4" s="120"/>
      <c r="C4" s="120"/>
      <c r="E4" s="122"/>
      <c r="F4" s="124" t="s">
        <v>611</v>
      </c>
      <c r="G4" s="120"/>
      <c r="H4" s="120"/>
    </row>
    <row r="5">
      <c r="A5" s="123" t="s">
        <v>612</v>
      </c>
      <c r="B5" s="120"/>
      <c r="C5" s="120"/>
      <c r="D5" s="120"/>
      <c r="E5" s="122"/>
      <c r="F5" s="122"/>
      <c r="G5" s="120"/>
      <c r="H5" s="120"/>
    </row>
    <row r="6">
      <c r="A6" s="125" t="s">
        <v>613</v>
      </c>
      <c r="B6" s="126"/>
      <c r="C6" s="126"/>
      <c r="D6" s="126"/>
      <c r="E6" s="127"/>
      <c r="F6" s="127"/>
      <c r="G6" s="126"/>
      <c r="H6" s="126"/>
    </row>
    <row r="7">
      <c r="A7" s="128" t="s">
        <v>614</v>
      </c>
      <c r="B7" s="129" t="s">
        <v>615</v>
      </c>
      <c r="C7" s="129" t="s">
        <v>616</v>
      </c>
      <c r="D7" s="130" t="s">
        <v>617</v>
      </c>
      <c r="E7" s="131" t="s">
        <v>618</v>
      </c>
      <c r="F7" s="131" t="s">
        <v>619</v>
      </c>
      <c r="G7" s="130" t="s">
        <v>620</v>
      </c>
      <c r="H7" s="130" t="s">
        <v>143</v>
      </c>
      <c r="I7" s="132"/>
      <c r="J7" s="132"/>
      <c r="K7" s="132"/>
      <c r="L7" s="132"/>
      <c r="M7" s="132"/>
      <c r="N7" s="132"/>
      <c r="O7" s="132"/>
      <c r="P7" s="132"/>
      <c r="Q7" s="132"/>
      <c r="R7" s="132"/>
      <c r="S7" s="132"/>
      <c r="T7" s="132"/>
      <c r="U7" s="132"/>
      <c r="V7" s="132"/>
      <c r="W7" s="132"/>
      <c r="X7" s="132"/>
      <c r="Y7" s="132"/>
      <c r="Z7" s="132"/>
      <c r="AA7" s="132"/>
    </row>
    <row r="8" ht="107.25" hidden="1" customHeight="1">
      <c r="A8" s="133">
        <v>1.0</v>
      </c>
      <c r="B8" s="134" t="s">
        <v>621</v>
      </c>
      <c r="C8" s="134" t="s">
        <v>622</v>
      </c>
      <c r="D8" s="134" t="s">
        <v>623</v>
      </c>
      <c r="E8" s="135" t="s">
        <v>624</v>
      </c>
      <c r="F8" s="136">
        <v>42823.0</v>
      </c>
      <c r="G8" s="134" t="s">
        <v>620</v>
      </c>
      <c r="H8" s="137"/>
    </row>
    <row r="9" ht="107.25" hidden="1" customHeight="1">
      <c r="A9" s="138" t="s">
        <v>37</v>
      </c>
      <c r="B9" s="134" t="s">
        <v>625</v>
      </c>
      <c r="C9" s="134" t="s">
        <v>626</v>
      </c>
      <c r="D9" s="134" t="s">
        <v>627</v>
      </c>
      <c r="E9" s="135" t="s">
        <v>624</v>
      </c>
      <c r="F9" s="136">
        <v>42823.0</v>
      </c>
      <c r="G9" s="134" t="s">
        <v>620</v>
      </c>
      <c r="H9" s="137"/>
    </row>
    <row r="10" ht="126.0" hidden="1" customHeight="1">
      <c r="A10" s="138" t="s">
        <v>41</v>
      </c>
      <c r="B10" s="134" t="s">
        <v>628</v>
      </c>
      <c r="C10" s="134" t="s">
        <v>629</v>
      </c>
      <c r="D10" s="134" t="s">
        <v>630</v>
      </c>
      <c r="E10" s="135" t="s">
        <v>624</v>
      </c>
      <c r="F10" s="136">
        <v>42822.0</v>
      </c>
      <c r="G10" s="134" t="s">
        <v>620</v>
      </c>
      <c r="H10" s="137"/>
    </row>
    <row r="11" ht="121.5" hidden="1" customHeight="1">
      <c r="A11" s="138" t="s">
        <v>45</v>
      </c>
      <c r="B11" s="134" t="s">
        <v>631</v>
      </c>
      <c r="C11" s="134" t="s">
        <v>629</v>
      </c>
      <c r="D11" s="134" t="s">
        <v>632</v>
      </c>
      <c r="E11" s="139">
        <v>42828.0</v>
      </c>
      <c r="F11" s="136">
        <v>42849.0</v>
      </c>
      <c r="G11" s="134" t="s">
        <v>620</v>
      </c>
      <c r="H11" s="137"/>
    </row>
    <row r="12" ht="121.5" hidden="1" customHeight="1">
      <c r="A12" s="138">
        <v>5.0</v>
      </c>
      <c r="B12" s="134" t="s">
        <v>633</v>
      </c>
      <c r="C12" s="134" t="s">
        <v>634</v>
      </c>
      <c r="D12" s="134" t="s">
        <v>635</v>
      </c>
      <c r="E12" s="139">
        <v>42881.0</v>
      </c>
      <c r="F12" s="136">
        <v>42908.0</v>
      </c>
      <c r="G12" s="134" t="s">
        <v>620</v>
      </c>
      <c r="H12" s="137"/>
    </row>
    <row r="13" ht="121.5" hidden="1" customHeight="1">
      <c r="A13" s="138">
        <v>6.0</v>
      </c>
      <c r="B13" s="134" t="s">
        <v>636</v>
      </c>
      <c r="C13" s="134" t="s">
        <v>637</v>
      </c>
      <c r="D13" s="134" t="s">
        <v>638</v>
      </c>
      <c r="E13" s="139">
        <v>42881.0</v>
      </c>
      <c r="F13" s="136">
        <v>42908.0</v>
      </c>
      <c r="G13" s="134" t="s">
        <v>620</v>
      </c>
      <c r="H13" s="137"/>
    </row>
    <row r="14" ht="121.5" hidden="1" customHeight="1">
      <c r="A14" s="138">
        <v>7.0</v>
      </c>
      <c r="B14" s="134" t="s">
        <v>639</v>
      </c>
      <c r="C14" s="134" t="s">
        <v>637</v>
      </c>
      <c r="D14" s="134" t="s">
        <v>640</v>
      </c>
      <c r="E14" s="135" t="s">
        <v>641</v>
      </c>
      <c r="F14" s="135" t="s">
        <v>641</v>
      </c>
      <c r="G14" s="134" t="s">
        <v>620</v>
      </c>
      <c r="H14" s="134"/>
    </row>
    <row r="15" ht="121.5" hidden="1" customHeight="1">
      <c r="A15" s="138">
        <v>8.0</v>
      </c>
      <c r="B15" s="134" t="s">
        <v>642</v>
      </c>
      <c r="C15" s="134" t="s">
        <v>643</v>
      </c>
      <c r="D15" s="134" t="s">
        <v>644</v>
      </c>
      <c r="E15" s="139">
        <v>42896.0</v>
      </c>
      <c r="F15" s="136">
        <v>42910.0</v>
      </c>
      <c r="G15" s="134" t="s">
        <v>620</v>
      </c>
      <c r="H15" s="134" t="s">
        <v>645</v>
      </c>
    </row>
    <row r="16" ht="121.5" hidden="1" customHeight="1">
      <c r="A16" s="138">
        <v>9.0</v>
      </c>
      <c r="B16" s="134" t="s">
        <v>642</v>
      </c>
      <c r="C16" s="134" t="s">
        <v>646</v>
      </c>
      <c r="D16" s="134" t="s">
        <v>647</v>
      </c>
      <c r="E16" s="139">
        <v>42896.0</v>
      </c>
      <c r="F16" s="136">
        <v>42910.0</v>
      </c>
      <c r="G16" s="134" t="s">
        <v>620</v>
      </c>
      <c r="H16" s="134" t="s">
        <v>645</v>
      </c>
    </row>
    <row r="17" ht="121.5" hidden="1" customHeight="1">
      <c r="A17" s="138">
        <v>10.0</v>
      </c>
      <c r="B17" s="134" t="s">
        <v>648</v>
      </c>
      <c r="C17" s="134" t="s">
        <v>649</v>
      </c>
      <c r="D17" s="134" t="s">
        <v>650</v>
      </c>
      <c r="E17" s="139">
        <v>42899.0</v>
      </c>
      <c r="F17" s="136">
        <v>42912.0</v>
      </c>
      <c r="G17" s="134" t="s">
        <v>620</v>
      </c>
      <c r="H17" s="134" t="s">
        <v>651</v>
      </c>
    </row>
    <row r="18" ht="121.5" hidden="1" customHeight="1">
      <c r="A18" s="138">
        <v>11.0</v>
      </c>
      <c r="B18" s="134" t="s">
        <v>652</v>
      </c>
      <c r="C18" s="134" t="s">
        <v>653</v>
      </c>
      <c r="D18" s="134" t="s">
        <v>654</v>
      </c>
      <c r="E18" s="139">
        <v>42899.0</v>
      </c>
      <c r="F18" s="136">
        <v>42912.0</v>
      </c>
      <c r="G18" s="134" t="s">
        <v>620</v>
      </c>
      <c r="H18" s="134" t="s">
        <v>655</v>
      </c>
    </row>
    <row r="19" ht="189.75" hidden="1" customHeight="1">
      <c r="A19" s="140">
        <v>12.0</v>
      </c>
      <c r="B19" s="135" t="s">
        <v>656</v>
      </c>
      <c r="C19" s="135" t="s">
        <v>637</v>
      </c>
      <c r="D19" s="135" t="s">
        <v>657</v>
      </c>
      <c r="E19" s="139">
        <v>42909.0</v>
      </c>
      <c r="F19" s="141">
        <v>42935.0</v>
      </c>
      <c r="G19" s="135" t="s">
        <v>620</v>
      </c>
      <c r="H19" s="135" t="s">
        <v>658</v>
      </c>
    </row>
    <row r="20" ht="19.5" hidden="1" customHeight="1">
      <c r="A20" s="140">
        <v>13.0</v>
      </c>
      <c r="B20" s="135" t="s">
        <v>659</v>
      </c>
      <c r="C20" s="142" t="s">
        <v>660</v>
      </c>
      <c r="D20" s="142" t="s">
        <v>661</v>
      </c>
      <c r="E20" s="139">
        <v>42943.0</v>
      </c>
      <c r="F20" s="141">
        <v>42971.0</v>
      </c>
      <c r="G20" s="135" t="s">
        <v>662</v>
      </c>
      <c r="H20" s="135" t="s">
        <v>663</v>
      </c>
    </row>
    <row r="21" ht="19.5" hidden="1" customHeight="1">
      <c r="A21" s="143">
        <v>14.0</v>
      </c>
      <c r="B21" s="144" t="s">
        <v>664</v>
      </c>
      <c r="C21" s="144" t="s">
        <v>665</v>
      </c>
      <c r="D21" s="144" t="s">
        <v>666</v>
      </c>
      <c r="E21" s="145">
        <v>42948.0</v>
      </c>
      <c r="F21" s="146">
        <v>42979.0</v>
      </c>
      <c r="G21" s="147" t="s">
        <v>620</v>
      </c>
      <c r="H21" s="144" t="s">
        <v>667</v>
      </c>
      <c r="I21" s="148"/>
      <c r="J21" s="148"/>
      <c r="K21" s="148"/>
      <c r="L21" s="148"/>
      <c r="M21" s="148"/>
      <c r="N21" s="148"/>
      <c r="O21" s="148"/>
      <c r="P21" s="148"/>
      <c r="Q21" s="148"/>
      <c r="R21" s="148"/>
      <c r="S21" s="148"/>
      <c r="T21" s="148"/>
      <c r="U21" s="148"/>
      <c r="V21" s="148"/>
      <c r="W21" s="148"/>
      <c r="X21" s="148"/>
      <c r="Y21" s="148"/>
      <c r="Z21" s="148"/>
      <c r="AA21" s="148"/>
    </row>
    <row r="22" ht="19.5" hidden="1" customHeight="1">
      <c r="A22" s="143">
        <v>15.0</v>
      </c>
      <c r="B22" s="149" t="s">
        <v>664</v>
      </c>
      <c r="C22" s="144" t="s">
        <v>668</v>
      </c>
      <c r="D22" s="144" t="s">
        <v>666</v>
      </c>
      <c r="E22" s="145">
        <v>42954.0</v>
      </c>
      <c r="F22" s="146">
        <v>42982.0</v>
      </c>
      <c r="G22" s="147" t="s">
        <v>620</v>
      </c>
      <c r="H22" s="144" t="s">
        <v>669</v>
      </c>
      <c r="I22" s="148"/>
      <c r="J22" s="148"/>
      <c r="K22" s="148"/>
      <c r="L22" s="148"/>
      <c r="M22" s="148"/>
      <c r="N22" s="148"/>
      <c r="O22" s="148"/>
      <c r="P22" s="148"/>
      <c r="Q22" s="148"/>
      <c r="R22" s="148"/>
      <c r="S22" s="148"/>
      <c r="T22" s="148"/>
      <c r="U22" s="148"/>
      <c r="V22" s="148"/>
      <c r="W22" s="148"/>
      <c r="X22" s="148"/>
      <c r="Y22" s="148"/>
      <c r="Z22" s="148"/>
      <c r="AA22" s="148"/>
    </row>
    <row r="23" ht="19.5" hidden="1" customHeight="1">
      <c r="A23" s="143">
        <v>16.0</v>
      </c>
      <c r="B23" s="144" t="s">
        <v>664</v>
      </c>
      <c r="C23" s="144" t="s">
        <v>670</v>
      </c>
      <c r="D23" s="144" t="s">
        <v>666</v>
      </c>
      <c r="E23" s="145">
        <v>42953.0</v>
      </c>
      <c r="F23" s="146">
        <v>42981.0</v>
      </c>
      <c r="G23" s="147" t="s">
        <v>620</v>
      </c>
      <c r="H23" s="144" t="s">
        <v>671</v>
      </c>
      <c r="I23" s="148"/>
      <c r="J23" s="148"/>
      <c r="K23" s="148"/>
      <c r="L23" s="148"/>
      <c r="M23" s="148"/>
      <c r="N23" s="148"/>
      <c r="O23" s="148"/>
      <c r="P23" s="148"/>
      <c r="Q23" s="148"/>
      <c r="R23" s="148"/>
      <c r="S23" s="148"/>
      <c r="T23" s="148"/>
      <c r="U23" s="148"/>
      <c r="V23" s="148"/>
      <c r="W23" s="148"/>
      <c r="X23" s="148"/>
      <c r="Y23" s="148"/>
      <c r="Z23" s="148"/>
      <c r="AA23" s="148"/>
    </row>
    <row r="24" ht="19.5" hidden="1" customHeight="1">
      <c r="A24" s="143">
        <v>17.0</v>
      </c>
      <c r="B24" s="147" t="s">
        <v>672</v>
      </c>
      <c r="C24" s="144" t="s">
        <v>673</v>
      </c>
      <c r="D24" s="144" t="s">
        <v>674</v>
      </c>
      <c r="E24" s="146">
        <v>42961.0</v>
      </c>
      <c r="F24" s="145">
        <v>42961.0</v>
      </c>
      <c r="G24" s="147" t="s">
        <v>620</v>
      </c>
      <c r="H24" s="144" t="s">
        <v>675</v>
      </c>
    </row>
    <row r="25" ht="19.5" hidden="1" customHeight="1">
      <c r="A25" s="143">
        <v>18.0</v>
      </c>
      <c r="B25" s="147" t="s">
        <v>672</v>
      </c>
      <c r="C25" s="144" t="s">
        <v>676</v>
      </c>
      <c r="D25" s="144" t="s">
        <v>677</v>
      </c>
      <c r="E25" s="146">
        <v>42977.0</v>
      </c>
      <c r="F25" s="145">
        <v>42991.0</v>
      </c>
      <c r="G25" s="147" t="s">
        <v>620</v>
      </c>
      <c r="H25" s="144" t="s">
        <v>678</v>
      </c>
    </row>
    <row r="26" ht="19.5" hidden="1" customHeight="1">
      <c r="A26" s="140">
        <v>19.0</v>
      </c>
      <c r="B26" s="135" t="s">
        <v>633</v>
      </c>
      <c r="C26" s="142" t="s">
        <v>679</v>
      </c>
      <c r="D26" s="142" t="s">
        <v>680</v>
      </c>
      <c r="E26" s="139">
        <v>42983.0</v>
      </c>
      <c r="F26" s="141">
        <v>43010.0</v>
      </c>
      <c r="G26" s="135" t="s">
        <v>620</v>
      </c>
      <c r="H26" s="144" t="s">
        <v>667</v>
      </c>
    </row>
    <row r="27" ht="19.5" hidden="1" customHeight="1">
      <c r="A27" s="140">
        <v>20.0</v>
      </c>
      <c r="B27" s="135" t="s">
        <v>633</v>
      </c>
      <c r="C27" s="142" t="s">
        <v>681</v>
      </c>
      <c r="D27" s="142" t="s">
        <v>680</v>
      </c>
      <c r="E27" s="139">
        <v>42988.0</v>
      </c>
      <c r="F27" s="141">
        <v>43010.0</v>
      </c>
      <c r="G27" s="135" t="s">
        <v>620</v>
      </c>
      <c r="H27" s="144" t="s">
        <v>682</v>
      </c>
    </row>
    <row r="28" ht="19.5" hidden="1" customHeight="1">
      <c r="A28" s="150">
        <v>21.0</v>
      </c>
      <c r="B28" s="151" t="s">
        <v>633</v>
      </c>
      <c r="C28" s="152" t="s">
        <v>683</v>
      </c>
      <c r="D28" s="152" t="s">
        <v>680</v>
      </c>
      <c r="E28" s="153">
        <v>42989.0</v>
      </c>
      <c r="F28" s="154">
        <v>43010.0</v>
      </c>
      <c r="G28" s="151" t="s">
        <v>620</v>
      </c>
      <c r="H28" s="155" t="s">
        <v>682</v>
      </c>
    </row>
    <row r="29" ht="19.5" hidden="1" customHeight="1">
      <c r="A29" s="140">
        <v>22.0</v>
      </c>
      <c r="B29" s="135" t="s">
        <v>672</v>
      </c>
      <c r="C29" s="142" t="s">
        <v>684</v>
      </c>
      <c r="D29" s="142" t="s">
        <v>685</v>
      </c>
      <c r="E29" s="139">
        <v>42990.0</v>
      </c>
      <c r="F29" s="141">
        <v>42990.0</v>
      </c>
      <c r="G29" s="135" t="s">
        <v>620</v>
      </c>
      <c r="H29" s="135"/>
    </row>
    <row r="30" ht="19.5" hidden="1" customHeight="1">
      <c r="A30" s="140">
        <v>23.0</v>
      </c>
      <c r="B30" s="156" t="s">
        <v>621</v>
      </c>
      <c r="C30" s="157" t="s">
        <v>686</v>
      </c>
      <c r="D30" s="158" t="s">
        <v>687</v>
      </c>
      <c r="E30" s="159">
        <v>43011.0</v>
      </c>
      <c r="F30" s="160">
        <v>43038.0</v>
      </c>
      <c r="G30" s="161" t="s">
        <v>620</v>
      </c>
      <c r="H30" s="157" t="s">
        <v>688</v>
      </c>
      <c r="I30" s="132"/>
      <c r="J30" s="132"/>
      <c r="K30" s="132"/>
      <c r="L30" s="132"/>
      <c r="M30" s="132"/>
      <c r="N30" s="132"/>
      <c r="O30" s="132"/>
      <c r="P30" s="132"/>
      <c r="Q30" s="132"/>
      <c r="R30" s="132"/>
      <c r="S30" s="132"/>
      <c r="T30" s="132"/>
      <c r="U30" s="132"/>
      <c r="V30" s="132"/>
      <c r="W30" s="132"/>
      <c r="X30" s="132"/>
      <c r="Y30" s="132"/>
      <c r="Z30" s="132"/>
      <c r="AA30" s="132"/>
    </row>
    <row r="31" ht="19.5" hidden="1" customHeight="1">
      <c r="A31" s="140">
        <v>24.0</v>
      </c>
      <c r="B31" s="135" t="s">
        <v>689</v>
      </c>
      <c r="C31" s="142" t="s">
        <v>690</v>
      </c>
      <c r="D31" s="142" t="s">
        <v>691</v>
      </c>
      <c r="E31" s="139">
        <v>40480.0</v>
      </c>
      <c r="F31" s="141">
        <v>43048.0</v>
      </c>
      <c r="G31" s="135" t="s">
        <v>620</v>
      </c>
      <c r="H31" s="142" t="s">
        <v>692</v>
      </c>
    </row>
    <row r="32" ht="19.5" hidden="1" customHeight="1">
      <c r="A32" s="140">
        <v>25.0</v>
      </c>
      <c r="B32" s="161" t="s">
        <v>639</v>
      </c>
      <c r="C32" s="158" t="s">
        <v>693</v>
      </c>
      <c r="D32" s="158" t="s">
        <v>694</v>
      </c>
      <c r="E32" s="162">
        <v>43045.0</v>
      </c>
      <c r="F32" s="163">
        <v>43108.0</v>
      </c>
      <c r="G32" s="161" t="s">
        <v>620</v>
      </c>
      <c r="H32" s="158" t="s">
        <v>695</v>
      </c>
    </row>
    <row r="33" ht="19.5" hidden="1" customHeight="1">
      <c r="A33" s="140">
        <v>26.0</v>
      </c>
      <c r="B33" s="161" t="s">
        <v>696</v>
      </c>
      <c r="C33" s="158" t="s">
        <v>697</v>
      </c>
      <c r="D33" s="158" t="s">
        <v>698</v>
      </c>
      <c r="E33" s="162">
        <v>43050.0</v>
      </c>
      <c r="F33" s="163">
        <v>43052.0</v>
      </c>
      <c r="G33" s="161" t="s">
        <v>620</v>
      </c>
      <c r="H33" s="142" t="s">
        <v>692</v>
      </c>
    </row>
    <row r="34" ht="19.5" hidden="1" customHeight="1">
      <c r="A34" s="140">
        <v>27.0</v>
      </c>
      <c r="B34" s="135" t="s">
        <v>699</v>
      </c>
      <c r="C34" s="142" t="s">
        <v>700</v>
      </c>
      <c r="D34" s="142" t="s">
        <v>701</v>
      </c>
      <c r="E34" s="139">
        <v>43136.0</v>
      </c>
      <c r="F34" s="141">
        <v>43164.0</v>
      </c>
      <c r="G34" s="135" t="s">
        <v>620</v>
      </c>
      <c r="H34" s="135" t="s">
        <v>692</v>
      </c>
    </row>
    <row r="35" ht="19.5" hidden="1" customHeight="1">
      <c r="A35" s="140">
        <v>28.0</v>
      </c>
      <c r="B35" s="135" t="s">
        <v>702</v>
      </c>
      <c r="C35" s="142" t="s">
        <v>703</v>
      </c>
      <c r="D35" s="142" t="s">
        <v>704</v>
      </c>
      <c r="E35" s="139">
        <v>43137.0</v>
      </c>
      <c r="F35" s="141">
        <v>43144.0</v>
      </c>
      <c r="G35" s="135" t="s">
        <v>620</v>
      </c>
      <c r="H35" s="135" t="s">
        <v>692</v>
      </c>
    </row>
    <row r="36" ht="19.5" hidden="1" customHeight="1">
      <c r="A36" s="140">
        <v>29.0</v>
      </c>
      <c r="B36" s="161" t="s">
        <v>705</v>
      </c>
      <c r="C36" s="158" t="s">
        <v>706</v>
      </c>
      <c r="D36" s="158" t="s">
        <v>707</v>
      </c>
      <c r="E36" s="162">
        <v>43151.0</v>
      </c>
      <c r="F36" s="163">
        <v>43178.0</v>
      </c>
      <c r="G36" s="161" t="s">
        <v>620</v>
      </c>
      <c r="H36" s="158" t="s">
        <v>708</v>
      </c>
    </row>
    <row r="37" ht="19.5" hidden="1" customHeight="1">
      <c r="A37" s="140">
        <v>30.0</v>
      </c>
      <c r="B37" s="161" t="s">
        <v>633</v>
      </c>
      <c r="C37" s="158" t="s">
        <v>709</v>
      </c>
      <c r="D37" s="158" t="s">
        <v>635</v>
      </c>
      <c r="E37" s="162">
        <v>43146.0</v>
      </c>
      <c r="F37" s="163">
        <v>43150.0</v>
      </c>
      <c r="G37" s="161" t="s">
        <v>620</v>
      </c>
      <c r="H37" s="158" t="s">
        <v>710</v>
      </c>
    </row>
    <row r="38" ht="19.5" hidden="1" customHeight="1">
      <c r="A38" s="140">
        <v>31.0</v>
      </c>
      <c r="B38" s="161" t="s">
        <v>633</v>
      </c>
      <c r="C38" s="158" t="s">
        <v>711</v>
      </c>
      <c r="D38" s="158" t="s">
        <v>635</v>
      </c>
      <c r="E38" s="162">
        <v>43158.0</v>
      </c>
      <c r="F38" s="163">
        <v>43185.0</v>
      </c>
      <c r="G38" s="161" t="s">
        <v>620</v>
      </c>
      <c r="H38" s="158" t="s">
        <v>712</v>
      </c>
    </row>
    <row r="39" ht="19.5" hidden="1" customHeight="1">
      <c r="A39" s="140">
        <v>32.0</v>
      </c>
      <c r="B39" s="161" t="s">
        <v>713</v>
      </c>
      <c r="C39" s="158" t="s">
        <v>714</v>
      </c>
      <c r="D39" s="158" t="s">
        <v>715</v>
      </c>
      <c r="E39" s="162">
        <v>43179.0</v>
      </c>
      <c r="F39" s="163">
        <v>43206.0</v>
      </c>
      <c r="G39" s="161" t="s">
        <v>620</v>
      </c>
      <c r="H39" s="158" t="s">
        <v>716</v>
      </c>
    </row>
    <row r="40" ht="19.5" hidden="1" customHeight="1">
      <c r="A40" s="140">
        <v>33.0</v>
      </c>
      <c r="B40" s="161" t="s">
        <v>717</v>
      </c>
      <c r="C40" s="158" t="s">
        <v>714</v>
      </c>
      <c r="D40" s="158" t="s">
        <v>718</v>
      </c>
      <c r="E40" s="162">
        <v>43207.0</v>
      </c>
      <c r="F40" s="163">
        <v>43234.0</v>
      </c>
      <c r="G40" s="161" t="s">
        <v>620</v>
      </c>
      <c r="H40" s="158" t="s">
        <v>716</v>
      </c>
    </row>
    <row r="41" ht="19.5" hidden="1" customHeight="1">
      <c r="A41" s="140">
        <v>34.0</v>
      </c>
      <c r="B41" s="135" t="s">
        <v>719</v>
      </c>
      <c r="C41" s="158" t="s">
        <v>720</v>
      </c>
      <c r="D41" s="158" t="s">
        <v>721</v>
      </c>
      <c r="E41" s="162">
        <v>43230.0</v>
      </c>
      <c r="F41" s="163">
        <v>43244.0</v>
      </c>
      <c r="G41" s="161" t="s">
        <v>620</v>
      </c>
      <c r="H41" s="158" t="s">
        <v>722</v>
      </c>
    </row>
    <row r="42" ht="19.5" hidden="1" customHeight="1">
      <c r="A42" s="140">
        <v>35.0</v>
      </c>
      <c r="B42" s="135" t="s">
        <v>723</v>
      </c>
      <c r="C42" s="158" t="s">
        <v>703</v>
      </c>
      <c r="D42" s="158" t="s">
        <v>724</v>
      </c>
      <c r="E42" s="162">
        <v>43246.0</v>
      </c>
      <c r="F42" s="163">
        <v>43256.0</v>
      </c>
      <c r="G42" s="161" t="s">
        <v>620</v>
      </c>
      <c r="H42" s="158" t="s">
        <v>725</v>
      </c>
    </row>
    <row r="43" ht="19.5" hidden="1" customHeight="1">
      <c r="A43" s="140">
        <v>36.0</v>
      </c>
      <c r="B43" s="135" t="s">
        <v>726</v>
      </c>
      <c r="C43" s="158" t="s">
        <v>714</v>
      </c>
      <c r="D43" s="158" t="s">
        <v>727</v>
      </c>
      <c r="E43" s="162">
        <v>43248.0</v>
      </c>
      <c r="F43" s="163">
        <v>43270.0</v>
      </c>
      <c r="G43" s="161" t="s">
        <v>620</v>
      </c>
      <c r="H43" s="158" t="s">
        <v>716</v>
      </c>
    </row>
    <row r="44" ht="19.5" hidden="1" customHeight="1">
      <c r="A44" s="140">
        <v>37.0</v>
      </c>
      <c r="B44" s="135" t="s">
        <v>689</v>
      </c>
      <c r="C44" s="158" t="s">
        <v>728</v>
      </c>
      <c r="D44" s="158" t="s">
        <v>729</v>
      </c>
      <c r="E44" s="162">
        <v>43270.0</v>
      </c>
      <c r="F44" s="163">
        <v>43283.0</v>
      </c>
      <c r="G44" s="161" t="s">
        <v>620</v>
      </c>
      <c r="H44" s="158" t="s">
        <v>730</v>
      </c>
    </row>
    <row r="45" ht="19.5" hidden="1" customHeight="1">
      <c r="A45" s="140">
        <v>38.0</v>
      </c>
      <c r="B45" s="135" t="s">
        <v>731</v>
      </c>
      <c r="C45" s="158" t="s">
        <v>732</v>
      </c>
      <c r="D45" s="158" t="s">
        <v>733</v>
      </c>
      <c r="E45" s="162">
        <v>43276.0</v>
      </c>
      <c r="F45" s="163">
        <v>43297.0</v>
      </c>
      <c r="G45" s="161" t="s">
        <v>620</v>
      </c>
      <c r="H45" s="158" t="s">
        <v>734</v>
      </c>
    </row>
    <row r="46" ht="19.5" hidden="1" customHeight="1">
      <c r="A46" s="140">
        <v>39.0</v>
      </c>
      <c r="B46" s="135" t="s">
        <v>621</v>
      </c>
      <c r="C46" s="158" t="s">
        <v>735</v>
      </c>
      <c r="D46" s="158" t="s">
        <v>736</v>
      </c>
      <c r="E46" s="162">
        <v>43304.0</v>
      </c>
      <c r="F46" s="163">
        <v>43333.0</v>
      </c>
      <c r="G46" s="161" t="s">
        <v>620</v>
      </c>
      <c r="H46" s="158" t="s">
        <v>667</v>
      </c>
    </row>
    <row r="47" ht="19.5" hidden="1" customHeight="1">
      <c r="A47" s="140">
        <v>40.0</v>
      </c>
      <c r="B47" s="135" t="s">
        <v>737</v>
      </c>
      <c r="C47" s="158" t="s">
        <v>738</v>
      </c>
      <c r="D47" s="158" t="s">
        <v>739</v>
      </c>
      <c r="E47" s="162">
        <v>43340.0</v>
      </c>
      <c r="F47" s="163">
        <v>43354.0</v>
      </c>
      <c r="G47" s="161" t="s">
        <v>620</v>
      </c>
      <c r="H47" s="158" t="s">
        <v>740</v>
      </c>
    </row>
    <row r="48" ht="19.5" hidden="1" customHeight="1">
      <c r="A48" s="140">
        <v>41.0</v>
      </c>
      <c r="B48" s="135" t="s">
        <v>741</v>
      </c>
      <c r="C48" s="158" t="s">
        <v>742</v>
      </c>
      <c r="D48" s="158" t="s">
        <v>743</v>
      </c>
      <c r="E48" s="162">
        <v>43339.0</v>
      </c>
      <c r="F48" s="163">
        <v>43361.0</v>
      </c>
      <c r="G48" s="161" t="s">
        <v>620</v>
      </c>
      <c r="H48" s="158" t="s">
        <v>667</v>
      </c>
    </row>
    <row r="49" ht="19.5" hidden="1" customHeight="1">
      <c r="A49" s="140">
        <v>42.0</v>
      </c>
      <c r="B49" s="135" t="s">
        <v>744</v>
      </c>
      <c r="C49" s="158" t="s">
        <v>742</v>
      </c>
      <c r="D49" s="158" t="s">
        <v>745</v>
      </c>
      <c r="E49" s="162">
        <v>43367.0</v>
      </c>
      <c r="F49" s="163">
        <v>43389.0</v>
      </c>
      <c r="G49" s="161" t="s">
        <v>620</v>
      </c>
      <c r="H49" s="158" t="s">
        <v>667</v>
      </c>
    </row>
    <row r="50" ht="19.5" hidden="1" customHeight="1">
      <c r="A50" s="140">
        <v>43.0</v>
      </c>
      <c r="B50" s="135" t="s">
        <v>746</v>
      </c>
      <c r="C50" s="158" t="s">
        <v>742</v>
      </c>
      <c r="D50" s="158" t="s">
        <v>718</v>
      </c>
      <c r="E50" s="162">
        <v>43399.0</v>
      </c>
      <c r="F50" s="163">
        <v>43452.0</v>
      </c>
      <c r="G50" s="161" t="s">
        <v>620</v>
      </c>
      <c r="H50" s="158" t="s">
        <v>667</v>
      </c>
    </row>
    <row r="51" ht="19.5" hidden="1" customHeight="1">
      <c r="A51" s="140">
        <v>44.0</v>
      </c>
      <c r="B51" s="135" t="s">
        <v>747</v>
      </c>
      <c r="C51" s="158" t="s">
        <v>748</v>
      </c>
      <c r="D51" s="158" t="s">
        <v>749</v>
      </c>
      <c r="E51" s="162">
        <v>43416.0</v>
      </c>
      <c r="F51" s="163">
        <v>43416.0</v>
      </c>
      <c r="G51" s="161" t="s">
        <v>620</v>
      </c>
      <c r="H51" s="158" t="s">
        <v>750</v>
      </c>
    </row>
    <row r="52" ht="19.5" hidden="1" customHeight="1">
      <c r="A52" s="140">
        <v>45.0</v>
      </c>
      <c r="B52" s="135" t="s">
        <v>751</v>
      </c>
      <c r="C52" s="158" t="s">
        <v>679</v>
      </c>
      <c r="D52" s="158" t="s">
        <v>745</v>
      </c>
      <c r="E52" s="162">
        <v>43455.0</v>
      </c>
      <c r="F52" s="163">
        <v>43494.0</v>
      </c>
      <c r="G52" s="161" t="s">
        <v>620</v>
      </c>
      <c r="H52" s="158" t="s">
        <v>667</v>
      </c>
    </row>
    <row r="53" ht="19.5" hidden="1" customHeight="1">
      <c r="A53" s="140">
        <v>46.0</v>
      </c>
      <c r="B53" s="135" t="s">
        <v>752</v>
      </c>
      <c r="C53" s="158" t="s">
        <v>753</v>
      </c>
      <c r="D53" s="158" t="s">
        <v>754</v>
      </c>
      <c r="E53" s="162">
        <v>43458.0</v>
      </c>
      <c r="F53" s="163">
        <v>43493.0</v>
      </c>
      <c r="G53" s="161" t="s">
        <v>620</v>
      </c>
      <c r="H53" s="158"/>
    </row>
    <row r="54" ht="19.5" hidden="1" customHeight="1">
      <c r="A54" s="140">
        <v>47.0</v>
      </c>
      <c r="B54" s="135" t="s">
        <v>755</v>
      </c>
      <c r="C54" s="158" t="s">
        <v>679</v>
      </c>
      <c r="D54" s="158" t="s">
        <v>756</v>
      </c>
      <c r="E54" s="162">
        <v>43473.0</v>
      </c>
      <c r="F54" s="163">
        <v>43483.0</v>
      </c>
      <c r="G54" s="161" t="s">
        <v>620</v>
      </c>
      <c r="H54" s="158" t="s">
        <v>757</v>
      </c>
    </row>
    <row r="55" ht="19.5" hidden="1" customHeight="1">
      <c r="A55" s="140">
        <v>48.0</v>
      </c>
      <c r="B55" s="135" t="s">
        <v>758</v>
      </c>
      <c r="C55" s="158" t="s">
        <v>759</v>
      </c>
      <c r="D55" s="158" t="s">
        <v>760</v>
      </c>
      <c r="E55" s="162">
        <v>43497.0</v>
      </c>
      <c r="F55" s="163">
        <v>43524.0</v>
      </c>
      <c r="G55" s="161" t="s">
        <v>620</v>
      </c>
      <c r="H55" s="158" t="s">
        <v>667</v>
      </c>
    </row>
    <row r="56" ht="19.5" hidden="1" customHeight="1">
      <c r="A56" s="140">
        <v>49.0</v>
      </c>
      <c r="B56" s="135" t="s">
        <v>761</v>
      </c>
      <c r="C56" s="158" t="s">
        <v>735</v>
      </c>
      <c r="D56" s="158" t="s">
        <v>762</v>
      </c>
      <c r="E56" s="162">
        <v>43525.0</v>
      </c>
      <c r="F56" s="163">
        <v>43552.0</v>
      </c>
      <c r="G56" s="161" t="s">
        <v>620</v>
      </c>
      <c r="H56" s="158" t="s">
        <v>667</v>
      </c>
    </row>
    <row r="57" ht="19.5" hidden="1" customHeight="1">
      <c r="A57" s="140">
        <v>50.0</v>
      </c>
      <c r="B57" s="135" t="s">
        <v>763</v>
      </c>
      <c r="C57" s="158" t="s">
        <v>735</v>
      </c>
      <c r="D57" s="158" t="s">
        <v>764</v>
      </c>
      <c r="E57" s="162">
        <v>43553.0</v>
      </c>
      <c r="F57" s="163">
        <v>43580.0</v>
      </c>
      <c r="G57" s="161" t="s">
        <v>620</v>
      </c>
      <c r="H57" s="158" t="s">
        <v>667</v>
      </c>
    </row>
    <row r="58" ht="19.5" hidden="1" customHeight="1">
      <c r="A58" s="140">
        <v>51.0</v>
      </c>
      <c r="B58" s="135" t="s">
        <v>726</v>
      </c>
      <c r="C58" s="158" t="s">
        <v>735</v>
      </c>
      <c r="D58" s="158" t="s">
        <v>727</v>
      </c>
      <c r="E58" s="162">
        <v>43581.0</v>
      </c>
      <c r="F58" s="163">
        <v>43608.0</v>
      </c>
      <c r="G58" s="161" t="s">
        <v>620</v>
      </c>
      <c r="H58" s="158" t="s">
        <v>667</v>
      </c>
    </row>
    <row r="59" ht="19.5" hidden="1" customHeight="1">
      <c r="A59" s="140">
        <v>52.0</v>
      </c>
      <c r="B59" s="135" t="s">
        <v>765</v>
      </c>
      <c r="C59" s="158" t="s">
        <v>766</v>
      </c>
      <c r="D59" s="158" t="s">
        <v>767</v>
      </c>
      <c r="E59" s="162">
        <v>43593.0</v>
      </c>
      <c r="F59" s="163">
        <v>43600.0</v>
      </c>
      <c r="G59" s="161" t="s">
        <v>620</v>
      </c>
      <c r="H59" s="158" t="s">
        <v>768</v>
      </c>
    </row>
    <row r="60" ht="19.5" hidden="1" customHeight="1">
      <c r="A60" s="140">
        <v>53.0</v>
      </c>
      <c r="B60" s="135" t="s">
        <v>731</v>
      </c>
      <c r="C60" s="164" t="s">
        <v>735</v>
      </c>
      <c r="D60" s="164" t="s">
        <v>769</v>
      </c>
      <c r="E60" s="139">
        <v>43609.0</v>
      </c>
      <c r="F60" s="141">
        <v>43636.0</v>
      </c>
      <c r="G60" s="161" t="s">
        <v>620</v>
      </c>
      <c r="H60" s="164" t="s">
        <v>667</v>
      </c>
    </row>
    <row r="61" ht="19.5" hidden="1" customHeight="1">
      <c r="A61" s="140">
        <v>54.0</v>
      </c>
      <c r="B61" s="135" t="s">
        <v>621</v>
      </c>
      <c r="C61" s="164" t="s">
        <v>735</v>
      </c>
      <c r="D61" s="165" t="s">
        <v>770</v>
      </c>
      <c r="E61" s="139">
        <v>43637.0</v>
      </c>
      <c r="F61" s="141">
        <v>43664.0</v>
      </c>
      <c r="G61" s="161" t="s">
        <v>620</v>
      </c>
      <c r="H61" s="164" t="s">
        <v>667</v>
      </c>
    </row>
    <row r="62" ht="19.5" hidden="1" customHeight="1">
      <c r="A62" s="140">
        <v>55.0</v>
      </c>
      <c r="B62" s="135" t="s">
        <v>771</v>
      </c>
      <c r="C62" s="164" t="s">
        <v>735</v>
      </c>
      <c r="D62" s="164" t="s">
        <v>743</v>
      </c>
      <c r="E62" s="139">
        <v>43665.0</v>
      </c>
      <c r="F62" s="141">
        <v>43706.0</v>
      </c>
      <c r="G62" s="161" t="s">
        <v>620</v>
      </c>
      <c r="H62" s="164" t="s">
        <v>667</v>
      </c>
    </row>
    <row r="63" ht="19.5" hidden="1" customHeight="1">
      <c r="A63" s="140">
        <v>56.0</v>
      </c>
      <c r="B63" s="135" t="s">
        <v>744</v>
      </c>
      <c r="C63" s="164" t="s">
        <v>742</v>
      </c>
      <c r="D63" s="164" t="s">
        <v>745</v>
      </c>
      <c r="E63" s="139">
        <v>43707.0</v>
      </c>
      <c r="F63" s="141">
        <v>43748.0</v>
      </c>
      <c r="G63" s="161" t="s">
        <v>620</v>
      </c>
      <c r="H63" s="164" t="s">
        <v>667</v>
      </c>
    </row>
    <row r="64" ht="19.5" hidden="1" customHeight="1">
      <c r="A64" s="140">
        <v>57.0</v>
      </c>
      <c r="B64" s="135" t="s">
        <v>772</v>
      </c>
      <c r="C64" s="164" t="s">
        <v>773</v>
      </c>
      <c r="D64" s="164" t="s">
        <v>774</v>
      </c>
      <c r="E64" s="139">
        <v>43717.0</v>
      </c>
      <c r="F64" s="141">
        <v>43752.0</v>
      </c>
      <c r="G64" s="161" t="s">
        <v>620</v>
      </c>
      <c r="H64" s="164"/>
    </row>
    <row r="65" hidden="1">
      <c r="A65" s="140">
        <v>58.0</v>
      </c>
      <c r="B65" s="135" t="s">
        <v>775</v>
      </c>
      <c r="C65" s="142" t="s">
        <v>776</v>
      </c>
      <c r="D65" s="142" t="s">
        <v>777</v>
      </c>
      <c r="E65" s="139">
        <v>43740.0</v>
      </c>
      <c r="F65" s="139">
        <v>43747.0</v>
      </c>
      <c r="G65" s="161" t="s">
        <v>620</v>
      </c>
      <c r="H65" s="142" t="s">
        <v>778</v>
      </c>
    </row>
    <row r="66" hidden="1">
      <c r="A66" s="140">
        <v>59.0</v>
      </c>
      <c r="B66" s="135" t="s">
        <v>621</v>
      </c>
      <c r="C66" s="164" t="s">
        <v>742</v>
      </c>
      <c r="D66" s="164" t="s">
        <v>736</v>
      </c>
      <c r="E66" s="139">
        <v>43749.0</v>
      </c>
      <c r="F66" s="141">
        <v>43776.0</v>
      </c>
      <c r="G66" s="161" t="s">
        <v>620</v>
      </c>
      <c r="H66" s="164" t="s">
        <v>667</v>
      </c>
    </row>
    <row r="67" hidden="1">
      <c r="A67" s="140">
        <v>60.0</v>
      </c>
      <c r="B67" s="135" t="s">
        <v>731</v>
      </c>
      <c r="C67" s="164" t="s">
        <v>742</v>
      </c>
      <c r="D67" s="164" t="s">
        <v>769</v>
      </c>
      <c r="E67" s="139">
        <v>43777.0</v>
      </c>
      <c r="F67" s="141">
        <v>43804.0</v>
      </c>
      <c r="G67" s="161" t="s">
        <v>620</v>
      </c>
      <c r="H67" s="164" t="s">
        <v>667</v>
      </c>
    </row>
    <row r="68" hidden="1">
      <c r="A68" s="140">
        <v>61.0</v>
      </c>
      <c r="B68" s="135" t="s">
        <v>779</v>
      </c>
      <c r="C68" s="164" t="s">
        <v>742</v>
      </c>
      <c r="D68" s="164" t="s">
        <v>780</v>
      </c>
      <c r="E68" s="139">
        <v>43805.0</v>
      </c>
      <c r="F68" s="141">
        <v>43846.0</v>
      </c>
      <c r="G68" s="161" t="s">
        <v>620</v>
      </c>
      <c r="H68" s="164" t="s">
        <v>667</v>
      </c>
    </row>
    <row r="69" hidden="1">
      <c r="A69" s="140">
        <v>62.0</v>
      </c>
      <c r="B69" s="135" t="s">
        <v>744</v>
      </c>
      <c r="C69" s="164" t="s">
        <v>742</v>
      </c>
      <c r="D69" s="164" t="s">
        <v>781</v>
      </c>
      <c r="E69" s="139">
        <v>43847.0</v>
      </c>
      <c r="F69" s="141">
        <v>43874.0</v>
      </c>
      <c r="G69" s="161" t="s">
        <v>620</v>
      </c>
      <c r="H69" s="164" t="s">
        <v>667</v>
      </c>
    </row>
    <row r="70" hidden="1">
      <c r="A70" s="140">
        <v>63.0</v>
      </c>
      <c r="B70" s="135" t="s">
        <v>782</v>
      </c>
      <c r="C70" s="164" t="s">
        <v>776</v>
      </c>
      <c r="D70" s="164" t="s">
        <v>783</v>
      </c>
      <c r="E70" s="139">
        <v>43859.0</v>
      </c>
      <c r="F70" s="139">
        <v>43859.0</v>
      </c>
      <c r="G70" s="161" t="s">
        <v>620</v>
      </c>
      <c r="H70" s="164" t="s">
        <v>784</v>
      </c>
    </row>
    <row r="71" ht="19.5" hidden="1" customHeight="1">
      <c r="A71" s="140">
        <v>64.0</v>
      </c>
      <c r="B71" s="135" t="s">
        <v>785</v>
      </c>
      <c r="C71" s="164" t="s">
        <v>742</v>
      </c>
      <c r="D71" s="164" t="s">
        <v>760</v>
      </c>
      <c r="E71" s="139">
        <v>43875.0</v>
      </c>
      <c r="F71" s="141">
        <v>43902.0</v>
      </c>
      <c r="G71" s="161" t="s">
        <v>620</v>
      </c>
      <c r="H71" s="164" t="s">
        <v>667</v>
      </c>
    </row>
    <row r="72" ht="19.5" hidden="1" customHeight="1">
      <c r="A72" s="140">
        <v>65.0</v>
      </c>
      <c r="B72" s="135" t="s">
        <v>761</v>
      </c>
      <c r="C72" s="164" t="s">
        <v>742</v>
      </c>
      <c r="D72" s="164" t="s">
        <v>762</v>
      </c>
      <c r="E72" s="139">
        <v>43903.0</v>
      </c>
      <c r="F72" s="141">
        <v>43930.0</v>
      </c>
      <c r="G72" s="161" t="s">
        <v>620</v>
      </c>
      <c r="H72" s="164" t="s">
        <v>667</v>
      </c>
    </row>
    <row r="73" ht="19.5" hidden="1" customHeight="1">
      <c r="A73" s="140">
        <v>66.0</v>
      </c>
      <c r="B73" s="135" t="s">
        <v>763</v>
      </c>
      <c r="C73" s="164" t="s">
        <v>742</v>
      </c>
      <c r="D73" s="164" t="s">
        <v>764</v>
      </c>
      <c r="E73" s="166">
        <v>43931.0</v>
      </c>
      <c r="F73" s="166">
        <v>43958.0</v>
      </c>
      <c r="G73" s="161" t="s">
        <v>620</v>
      </c>
      <c r="H73" s="164" t="s">
        <v>667</v>
      </c>
    </row>
    <row r="74" ht="19.5" hidden="1" customHeight="1">
      <c r="A74" s="140">
        <v>67.0</v>
      </c>
      <c r="B74" s="135" t="s">
        <v>726</v>
      </c>
      <c r="C74" s="164" t="s">
        <v>742</v>
      </c>
      <c r="D74" s="164" t="s">
        <v>727</v>
      </c>
      <c r="E74" s="166">
        <v>43959.0</v>
      </c>
      <c r="F74" s="166">
        <v>43986.0</v>
      </c>
      <c r="G74" s="135" t="s">
        <v>620</v>
      </c>
      <c r="H74" s="164" t="s">
        <v>667</v>
      </c>
    </row>
    <row r="75" ht="19.5" hidden="1" customHeight="1">
      <c r="A75" s="140">
        <v>68.0</v>
      </c>
      <c r="B75" s="135" t="s">
        <v>786</v>
      </c>
      <c r="C75" s="167" t="s">
        <v>787</v>
      </c>
      <c r="D75" s="168" t="s">
        <v>788</v>
      </c>
      <c r="E75" s="166">
        <v>43971.0</v>
      </c>
      <c r="F75" s="135" t="s">
        <v>789</v>
      </c>
      <c r="G75" s="161" t="s">
        <v>620</v>
      </c>
      <c r="H75" s="164" t="s">
        <v>722</v>
      </c>
    </row>
    <row r="76" ht="19.5" hidden="1" customHeight="1">
      <c r="A76" s="140">
        <v>69.0</v>
      </c>
      <c r="B76" s="135" t="s">
        <v>790</v>
      </c>
      <c r="C76" s="167" t="s">
        <v>791</v>
      </c>
      <c r="D76" s="164" t="s">
        <v>792</v>
      </c>
      <c r="E76" s="166">
        <v>43987.0</v>
      </c>
      <c r="F76" s="166">
        <v>44014.0</v>
      </c>
      <c r="G76" s="135" t="s">
        <v>620</v>
      </c>
      <c r="H76" s="164" t="s">
        <v>667</v>
      </c>
    </row>
    <row r="77" ht="19.5" hidden="1" customHeight="1">
      <c r="A77" s="140">
        <v>70.0</v>
      </c>
      <c r="B77" s="135" t="s">
        <v>621</v>
      </c>
      <c r="C77" s="167" t="s">
        <v>791</v>
      </c>
      <c r="D77" s="164" t="s">
        <v>736</v>
      </c>
      <c r="E77" s="166">
        <v>44015.0</v>
      </c>
      <c r="F77" s="166">
        <v>44042.0</v>
      </c>
      <c r="G77" s="135" t="s">
        <v>620</v>
      </c>
      <c r="H77" s="164" t="s">
        <v>667</v>
      </c>
    </row>
    <row r="78" ht="19.5" hidden="1" customHeight="1">
      <c r="A78" s="140">
        <f t="shared" ref="A78:A103" si="1">ROW()-10</f>
        <v>68</v>
      </c>
      <c r="B78" s="135" t="s">
        <v>793</v>
      </c>
      <c r="C78" s="167" t="s">
        <v>791</v>
      </c>
      <c r="D78" s="164" t="s">
        <v>743</v>
      </c>
      <c r="E78" s="166">
        <v>44043.0</v>
      </c>
      <c r="F78" s="166">
        <v>44084.0</v>
      </c>
      <c r="G78" s="135" t="s">
        <v>620</v>
      </c>
      <c r="H78" s="164" t="s">
        <v>667</v>
      </c>
    </row>
    <row r="79" ht="19.5" hidden="1" customHeight="1">
      <c r="A79" s="140">
        <f t="shared" si="1"/>
        <v>69</v>
      </c>
      <c r="B79" s="135" t="s">
        <v>794</v>
      </c>
      <c r="C79" s="167" t="s">
        <v>791</v>
      </c>
      <c r="D79" s="164" t="s">
        <v>781</v>
      </c>
      <c r="E79" s="166">
        <v>44085.0</v>
      </c>
      <c r="F79" s="166">
        <v>44112.0</v>
      </c>
      <c r="G79" s="135" t="s">
        <v>620</v>
      </c>
      <c r="H79" s="164" t="s">
        <v>667</v>
      </c>
    </row>
    <row r="80" ht="19.5" hidden="1" customHeight="1">
      <c r="A80" s="140">
        <f t="shared" si="1"/>
        <v>70</v>
      </c>
      <c r="B80" s="135" t="s">
        <v>795</v>
      </c>
      <c r="C80" s="167" t="s">
        <v>796</v>
      </c>
      <c r="D80" s="168" t="s">
        <v>797</v>
      </c>
      <c r="E80" s="166">
        <v>44013.0</v>
      </c>
      <c r="F80" s="166">
        <v>44030.0</v>
      </c>
      <c r="G80" s="135" t="s">
        <v>620</v>
      </c>
      <c r="H80" s="164" t="s">
        <v>798</v>
      </c>
    </row>
    <row r="81" ht="19.5" hidden="1" customHeight="1">
      <c r="A81" s="140">
        <f t="shared" si="1"/>
        <v>71</v>
      </c>
      <c r="B81" s="135" t="s">
        <v>786</v>
      </c>
      <c r="C81" s="167" t="s">
        <v>799</v>
      </c>
      <c r="D81" s="168" t="s">
        <v>800</v>
      </c>
      <c r="E81" s="166">
        <v>44096.0</v>
      </c>
      <c r="F81" s="166">
        <v>44134.0</v>
      </c>
      <c r="G81" s="135" t="s">
        <v>620</v>
      </c>
      <c r="H81" s="164" t="s">
        <v>801</v>
      </c>
    </row>
    <row r="82" ht="19.5" hidden="1" customHeight="1">
      <c r="A82" s="140">
        <f t="shared" si="1"/>
        <v>72</v>
      </c>
      <c r="B82" s="135" t="s">
        <v>761</v>
      </c>
      <c r="C82" s="167" t="s">
        <v>791</v>
      </c>
      <c r="D82" s="164" t="s">
        <v>762</v>
      </c>
      <c r="E82" s="166">
        <v>44113.0</v>
      </c>
      <c r="F82" s="166">
        <v>44140.0</v>
      </c>
      <c r="G82" s="135" t="s">
        <v>620</v>
      </c>
      <c r="H82" s="164" t="s">
        <v>667</v>
      </c>
    </row>
    <row r="83" ht="19.5" hidden="1" customHeight="1">
      <c r="A83" s="140">
        <f t="shared" si="1"/>
        <v>73</v>
      </c>
      <c r="B83" s="135" t="s">
        <v>621</v>
      </c>
      <c r="C83" s="167" t="s">
        <v>791</v>
      </c>
      <c r="D83" s="164" t="s">
        <v>736</v>
      </c>
      <c r="E83" s="166">
        <v>44141.0</v>
      </c>
      <c r="F83" s="166">
        <v>44168.0</v>
      </c>
      <c r="G83" s="135" t="s">
        <v>620</v>
      </c>
      <c r="H83" s="164" t="s">
        <v>667</v>
      </c>
    </row>
    <row r="84" ht="156.0" hidden="1" customHeight="1">
      <c r="A84" s="140">
        <f t="shared" si="1"/>
        <v>74</v>
      </c>
      <c r="B84" s="135" t="s">
        <v>672</v>
      </c>
      <c r="C84" s="167" t="s">
        <v>802</v>
      </c>
      <c r="D84" s="168" t="s">
        <v>803</v>
      </c>
      <c r="E84" s="166">
        <v>44145.0</v>
      </c>
      <c r="F84" s="166">
        <v>44158.0</v>
      </c>
      <c r="G84" s="135" t="s">
        <v>620</v>
      </c>
      <c r="H84" s="164" t="s">
        <v>804</v>
      </c>
    </row>
    <row r="85" ht="19.5" hidden="1" customHeight="1">
      <c r="A85" s="140">
        <f t="shared" si="1"/>
        <v>75</v>
      </c>
      <c r="B85" s="135" t="s">
        <v>805</v>
      </c>
      <c r="C85" s="167" t="s">
        <v>791</v>
      </c>
      <c r="D85" s="164" t="s">
        <v>792</v>
      </c>
      <c r="E85" s="166">
        <v>44169.0</v>
      </c>
      <c r="F85" s="166">
        <v>44210.0</v>
      </c>
      <c r="G85" s="135" t="s">
        <v>620</v>
      </c>
      <c r="H85" s="164" t="s">
        <v>667</v>
      </c>
    </row>
    <row r="86" ht="19.5" hidden="1" customHeight="1">
      <c r="A86" s="140">
        <f t="shared" si="1"/>
        <v>76</v>
      </c>
      <c r="B86" s="135" t="s">
        <v>672</v>
      </c>
      <c r="C86" s="167" t="s">
        <v>806</v>
      </c>
      <c r="D86" s="168" t="s">
        <v>807</v>
      </c>
      <c r="E86" s="166">
        <v>44166.0</v>
      </c>
      <c r="F86" s="166">
        <v>44171.0</v>
      </c>
      <c r="G86" s="135" t="s">
        <v>620</v>
      </c>
      <c r="H86" s="164" t="s">
        <v>804</v>
      </c>
    </row>
    <row r="87" ht="19.5" hidden="1" customHeight="1">
      <c r="A87" s="169">
        <f t="shared" si="1"/>
        <v>77</v>
      </c>
      <c r="B87" s="170" t="s">
        <v>808</v>
      </c>
      <c r="C87" s="171" t="s">
        <v>809</v>
      </c>
      <c r="D87" s="172" t="s">
        <v>810</v>
      </c>
      <c r="E87" s="173">
        <v>44177.0</v>
      </c>
      <c r="F87" s="170" t="s">
        <v>811</v>
      </c>
      <c r="G87" s="170" t="s">
        <v>620</v>
      </c>
      <c r="H87" s="174" t="s">
        <v>812</v>
      </c>
      <c r="I87" s="175" t="s">
        <v>813</v>
      </c>
    </row>
    <row r="88" ht="19.5" hidden="1" customHeight="1">
      <c r="A88" s="140">
        <f t="shared" si="1"/>
        <v>78</v>
      </c>
      <c r="B88" s="135" t="s">
        <v>814</v>
      </c>
      <c r="C88" s="167" t="s">
        <v>815</v>
      </c>
      <c r="D88" s="168" t="s">
        <v>816</v>
      </c>
      <c r="E88" s="166">
        <v>44202.0</v>
      </c>
      <c r="F88" s="166">
        <v>44224.0</v>
      </c>
      <c r="G88" s="135" t="s">
        <v>620</v>
      </c>
      <c r="H88" s="164" t="s">
        <v>804</v>
      </c>
    </row>
    <row r="89" ht="19.5" hidden="1" customHeight="1">
      <c r="A89" s="140">
        <f t="shared" si="1"/>
        <v>79</v>
      </c>
      <c r="B89" s="135" t="s">
        <v>817</v>
      </c>
      <c r="C89" s="167" t="s">
        <v>818</v>
      </c>
      <c r="D89" s="168" t="s">
        <v>819</v>
      </c>
      <c r="E89" s="166">
        <v>44202.0</v>
      </c>
      <c r="F89" s="166">
        <v>44225.0</v>
      </c>
      <c r="G89" s="135" t="s">
        <v>620</v>
      </c>
      <c r="H89" s="164" t="s">
        <v>804</v>
      </c>
    </row>
    <row r="90" ht="19.5" hidden="1" customHeight="1">
      <c r="A90" s="140">
        <f t="shared" si="1"/>
        <v>80</v>
      </c>
      <c r="B90" s="135" t="s">
        <v>761</v>
      </c>
      <c r="C90" s="167" t="s">
        <v>791</v>
      </c>
      <c r="D90" s="164" t="s">
        <v>762</v>
      </c>
      <c r="E90" s="166">
        <v>44211.0</v>
      </c>
      <c r="F90" s="166">
        <v>44238.0</v>
      </c>
      <c r="G90" s="135" t="s">
        <v>620</v>
      </c>
      <c r="H90" s="164" t="s">
        <v>804</v>
      </c>
    </row>
    <row r="91" ht="19.5" hidden="1" customHeight="1">
      <c r="A91" s="140">
        <f t="shared" si="1"/>
        <v>81</v>
      </c>
      <c r="B91" s="135" t="s">
        <v>820</v>
      </c>
      <c r="C91" s="167" t="s">
        <v>821</v>
      </c>
      <c r="D91" s="168" t="s">
        <v>822</v>
      </c>
      <c r="E91" s="166">
        <v>44224.0</v>
      </c>
      <c r="F91" s="166">
        <v>44236.0</v>
      </c>
      <c r="G91" s="135" t="s">
        <v>620</v>
      </c>
      <c r="H91" s="164" t="s">
        <v>804</v>
      </c>
    </row>
    <row r="92" ht="19.5" hidden="1" customHeight="1">
      <c r="A92" s="140">
        <f t="shared" si="1"/>
        <v>82</v>
      </c>
      <c r="B92" s="135" t="s">
        <v>705</v>
      </c>
      <c r="C92" s="167" t="s">
        <v>791</v>
      </c>
      <c r="D92" s="164" t="s">
        <v>760</v>
      </c>
      <c r="E92" s="166">
        <v>44239.0</v>
      </c>
      <c r="F92" s="166">
        <v>44266.0</v>
      </c>
      <c r="G92" s="135" t="s">
        <v>620</v>
      </c>
      <c r="H92" s="164" t="s">
        <v>804</v>
      </c>
    </row>
    <row r="93" ht="19.5" hidden="1" customHeight="1">
      <c r="A93" s="140">
        <f t="shared" si="1"/>
        <v>83</v>
      </c>
      <c r="B93" s="135" t="s">
        <v>794</v>
      </c>
      <c r="C93" s="167" t="s">
        <v>791</v>
      </c>
      <c r="D93" s="164" t="s">
        <v>781</v>
      </c>
      <c r="E93" s="166">
        <v>44267.0</v>
      </c>
      <c r="F93" s="166">
        <v>44294.0</v>
      </c>
      <c r="G93" s="135" t="s">
        <v>620</v>
      </c>
      <c r="H93" s="164" t="s">
        <v>804</v>
      </c>
    </row>
    <row r="94" ht="19.5" hidden="1" customHeight="1">
      <c r="A94" s="140">
        <f t="shared" si="1"/>
        <v>84</v>
      </c>
      <c r="B94" s="135" t="s">
        <v>823</v>
      </c>
      <c r="C94" s="167" t="s">
        <v>824</v>
      </c>
      <c r="D94" s="168" t="s">
        <v>825</v>
      </c>
      <c r="E94" s="166">
        <v>44262.0</v>
      </c>
      <c r="F94" s="166">
        <v>44267.0</v>
      </c>
      <c r="G94" s="135" t="s">
        <v>620</v>
      </c>
      <c r="H94" s="164" t="s">
        <v>804</v>
      </c>
    </row>
    <row r="95" ht="19.5" hidden="1" customHeight="1">
      <c r="A95" s="140">
        <f t="shared" si="1"/>
        <v>85</v>
      </c>
      <c r="B95" s="135" t="s">
        <v>826</v>
      </c>
      <c r="C95" s="167" t="s">
        <v>827</v>
      </c>
      <c r="D95" s="168" t="s">
        <v>828</v>
      </c>
      <c r="E95" s="166">
        <v>44270.0</v>
      </c>
      <c r="F95" s="166">
        <v>44292.0</v>
      </c>
      <c r="G95" s="135" t="s">
        <v>620</v>
      </c>
      <c r="H95" s="164" t="s">
        <v>804</v>
      </c>
    </row>
    <row r="96" ht="19.5" hidden="1" customHeight="1">
      <c r="A96" s="140">
        <f t="shared" si="1"/>
        <v>86</v>
      </c>
      <c r="B96" s="135" t="s">
        <v>829</v>
      </c>
      <c r="C96" s="167" t="s">
        <v>830</v>
      </c>
      <c r="D96" s="176" t="s">
        <v>831</v>
      </c>
      <c r="E96" s="166">
        <v>44272.0</v>
      </c>
      <c r="F96" s="166">
        <v>44324.0</v>
      </c>
      <c r="G96" s="135" t="s">
        <v>620</v>
      </c>
      <c r="H96" s="164" t="s">
        <v>804</v>
      </c>
    </row>
    <row r="97" ht="19.5" hidden="1" customHeight="1">
      <c r="A97" s="140">
        <f t="shared" si="1"/>
        <v>87</v>
      </c>
      <c r="B97" s="135" t="s">
        <v>814</v>
      </c>
      <c r="C97" s="167" t="s">
        <v>815</v>
      </c>
      <c r="D97" s="168" t="s">
        <v>832</v>
      </c>
      <c r="E97" s="166">
        <v>44293.0</v>
      </c>
      <c r="F97" s="166">
        <v>44309.0</v>
      </c>
      <c r="G97" s="135" t="s">
        <v>620</v>
      </c>
      <c r="H97" s="164" t="s">
        <v>804</v>
      </c>
    </row>
    <row r="98" ht="19.5" hidden="1" customHeight="1">
      <c r="A98" s="140">
        <f t="shared" si="1"/>
        <v>88</v>
      </c>
      <c r="B98" s="135" t="s">
        <v>763</v>
      </c>
      <c r="C98" s="167" t="s">
        <v>791</v>
      </c>
      <c r="D98" s="164" t="s">
        <v>764</v>
      </c>
      <c r="E98" s="166">
        <v>44295.0</v>
      </c>
      <c r="F98" s="166">
        <v>44322.0</v>
      </c>
      <c r="G98" s="135" t="s">
        <v>620</v>
      </c>
      <c r="H98" s="164" t="s">
        <v>804</v>
      </c>
    </row>
    <row r="99" ht="19.5" hidden="1" customHeight="1">
      <c r="A99" s="140">
        <f t="shared" si="1"/>
        <v>89</v>
      </c>
      <c r="B99" s="135" t="s">
        <v>826</v>
      </c>
      <c r="C99" s="167" t="s">
        <v>827</v>
      </c>
      <c r="D99" s="176" t="s">
        <v>833</v>
      </c>
      <c r="E99" s="166">
        <v>44293.0</v>
      </c>
      <c r="F99" s="166">
        <v>44302.0</v>
      </c>
      <c r="G99" s="135" t="s">
        <v>620</v>
      </c>
      <c r="H99" s="164" t="s">
        <v>804</v>
      </c>
    </row>
    <row r="100" ht="19.5" hidden="1" customHeight="1">
      <c r="A100" s="169">
        <f t="shared" si="1"/>
        <v>90</v>
      </c>
      <c r="B100" s="170" t="s">
        <v>834</v>
      </c>
      <c r="C100" s="171" t="s">
        <v>835</v>
      </c>
      <c r="D100" s="172" t="s">
        <v>836</v>
      </c>
      <c r="E100" s="173">
        <v>44327.0</v>
      </c>
      <c r="F100" s="173">
        <v>44372.0</v>
      </c>
      <c r="G100" s="170" t="s">
        <v>620</v>
      </c>
      <c r="H100" s="174" t="s">
        <v>804</v>
      </c>
    </row>
    <row r="101" ht="19.5" hidden="1" customHeight="1">
      <c r="A101" s="140">
        <f t="shared" si="1"/>
        <v>91</v>
      </c>
      <c r="B101" s="135" t="s">
        <v>837</v>
      </c>
      <c r="C101" s="167" t="s">
        <v>791</v>
      </c>
      <c r="D101" s="176" t="s">
        <v>792</v>
      </c>
      <c r="E101" s="166">
        <v>44323.0</v>
      </c>
      <c r="F101" s="166">
        <v>44350.0</v>
      </c>
      <c r="G101" s="135" t="s">
        <v>620</v>
      </c>
      <c r="H101" s="164" t="s">
        <v>804</v>
      </c>
    </row>
    <row r="102" ht="19.5" hidden="1" customHeight="1">
      <c r="A102" s="177">
        <f t="shared" si="1"/>
        <v>92</v>
      </c>
      <c r="B102" s="178" t="s">
        <v>838</v>
      </c>
      <c r="C102" s="179" t="s">
        <v>839</v>
      </c>
      <c r="D102" s="180" t="s">
        <v>840</v>
      </c>
      <c r="E102" s="181">
        <v>44314.0</v>
      </c>
      <c r="F102" s="181">
        <v>44335.0</v>
      </c>
      <c r="G102" s="178" t="s">
        <v>620</v>
      </c>
      <c r="H102" s="182" t="s">
        <v>841</v>
      </c>
    </row>
    <row r="103" ht="19.5" hidden="1" customHeight="1">
      <c r="A103" s="169">
        <f t="shared" si="1"/>
        <v>93</v>
      </c>
      <c r="B103" s="170" t="s">
        <v>621</v>
      </c>
      <c r="C103" s="171" t="s">
        <v>791</v>
      </c>
      <c r="D103" s="174" t="s">
        <v>736</v>
      </c>
      <c r="E103" s="173">
        <v>44351.0</v>
      </c>
      <c r="F103" s="173">
        <v>44378.0</v>
      </c>
      <c r="G103" s="170" t="s">
        <v>620</v>
      </c>
      <c r="H103" s="174" t="s">
        <v>804</v>
      </c>
    </row>
    <row r="104" ht="19.5" hidden="1" customHeight="1">
      <c r="A104" s="169">
        <v>94.0</v>
      </c>
      <c r="B104" s="170" t="s">
        <v>726</v>
      </c>
      <c r="C104" s="171" t="s">
        <v>791</v>
      </c>
      <c r="D104" s="172" t="s">
        <v>842</v>
      </c>
      <c r="E104" s="173">
        <v>44379.0</v>
      </c>
      <c r="F104" s="173">
        <v>44406.0</v>
      </c>
      <c r="G104" s="170" t="s">
        <v>620</v>
      </c>
      <c r="H104" s="174" t="s">
        <v>804</v>
      </c>
    </row>
    <row r="105" ht="19.5" hidden="1" customHeight="1">
      <c r="A105" s="169">
        <f t="shared" ref="A105:A112" si="2">A104+1</f>
        <v>95</v>
      </c>
      <c r="B105" s="170" t="s">
        <v>843</v>
      </c>
      <c r="C105" s="171" t="s">
        <v>844</v>
      </c>
      <c r="D105" s="174" t="s">
        <v>845</v>
      </c>
      <c r="E105" s="173">
        <v>44390.0</v>
      </c>
      <c r="F105" s="173">
        <v>44407.0</v>
      </c>
      <c r="G105" s="170" t="s">
        <v>620</v>
      </c>
      <c r="H105" s="174" t="s">
        <v>804</v>
      </c>
    </row>
    <row r="106" ht="19.5" hidden="1" customHeight="1">
      <c r="A106" s="169">
        <f t="shared" si="2"/>
        <v>96</v>
      </c>
      <c r="B106" s="170" t="s">
        <v>846</v>
      </c>
      <c r="C106" s="171" t="s">
        <v>830</v>
      </c>
      <c r="D106" s="174" t="s">
        <v>847</v>
      </c>
      <c r="E106" s="173">
        <v>44397.0</v>
      </c>
      <c r="F106" s="173">
        <v>44408.0</v>
      </c>
      <c r="G106" s="170" t="s">
        <v>620</v>
      </c>
      <c r="H106" s="174" t="s">
        <v>804</v>
      </c>
    </row>
    <row r="107" ht="19.5" hidden="1" customHeight="1">
      <c r="A107" s="169">
        <f t="shared" si="2"/>
        <v>97</v>
      </c>
      <c r="B107" s="170" t="s">
        <v>848</v>
      </c>
      <c r="C107" s="171" t="s">
        <v>791</v>
      </c>
      <c r="D107" s="174" t="s">
        <v>849</v>
      </c>
      <c r="E107" s="173">
        <v>44407.0</v>
      </c>
      <c r="F107" s="173">
        <v>44448.0</v>
      </c>
      <c r="G107" s="170" t="s">
        <v>620</v>
      </c>
      <c r="H107" s="174" t="s">
        <v>804</v>
      </c>
    </row>
    <row r="108" ht="19.5" hidden="1" customHeight="1">
      <c r="A108" s="169">
        <f t="shared" si="2"/>
        <v>98</v>
      </c>
      <c r="B108" s="170" t="s">
        <v>850</v>
      </c>
      <c r="C108" s="171" t="s">
        <v>851</v>
      </c>
      <c r="D108" s="174" t="s">
        <v>852</v>
      </c>
      <c r="E108" s="173">
        <v>44431.0</v>
      </c>
      <c r="F108" s="173">
        <v>44444.0</v>
      </c>
      <c r="G108" s="170" t="s">
        <v>620</v>
      </c>
      <c r="H108" s="174" t="s">
        <v>804</v>
      </c>
    </row>
    <row r="109" ht="19.5" hidden="1" customHeight="1">
      <c r="A109" s="169">
        <f t="shared" si="2"/>
        <v>99</v>
      </c>
      <c r="B109" s="170" t="s">
        <v>794</v>
      </c>
      <c r="C109" s="171" t="s">
        <v>791</v>
      </c>
      <c r="D109" s="174" t="s">
        <v>781</v>
      </c>
      <c r="E109" s="173">
        <v>44449.0</v>
      </c>
      <c r="F109" s="173">
        <v>44476.0</v>
      </c>
      <c r="G109" s="170" t="s">
        <v>620</v>
      </c>
      <c r="H109" s="174" t="s">
        <v>804</v>
      </c>
    </row>
    <row r="110" ht="19.5" hidden="1" customHeight="1">
      <c r="A110" s="169">
        <f t="shared" si="2"/>
        <v>100</v>
      </c>
      <c r="B110" s="170" t="s">
        <v>853</v>
      </c>
      <c r="C110" s="171" t="s">
        <v>791</v>
      </c>
      <c r="D110" s="174" t="s">
        <v>854</v>
      </c>
      <c r="E110" s="173">
        <v>44481.0</v>
      </c>
      <c r="F110" s="173">
        <v>44508.0</v>
      </c>
      <c r="G110" s="170" t="s">
        <v>620</v>
      </c>
      <c r="H110" s="174" t="s">
        <v>804</v>
      </c>
    </row>
    <row r="111" ht="19.5" hidden="1" customHeight="1">
      <c r="A111" s="169">
        <f t="shared" si="2"/>
        <v>101</v>
      </c>
      <c r="B111" s="170" t="s">
        <v>621</v>
      </c>
      <c r="C111" s="171" t="s">
        <v>791</v>
      </c>
      <c r="D111" s="174" t="s">
        <v>736</v>
      </c>
      <c r="E111" s="173">
        <v>44509.0</v>
      </c>
      <c r="F111" s="173">
        <v>44536.0</v>
      </c>
      <c r="G111" s="170" t="s">
        <v>620</v>
      </c>
      <c r="H111" s="174" t="s">
        <v>804</v>
      </c>
    </row>
    <row r="112" ht="19.5" hidden="1" customHeight="1">
      <c r="A112" s="177">
        <f t="shared" si="2"/>
        <v>102</v>
      </c>
      <c r="B112" s="178" t="s">
        <v>855</v>
      </c>
      <c r="C112" s="179" t="s">
        <v>791</v>
      </c>
      <c r="D112" s="182" t="s">
        <v>856</v>
      </c>
      <c r="E112" s="181">
        <v>44537.0</v>
      </c>
      <c r="F112" s="181">
        <v>44578.0</v>
      </c>
      <c r="G112" s="178" t="s">
        <v>620</v>
      </c>
      <c r="H112" s="182" t="s">
        <v>804</v>
      </c>
    </row>
    <row r="113" hidden="1">
      <c r="A113" s="169">
        <f>A116+1</f>
        <v>106</v>
      </c>
      <c r="B113" s="170" t="s">
        <v>857</v>
      </c>
      <c r="C113" s="171" t="s">
        <v>858</v>
      </c>
      <c r="D113" s="172" t="s">
        <v>859</v>
      </c>
      <c r="E113" s="173">
        <v>44551.0</v>
      </c>
      <c r="F113" s="170" t="s">
        <v>860</v>
      </c>
      <c r="G113" s="170" t="s">
        <v>861</v>
      </c>
      <c r="H113" s="174" t="s">
        <v>804</v>
      </c>
    </row>
    <row r="114" hidden="1">
      <c r="A114" s="140">
        <f>A112+1</f>
        <v>103</v>
      </c>
      <c r="B114" s="135" t="s">
        <v>848</v>
      </c>
      <c r="C114" s="167" t="s">
        <v>791</v>
      </c>
      <c r="D114" s="164" t="s">
        <v>862</v>
      </c>
      <c r="E114" s="166">
        <v>44579.0</v>
      </c>
      <c r="F114" s="166">
        <v>44606.0</v>
      </c>
      <c r="G114" s="135" t="s">
        <v>620</v>
      </c>
      <c r="H114" s="164" t="s">
        <v>804</v>
      </c>
    </row>
    <row r="115" hidden="1">
      <c r="A115" s="183">
        <f t="shared" ref="A115:A151" si="3">A114+1</f>
        <v>104</v>
      </c>
      <c r="B115" s="184" t="s">
        <v>794</v>
      </c>
      <c r="C115" s="185" t="s">
        <v>791</v>
      </c>
      <c r="D115" s="186" t="s">
        <v>781</v>
      </c>
      <c r="E115" s="187">
        <v>44607.0</v>
      </c>
      <c r="F115" s="187">
        <v>44634.0</v>
      </c>
      <c r="G115" s="184" t="s">
        <v>620</v>
      </c>
      <c r="H115" s="186" t="s">
        <v>804</v>
      </c>
    </row>
    <row r="116" hidden="1">
      <c r="A116" s="169">
        <f t="shared" si="3"/>
        <v>105</v>
      </c>
      <c r="B116" s="170" t="s">
        <v>763</v>
      </c>
      <c r="C116" s="171" t="s">
        <v>791</v>
      </c>
      <c r="D116" s="174" t="s">
        <v>764</v>
      </c>
      <c r="E116" s="173">
        <v>44635.0</v>
      </c>
      <c r="F116" s="173">
        <v>44662.0</v>
      </c>
      <c r="G116" s="170" t="s">
        <v>620</v>
      </c>
      <c r="H116" s="174" t="s">
        <v>804</v>
      </c>
    </row>
    <row r="117" hidden="1">
      <c r="A117" s="188">
        <f t="shared" si="3"/>
        <v>106</v>
      </c>
      <c r="B117" s="189" t="s">
        <v>834</v>
      </c>
      <c r="C117" s="190" t="s">
        <v>863</v>
      </c>
      <c r="D117" s="191" t="s">
        <v>864</v>
      </c>
      <c r="E117" s="192">
        <v>44620.0</v>
      </c>
      <c r="F117" s="192">
        <v>44646.0</v>
      </c>
      <c r="G117" s="184" t="s">
        <v>620</v>
      </c>
      <c r="H117" s="193" t="s">
        <v>804</v>
      </c>
      <c r="I117" s="194"/>
      <c r="J117" s="194"/>
      <c r="K117" s="194"/>
      <c r="L117" s="194"/>
      <c r="M117" s="194"/>
      <c r="N117" s="194"/>
      <c r="O117" s="194"/>
      <c r="P117" s="194"/>
      <c r="Q117" s="194"/>
      <c r="R117" s="194"/>
      <c r="S117" s="194"/>
      <c r="T117" s="194"/>
      <c r="U117" s="194"/>
      <c r="V117" s="194"/>
      <c r="W117" s="194"/>
      <c r="X117" s="194"/>
      <c r="Y117" s="194"/>
      <c r="Z117" s="194"/>
      <c r="AA117" s="194"/>
    </row>
    <row r="118" hidden="1">
      <c r="A118" s="169">
        <f t="shared" si="3"/>
        <v>107</v>
      </c>
      <c r="B118" s="170" t="s">
        <v>865</v>
      </c>
      <c r="C118" s="171" t="s">
        <v>866</v>
      </c>
      <c r="D118" s="172" t="s">
        <v>867</v>
      </c>
      <c r="E118" s="195">
        <v>44617.0</v>
      </c>
      <c r="F118" s="195">
        <v>44620.0</v>
      </c>
      <c r="G118" s="170" t="s">
        <v>620</v>
      </c>
      <c r="H118" s="196" t="s">
        <v>804</v>
      </c>
    </row>
    <row r="119" hidden="1">
      <c r="A119" s="169">
        <f t="shared" si="3"/>
        <v>108</v>
      </c>
      <c r="B119" s="170" t="s">
        <v>868</v>
      </c>
      <c r="C119" s="171" t="s">
        <v>791</v>
      </c>
      <c r="D119" s="174" t="s">
        <v>854</v>
      </c>
      <c r="E119" s="173">
        <v>44663.0</v>
      </c>
      <c r="F119" s="173">
        <v>44690.0</v>
      </c>
      <c r="G119" s="170" t="s">
        <v>620</v>
      </c>
      <c r="H119" s="174" t="s">
        <v>804</v>
      </c>
    </row>
    <row r="120" hidden="1">
      <c r="A120" s="169">
        <f t="shared" si="3"/>
        <v>109</v>
      </c>
      <c r="B120" s="170" t="s">
        <v>869</v>
      </c>
      <c r="C120" s="171" t="s">
        <v>870</v>
      </c>
      <c r="D120" s="172" t="s">
        <v>871</v>
      </c>
      <c r="E120" s="197">
        <v>44694.0</v>
      </c>
      <c r="F120" s="197">
        <v>45565.0</v>
      </c>
      <c r="G120" s="170" t="s">
        <v>620</v>
      </c>
      <c r="H120" s="174" t="s">
        <v>872</v>
      </c>
    </row>
    <row r="121" hidden="1">
      <c r="A121" s="169">
        <f t="shared" si="3"/>
        <v>110</v>
      </c>
      <c r="B121" s="170" t="s">
        <v>873</v>
      </c>
      <c r="C121" s="171" t="s">
        <v>791</v>
      </c>
      <c r="D121" s="172" t="s">
        <v>874</v>
      </c>
      <c r="E121" s="173">
        <v>44691.0</v>
      </c>
      <c r="F121" s="173">
        <v>44718.0</v>
      </c>
      <c r="G121" s="170" t="s">
        <v>620</v>
      </c>
      <c r="H121" s="174" t="s">
        <v>804</v>
      </c>
    </row>
    <row r="122" hidden="1">
      <c r="A122" s="169">
        <f t="shared" si="3"/>
        <v>111</v>
      </c>
      <c r="B122" s="170" t="s">
        <v>621</v>
      </c>
      <c r="C122" s="171" t="s">
        <v>791</v>
      </c>
      <c r="D122" s="174" t="s">
        <v>736</v>
      </c>
      <c r="E122" s="173">
        <v>44719.0</v>
      </c>
      <c r="F122" s="173">
        <v>44746.0</v>
      </c>
      <c r="G122" s="170" t="s">
        <v>620</v>
      </c>
      <c r="H122" s="174" t="s">
        <v>804</v>
      </c>
    </row>
    <row r="123" hidden="1">
      <c r="A123" s="169">
        <f t="shared" si="3"/>
        <v>112</v>
      </c>
      <c r="B123" s="170" t="s">
        <v>826</v>
      </c>
      <c r="C123" s="171" t="s">
        <v>875</v>
      </c>
      <c r="D123" s="198" t="s">
        <v>876</v>
      </c>
      <c r="E123" s="173">
        <v>44705.0</v>
      </c>
      <c r="F123" s="173">
        <v>44736.0</v>
      </c>
      <c r="G123" s="170" t="s">
        <v>620</v>
      </c>
      <c r="H123" s="174" t="s">
        <v>804</v>
      </c>
    </row>
    <row r="124" hidden="1">
      <c r="A124" s="169">
        <f t="shared" si="3"/>
        <v>113</v>
      </c>
      <c r="B124" s="170" t="s">
        <v>877</v>
      </c>
      <c r="C124" s="171" t="s">
        <v>878</v>
      </c>
      <c r="D124" s="171" t="s">
        <v>879</v>
      </c>
      <c r="E124" s="173">
        <v>44705.0</v>
      </c>
      <c r="F124" s="173">
        <v>44719.0</v>
      </c>
      <c r="G124" s="170" t="s">
        <v>620</v>
      </c>
      <c r="H124" s="199" t="s">
        <v>880</v>
      </c>
    </row>
    <row r="125" hidden="1">
      <c r="A125" s="169">
        <f t="shared" si="3"/>
        <v>114</v>
      </c>
      <c r="B125" s="170" t="s">
        <v>672</v>
      </c>
      <c r="C125" s="171" t="s">
        <v>881</v>
      </c>
      <c r="D125" s="171" t="s">
        <v>882</v>
      </c>
      <c r="E125" s="170" t="s">
        <v>883</v>
      </c>
      <c r="F125" s="170" t="s">
        <v>884</v>
      </c>
      <c r="G125" s="170" t="s">
        <v>620</v>
      </c>
      <c r="H125" s="174"/>
    </row>
    <row r="126" hidden="1">
      <c r="A126" s="169">
        <f t="shared" si="3"/>
        <v>115</v>
      </c>
      <c r="B126" s="170" t="s">
        <v>885</v>
      </c>
      <c r="C126" s="171" t="s">
        <v>791</v>
      </c>
      <c r="D126" s="174" t="s">
        <v>854</v>
      </c>
      <c r="E126" s="173">
        <v>44747.0</v>
      </c>
      <c r="F126" s="173">
        <v>44774.0</v>
      </c>
      <c r="G126" s="170" t="s">
        <v>620</v>
      </c>
      <c r="H126" s="174" t="s">
        <v>804</v>
      </c>
    </row>
    <row r="127" hidden="1">
      <c r="A127" s="169">
        <f t="shared" si="3"/>
        <v>116</v>
      </c>
      <c r="B127" s="170" t="s">
        <v>886</v>
      </c>
      <c r="C127" s="171" t="s">
        <v>791</v>
      </c>
      <c r="D127" s="172" t="s">
        <v>887</v>
      </c>
      <c r="E127" s="173">
        <v>44775.0</v>
      </c>
      <c r="F127" s="173">
        <v>44816.0</v>
      </c>
      <c r="G127" s="170" t="s">
        <v>620</v>
      </c>
      <c r="H127" s="174" t="s">
        <v>804</v>
      </c>
    </row>
    <row r="128" hidden="1">
      <c r="A128" s="169">
        <f t="shared" si="3"/>
        <v>117</v>
      </c>
      <c r="B128" s="170" t="s">
        <v>726</v>
      </c>
      <c r="C128" s="171" t="s">
        <v>791</v>
      </c>
      <c r="D128" s="172" t="s">
        <v>888</v>
      </c>
      <c r="E128" s="173">
        <v>44817.0</v>
      </c>
      <c r="F128" s="173">
        <v>44844.0</v>
      </c>
      <c r="G128" s="170" t="s">
        <v>620</v>
      </c>
      <c r="H128" s="174" t="s">
        <v>804</v>
      </c>
    </row>
    <row r="129" hidden="1">
      <c r="A129" s="200">
        <f t="shared" si="3"/>
        <v>118</v>
      </c>
      <c r="B129" s="201" t="s">
        <v>834</v>
      </c>
      <c r="C129" s="202" t="s">
        <v>889</v>
      </c>
      <c r="D129" s="203" t="s">
        <v>890</v>
      </c>
      <c r="E129" s="204">
        <v>44802.0</v>
      </c>
      <c r="F129" s="204">
        <v>44842.0</v>
      </c>
      <c r="G129" s="205" t="s">
        <v>620</v>
      </c>
      <c r="H129" s="206" t="s">
        <v>804</v>
      </c>
      <c r="I129" s="207"/>
      <c r="J129" s="207"/>
      <c r="K129" s="207"/>
      <c r="L129" s="207"/>
      <c r="M129" s="207"/>
      <c r="N129" s="207"/>
      <c r="O129" s="207"/>
      <c r="P129" s="207"/>
      <c r="Q129" s="207"/>
      <c r="R129" s="207"/>
      <c r="S129" s="207"/>
      <c r="T129" s="207"/>
      <c r="U129" s="207"/>
      <c r="V129" s="207"/>
      <c r="W129" s="207"/>
      <c r="X129" s="207"/>
      <c r="Y129" s="207"/>
      <c r="Z129" s="207"/>
      <c r="AA129" s="207"/>
    </row>
    <row r="130" hidden="1">
      <c r="A130" s="169">
        <f t="shared" si="3"/>
        <v>119</v>
      </c>
      <c r="B130" s="170" t="s">
        <v>891</v>
      </c>
      <c r="C130" s="171" t="s">
        <v>791</v>
      </c>
      <c r="D130" s="172" t="s">
        <v>892</v>
      </c>
      <c r="E130" s="173">
        <v>44845.0</v>
      </c>
      <c r="F130" s="173">
        <v>44872.0</v>
      </c>
      <c r="G130" s="170" t="s">
        <v>620</v>
      </c>
      <c r="H130" s="174" t="s">
        <v>804</v>
      </c>
    </row>
    <row r="131" hidden="1">
      <c r="A131" s="169">
        <f t="shared" si="3"/>
        <v>120</v>
      </c>
      <c r="B131" s="170" t="s">
        <v>621</v>
      </c>
      <c r="C131" s="171" t="s">
        <v>791</v>
      </c>
      <c r="D131" s="172" t="s">
        <v>893</v>
      </c>
      <c r="E131" s="173">
        <v>44873.0</v>
      </c>
      <c r="F131" s="173">
        <v>44900.0</v>
      </c>
      <c r="G131" s="170" t="s">
        <v>620</v>
      </c>
      <c r="H131" s="174" t="s">
        <v>804</v>
      </c>
    </row>
    <row r="132" hidden="1">
      <c r="A132" s="169">
        <f t="shared" si="3"/>
        <v>121</v>
      </c>
      <c r="B132" s="170" t="s">
        <v>865</v>
      </c>
      <c r="C132" s="171" t="s">
        <v>894</v>
      </c>
      <c r="D132" s="172" t="s">
        <v>895</v>
      </c>
      <c r="E132" s="173">
        <v>44890.0</v>
      </c>
      <c r="F132" s="173">
        <v>44895.0</v>
      </c>
      <c r="G132" s="170" t="s">
        <v>620</v>
      </c>
      <c r="H132" s="208" t="s">
        <v>896</v>
      </c>
    </row>
    <row r="133" hidden="1">
      <c r="A133" s="169">
        <f t="shared" si="3"/>
        <v>122</v>
      </c>
      <c r="B133" s="170" t="s">
        <v>877</v>
      </c>
      <c r="C133" s="171" t="s">
        <v>897</v>
      </c>
      <c r="D133" s="171" t="s">
        <v>898</v>
      </c>
      <c r="E133" s="173">
        <v>44895.0</v>
      </c>
      <c r="F133" s="173">
        <v>44913.0</v>
      </c>
      <c r="G133" s="170" t="s">
        <v>620</v>
      </c>
      <c r="H133" s="199" t="s">
        <v>804</v>
      </c>
    </row>
    <row r="134" hidden="1">
      <c r="A134" s="169">
        <f t="shared" si="3"/>
        <v>123</v>
      </c>
      <c r="B134" s="170" t="s">
        <v>899</v>
      </c>
      <c r="C134" s="171" t="s">
        <v>791</v>
      </c>
      <c r="D134" s="172" t="s">
        <v>900</v>
      </c>
      <c r="E134" s="173">
        <v>44901.0</v>
      </c>
      <c r="F134" s="173">
        <v>44942.0</v>
      </c>
      <c r="G134" s="170" t="s">
        <v>620</v>
      </c>
      <c r="H134" s="174" t="s">
        <v>804</v>
      </c>
    </row>
    <row r="135" hidden="1">
      <c r="A135" s="169">
        <f t="shared" si="3"/>
        <v>124</v>
      </c>
      <c r="B135" s="170" t="s">
        <v>901</v>
      </c>
      <c r="C135" s="171" t="s">
        <v>902</v>
      </c>
      <c r="D135" s="172" t="s">
        <v>903</v>
      </c>
      <c r="E135" s="173">
        <v>44912.0</v>
      </c>
      <c r="F135" s="173">
        <v>44961.0</v>
      </c>
      <c r="G135" s="170" t="s">
        <v>620</v>
      </c>
      <c r="H135" s="174" t="s">
        <v>904</v>
      </c>
    </row>
    <row r="136" hidden="1">
      <c r="A136" s="169">
        <f t="shared" si="3"/>
        <v>125</v>
      </c>
      <c r="B136" s="170" t="s">
        <v>885</v>
      </c>
      <c r="C136" s="171" t="s">
        <v>791</v>
      </c>
      <c r="D136" s="174" t="s">
        <v>905</v>
      </c>
      <c r="E136" s="173">
        <v>44943.0</v>
      </c>
      <c r="F136" s="173">
        <v>44970.0</v>
      </c>
      <c r="G136" s="170" t="s">
        <v>620</v>
      </c>
      <c r="H136" s="174" t="s">
        <v>804</v>
      </c>
    </row>
    <row r="137" hidden="1">
      <c r="A137" s="169">
        <f t="shared" si="3"/>
        <v>126</v>
      </c>
      <c r="B137" s="170" t="s">
        <v>873</v>
      </c>
      <c r="C137" s="171" t="s">
        <v>791</v>
      </c>
      <c r="D137" s="172" t="s">
        <v>906</v>
      </c>
      <c r="E137" s="173">
        <v>44971.0</v>
      </c>
      <c r="F137" s="173">
        <v>44998.0</v>
      </c>
      <c r="G137" s="209" t="s">
        <v>620</v>
      </c>
      <c r="H137" s="174" t="s">
        <v>804</v>
      </c>
    </row>
    <row r="138" hidden="1">
      <c r="A138" s="169">
        <f t="shared" si="3"/>
        <v>127</v>
      </c>
      <c r="B138" s="170" t="s">
        <v>763</v>
      </c>
      <c r="C138" s="171" t="s">
        <v>791</v>
      </c>
      <c r="D138" s="174" t="s">
        <v>764</v>
      </c>
      <c r="E138" s="173">
        <v>44999.0</v>
      </c>
      <c r="F138" s="173">
        <v>45026.0</v>
      </c>
      <c r="G138" s="170" t="s">
        <v>620</v>
      </c>
      <c r="H138" s="174" t="s">
        <v>804</v>
      </c>
    </row>
    <row r="139" hidden="1">
      <c r="A139" s="169">
        <f t="shared" si="3"/>
        <v>128</v>
      </c>
      <c r="B139" s="170" t="s">
        <v>907</v>
      </c>
      <c r="C139" s="171" t="s">
        <v>791</v>
      </c>
      <c r="D139" s="174" t="s">
        <v>905</v>
      </c>
      <c r="E139" s="173">
        <v>45027.0</v>
      </c>
      <c r="F139" s="173">
        <v>45054.0</v>
      </c>
      <c r="G139" s="209" t="s">
        <v>620</v>
      </c>
      <c r="H139" s="174" t="s">
        <v>804</v>
      </c>
    </row>
    <row r="140" hidden="1">
      <c r="A140" s="169">
        <f t="shared" si="3"/>
        <v>129</v>
      </c>
      <c r="B140" s="170" t="s">
        <v>908</v>
      </c>
      <c r="C140" s="171" t="s">
        <v>791</v>
      </c>
      <c r="D140" s="172" t="s">
        <v>909</v>
      </c>
      <c r="E140" s="173">
        <v>45055.0</v>
      </c>
      <c r="F140" s="173">
        <v>45082.0</v>
      </c>
      <c r="G140" s="170" t="s">
        <v>620</v>
      </c>
      <c r="H140" s="174" t="s">
        <v>804</v>
      </c>
    </row>
    <row r="141" hidden="1">
      <c r="A141" s="169">
        <f t="shared" si="3"/>
        <v>130</v>
      </c>
      <c r="B141" s="170" t="s">
        <v>621</v>
      </c>
      <c r="C141" s="171" t="s">
        <v>791</v>
      </c>
      <c r="D141" s="174" t="s">
        <v>736</v>
      </c>
      <c r="E141" s="173">
        <v>45083.0</v>
      </c>
      <c r="F141" s="173">
        <v>45110.0</v>
      </c>
      <c r="G141" s="170" t="s">
        <v>620</v>
      </c>
      <c r="H141" s="174" t="s">
        <v>804</v>
      </c>
    </row>
    <row r="142" hidden="1">
      <c r="A142" s="169">
        <f t="shared" si="3"/>
        <v>131</v>
      </c>
      <c r="B142" s="170" t="s">
        <v>910</v>
      </c>
      <c r="C142" s="171" t="s">
        <v>911</v>
      </c>
      <c r="D142" s="172" t="s">
        <v>912</v>
      </c>
      <c r="E142" s="173">
        <v>45020.0</v>
      </c>
      <c r="F142" s="173">
        <v>45026.0</v>
      </c>
      <c r="G142" s="170" t="s">
        <v>620</v>
      </c>
      <c r="H142" s="174" t="s">
        <v>804</v>
      </c>
    </row>
    <row r="143" hidden="1">
      <c r="A143" s="169">
        <f t="shared" si="3"/>
        <v>132</v>
      </c>
      <c r="B143" s="170" t="s">
        <v>865</v>
      </c>
      <c r="C143" s="171" t="s">
        <v>913</v>
      </c>
      <c r="D143" s="172" t="s">
        <v>914</v>
      </c>
      <c r="E143" s="173">
        <v>45016.0</v>
      </c>
      <c r="F143" s="173">
        <v>45028.0</v>
      </c>
      <c r="G143" s="170" t="s">
        <v>620</v>
      </c>
      <c r="H143" s="174" t="s">
        <v>915</v>
      </c>
    </row>
    <row r="144" hidden="1">
      <c r="A144" s="169">
        <f t="shared" si="3"/>
        <v>133</v>
      </c>
      <c r="B144" s="170" t="s">
        <v>916</v>
      </c>
      <c r="C144" s="171" t="s">
        <v>917</v>
      </c>
      <c r="D144" s="172" t="s">
        <v>918</v>
      </c>
      <c r="E144" s="173">
        <v>45077.0</v>
      </c>
      <c r="F144" s="173">
        <v>45099.0</v>
      </c>
      <c r="G144" s="170" t="s">
        <v>620</v>
      </c>
      <c r="H144" s="174" t="s">
        <v>804</v>
      </c>
    </row>
    <row r="145" hidden="1">
      <c r="A145" s="169">
        <f t="shared" si="3"/>
        <v>134</v>
      </c>
      <c r="B145" s="170" t="s">
        <v>761</v>
      </c>
      <c r="C145" s="171" t="s">
        <v>791</v>
      </c>
      <c r="D145" s="174" t="s">
        <v>905</v>
      </c>
      <c r="E145" s="173">
        <v>45111.0</v>
      </c>
      <c r="F145" s="173">
        <v>45138.0</v>
      </c>
      <c r="G145" s="170" t="s">
        <v>620</v>
      </c>
      <c r="H145" s="174" t="s">
        <v>804</v>
      </c>
    </row>
    <row r="146" hidden="1">
      <c r="A146" s="169">
        <f t="shared" si="3"/>
        <v>135</v>
      </c>
      <c r="B146" s="170" t="s">
        <v>919</v>
      </c>
      <c r="C146" s="171" t="s">
        <v>791</v>
      </c>
      <c r="D146" s="210" t="s">
        <v>920</v>
      </c>
      <c r="E146" s="173">
        <v>45139.0</v>
      </c>
      <c r="F146" s="173">
        <v>45180.0</v>
      </c>
      <c r="G146" s="170" t="s">
        <v>620</v>
      </c>
      <c r="H146" s="174" t="s">
        <v>804</v>
      </c>
    </row>
    <row r="147" hidden="1">
      <c r="A147" s="169">
        <f t="shared" si="3"/>
        <v>136</v>
      </c>
      <c r="B147" s="170" t="s">
        <v>726</v>
      </c>
      <c r="C147" s="171" t="s">
        <v>791</v>
      </c>
      <c r="D147" s="174" t="s">
        <v>727</v>
      </c>
      <c r="E147" s="211">
        <v>45181.0</v>
      </c>
      <c r="F147" s="211">
        <v>45208.0</v>
      </c>
      <c r="G147" s="170" t="s">
        <v>620</v>
      </c>
      <c r="H147" s="174" t="s">
        <v>804</v>
      </c>
    </row>
    <row r="148" hidden="1">
      <c r="A148" s="169">
        <f t="shared" si="3"/>
        <v>137</v>
      </c>
      <c r="B148" s="170" t="s">
        <v>901</v>
      </c>
      <c r="C148" s="171" t="s">
        <v>921</v>
      </c>
      <c r="D148" s="212" t="s">
        <v>922</v>
      </c>
      <c r="E148" s="173">
        <v>45125.0</v>
      </c>
      <c r="F148" s="173">
        <v>45178.0</v>
      </c>
      <c r="G148" s="170" t="s">
        <v>620</v>
      </c>
      <c r="H148" s="174" t="s">
        <v>923</v>
      </c>
    </row>
    <row r="149" hidden="1">
      <c r="A149" s="169">
        <f t="shared" si="3"/>
        <v>138</v>
      </c>
      <c r="B149" s="170" t="s">
        <v>924</v>
      </c>
      <c r="C149" s="171" t="s">
        <v>791</v>
      </c>
      <c r="D149" s="210" t="s">
        <v>925</v>
      </c>
      <c r="E149" s="211">
        <v>45209.0</v>
      </c>
      <c r="F149" s="211">
        <v>45236.0</v>
      </c>
      <c r="G149" s="170" t="s">
        <v>620</v>
      </c>
      <c r="H149" s="174" t="s">
        <v>804</v>
      </c>
    </row>
    <row r="150" hidden="1">
      <c r="A150" s="169">
        <f t="shared" si="3"/>
        <v>139</v>
      </c>
      <c r="B150" s="170" t="s">
        <v>621</v>
      </c>
      <c r="C150" s="171" t="s">
        <v>791</v>
      </c>
      <c r="D150" s="174" t="s">
        <v>736</v>
      </c>
      <c r="E150" s="211">
        <v>45237.0</v>
      </c>
      <c r="F150" s="211">
        <v>45264.0</v>
      </c>
      <c r="G150" s="170" t="s">
        <v>620</v>
      </c>
      <c r="H150" s="174" t="s">
        <v>804</v>
      </c>
    </row>
    <row r="151" hidden="1">
      <c r="A151" s="169">
        <f t="shared" si="3"/>
        <v>140</v>
      </c>
      <c r="B151" s="170" t="s">
        <v>899</v>
      </c>
      <c r="C151" s="171" t="s">
        <v>791</v>
      </c>
      <c r="D151" s="213" t="s">
        <v>926</v>
      </c>
      <c r="E151" s="211">
        <v>45265.0</v>
      </c>
      <c r="F151" s="211">
        <v>45306.0</v>
      </c>
      <c r="G151" s="174" t="s">
        <v>620</v>
      </c>
      <c r="H151" s="174" t="s">
        <v>804</v>
      </c>
    </row>
    <row r="152" hidden="1">
      <c r="A152" s="169">
        <v>152.0</v>
      </c>
      <c r="B152" s="170" t="s">
        <v>901</v>
      </c>
      <c r="C152" s="171" t="s">
        <v>927</v>
      </c>
      <c r="D152" s="212" t="s">
        <v>928</v>
      </c>
      <c r="E152" s="173">
        <v>45265.0</v>
      </c>
      <c r="F152" s="173">
        <v>45325.0</v>
      </c>
      <c r="G152" s="170" t="s">
        <v>620</v>
      </c>
      <c r="H152" s="174" t="s">
        <v>929</v>
      </c>
    </row>
    <row r="153" hidden="1">
      <c r="A153" s="169">
        <v>141.0</v>
      </c>
      <c r="B153" s="170" t="s">
        <v>930</v>
      </c>
      <c r="C153" s="171" t="s">
        <v>791</v>
      </c>
      <c r="D153" s="174" t="s">
        <v>905</v>
      </c>
      <c r="E153" s="211">
        <v>45307.0</v>
      </c>
      <c r="F153" s="211">
        <v>45334.0</v>
      </c>
      <c r="G153" s="174" t="s">
        <v>620</v>
      </c>
      <c r="H153" s="174" t="s">
        <v>804</v>
      </c>
    </row>
    <row r="154" hidden="1">
      <c r="A154" s="169">
        <v>153.0</v>
      </c>
      <c r="B154" s="170" t="s">
        <v>931</v>
      </c>
      <c r="C154" s="171" t="s">
        <v>791</v>
      </c>
      <c r="D154" s="214" t="s">
        <v>932</v>
      </c>
      <c r="E154" s="197">
        <v>45335.0</v>
      </c>
      <c r="F154" s="197">
        <v>45362.0</v>
      </c>
      <c r="G154" s="174" t="s">
        <v>620</v>
      </c>
      <c r="H154" s="174" t="s">
        <v>804</v>
      </c>
    </row>
    <row r="155" hidden="1">
      <c r="A155" s="169">
        <v>154.0</v>
      </c>
      <c r="B155" s="170" t="s">
        <v>901</v>
      </c>
      <c r="C155" s="171" t="s">
        <v>933</v>
      </c>
      <c r="D155" s="212" t="s">
        <v>934</v>
      </c>
      <c r="E155" s="170" t="s">
        <v>935</v>
      </c>
      <c r="F155" s="170" t="s">
        <v>936</v>
      </c>
      <c r="G155" s="174" t="s">
        <v>620</v>
      </c>
      <c r="H155" s="174" t="s">
        <v>937</v>
      </c>
    </row>
    <row r="156" hidden="1">
      <c r="A156" s="169">
        <v>155.0</v>
      </c>
      <c r="B156" s="170" t="s">
        <v>763</v>
      </c>
      <c r="C156" s="171" t="s">
        <v>791</v>
      </c>
      <c r="D156" s="174" t="s">
        <v>764</v>
      </c>
      <c r="E156" s="197">
        <v>45363.0</v>
      </c>
      <c r="F156" s="197">
        <v>45390.0</v>
      </c>
      <c r="G156" s="174" t="s">
        <v>620</v>
      </c>
      <c r="H156" s="174" t="s">
        <v>804</v>
      </c>
    </row>
    <row r="157" hidden="1">
      <c r="A157" s="169">
        <v>156.0</v>
      </c>
      <c r="B157" s="170" t="s">
        <v>930</v>
      </c>
      <c r="C157" s="171" t="s">
        <v>938</v>
      </c>
      <c r="D157" s="174" t="s">
        <v>905</v>
      </c>
      <c r="E157" s="197">
        <v>45391.0</v>
      </c>
      <c r="F157" s="197">
        <v>45418.0</v>
      </c>
      <c r="G157" s="174" t="s">
        <v>620</v>
      </c>
      <c r="H157" s="174" t="s">
        <v>804</v>
      </c>
    </row>
    <row r="158" hidden="1">
      <c r="A158" s="169">
        <v>157.0</v>
      </c>
      <c r="B158" s="170" t="s">
        <v>939</v>
      </c>
      <c r="C158" s="171" t="s">
        <v>940</v>
      </c>
      <c r="D158" s="210" t="s">
        <v>941</v>
      </c>
      <c r="E158" s="197">
        <v>45419.0</v>
      </c>
      <c r="F158" s="197">
        <v>45446.0</v>
      </c>
      <c r="G158" s="215" t="s">
        <v>620</v>
      </c>
      <c r="H158" s="174" t="s">
        <v>804</v>
      </c>
    </row>
    <row r="159" hidden="1">
      <c r="A159" s="169">
        <v>158.0</v>
      </c>
      <c r="B159" s="170" t="s">
        <v>621</v>
      </c>
      <c r="C159" s="171" t="s">
        <v>942</v>
      </c>
      <c r="D159" s="174" t="s">
        <v>736</v>
      </c>
      <c r="E159" s="197">
        <v>45447.0</v>
      </c>
      <c r="F159" s="197">
        <v>45474.0</v>
      </c>
      <c r="G159" s="174" t="s">
        <v>620</v>
      </c>
      <c r="H159" s="174" t="s">
        <v>804</v>
      </c>
    </row>
    <row r="160" hidden="1">
      <c r="A160" s="169">
        <v>159.0</v>
      </c>
      <c r="B160" s="170" t="s">
        <v>943</v>
      </c>
      <c r="C160" s="171" t="s">
        <v>791</v>
      </c>
      <c r="D160" s="174" t="s">
        <v>944</v>
      </c>
      <c r="E160" s="197">
        <v>45475.0</v>
      </c>
      <c r="F160" s="197">
        <v>45502.0</v>
      </c>
      <c r="G160" s="174" t="s">
        <v>620</v>
      </c>
      <c r="H160" s="174" t="s">
        <v>804</v>
      </c>
    </row>
    <row r="161" hidden="1">
      <c r="A161" s="169">
        <v>160.0</v>
      </c>
      <c r="B161" s="170" t="s">
        <v>945</v>
      </c>
      <c r="C161" s="171" t="s">
        <v>946</v>
      </c>
      <c r="D161" s="216" t="s">
        <v>947</v>
      </c>
      <c r="E161" s="197">
        <v>45503.0</v>
      </c>
      <c r="F161" s="197">
        <v>45544.0</v>
      </c>
      <c r="G161" s="174" t="s">
        <v>620</v>
      </c>
      <c r="H161" s="174" t="s">
        <v>804</v>
      </c>
    </row>
    <row r="162" hidden="1">
      <c r="A162" s="169">
        <f t="shared" ref="A162:A163" si="4">A161+1</f>
        <v>161</v>
      </c>
      <c r="B162" s="170" t="s">
        <v>948</v>
      </c>
      <c r="C162" s="171" t="s">
        <v>949</v>
      </c>
      <c r="D162" s="174" t="s">
        <v>950</v>
      </c>
      <c r="E162" s="211">
        <v>45230.0</v>
      </c>
      <c r="F162" s="211">
        <v>45230.0</v>
      </c>
      <c r="G162" s="170" t="s">
        <v>620</v>
      </c>
      <c r="H162" s="174" t="s">
        <v>804</v>
      </c>
    </row>
    <row r="163" hidden="1">
      <c r="A163" s="169">
        <f t="shared" si="4"/>
        <v>162</v>
      </c>
      <c r="B163" s="170" t="s">
        <v>865</v>
      </c>
      <c r="C163" s="174" t="s">
        <v>951</v>
      </c>
      <c r="D163" s="174" t="s">
        <v>952</v>
      </c>
      <c r="E163" s="211">
        <v>45230.0</v>
      </c>
      <c r="F163" s="217">
        <v>45230.0</v>
      </c>
      <c r="G163" s="174" t="s">
        <v>620</v>
      </c>
      <c r="H163" s="174" t="s">
        <v>804</v>
      </c>
    </row>
    <row r="164" hidden="1">
      <c r="A164" s="169">
        <v>161.0</v>
      </c>
      <c r="B164" s="170" t="s">
        <v>726</v>
      </c>
      <c r="C164" s="171" t="s">
        <v>953</v>
      </c>
      <c r="D164" s="218" t="s">
        <v>954</v>
      </c>
      <c r="E164" s="197">
        <v>45545.0</v>
      </c>
      <c r="F164" s="197">
        <v>45572.0</v>
      </c>
      <c r="G164" s="174" t="s">
        <v>620</v>
      </c>
      <c r="H164" s="174" t="s">
        <v>804</v>
      </c>
    </row>
    <row r="165" hidden="1">
      <c r="A165" s="169">
        <f>A164+1</f>
        <v>162</v>
      </c>
      <c r="B165" s="170" t="s">
        <v>865</v>
      </c>
      <c r="C165" s="174" t="s">
        <v>955</v>
      </c>
      <c r="D165" s="174" t="s">
        <v>956</v>
      </c>
      <c r="E165" s="173">
        <v>45258.0</v>
      </c>
      <c r="F165" s="173">
        <v>45260.0</v>
      </c>
      <c r="G165" s="170" t="s">
        <v>620</v>
      </c>
      <c r="H165" s="174" t="s">
        <v>804</v>
      </c>
    </row>
    <row r="166" hidden="1">
      <c r="A166" s="169">
        <v>162.0</v>
      </c>
      <c r="B166" s="170" t="s">
        <v>957</v>
      </c>
      <c r="C166" s="171" t="s">
        <v>958</v>
      </c>
      <c r="D166" s="219" t="s">
        <v>959</v>
      </c>
      <c r="E166" s="197">
        <v>45376.0</v>
      </c>
      <c r="F166" s="197">
        <v>45412.0</v>
      </c>
      <c r="G166" s="174" t="s">
        <v>620</v>
      </c>
      <c r="H166" s="174" t="s">
        <v>960</v>
      </c>
    </row>
    <row r="167" hidden="1">
      <c r="A167" s="183">
        <v>163.0</v>
      </c>
      <c r="B167" s="184" t="s">
        <v>961</v>
      </c>
      <c r="C167" s="186" t="s">
        <v>962</v>
      </c>
      <c r="D167" s="220" t="s">
        <v>963</v>
      </c>
      <c r="E167" s="221">
        <v>45376.0</v>
      </c>
      <c r="F167" s="184" t="s">
        <v>964</v>
      </c>
      <c r="G167" s="186" t="s">
        <v>620</v>
      </c>
      <c r="H167" s="186" t="s">
        <v>965</v>
      </c>
      <c r="I167" s="19" t="s">
        <v>966</v>
      </c>
    </row>
    <row r="168" hidden="1">
      <c r="A168" s="169">
        <v>164.0</v>
      </c>
      <c r="B168" s="170" t="s">
        <v>901</v>
      </c>
      <c r="C168" s="171" t="s">
        <v>967</v>
      </c>
      <c r="D168" s="212" t="s">
        <v>968</v>
      </c>
      <c r="E168" s="170" t="s">
        <v>969</v>
      </c>
      <c r="F168" s="170" t="s">
        <v>970</v>
      </c>
      <c r="G168" s="174" t="s">
        <v>620</v>
      </c>
      <c r="H168" s="174" t="s">
        <v>971</v>
      </c>
    </row>
    <row r="169">
      <c r="A169" s="169">
        <f t="shared" ref="A169:A206" si="5">A168+1</f>
        <v>165</v>
      </c>
      <c r="B169" s="170" t="s">
        <v>972</v>
      </c>
      <c r="C169" s="174" t="s">
        <v>973</v>
      </c>
      <c r="D169" s="222" t="s">
        <v>974</v>
      </c>
      <c r="E169" s="174" t="s">
        <v>975</v>
      </c>
      <c r="F169" s="174" t="s">
        <v>976</v>
      </c>
      <c r="G169" s="223"/>
      <c r="H169" s="174" t="s">
        <v>977</v>
      </c>
    </row>
    <row r="170">
      <c r="A170" s="169">
        <f t="shared" si="5"/>
        <v>166</v>
      </c>
      <c r="B170" s="170" t="s">
        <v>978</v>
      </c>
      <c r="C170" s="174" t="s">
        <v>979</v>
      </c>
      <c r="D170" s="222" t="s">
        <v>980</v>
      </c>
      <c r="E170" s="174" t="s">
        <v>975</v>
      </c>
      <c r="F170" s="174" t="s">
        <v>976</v>
      </c>
      <c r="G170" s="223"/>
      <c r="H170" s="174" t="s">
        <v>981</v>
      </c>
    </row>
    <row r="171">
      <c r="A171" s="169">
        <f t="shared" si="5"/>
        <v>167</v>
      </c>
      <c r="B171" s="170" t="s">
        <v>982</v>
      </c>
      <c r="C171" s="174" t="s">
        <v>983</v>
      </c>
      <c r="D171" s="224" t="s">
        <v>984</v>
      </c>
      <c r="E171" s="174" t="s">
        <v>975</v>
      </c>
      <c r="F171" s="174" t="s">
        <v>976</v>
      </c>
      <c r="G171" s="223"/>
      <c r="H171" s="174" t="s">
        <v>985</v>
      </c>
    </row>
    <row r="172" hidden="1">
      <c r="A172" s="169">
        <f t="shared" si="5"/>
        <v>168</v>
      </c>
      <c r="B172" s="170" t="s">
        <v>986</v>
      </c>
      <c r="C172" s="174" t="s">
        <v>987</v>
      </c>
      <c r="D172" s="172" t="s">
        <v>988</v>
      </c>
      <c r="E172" s="174" t="s">
        <v>989</v>
      </c>
      <c r="F172" s="174" t="s">
        <v>990</v>
      </c>
      <c r="G172" s="174" t="s">
        <v>620</v>
      </c>
      <c r="H172" s="174" t="s">
        <v>991</v>
      </c>
    </row>
    <row r="173" hidden="1">
      <c r="A173" s="169">
        <f t="shared" si="5"/>
        <v>169</v>
      </c>
      <c r="B173" s="225" t="s">
        <v>901</v>
      </c>
      <c r="C173" s="226" t="s">
        <v>992</v>
      </c>
      <c r="D173" s="227" t="s">
        <v>993</v>
      </c>
      <c r="E173" s="228" t="s">
        <v>994</v>
      </c>
      <c r="F173" s="228" t="s">
        <v>995</v>
      </c>
      <c r="G173" s="229" t="s">
        <v>620</v>
      </c>
      <c r="H173" s="230" t="s">
        <v>996</v>
      </c>
    </row>
    <row r="174" hidden="1">
      <c r="A174" s="169">
        <f t="shared" si="5"/>
        <v>170</v>
      </c>
      <c r="B174" s="170" t="s">
        <v>997</v>
      </c>
      <c r="C174" s="174" t="s">
        <v>998</v>
      </c>
      <c r="D174" s="174" t="s">
        <v>999</v>
      </c>
      <c r="E174" s="231">
        <v>45552.0</v>
      </c>
      <c r="F174" s="231">
        <v>45565.0</v>
      </c>
      <c r="G174" s="174" t="s">
        <v>620</v>
      </c>
      <c r="H174" s="174" t="s">
        <v>1000</v>
      </c>
    </row>
    <row r="175" hidden="1">
      <c r="A175" s="169">
        <f t="shared" si="5"/>
        <v>171</v>
      </c>
      <c r="B175" s="170" t="s">
        <v>1001</v>
      </c>
      <c r="C175" s="171" t="s">
        <v>1002</v>
      </c>
      <c r="D175" s="218" t="s">
        <v>1003</v>
      </c>
      <c r="E175" s="232">
        <v>45573.0</v>
      </c>
      <c r="F175" s="232">
        <v>45600.0</v>
      </c>
      <c r="G175" s="174" t="s">
        <v>620</v>
      </c>
      <c r="H175" s="174" t="s">
        <v>804</v>
      </c>
    </row>
    <row r="176" hidden="1">
      <c r="A176" s="169">
        <f t="shared" si="5"/>
        <v>172</v>
      </c>
      <c r="B176" s="233" t="s">
        <v>1004</v>
      </c>
      <c r="C176" s="234" t="s">
        <v>1005</v>
      </c>
      <c r="D176" s="235" t="s">
        <v>1006</v>
      </c>
      <c r="E176" s="232">
        <v>45593.0</v>
      </c>
      <c r="F176" s="232">
        <v>45640.0</v>
      </c>
      <c r="G176" s="174" t="s">
        <v>620</v>
      </c>
      <c r="H176" s="236" t="s">
        <v>1007</v>
      </c>
    </row>
    <row r="177" hidden="1">
      <c r="A177" s="169">
        <f t="shared" si="5"/>
        <v>173</v>
      </c>
      <c r="B177" s="170" t="s">
        <v>621</v>
      </c>
      <c r="C177" s="171" t="s">
        <v>742</v>
      </c>
      <c r="D177" s="218" t="s">
        <v>1008</v>
      </c>
      <c r="E177" s="232">
        <v>45601.0</v>
      </c>
      <c r="F177" s="232">
        <v>45628.0</v>
      </c>
      <c r="G177" s="174" t="s">
        <v>620</v>
      </c>
      <c r="H177" s="174" t="s">
        <v>804</v>
      </c>
    </row>
    <row r="178" hidden="1">
      <c r="A178" s="169">
        <f t="shared" si="5"/>
        <v>174</v>
      </c>
      <c r="B178" s="170" t="s">
        <v>1009</v>
      </c>
      <c r="C178" s="171" t="s">
        <v>742</v>
      </c>
      <c r="D178" s="218" t="s">
        <v>1010</v>
      </c>
      <c r="E178" s="232">
        <v>45629.0</v>
      </c>
      <c r="F178" s="232">
        <v>45663.0</v>
      </c>
      <c r="G178" s="174" t="s">
        <v>620</v>
      </c>
      <c r="H178" s="174" t="s">
        <v>804</v>
      </c>
    </row>
    <row r="179" hidden="1">
      <c r="A179" s="169">
        <f t="shared" si="5"/>
        <v>175</v>
      </c>
      <c r="B179" s="225" t="s">
        <v>901</v>
      </c>
      <c r="C179" s="234" t="s">
        <v>1011</v>
      </c>
      <c r="D179" s="227" t="s">
        <v>1012</v>
      </c>
      <c r="E179" s="228" t="s">
        <v>1013</v>
      </c>
      <c r="F179" s="228" t="s">
        <v>1014</v>
      </c>
      <c r="G179" s="229" t="s">
        <v>620</v>
      </c>
      <c r="H179" s="230" t="s">
        <v>1015</v>
      </c>
    </row>
    <row r="180" hidden="1">
      <c r="A180" s="169">
        <f t="shared" si="5"/>
        <v>176</v>
      </c>
      <c r="B180" s="170" t="s">
        <v>1016</v>
      </c>
      <c r="C180" s="171" t="s">
        <v>742</v>
      </c>
      <c r="D180" s="218" t="s">
        <v>1017</v>
      </c>
      <c r="E180" s="232">
        <v>45664.0</v>
      </c>
      <c r="F180" s="232">
        <v>45691.0</v>
      </c>
      <c r="G180" s="174" t="s">
        <v>620</v>
      </c>
      <c r="H180" s="174" t="s">
        <v>804</v>
      </c>
    </row>
    <row r="181" hidden="1">
      <c r="A181" s="169">
        <f t="shared" si="5"/>
        <v>177</v>
      </c>
      <c r="B181" s="170" t="s">
        <v>1018</v>
      </c>
      <c r="C181" s="199" t="s">
        <v>742</v>
      </c>
      <c r="D181" s="218" t="s">
        <v>1019</v>
      </c>
      <c r="E181" s="232">
        <v>45692.0</v>
      </c>
      <c r="F181" s="232">
        <v>45719.0</v>
      </c>
      <c r="G181" s="174" t="s">
        <v>620</v>
      </c>
      <c r="H181" s="174" t="s">
        <v>804</v>
      </c>
    </row>
    <row r="182" hidden="1">
      <c r="A182" s="169">
        <f t="shared" si="5"/>
        <v>178</v>
      </c>
      <c r="B182" s="170" t="s">
        <v>1020</v>
      </c>
      <c r="C182" s="171" t="s">
        <v>1021</v>
      </c>
      <c r="D182" s="237" t="s">
        <v>1022</v>
      </c>
      <c r="E182" s="232">
        <v>45706.0</v>
      </c>
      <c r="F182" s="232">
        <v>45706.0</v>
      </c>
      <c r="G182" s="174" t="s">
        <v>620</v>
      </c>
      <c r="H182" s="174" t="s">
        <v>804</v>
      </c>
    </row>
    <row r="183" hidden="1">
      <c r="A183" s="169">
        <f t="shared" si="5"/>
        <v>179</v>
      </c>
      <c r="B183" s="170" t="s">
        <v>763</v>
      </c>
      <c r="C183" s="199" t="s">
        <v>742</v>
      </c>
      <c r="D183" s="218" t="s">
        <v>1023</v>
      </c>
      <c r="E183" s="232">
        <v>45720.0</v>
      </c>
      <c r="F183" s="232">
        <v>45747.0</v>
      </c>
      <c r="G183" s="174" t="s">
        <v>620</v>
      </c>
      <c r="H183" s="174" t="s">
        <v>804</v>
      </c>
    </row>
    <row r="184" hidden="1">
      <c r="A184" s="169">
        <f t="shared" si="5"/>
        <v>180</v>
      </c>
      <c r="B184" s="225" t="s">
        <v>901</v>
      </c>
      <c r="C184" s="234" t="s">
        <v>1024</v>
      </c>
      <c r="D184" s="227" t="s">
        <v>1025</v>
      </c>
      <c r="E184" s="228" t="s">
        <v>1026</v>
      </c>
      <c r="F184" s="228" t="s">
        <v>1027</v>
      </c>
      <c r="G184" s="229" t="s">
        <v>620</v>
      </c>
      <c r="H184" s="230" t="s">
        <v>1028</v>
      </c>
    </row>
    <row r="185" hidden="1">
      <c r="A185" s="169">
        <f t="shared" si="5"/>
        <v>181</v>
      </c>
      <c r="B185" s="170" t="s">
        <v>1029</v>
      </c>
      <c r="C185" s="199" t="s">
        <v>742</v>
      </c>
      <c r="D185" s="218" t="s">
        <v>1030</v>
      </c>
      <c r="E185" s="232">
        <v>45748.0</v>
      </c>
      <c r="F185" s="232">
        <v>45789.0</v>
      </c>
      <c r="G185" s="174" t="s">
        <v>620</v>
      </c>
      <c r="H185" s="174" t="s">
        <v>804</v>
      </c>
    </row>
    <row r="186" hidden="1">
      <c r="A186" s="169">
        <f t="shared" si="5"/>
        <v>182</v>
      </c>
      <c r="B186" s="170" t="s">
        <v>1031</v>
      </c>
      <c r="C186" s="199" t="s">
        <v>1032</v>
      </c>
      <c r="D186" s="218" t="s">
        <v>1033</v>
      </c>
      <c r="E186" s="232">
        <v>45793.0</v>
      </c>
      <c r="F186" s="232">
        <v>45793.0</v>
      </c>
      <c r="G186" s="174" t="s">
        <v>620</v>
      </c>
      <c r="H186" s="174" t="s">
        <v>804</v>
      </c>
    </row>
    <row r="187" hidden="1">
      <c r="A187" s="169">
        <f t="shared" si="5"/>
        <v>183</v>
      </c>
      <c r="B187" s="225" t="s">
        <v>901</v>
      </c>
      <c r="C187" s="234" t="s">
        <v>1034</v>
      </c>
      <c r="D187" s="227" t="s">
        <v>1035</v>
      </c>
      <c r="E187" s="228" t="s">
        <v>1036</v>
      </c>
      <c r="F187" s="228" t="s">
        <v>1037</v>
      </c>
      <c r="G187" s="229" t="s">
        <v>620</v>
      </c>
      <c r="H187" s="230" t="s">
        <v>1038</v>
      </c>
    </row>
    <row r="188" hidden="1">
      <c r="A188" s="169">
        <f t="shared" si="5"/>
        <v>184</v>
      </c>
      <c r="B188" s="170" t="s">
        <v>1039</v>
      </c>
      <c r="C188" s="171" t="s">
        <v>742</v>
      </c>
      <c r="D188" s="237" t="s">
        <v>1040</v>
      </c>
      <c r="E188" s="232">
        <v>45790.0</v>
      </c>
      <c r="F188" s="232">
        <v>45817.0</v>
      </c>
      <c r="G188" s="174" t="s">
        <v>620</v>
      </c>
      <c r="H188" s="174" t="s">
        <v>804</v>
      </c>
    </row>
    <row r="189" hidden="1">
      <c r="A189" s="169">
        <f t="shared" si="5"/>
        <v>185</v>
      </c>
      <c r="B189" s="170" t="s">
        <v>1041</v>
      </c>
      <c r="C189" s="171" t="s">
        <v>742</v>
      </c>
      <c r="D189" s="237" t="s">
        <v>1042</v>
      </c>
      <c r="E189" s="232">
        <v>45818.0</v>
      </c>
      <c r="F189" s="232">
        <v>45845.0</v>
      </c>
      <c r="G189" s="229" t="s">
        <v>620</v>
      </c>
      <c r="H189" s="174" t="s">
        <v>804</v>
      </c>
    </row>
    <row r="190" hidden="1">
      <c r="A190" s="169">
        <f t="shared" si="5"/>
        <v>186</v>
      </c>
      <c r="B190" s="170" t="s">
        <v>1020</v>
      </c>
      <c r="C190" s="171" t="s">
        <v>1043</v>
      </c>
      <c r="D190" s="237" t="s">
        <v>1044</v>
      </c>
      <c r="E190" s="232">
        <v>45820.0</v>
      </c>
      <c r="F190" s="232">
        <v>45824.0</v>
      </c>
      <c r="G190" s="174" t="s">
        <v>620</v>
      </c>
      <c r="H190" s="174" t="s">
        <v>804</v>
      </c>
    </row>
    <row r="191" hidden="1">
      <c r="A191" s="169">
        <f t="shared" si="5"/>
        <v>187</v>
      </c>
      <c r="B191" s="170" t="s">
        <v>1045</v>
      </c>
      <c r="C191" s="199" t="s">
        <v>742</v>
      </c>
      <c r="D191" s="237" t="s">
        <v>1046</v>
      </c>
      <c r="E191" s="232">
        <v>45846.0</v>
      </c>
      <c r="F191" s="232">
        <v>45873.0</v>
      </c>
      <c r="G191" s="174" t="s">
        <v>620</v>
      </c>
      <c r="H191" s="174" t="s">
        <v>804</v>
      </c>
    </row>
    <row r="192" hidden="1">
      <c r="A192" s="169">
        <f t="shared" si="5"/>
        <v>188</v>
      </c>
      <c r="B192" s="238" t="s">
        <v>1020</v>
      </c>
      <c r="C192" s="171" t="s">
        <v>1047</v>
      </c>
      <c r="D192" s="237" t="s">
        <v>1048</v>
      </c>
      <c r="E192" s="232">
        <v>45859.0</v>
      </c>
      <c r="F192" s="232">
        <v>45866.0</v>
      </c>
      <c r="G192" s="170" t="s">
        <v>620</v>
      </c>
      <c r="H192" s="174" t="s">
        <v>1049</v>
      </c>
    </row>
    <row r="193" hidden="1">
      <c r="A193" s="169">
        <f t="shared" si="5"/>
        <v>189</v>
      </c>
      <c r="B193" s="170" t="s">
        <v>1050</v>
      </c>
      <c r="C193" s="199" t="s">
        <v>742</v>
      </c>
      <c r="D193" s="237" t="s">
        <v>1051</v>
      </c>
      <c r="E193" s="232">
        <v>45874.0</v>
      </c>
      <c r="F193" s="232">
        <v>45908.0</v>
      </c>
      <c r="G193" s="174" t="s">
        <v>620</v>
      </c>
      <c r="H193" s="174" t="s">
        <v>804</v>
      </c>
    </row>
    <row r="194" hidden="1">
      <c r="A194" s="169">
        <f t="shared" si="5"/>
        <v>190</v>
      </c>
      <c r="B194" s="170" t="s">
        <v>1052</v>
      </c>
      <c r="C194" s="199" t="s">
        <v>1053</v>
      </c>
      <c r="D194" s="237" t="s">
        <v>1054</v>
      </c>
      <c r="E194" s="232">
        <v>45891.0</v>
      </c>
      <c r="F194" s="232">
        <v>45905.0</v>
      </c>
      <c r="G194" s="174" t="s">
        <v>620</v>
      </c>
      <c r="H194" s="239" t="s">
        <v>1055</v>
      </c>
    </row>
    <row r="195" hidden="1">
      <c r="A195" s="169">
        <f t="shared" si="5"/>
        <v>191</v>
      </c>
      <c r="B195" s="225" t="s">
        <v>901</v>
      </c>
      <c r="C195" s="234" t="s">
        <v>1056</v>
      </c>
      <c r="D195" s="227" t="s">
        <v>1057</v>
      </c>
      <c r="E195" s="228" t="s">
        <v>1058</v>
      </c>
      <c r="F195" s="228" t="s">
        <v>1059</v>
      </c>
      <c r="G195" s="229" t="s">
        <v>620</v>
      </c>
      <c r="H195" s="230" t="s">
        <v>1060</v>
      </c>
    </row>
    <row r="196" hidden="1">
      <c r="A196" s="169">
        <f t="shared" si="5"/>
        <v>192</v>
      </c>
      <c r="B196" s="170" t="s">
        <v>1061</v>
      </c>
      <c r="C196" s="199" t="s">
        <v>742</v>
      </c>
      <c r="D196" s="218" t="s">
        <v>1062</v>
      </c>
      <c r="E196" s="228" t="s">
        <v>1063</v>
      </c>
      <c r="F196" s="228" t="s">
        <v>1064</v>
      </c>
      <c r="G196" s="174" t="s">
        <v>620</v>
      </c>
      <c r="H196" s="230" t="s">
        <v>1065</v>
      </c>
    </row>
    <row r="197" hidden="1">
      <c r="A197" s="169">
        <f t="shared" si="5"/>
        <v>193</v>
      </c>
      <c r="B197" s="170" t="s">
        <v>1045</v>
      </c>
      <c r="C197" s="199" t="s">
        <v>742</v>
      </c>
      <c r="D197" s="237" t="s">
        <v>1046</v>
      </c>
      <c r="E197" s="228" t="s">
        <v>1066</v>
      </c>
      <c r="F197" s="228" t="s">
        <v>1067</v>
      </c>
      <c r="G197" s="174" t="s">
        <v>620</v>
      </c>
      <c r="H197" s="230" t="s">
        <v>1068</v>
      </c>
    </row>
    <row r="198" hidden="1">
      <c r="A198" s="169">
        <f t="shared" si="5"/>
        <v>194</v>
      </c>
      <c r="B198" s="233" t="s">
        <v>1004</v>
      </c>
      <c r="C198" s="234" t="s">
        <v>1069</v>
      </c>
      <c r="D198" s="235" t="s">
        <v>1070</v>
      </c>
      <c r="E198" s="228" t="s">
        <v>1071</v>
      </c>
      <c r="F198" s="228" t="s">
        <v>1072</v>
      </c>
      <c r="G198" s="174" t="s">
        <v>620</v>
      </c>
      <c r="H198" s="230" t="s">
        <v>1073</v>
      </c>
    </row>
    <row r="199" hidden="1">
      <c r="A199" s="169">
        <f t="shared" si="5"/>
        <v>195</v>
      </c>
      <c r="B199" s="170" t="s">
        <v>621</v>
      </c>
      <c r="C199" s="199" t="s">
        <v>742</v>
      </c>
      <c r="D199" s="237" t="s">
        <v>1074</v>
      </c>
      <c r="E199" s="228" t="s">
        <v>1075</v>
      </c>
      <c r="F199" s="228" t="s">
        <v>1076</v>
      </c>
      <c r="G199" s="174" t="s">
        <v>620</v>
      </c>
      <c r="H199" s="230" t="s">
        <v>1077</v>
      </c>
    </row>
    <row r="200" hidden="1">
      <c r="A200" s="169">
        <f t="shared" si="5"/>
        <v>196</v>
      </c>
      <c r="B200" s="170" t="s">
        <v>1078</v>
      </c>
      <c r="C200" s="171" t="s">
        <v>1079</v>
      </c>
      <c r="D200" s="237" t="s">
        <v>1080</v>
      </c>
      <c r="E200" s="228" t="s">
        <v>1081</v>
      </c>
      <c r="F200" s="228" t="s">
        <v>1082</v>
      </c>
      <c r="G200" s="174" t="s">
        <v>620</v>
      </c>
      <c r="H200" s="174" t="s">
        <v>804</v>
      </c>
    </row>
    <row r="201" hidden="1">
      <c r="A201" s="169">
        <f t="shared" si="5"/>
        <v>197</v>
      </c>
      <c r="B201" s="169" t="s">
        <v>1009</v>
      </c>
      <c r="C201" s="199" t="s">
        <v>742</v>
      </c>
      <c r="D201" s="237" t="s">
        <v>1083</v>
      </c>
      <c r="E201" s="228" t="s">
        <v>1084</v>
      </c>
      <c r="F201" s="228" t="s">
        <v>1085</v>
      </c>
      <c r="G201" s="174" t="s">
        <v>620</v>
      </c>
      <c r="H201" s="230" t="s">
        <v>1086</v>
      </c>
    </row>
    <row r="202" hidden="1">
      <c r="A202" s="169">
        <f t="shared" si="5"/>
        <v>198</v>
      </c>
      <c r="B202" s="225" t="s">
        <v>901</v>
      </c>
      <c r="C202" s="234" t="s">
        <v>1087</v>
      </c>
      <c r="D202" s="227" t="s">
        <v>1088</v>
      </c>
      <c r="E202" s="228" t="s">
        <v>1089</v>
      </c>
      <c r="F202" s="228" t="s">
        <v>1090</v>
      </c>
      <c r="G202" s="170" t="s">
        <v>620</v>
      </c>
      <c r="H202" s="230" t="s">
        <v>1091</v>
      </c>
    </row>
    <row r="203" hidden="1">
      <c r="A203" s="169">
        <f t="shared" si="5"/>
        <v>199</v>
      </c>
      <c r="B203" s="169" t="s">
        <v>1029</v>
      </c>
      <c r="C203" s="199" t="s">
        <v>742</v>
      </c>
      <c r="D203" s="218" t="s">
        <v>1092</v>
      </c>
      <c r="E203" s="228" t="s">
        <v>1093</v>
      </c>
      <c r="F203" s="228" t="s">
        <v>1094</v>
      </c>
      <c r="G203" s="170" t="s">
        <v>620</v>
      </c>
      <c r="H203" s="230" t="s">
        <v>1095</v>
      </c>
    </row>
    <row r="204" hidden="1">
      <c r="A204" s="169">
        <f t="shared" si="5"/>
        <v>200</v>
      </c>
      <c r="B204" s="170" t="s">
        <v>1096</v>
      </c>
      <c r="C204" s="199" t="s">
        <v>742</v>
      </c>
      <c r="D204" s="218" t="s">
        <v>1097</v>
      </c>
      <c r="E204" s="228" t="s">
        <v>1098</v>
      </c>
      <c r="F204" s="228" t="s">
        <v>1099</v>
      </c>
      <c r="G204" s="174" t="s">
        <v>620</v>
      </c>
      <c r="H204" s="230" t="s">
        <v>1100</v>
      </c>
    </row>
    <row r="205" hidden="1">
      <c r="A205" s="169">
        <f t="shared" si="5"/>
        <v>201</v>
      </c>
      <c r="B205" s="238" t="s">
        <v>763</v>
      </c>
      <c r="C205" s="240" t="s">
        <v>742</v>
      </c>
      <c r="D205" s="241" t="s">
        <v>1101</v>
      </c>
      <c r="E205" s="242" t="s">
        <v>1102</v>
      </c>
      <c r="F205" s="242" t="s">
        <v>1103</v>
      </c>
      <c r="G205" s="169" t="s">
        <v>620</v>
      </c>
      <c r="H205" s="230" t="s">
        <v>1104</v>
      </c>
    </row>
    <row r="206">
      <c r="A206" s="169">
        <f t="shared" si="5"/>
        <v>202</v>
      </c>
      <c r="B206" s="170" t="s">
        <v>1029</v>
      </c>
      <c r="C206" s="240" t="s">
        <v>742</v>
      </c>
      <c r="D206" s="243" t="s">
        <v>1105</v>
      </c>
      <c r="E206" s="244" t="s">
        <v>1106</v>
      </c>
      <c r="F206" s="244" t="s">
        <v>1107</v>
      </c>
      <c r="G206" s="245"/>
      <c r="H206" s="230" t="s">
        <v>1108</v>
      </c>
    </row>
    <row r="207">
      <c r="A207" s="246"/>
      <c r="B207" s="120"/>
      <c r="C207" s="120"/>
      <c r="D207" s="120"/>
      <c r="E207" s="122"/>
      <c r="F207" s="122"/>
      <c r="G207" s="120"/>
      <c r="H207" s="120"/>
    </row>
    <row r="208">
      <c r="A208" s="246"/>
      <c r="B208" s="120"/>
      <c r="C208" s="120"/>
      <c r="D208" s="120"/>
      <c r="E208" s="122"/>
      <c r="F208" s="122"/>
      <c r="G208" s="120"/>
      <c r="H208" s="120"/>
    </row>
    <row r="209">
      <c r="A209" s="246"/>
      <c r="B209" s="120"/>
      <c r="C209" s="120"/>
      <c r="D209" s="120"/>
      <c r="E209" s="122"/>
      <c r="F209" s="122"/>
      <c r="G209" s="120"/>
      <c r="H209" s="120"/>
    </row>
    <row r="210">
      <c r="A210" s="246"/>
      <c r="B210" s="120"/>
      <c r="C210" s="120"/>
      <c r="D210" s="120"/>
      <c r="E210" s="122"/>
      <c r="F210" s="122"/>
      <c r="G210" s="120"/>
      <c r="H210" s="120"/>
    </row>
    <row r="211">
      <c r="A211" s="246"/>
      <c r="B211" s="120"/>
      <c r="C211" s="120"/>
      <c r="D211" s="120"/>
      <c r="E211" s="122"/>
      <c r="F211" s="122"/>
      <c r="G211" s="120"/>
      <c r="H211" s="120"/>
    </row>
    <row r="212">
      <c r="A212" s="246"/>
      <c r="B212" s="120"/>
      <c r="C212" s="120"/>
      <c r="D212" s="120"/>
      <c r="E212" s="122"/>
      <c r="F212" s="122"/>
      <c r="G212" s="120"/>
      <c r="H212" s="120"/>
    </row>
    <row r="213">
      <c r="A213" s="246"/>
      <c r="B213" s="120"/>
      <c r="C213" s="120"/>
      <c r="D213" s="120"/>
      <c r="E213" s="122"/>
      <c r="F213" s="122"/>
      <c r="G213" s="120"/>
      <c r="H213" s="120"/>
    </row>
    <row r="214">
      <c r="A214" s="246"/>
      <c r="B214" s="120"/>
      <c r="C214" s="120"/>
      <c r="D214" s="120"/>
      <c r="E214" s="122"/>
      <c r="F214" s="122"/>
      <c r="G214" s="120"/>
      <c r="H214" s="120"/>
    </row>
    <row r="215">
      <c r="A215" s="246"/>
      <c r="B215" s="120"/>
      <c r="C215" s="120"/>
      <c r="D215" s="120"/>
      <c r="E215" s="122"/>
      <c r="F215" s="122"/>
      <c r="G215" s="120"/>
      <c r="H215" s="120"/>
    </row>
    <row r="216">
      <c r="A216" s="246"/>
      <c r="B216" s="120"/>
      <c r="C216" s="120"/>
      <c r="D216" s="120"/>
      <c r="E216" s="122"/>
      <c r="F216" s="122"/>
      <c r="G216" s="120"/>
      <c r="H216" s="120"/>
    </row>
    <row r="217">
      <c r="A217" s="246"/>
      <c r="B217" s="120"/>
      <c r="C217" s="120"/>
      <c r="D217" s="120"/>
      <c r="E217" s="122"/>
      <c r="F217" s="122"/>
      <c r="G217" s="120"/>
      <c r="H217" s="120"/>
    </row>
    <row r="218">
      <c r="A218" s="246"/>
      <c r="B218" s="120"/>
      <c r="C218" s="120"/>
      <c r="D218" s="120"/>
      <c r="E218" s="122"/>
      <c r="F218" s="122"/>
      <c r="G218" s="120"/>
      <c r="H218" s="120"/>
    </row>
    <row r="219">
      <c r="A219" s="246"/>
      <c r="B219" s="120"/>
      <c r="C219" s="120"/>
      <c r="D219" s="120"/>
      <c r="E219" s="122"/>
      <c r="F219" s="122"/>
      <c r="G219" s="120"/>
      <c r="H219" s="120"/>
    </row>
    <row r="220">
      <c r="A220" s="246"/>
      <c r="B220" s="120"/>
      <c r="C220" s="120"/>
      <c r="D220" s="120"/>
      <c r="E220" s="122"/>
      <c r="F220" s="122"/>
      <c r="G220" s="120"/>
      <c r="H220" s="120"/>
    </row>
    <row r="221">
      <c r="A221" s="246"/>
      <c r="B221" s="120"/>
      <c r="C221" s="120"/>
      <c r="D221" s="120"/>
      <c r="E221" s="122"/>
      <c r="F221" s="122"/>
      <c r="G221" s="120"/>
      <c r="H221" s="120"/>
    </row>
    <row r="222">
      <c r="A222" s="246"/>
      <c r="B222" s="120"/>
      <c r="C222" s="120"/>
      <c r="D222" s="120"/>
      <c r="E222" s="122"/>
      <c r="F222" s="122"/>
      <c r="G222" s="120"/>
      <c r="H222" s="120"/>
    </row>
    <row r="223">
      <c r="A223" s="246"/>
      <c r="B223" s="120"/>
      <c r="C223" s="120"/>
      <c r="D223" s="120"/>
      <c r="E223" s="122"/>
      <c r="F223" s="122"/>
      <c r="G223" s="120"/>
      <c r="H223" s="120"/>
    </row>
    <row r="224">
      <c r="A224" s="246"/>
      <c r="B224" s="120"/>
      <c r="C224" s="120"/>
      <c r="D224" s="120"/>
      <c r="E224" s="122"/>
      <c r="F224" s="122"/>
      <c r="G224" s="120"/>
      <c r="H224" s="120"/>
    </row>
    <row r="225">
      <c r="A225" s="246"/>
      <c r="B225" s="120"/>
      <c r="C225" s="120"/>
      <c r="D225" s="120"/>
      <c r="E225" s="122"/>
      <c r="F225" s="122"/>
      <c r="G225" s="120"/>
      <c r="H225" s="120"/>
    </row>
    <row r="226">
      <c r="A226" s="246"/>
      <c r="B226" s="120"/>
      <c r="C226" s="120"/>
      <c r="D226" s="120"/>
      <c r="E226" s="122"/>
      <c r="F226" s="122"/>
      <c r="G226" s="120"/>
      <c r="H226" s="120"/>
    </row>
    <row r="227">
      <c r="A227" s="246"/>
      <c r="B227" s="120"/>
      <c r="C227" s="120"/>
      <c r="D227" s="120"/>
      <c r="E227" s="122"/>
      <c r="F227" s="122"/>
      <c r="G227" s="120"/>
      <c r="H227" s="120"/>
    </row>
    <row r="228">
      <c r="A228" s="246"/>
      <c r="B228" s="120"/>
      <c r="C228" s="120"/>
      <c r="D228" s="120"/>
      <c r="E228" s="122"/>
      <c r="F228" s="122"/>
      <c r="G228" s="120"/>
      <c r="H228" s="120"/>
    </row>
    <row r="229">
      <c r="A229" s="246"/>
      <c r="B229" s="120"/>
      <c r="C229" s="120"/>
      <c r="D229" s="120"/>
      <c r="E229" s="122"/>
      <c r="F229" s="122"/>
      <c r="G229" s="120"/>
      <c r="H229" s="120"/>
    </row>
    <row r="230">
      <c r="A230" s="246"/>
      <c r="B230" s="120"/>
      <c r="C230" s="120"/>
      <c r="D230" s="120"/>
      <c r="E230" s="122"/>
      <c r="F230" s="122"/>
      <c r="G230" s="120"/>
      <c r="H230" s="120"/>
    </row>
    <row r="231">
      <c r="A231" s="246"/>
      <c r="B231" s="120"/>
      <c r="C231" s="120"/>
      <c r="D231" s="120"/>
      <c r="E231" s="122"/>
      <c r="F231" s="122"/>
      <c r="G231" s="120"/>
      <c r="H231" s="120"/>
    </row>
    <row r="232">
      <c r="A232" s="246"/>
      <c r="B232" s="120"/>
      <c r="C232" s="120"/>
      <c r="D232" s="120"/>
      <c r="E232" s="122"/>
      <c r="F232" s="122"/>
      <c r="G232" s="120"/>
      <c r="H232" s="120"/>
    </row>
    <row r="233">
      <c r="A233" s="246"/>
      <c r="B233" s="120"/>
      <c r="C233" s="120"/>
      <c r="D233" s="120"/>
      <c r="E233" s="122"/>
      <c r="F233" s="122"/>
      <c r="G233" s="120"/>
      <c r="H233" s="120"/>
    </row>
    <row r="234">
      <c r="A234" s="246"/>
      <c r="B234" s="120"/>
      <c r="C234" s="120"/>
      <c r="D234" s="120"/>
      <c r="E234" s="122"/>
      <c r="F234" s="122"/>
      <c r="G234" s="120"/>
      <c r="H234" s="120"/>
    </row>
    <row r="235">
      <c r="A235" s="246"/>
      <c r="B235" s="120"/>
      <c r="C235" s="120"/>
      <c r="D235" s="120"/>
      <c r="E235" s="122"/>
      <c r="F235" s="122"/>
      <c r="G235" s="120"/>
      <c r="H235" s="120"/>
    </row>
    <row r="236">
      <c r="A236" s="246"/>
      <c r="B236" s="120"/>
      <c r="C236" s="120"/>
      <c r="D236" s="120"/>
      <c r="E236" s="122"/>
      <c r="F236" s="122"/>
      <c r="G236" s="120"/>
      <c r="H236" s="120"/>
    </row>
    <row r="237">
      <c r="A237" s="246"/>
      <c r="B237" s="120"/>
      <c r="C237" s="120"/>
      <c r="D237" s="120"/>
      <c r="E237" s="122"/>
      <c r="F237" s="122"/>
      <c r="G237" s="120"/>
      <c r="H237" s="120"/>
    </row>
    <row r="238">
      <c r="A238" s="246"/>
      <c r="B238" s="120"/>
      <c r="C238" s="120"/>
      <c r="D238" s="120"/>
      <c r="E238" s="122"/>
      <c r="F238" s="122"/>
      <c r="G238" s="120"/>
      <c r="H238" s="120"/>
    </row>
    <row r="239">
      <c r="A239" s="246"/>
      <c r="B239" s="120"/>
      <c r="C239" s="120"/>
      <c r="D239" s="120"/>
      <c r="E239" s="122"/>
      <c r="F239" s="122"/>
      <c r="G239" s="120"/>
      <c r="H239" s="120"/>
    </row>
    <row r="240">
      <c r="A240" s="246"/>
      <c r="B240" s="120"/>
      <c r="C240" s="120"/>
      <c r="D240" s="120"/>
      <c r="E240" s="122"/>
      <c r="F240" s="122"/>
      <c r="G240" s="120"/>
      <c r="H240" s="120"/>
    </row>
    <row r="241">
      <c r="A241" s="246"/>
      <c r="B241" s="120"/>
      <c r="C241" s="120"/>
      <c r="D241" s="120"/>
      <c r="E241" s="122"/>
      <c r="F241" s="122"/>
      <c r="G241" s="120"/>
      <c r="H241" s="120"/>
    </row>
    <row r="242">
      <c r="A242" s="246"/>
      <c r="B242" s="120"/>
      <c r="C242" s="120"/>
      <c r="D242" s="120"/>
      <c r="E242" s="122"/>
      <c r="F242" s="122"/>
      <c r="G242" s="120"/>
      <c r="H242" s="120"/>
    </row>
    <row r="243">
      <c r="A243" s="246"/>
      <c r="B243" s="120"/>
      <c r="C243" s="120"/>
      <c r="D243" s="120"/>
      <c r="E243" s="122"/>
      <c r="F243" s="122"/>
      <c r="G243" s="120"/>
      <c r="H243" s="120"/>
    </row>
    <row r="244">
      <c r="A244" s="246"/>
      <c r="B244" s="120"/>
      <c r="C244" s="120"/>
      <c r="D244" s="120"/>
      <c r="E244" s="122"/>
      <c r="F244" s="122"/>
      <c r="G244" s="120"/>
      <c r="H244" s="120"/>
    </row>
    <row r="245">
      <c r="A245" s="246"/>
      <c r="B245" s="120"/>
      <c r="C245" s="120"/>
      <c r="D245" s="120"/>
      <c r="E245" s="122"/>
      <c r="F245" s="122"/>
      <c r="G245" s="120"/>
      <c r="H245" s="120"/>
    </row>
    <row r="246">
      <c r="A246" s="246"/>
      <c r="B246" s="120"/>
      <c r="C246" s="120"/>
      <c r="D246" s="120"/>
      <c r="E246" s="122"/>
      <c r="F246" s="122"/>
      <c r="G246" s="120"/>
      <c r="H246" s="120"/>
    </row>
    <row r="247">
      <c r="A247" s="246"/>
      <c r="B247" s="120"/>
      <c r="C247" s="120"/>
      <c r="D247" s="120"/>
      <c r="E247" s="122"/>
      <c r="F247" s="122"/>
      <c r="G247" s="120"/>
      <c r="H247" s="120"/>
    </row>
    <row r="248">
      <c r="A248" s="246"/>
      <c r="B248" s="120"/>
      <c r="C248" s="120"/>
      <c r="D248" s="120"/>
      <c r="E248" s="122"/>
      <c r="F248" s="122"/>
      <c r="G248" s="120"/>
      <c r="H248" s="120"/>
    </row>
    <row r="249">
      <c r="A249" s="246"/>
      <c r="B249" s="120"/>
      <c r="C249" s="120"/>
      <c r="D249" s="120"/>
      <c r="E249" s="122"/>
      <c r="F249" s="122"/>
      <c r="G249" s="120"/>
      <c r="H249" s="120"/>
    </row>
    <row r="250">
      <c r="A250" s="246"/>
      <c r="B250" s="120"/>
      <c r="C250" s="120"/>
      <c r="D250" s="120"/>
      <c r="E250" s="122"/>
      <c r="F250" s="122"/>
      <c r="G250" s="120"/>
      <c r="H250" s="120"/>
    </row>
    <row r="251">
      <c r="A251" s="246"/>
      <c r="B251" s="120"/>
      <c r="C251" s="120"/>
      <c r="D251" s="120"/>
      <c r="E251" s="122"/>
      <c r="F251" s="122"/>
      <c r="G251" s="120"/>
      <c r="H251" s="120"/>
    </row>
    <row r="252">
      <c r="A252" s="246"/>
      <c r="B252" s="120"/>
      <c r="C252" s="120"/>
      <c r="D252" s="120"/>
      <c r="E252" s="122"/>
      <c r="F252" s="122"/>
      <c r="G252" s="120"/>
      <c r="H252" s="120"/>
    </row>
    <row r="253">
      <c r="A253" s="246"/>
      <c r="B253" s="120"/>
      <c r="C253" s="120"/>
      <c r="D253" s="120"/>
      <c r="E253" s="122"/>
      <c r="F253" s="122"/>
      <c r="G253" s="120"/>
      <c r="H253" s="120"/>
    </row>
    <row r="254">
      <c r="A254" s="246"/>
      <c r="B254" s="120"/>
      <c r="C254" s="120"/>
      <c r="D254" s="120"/>
      <c r="E254" s="122"/>
      <c r="F254" s="122"/>
      <c r="G254" s="120"/>
      <c r="H254" s="120"/>
    </row>
    <row r="255">
      <c r="A255" s="246"/>
      <c r="B255" s="120"/>
      <c r="C255" s="120"/>
      <c r="D255" s="120"/>
      <c r="E255" s="122"/>
      <c r="F255" s="122"/>
      <c r="G255" s="120"/>
      <c r="H255" s="120"/>
    </row>
    <row r="256">
      <c r="A256" s="246"/>
      <c r="B256" s="120"/>
      <c r="C256" s="120"/>
      <c r="D256" s="120"/>
      <c r="E256" s="122"/>
      <c r="F256" s="122"/>
      <c r="G256" s="120"/>
      <c r="H256" s="120"/>
    </row>
    <row r="257">
      <c r="A257" s="246"/>
      <c r="B257" s="120"/>
      <c r="C257" s="120"/>
      <c r="D257" s="120"/>
      <c r="E257" s="122"/>
      <c r="F257" s="122"/>
      <c r="G257" s="120"/>
      <c r="H257" s="120"/>
    </row>
    <row r="258">
      <c r="A258" s="246"/>
      <c r="B258" s="120"/>
      <c r="C258" s="120"/>
      <c r="D258" s="120"/>
      <c r="E258" s="122"/>
      <c r="F258" s="122"/>
      <c r="G258" s="120"/>
      <c r="H258" s="120"/>
    </row>
    <row r="259">
      <c r="A259" s="246"/>
      <c r="B259" s="120"/>
      <c r="C259" s="120"/>
      <c r="D259" s="120"/>
      <c r="E259" s="122"/>
      <c r="F259" s="122"/>
      <c r="G259" s="120"/>
      <c r="H259" s="120"/>
    </row>
    <row r="260">
      <c r="A260" s="246"/>
      <c r="B260" s="120"/>
      <c r="C260" s="120"/>
      <c r="D260" s="120"/>
      <c r="E260" s="122"/>
      <c r="F260" s="122"/>
      <c r="G260" s="120"/>
      <c r="H260" s="120"/>
    </row>
    <row r="261">
      <c r="A261" s="246"/>
      <c r="B261" s="120"/>
      <c r="C261" s="120"/>
      <c r="D261" s="120"/>
      <c r="E261" s="122"/>
      <c r="F261" s="122"/>
      <c r="G261" s="120"/>
      <c r="H261" s="120"/>
    </row>
    <row r="262">
      <c r="A262" s="246"/>
      <c r="B262" s="120"/>
      <c r="C262" s="120"/>
      <c r="D262" s="120"/>
      <c r="E262" s="122"/>
      <c r="F262" s="122"/>
      <c r="G262" s="120"/>
      <c r="H262" s="120"/>
    </row>
    <row r="263">
      <c r="A263" s="246"/>
      <c r="B263" s="120"/>
      <c r="C263" s="120"/>
      <c r="D263" s="120"/>
      <c r="E263" s="122"/>
      <c r="F263" s="122"/>
      <c r="G263" s="120"/>
      <c r="H263" s="120"/>
    </row>
    <row r="264">
      <c r="A264" s="246"/>
      <c r="B264" s="120"/>
      <c r="C264" s="120"/>
      <c r="D264" s="120"/>
      <c r="E264" s="122"/>
      <c r="F264" s="122"/>
      <c r="G264" s="120"/>
      <c r="H264" s="120"/>
    </row>
    <row r="265">
      <c r="A265" s="246"/>
      <c r="B265" s="120"/>
      <c r="C265" s="120"/>
      <c r="D265" s="120"/>
      <c r="E265" s="122"/>
      <c r="F265" s="122"/>
      <c r="G265" s="120"/>
      <c r="H265" s="120"/>
    </row>
    <row r="266">
      <c r="A266" s="246"/>
      <c r="B266" s="120"/>
      <c r="C266" s="120"/>
      <c r="D266" s="120"/>
      <c r="E266" s="122"/>
      <c r="F266" s="122"/>
      <c r="G266" s="120"/>
      <c r="H266" s="120"/>
    </row>
    <row r="267">
      <c r="A267" s="246"/>
      <c r="B267" s="120"/>
      <c r="C267" s="120"/>
      <c r="D267" s="120"/>
      <c r="E267" s="122"/>
      <c r="F267" s="122"/>
      <c r="G267" s="120"/>
      <c r="H267" s="120"/>
    </row>
    <row r="268">
      <c r="A268" s="246"/>
      <c r="B268" s="120"/>
      <c r="C268" s="120"/>
      <c r="D268" s="120"/>
      <c r="E268" s="122"/>
      <c r="F268" s="122"/>
      <c r="G268" s="120"/>
      <c r="H268" s="120"/>
    </row>
    <row r="269">
      <c r="A269" s="246"/>
      <c r="B269" s="120"/>
      <c r="C269" s="120"/>
      <c r="D269" s="120"/>
      <c r="E269" s="122"/>
      <c r="F269" s="122"/>
      <c r="G269" s="120"/>
      <c r="H269" s="120"/>
    </row>
    <row r="270">
      <c r="A270" s="246"/>
      <c r="B270" s="120"/>
      <c r="C270" s="120"/>
      <c r="D270" s="120"/>
      <c r="E270" s="122"/>
      <c r="F270" s="122"/>
      <c r="G270" s="120"/>
      <c r="H270" s="120"/>
    </row>
    <row r="271">
      <c r="A271" s="246"/>
      <c r="B271" s="120"/>
      <c r="C271" s="120"/>
      <c r="D271" s="120"/>
      <c r="E271" s="122"/>
      <c r="F271" s="122"/>
      <c r="G271" s="120"/>
      <c r="H271" s="120"/>
    </row>
    <row r="272">
      <c r="A272" s="246"/>
      <c r="B272" s="120"/>
      <c r="C272" s="120"/>
      <c r="D272" s="120"/>
      <c r="E272" s="122"/>
      <c r="F272" s="122"/>
      <c r="G272" s="120"/>
      <c r="H272" s="120"/>
    </row>
    <row r="273">
      <c r="A273" s="246"/>
      <c r="B273" s="120"/>
      <c r="C273" s="120"/>
      <c r="D273" s="120"/>
      <c r="E273" s="122"/>
      <c r="F273" s="122"/>
      <c r="G273" s="120"/>
      <c r="H273" s="120"/>
    </row>
    <row r="274">
      <c r="A274" s="246"/>
      <c r="B274" s="120"/>
      <c r="C274" s="120"/>
      <c r="D274" s="120"/>
      <c r="E274" s="122"/>
      <c r="F274" s="122"/>
      <c r="G274" s="120"/>
      <c r="H274" s="120"/>
    </row>
    <row r="275">
      <c r="A275" s="246"/>
      <c r="B275" s="120"/>
      <c r="C275" s="120"/>
      <c r="D275" s="120"/>
      <c r="E275" s="122"/>
      <c r="F275" s="122"/>
      <c r="G275" s="120"/>
      <c r="H275" s="120"/>
    </row>
    <row r="276">
      <c r="A276" s="246"/>
      <c r="B276" s="120"/>
      <c r="C276" s="120"/>
      <c r="D276" s="120"/>
      <c r="E276" s="122"/>
      <c r="F276" s="122"/>
      <c r="G276" s="120"/>
      <c r="H276" s="120"/>
    </row>
    <row r="277">
      <c r="A277" s="246"/>
      <c r="B277" s="120"/>
      <c r="C277" s="120"/>
      <c r="D277" s="120"/>
      <c r="E277" s="122"/>
      <c r="F277" s="122"/>
      <c r="G277" s="120"/>
      <c r="H277" s="120"/>
    </row>
    <row r="278">
      <c r="A278" s="246"/>
      <c r="B278" s="120"/>
      <c r="C278" s="120"/>
      <c r="D278" s="120"/>
      <c r="E278" s="122"/>
      <c r="F278" s="122"/>
      <c r="G278" s="120"/>
      <c r="H278" s="120"/>
    </row>
    <row r="279">
      <c r="A279" s="246"/>
      <c r="B279" s="120"/>
      <c r="C279" s="120"/>
      <c r="D279" s="120"/>
      <c r="E279" s="122"/>
      <c r="F279" s="122"/>
      <c r="G279" s="120"/>
      <c r="H279" s="120"/>
    </row>
    <row r="280">
      <c r="A280" s="246"/>
      <c r="B280" s="120"/>
      <c r="C280" s="120"/>
      <c r="D280" s="120"/>
      <c r="E280" s="122"/>
      <c r="F280" s="122"/>
      <c r="G280" s="120"/>
      <c r="H280" s="120"/>
    </row>
    <row r="281">
      <c r="A281" s="246"/>
      <c r="B281" s="120"/>
      <c r="C281" s="120"/>
      <c r="D281" s="120"/>
      <c r="E281" s="122"/>
      <c r="F281" s="122"/>
      <c r="G281" s="120"/>
      <c r="H281" s="120"/>
    </row>
    <row r="282">
      <c r="A282" s="246"/>
      <c r="B282" s="120"/>
      <c r="C282" s="120"/>
      <c r="D282" s="120"/>
      <c r="E282" s="122"/>
      <c r="F282" s="122"/>
      <c r="G282" s="120"/>
      <c r="H282" s="120"/>
    </row>
    <row r="283">
      <c r="A283" s="246"/>
      <c r="B283" s="120"/>
      <c r="C283" s="120"/>
      <c r="D283" s="120"/>
      <c r="E283" s="122"/>
      <c r="F283" s="122"/>
      <c r="G283" s="120"/>
      <c r="H283" s="120"/>
    </row>
    <row r="284">
      <c r="A284" s="246"/>
      <c r="B284" s="120"/>
      <c r="C284" s="120"/>
      <c r="D284" s="120"/>
      <c r="E284" s="122"/>
      <c r="F284" s="122"/>
      <c r="G284" s="120"/>
      <c r="H284" s="120"/>
    </row>
    <row r="285">
      <c r="A285" s="246"/>
      <c r="B285" s="120"/>
      <c r="C285" s="120"/>
      <c r="D285" s="120"/>
      <c r="E285" s="122"/>
      <c r="F285" s="122"/>
      <c r="G285" s="120"/>
      <c r="H285" s="120"/>
    </row>
    <row r="286">
      <c r="A286" s="246"/>
      <c r="B286" s="120"/>
      <c r="C286" s="120"/>
      <c r="D286" s="120"/>
      <c r="E286" s="122"/>
      <c r="F286" s="122"/>
      <c r="G286" s="120"/>
      <c r="H286" s="120"/>
    </row>
    <row r="287">
      <c r="A287" s="246"/>
      <c r="B287" s="120"/>
      <c r="C287" s="120"/>
      <c r="D287" s="120"/>
      <c r="E287" s="122"/>
      <c r="F287" s="122"/>
      <c r="G287" s="120"/>
      <c r="H287" s="120"/>
    </row>
    <row r="288">
      <c r="A288" s="246"/>
      <c r="B288" s="120"/>
      <c r="C288" s="120"/>
      <c r="D288" s="120"/>
      <c r="E288" s="122"/>
      <c r="F288" s="122"/>
      <c r="G288" s="120"/>
      <c r="H288" s="120"/>
    </row>
    <row r="289">
      <c r="A289" s="246"/>
      <c r="B289" s="120"/>
      <c r="C289" s="120"/>
      <c r="D289" s="120"/>
      <c r="E289" s="122"/>
      <c r="F289" s="122"/>
      <c r="G289" s="120"/>
      <c r="H289" s="120"/>
    </row>
    <row r="290">
      <c r="A290" s="246"/>
      <c r="B290" s="120"/>
      <c r="C290" s="120"/>
      <c r="D290" s="120"/>
      <c r="E290" s="122"/>
      <c r="F290" s="122"/>
      <c r="G290" s="120"/>
      <c r="H290" s="120"/>
    </row>
    <row r="291">
      <c r="A291" s="246"/>
      <c r="B291" s="120"/>
      <c r="C291" s="120"/>
      <c r="D291" s="120"/>
      <c r="E291" s="122"/>
      <c r="F291" s="122"/>
      <c r="G291" s="120"/>
      <c r="H291" s="120"/>
    </row>
    <row r="292">
      <c r="A292" s="246"/>
      <c r="B292" s="120"/>
      <c r="C292" s="120"/>
      <c r="D292" s="120"/>
      <c r="E292" s="122"/>
      <c r="F292" s="122"/>
      <c r="G292" s="120"/>
      <c r="H292" s="120"/>
    </row>
    <row r="293">
      <c r="A293" s="246"/>
      <c r="B293" s="120"/>
      <c r="C293" s="120"/>
      <c r="D293" s="120"/>
      <c r="E293" s="122"/>
      <c r="F293" s="122"/>
      <c r="G293" s="120"/>
      <c r="H293" s="120"/>
    </row>
    <row r="294">
      <c r="A294" s="246"/>
      <c r="B294" s="120"/>
      <c r="C294" s="120"/>
      <c r="D294" s="120"/>
      <c r="E294" s="122"/>
      <c r="F294" s="122"/>
      <c r="G294" s="120"/>
      <c r="H294" s="120"/>
    </row>
    <row r="295">
      <c r="A295" s="246"/>
      <c r="B295" s="120"/>
      <c r="C295" s="120"/>
      <c r="D295" s="120"/>
      <c r="E295" s="122"/>
      <c r="F295" s="122"/>
      <c r="G295" s="120"/>
      <c r="H295" s="120"/>
    </row>
    <row r="296">
      <c r="A296" s="246"/>
      <c r="B296" s="120"/>
      <c r="C296" s="120"/>
      <c r="D296" s="120"/>
      <c r="E296" s="122"/>
      <c r="F296" s="122"/>
      <c r="G296" s="120"/>
      <c r="H296" s="120"/>
    </row>
    <row r="297">
      <c r="A297" s="246"/>
      <c r="B297" s="120"/>
      <c r="C297" s="120"/>
      <c r="D297" s="120"/>
      <c r="E297" s="122"/>
      <c r="F297" s="122"/>
      <c r="G297" s="120"/>
      <c r="H297" s="120"/>
    </row>
    <row r="298">
      <c r="A298" s="246"/>
      <c r="B298" s="120"/>
      <c r="C298" s="120"/>
      <c r="D298" s="120"/>
      <c r="E298" s="122"/>
      <c r="F298" s="122"/>
      <c r="G298" s="120"/>
      <c r="H298" s="120"/>
    </row>
    <row r="299">
      <c r="A299" s="246"/>
      <c r="B299" s="120"/>
      <c r="C299" s="120"/>
      <c r="D299" s="120"/>
      <c r="E299" s="122"/>
      <c r="F299" s="122"/>
      <c r="G299" s="120"/>
      <c r="H299" s="120"/>
    </row>
    <row r="300">
      <c r="A300" s="246"/>
      <c r="B300" s="120"/>
      <c r="C300" s="120"/>
      <c r="D300" s="120"/>
      <c r="E300" s="122"/>
      <c r="F300" s="122"/>
      <c r="G300" s="120"/>
      <c r="H300" s="120"/>
    </row>
    <row r="301">
      <c r="A301" s="246"/>
      <c r="B301" s="120"/>
      <c r="C301" s="120"/>
      <c r="D301" s="120"/>
      <c r="E301" s="122"/>
      <c r="F301" s="122"/>
      <c r="G301" s="120"/>
      <c r="H301" s="120"/>
    </row>
    <row r="302">
      <c r="A302" s="246"/>
      <c r="B302" s="120"/>
      <c r="C302" s="120"/>
      <c r="D302" s="120"/>
      <c r="E302" s="122"/>
      <c r="F302" s="122"/>
      <c r="G302" s="120"/>
      <c r="H302" s="120"/>
    </row>
    <row r="303">
      <c r="A303" s="246"/>
      <c r="B303" s="120"/>
      <c r="C303" s="120"/>
      <c r="D303" s="120"/>
      <c r="E303" s="122"/>
      <c r="F303" s="122"/>
      <c r="G303" s="120"/>
      <c r="H303" s="120"/>
    </row>
    <row r="304">
      <c r="A304" s="246"/>
      <c r="B304" s="120"/>
      <c r="C304" s="120"/>
      <c r="D304" s="120"/>
      <c r="E304" s="122"/>
      <c r="F304" s="122"/>
      <c r="G304" s="120"/>
      <c r="H304" s="120"/>
    </row>
    <row r="305">
      <c r="A305" s="246"/>
      <c r="B305" s="120"/>
      <c r="C305" s="120"/>
      <c r="D305" s="120"/>
      <c r="E305" s="122"/>
      <c r="F305" s="122"/>
      <c r="G305" s="120"/>
      <c r="H305" s="120"/>
    </row>
    <row r="306">
      <c r="A306" s="246"/>
      <c r="B306" s="120"/>
      <c r="C306" s="120"/>
      <c r="D306" s="120"/>
      <c r="E306" s="122"/>
      <c r="F306" s="122"/>
      <c r="G306" s="120"/>
      <c r="H306" s="120"/>
    </row>
    <row r="307">
      <c r="A307" s="246"/>
      <c r="B307" s="120"/>
      <c r="C307" s="120"/>
      <c r="D307" s="120"/>
      <c r="E307" s="122"/>
      <c r="F307" s="122"/>
      <c r="G307" s="120"/>
      <c r="H307" s="120"/>
    </row>
    <row r="308">
      <c r="A308" s="246"/>
      <c r="B308" s="120"/>
      <c r="C308" s="120"/>
      <c r="D308" s="120"/>
      <c r="E308" s="122"/>
      <c r="F308" s="122"/>
      <c r="G308" s="120"/>
      <c r="H308" s="120"/>
    </row>
    <row r="309">
      <c r="A309" s="246"/>
      <c r="B309" s="120"/>
      <c r="C309" s="120"/>
      <c r="D309" s="120"/>
      <c r="E309" s="122"/>
      <c r="F309" s="122"/>
      <c r="G309" s="120"/>
      <c r="H309" s="120"/>
    </row>
    <row r="310">
      <c r="A310" s="246"/>
      <c r="B310" s="120"/>
      <c r="C310" s="120"/>
      <c r="D310" s="120"/>
      <c r="E310" s="122"/>
      <c r="F310" s="122"/>
      <c r="G310" s="120"/>
      <c r="H310" s="120"/>
    </row>
    <row r="311">
      <c r="A311" s="246"/>
      <c r="B311" s="120"/>
      <c r="C311" s="120"/>
      <c r="D311" s="120"/>
      <c r="E311" s="122"/>
      <c r="F311" s="122"/>
      <c r="G311" s="120"/>
      <c r="H311" s="120"/>
    </row>
    <row r="312">
      <c r="A312" s="246"/>
      <c r="B312" s="120"/>
      <c r="C312" s="120"/>
      <c r="D312" s="120"/>
      <c r="E312" s="122"/>
      <c r="F312" s="122"/>
      <c r="G312" s="120"/>
      <c r="H312" s="120"/>
    </row>
    <row r="313">
      <c r="A313" s="246"/>
      <c r="B313" s="120"/>
      <c r="C313" s="120"/>
      <c r="D313" s="120"/>
      <c r="E313" s="122"/>
      <c r="F313" s="122"/>
      <c r="G313" s="120"/>
      <c r="H313" s="120"/>
    </row>
    <row r="314">
      <c r="A314" s="246"/>
      <c r="B314" s="120"/>
      <c r="C314" s="120"/>
      <c r="D314" s="120"/>
      <c r="E314" s="122"/>
      <c r="F314" s="122"/>
      <c r="G314" s="120"/>
      <c r="H314" s="120"/>
    </row>
    <row r="315">
      <c r="A315" s="246"/>
      <c r="B315" s="120"/>
      <c r="C315" s="120"/>
      <c r="D315" s="120"/>
      <c r="E315" s="122"/>
      <c r="F315" s="122"/>
      <c r="G315" s="120"/>
      <c r="H315" s="120"/>
    </row>
    <row r="316">
      <c r="A316" s="246"/>
      <c r="B316" s="120"/>
      <c r="C316" s="120"/>
      <c r="D316" s="120"/>
      <c r="E316" s="122"/>
      <c r="F316" s="122"/>
      <c r="G316" s="120"/>
      <c r="H316" s="120"/>
    </row>
    <row r="317">
      <c r="A317" s="246"/>
      <c r="B317" s="120"/>
      <c r="C317" s="120"/>
      <c r="D317" s="120"/>
      <c r="E317" s="122"/>
      <c r="F317" s="122"/>
      <c r="G317" s="120"/>
      <c r="H317" s="120"/>
    </row>
    <row r="318">
      <c r="A318" s="246"/>
      <c r="B318" s="120"/>
      <c r="C318" s="120"/>
      <c r="D318" s="120"/>
      <c r="E318" s="122"/>
      <c r="F318" s="122"/>
      <c r="G318" s="120"/>
      <c r="H318" s="120"/>
    </row>
    <row r="319">
      <c r="A319" s="246"/>
      <c r="B319" s="120"/>
      <c r="C319" s="120"/>
      <c r="D319" s="120"/>
      <c r="E319" s="122"/>
      <c r="F319" s="122"/>
      <c r="G319" s="120"/>
      <c r="H319" s="120"/>
    </row>
    <row r="320">
      <c r="A320" s="246"/>
      <c r="B320" s="120"/>
      <c r="C320" s="120"/>
      <c r="D320" s="120"/>
      <c r="E320" s="122"/>
      <c r="F320" s="122"/>
      <c r="G320" s="120"/>
      <c r="H320" s="120"/>
    </row>
    <row r="321">
      <c r="A321" s="246"/>
      <c r="B321" s="120"/>
      <c r="C321" s="120"/>
      <c r="D321" s="120"/>
      <c r="E321" s="122"/>
      <c r="F321" s="122"/>
      <c r="G321" s="120"/>
      <c r="H321" s="120"/>
    </row>
    <row r="322">
      <c r="A322" s="246"/>
      <c r="B322" s="120"/>
      <c r="C322" s="120"/>
      <c r="D322" s="120"/>
      <c r="E322" s="122"/>
      <c r="F322" s="122"/>
      <c r="G322" s="120"/>
      <c r="H322" s="120"/>
    </row>
    <row r="323">
      <c r="A323" s="246"/>
      <c r="B323" s="120"/>
      <c r="C323" s="120"/>
      <c r="D323" s="120"/>
      <c r="E323" s="122"/>
      <c r="F323" s="122"/>
      <c r="G323" s="120"/>
      <c r="H323" s="120"/>
    </row>
    <row r="324">
      <c r="A324" s="246"/>
      <c r="B324" s="120"/>
      <c r="C324" s="120"/>
      <c r="D324" s="120"/>
      <c r="E324" s="122"/>
      <c r="F324" s="122"/>
      <c r="G324" s="120"/>
      <c r="H324" s="120"/>
    </row>
    <row r="325">
      <c r="A325" s="246"/>
      <c r="B325" s="120"/>
      <c r="C325" s="120"/>
      <c r="D325" s="120"/>
      <c r="E325" s="122"/>
      <c r="F325" s="122"/>
      <c r="G325" s="120"/>
      <c r="H325" s="120"/>
    </row>
    <row r="326">
      <c r="A326" s="246"/>
      <c r="B326" s="120"/>
      <c r="C326" s="120"/>
      <c r="D326" s="120"/>
      <c r="E326" s="122"/>
      <c r="F326" s="122"/>
      <c r="G326" s="120"/>
      <c r="H326" s="120"/>
    </row>
    <row r="327">
      <c r="A327" s="246"/>
      <c r="B327" s="120"/>
      <c r="C327" s="120"/>
      <c r="D327" s="120"/>
      <c r="E327" s="122"/>
      <c r="F327" s="122"/>
      <c r="G327" s="120"/>
      <c r="H327" s="120"/>
    </row>
    <row r="328">
      <c r="A328" s="246"/>
      <c r="B328" s="120"/>
      <c r="C328" s="120"/>
      <c r="D328" s="120"/>
      <c r="E328" s="122"/>
      <c r="F328" s="122"/>
      <c r="G328" s="120"/>
      <c r="H328" s="120"/>
    </row>
    <row r="329">
      <c r="A329" s="246"/>
      <c r="B329" s="120"/>
      <c r="C329" s="120"/>
      <c r="D329" s="120"/>
      <c r="E329" s="122"/>
      <c r="F329" s="122"/>
      <c r="G329" s="120"/>
      <c r="H329" s="120"/>
    </row>
    <row r="330">
      <c r="A330" s="246"/>
      <c r="B330" s="120"/>
      <c r="C330" s="120"/>
      <c r="D330" s="120"/>
      <c r="E330" s="122"/>
      <c r="F330" s="122"/>
      <c r="G330" s="120"/>
      <c r="H330" s="120"/>
    </row>
    <row r="331">
      <c r="A331" s="246"/>
      <c r="B331" s="120"/>
      <c r="C331" s="120"/>
      <c r="D331" s="120"/>
      <c r="E331" s="122"/>
      <c r="F331" s="122"/>
      <c r="G331" s="120"/>
      <c r="H331" s="120"/>
    </row>
    <row r="332">
      <c r="A332" s="246"/>
      <c r="B332" s="120"/>
      <c r="C332" s="120"/>
      <c r="D332" s="120"/>
      <c r="E332" s="122"/>
      <c r="F332" s="122"/>
      <c r="G332" s="120"/>
      <c r="H332" s="120"/>
    </row>
    <row r="333">
      <c r="A333" s="246"/>
      <c r="B333" s="120"/>
      <c r="C333" s="120"/>
      <c r="D333" s="120"/>
      <c r="E333" s="122"/>
      <c r="F333" s="122"/>
      <c r="G333" s="120"/>
      <c r="H333" s="120"/>
    </row>
    <row r="334">
      <c r="A334" s="246"/>
      <c r="B334" s="120"/>
      <c r="C334" s="120"/>
      <c r="D334" s="120"/>
      <c r="E334" s="122"/>
      <c r="F334" s="122"/>
      <c r="G334" s="120"/>
      <c r="H334" s="120"/>
    </row>
    <row r="335">
      <c r="A335" s="246"/>
      <c r="B335" s="120"/>
      <c r="C335" s="120"/>
      <c r="D335" s="120"/>
      <c r="E335" s="122"/>
      <c r="F335" s="122"/>
      <c r="G335" s="120"/>
      <c r="H335" s="120"/>
    </row>
    <row r="336">
      <c r="A336" s="246"/>
      <c r="B336" s="120"/>
      <c r="C336" s="120"/>
      <c r="D336" s="120"/>
      <c r="E336" s="122"/>
      <c r="F336" s="122"/>
      <c r="G336" s="120"/>
      <c r="H336" s="120"/>
    </row>
    <row r="337">
      <c r="A337" s="246"/>
      <c r="B337" s="120"/>
      <c r="C337" s="120"/>
      <c r="D337" s="120"/>
      <c r="E337" s="122"/>
      <c r="F337" s="122"/>
      <c r="G337" s="120"/>
      <c r="H337" s="120"/>
    </row>
    <row r="338">
      <c r="A338" s="246"/>
      <c r="B338" s="120"/>
      <c r="C338" s="120"/>
      <c r="D338" s="120"/>
      <c r="E338" s="122"/>
      <c r="F338" s="122"/>
      <c r="G338" s="120"/>
      <c r="H338" s="120"/>
    </row>
    <row r="339">
      <c r="A339" s="246"/>
      <c r="B339" s="120"/>
      <c r="C339" s="120"/>
      <c r="D339" s="120"/>
      <c r="E339" s="122"/>
      <c r="F339" s="122"/>
      <c r="G339" s="120"/>
      <c r="H339" s="120"/>
    </row>
    <row r="340">
      <c r="A340" s="246"/>
      <c r="B340" s="120"/>
      <c r="C340" s="120"/>
      <c r="D340" s="120"/>
      <c r="E340" s="122"/>
      <c r="F340" s="122"/>
      <c r="G340" s="120"/>
      <c r="H340" s="120"/>
    </row>
    <row r="341">
      <c r="A341" s="246"/>
      <c r="B341" s="120"/>
      <c r="C341" s="120"/>
      <c r="D341" s="120"/>
      <c r="E341" s="122"/>
      <c r="F341" s="122"/>
      <c r="G341" s="120"/>
      <c r="H341" s="120"/>
    </row>
    <row r="342">
      <c r="A342" s="246"/>
      <c r="B342" s="120"/>
      <c r="C342" s="120"/>
      <c r="D342" s="120"/>
      <c r="E342" s="122"/>
      <c r="F342" s="122"/>
      <c r="G342" s="120"/>
      <c r="H342" s="120"/>
    </row>
    <row r="343">
      <c r="A343" s="246"/>
      <c r="B343" s="120"/>
      <c r="C343" s="120"/>
      <c r="D343" s="120"/>
      <c r="E343" s="122"/>
      <c r="F343" s="122"/>
      <c r="G343" s="120"/>
      <c r="H343" s="120"/>
    </row>
    <row r="344">
      <c r="A344" s="246"/>
      <c r="B344" s="120"/>
      <c r="C344" s="120"/>
      <c r="D344" s="120"/>
      <c r="E344" s="122"/>
      <c r="F344" s="122"/>
      <c r="G344" s="120"/>
      <c r="H344" s="120"/>
    </row>
    <row r="345">
      <c r="A345" s="246"/>
      <c r="B345" s="120"/>
      <c r="C345" s="120"/>
      <c r="D345" s="120"/>
      <c r="E345" s="122"/>
      <c r="F345" s="122"/>
      <c r="G345" s="120"/>
      <c r="H345" s="120"/>
    </row>
    <row r="346">
      <c r="A346" s="246"/>
      <c r="B346" s="120"/>
      <c r="C346" s="120"/>
      <c r="D346" s="120"/>
      <c r="E346" s="122"/>
      <c r="F346" s="122"/>
      <c r="G346" s="120"/>
      <c r="H346" s="120"/>
    </row>
    <row r="347">
      <c r="A347" s="246"/>
      <c r="B347" s="120"/>
      <c r="C347" s="120"/>
      <c r="D347" s="120"/>
      <c r="E347" s="122"/>
      <c r="F347" s="122"/>
      <c r="G347" s="120"/>
      <c r="H347" s="120"/>
    </row>
    <row r="348">
      <c r="A348" s="246"/>
      <c r="B348" s="120"/>
      <c r="C348" s="120"/>
      <c r="D348" s="120"/>
      <c r="E348" s="122"/>
      <c r="F348" s="122"/>
      <c r="G348" s="120"/>
      <c r="H348" s="120"/>
    </row>
    <row r="349">
      <c r="A349" s="246"/>
      <c r="B349" s="120"/>
      <c r="C349" s="120"/>
      <c r="D349" s="120"/>
      <c r="E349" s="122"/>
      <c r="F349" s="122"/>
      <c r="G349" s="120"/>
      <c r="H349" s="120"/>
    </row>
    <row r="350">
      <c r="A350" s="246"/>
      <c r="B350" s="120"/>
      <c r="C350" s="120"/>
      <c r="D350" s="120"/>
      <c r="E350" s="122"/>
      <c r="F350" s="122"/>
      <c r="G350" s="120"/>
      <c r="H350" s="120"/>
    </row>
    <row r="351">
      <c r="A351" s="246"/>
      <c r="B351" s="120"/>
      <c r="C351" s="120"/>
      <c r="D351" s="120"/>
      <c r="E351" s="122"/>
      <c r="F351" s="122"/>
      <c r="G351" s="120"/>
      <c r="H351" s="120"/>
    </row>
    <row r="352">
      <c r="A352" s="246"/>
      <c r="B352" s="120"/>
      <c r="C352" s="120"/>
      <c r="D352" s="120"/>
      <c r="E352" s="122"/>
      <c r="F352" s="122"/>
      <c r="G352" s="120"/>
      <c r="H352" s="120"/>
    </row>
    <row r="353">
      <c r="A353" s="246"/>
      <c r="B353" s="120"/>
      <c r="C353" s="120"/>
      <c r="D353" s="120"/>
      <c r="E353" s="122"/>
      <c r="F353" s="122"/>
      <c r="G353" s="120"/>
      <c r="H353" s="120"/>
    </row>
    <row r="354">
      <c r="A354" s="246"/>
      <c r="B354" s="120"/>
      <c r="C354" s="120"/>
      <c r="D354" s="120"/>
      <c r="E354" s="122"/>
      <c r="F354" s="122"/>
      <c r="G354" s="120"/>
      <c r="H354" s="120"/>
    </row>
    <row r="355">
      <c r="A355" s="246"/>
      <c r="B355" s="120"/>
      <c r="C355" s="120"/>
      <c r="D355" s="120"/>
      <c r="E355" s="122"/>
      <c r="F355" s="122"/>
      <c r="G355" s="120"/>
      <c r="H355" s="120"/>
    </row>
    <row r="356">
      <c r="A356" s="246"/>
      <c r="B356" s="120"/>
      <c r="C356" s="120"/>
      <c r="D356" s="120"/>
      <c r="E356" s="122"/>
      <c r="F356" s="122"/>
      <c r="G356" s="120"/>
      <c r="H356" s="120"/>
    </row>
    <row r="357">
      <c r="A357" s="246"/>
      <c r="B357" s="120"/>
      <c r="C357" s="120"/>
      <c r="D357" s="120"/>
      <c r="E357" s="122"/>
      <c r="F357" s="122"/>
      <c r="G357" s="120"/>
      <c r="H357" s="120"/>
    </row>
    <row r="358">
      <c r="A358" s="246"/>
      <c r="B358" s="120"/>
      <c r="C358" s="120"/>
      <c r="D358" s="120"/>
      <c r="E358" s="122"/>
      <c r="F358" s="122"/>
      <c r="G358" s="120"/>
      <c r="H358" s="120"/>
    </row>
    <row r="359">
      <c r="A359" s="246"/>
      <c r="B359" s="120"/>
      <c r="C359" s="120"/>
      <c r="D359" s="120"/>
      <c r="E359" s="122"/>
      <c r="F359" s="122"/>
      <c r="G359" s="120"/>
      <c r="H359" s="120"/>
    </row>
    <row r="360">
      <c r="A360" s="246"/>
      <c r="B360" s="120"/>
      <c r="C360" s="120"/>
      <c r="D360" s="120"/>
      <c r="E360" s="122"/>
      <c r="F360" s="122"/>
      <c r="G360" s="120"/>
      <c r="H360" s="120"/>
    </row>
    <row r="361">
      <c r="A361" s="246"/>
      <c r="B361" s="120"/>
      <c r="C361" s="120"/>
      <c r="D361" s="120"/>
      <c r="E361" s="122"/>
      <c r="F361" s="122"/>
      <c r="G361" s="120"/>
      <c r="H361" s="120"/>
    </row>
    <row r="362">
      <c r="A362" s="246"/>
      <c r="B362" s="120"/>
      <c r="C362" s="120"/>
      <c r="D362" s="120"/>
      <c r="E362" s="122"/>
      <c r="F362" s="122"/>
      <c r="G362" s="120"/>
      <c r="H362" s="120"/>
    </row>
    <row r="363">
      <c r="A363" s="246"/>
      <c r="B363" s="120"/>
      <c r="C363" s="120"/>
      <c r="D363" s="120"/>
      <c r="E363" s="122"/>
      <c r="F363" s="122"/>
      <c r="G363" s="120"/>
      <c r="H363" s="120"/>
    </row>
    <row r="364">
      <c r="A364" s="246"/>
      <c r="B364" s="120"/>
      <c r="C364" s="120"/>
      <c r="D364" s="120"/>
      <c r="E364" s="122"/>
      <c r="F364" s="122"/>
      <c r="G364" s="120"/>
      <c r="H364" s="120"/>
    </row>
    <row r="365">
      <c r="A365" s="246"/>
      <c r="B365" s="120"/>
      <c r="C365" s="120"/>
      <c r="D365" s="120"/>
      <c r="E365" s="122"/>
      <c r="F365" s="122"/>
      <c r="G365" s="120"/>
      <c r="H365" s="120"/>
    </row>
    <row r="366">
      <c r="A366" s="246"/>
      <c r="B366" s="120"/>
      <c r="C366" s="120"/>
      <c r="D366" s="120"/>
      <c r="E366" s="122"/>
      <c r="F366" s="122"/>
      <c r="G366" s="120"/>
      <c r="H366" s="120"/>
    </row>
    <row r="367">
      <c r="A367" s="246"/>
      <c r="B367" s="120"/>
      <c r="C367" s="120"/>
      <c r="D367" s="120"/>
      <c r="E367" s="122"/>
      <c r="F367" s="122"/>
      <c r="G367" s="120"/>
      <c r="H367" s="120"/>
    </row>
    <row r="368">
      <c r="A368" s="246"/>
      <c r="B368" s="120"/>
      <c r="C368" s="120"/>
      <c r="D368" s="120"/>
      <c r="E368" s="122"/>
      <c r="F368" s="122"/>
      <c r="G368" s="120"/>
      <c r="H368" s="120"/>
    </row>
    <row r="369">
      <c r="A369" s="246"/>
      <c r="B369" s="120"/>
      <c r="C369" s="120"/>
      <c r="D369" s="120"/>
      <c r="E369" s="122"/>
      <c r="F369" s="122"/>
      <c r="G369" s="120"/>
      <c r="H369" s="120"/>
    </row>
    <row r="370">
      <c r="A370" s="246"/>
      <c r="B370" s="120"/>
      <c r="C370" s="120"/>
      <c r="D370" s="120"/>
      <c r="E370" s="122"/>
      <c r="F370" s="122"/>
      <c r="G370" s="120"/>
      <c r="H370" s="120"/>
    </row>
    <row r="371">
      <c r="A371" s="246"/>
      <c r="B371" s="120"/>
      <c r="C371" s="120"/>
      <c r="D371" s="120"/>
      <c r="E371" s="122"/>
      <c r="F371" s="122"/>
      <c r="G371" s="120"/>
      <c r="H371" s="120"/>
    </row>
    <row r="372">
      <c r="A372" s="246"/>
      <c r="B372" s="120"/>
      <c r="C372" s="120"/>
      <c r="D372" s="120"/>
      <c r="E372" s="122"/>
      <c r="F372" s="122"/>
      <c r="G372" s="120"/>
      <c r="H372" s="120"/>
    </row>
    <row r="373">
      <c r="A373" s="246"/>
      <c r="B373" s="120"/>
      <c r="C373" s="120"/>
      <c r="D373" s="120"/>
      <c r="E373" s="122"/>
      <c r="F373" s="122"/>
      <c r="G373" s="120"/>
      <c r="H373" s="120"/>
    </row>
    <row r="374">
      <c r="A374" s="246"/>
      <c r="B374" s="120"/>
      <c r="C374" s="120"/>
      <c r="D374" s="120"/>
      <c r="E374" s="122"/>
      <c r="F374" s="122"/>
      <c r="G374" s="120"/>
      <c r="H374" s="120"/>
    </row>
    <row r="375">
      <c r="A375" s="246"/>
      <c r="B375" s="120"/>
      <c r="C375" s="120"/>
      <c r="D375" s="120"/>
      <c r="E375" s="122"/>
      <c r="F375" s="122"/>
      <c r="G375" s="120"/>
      <c r="H375" s="120"/>
    </row>
    <row r="376">
      <c r="A376" s="246"/>
      <c r="B376" s="120"/>
      <c r="C376" s="120"/>
      <c r="D376" s="120"/>
      <c r="E376" s="122"/>
      <c r="F376" s="122"/>
      <c r="G376" s="120"/>
      <c r="H376" s="120"/>
    </row>
    <row r="377">
      <c r="A377" s="246"/>
      <c r="B377" s="120"/>
      <c r="C377" s="120"/>
      <c r="D377" s="120"/>
      <c r="E377" s="122"/>
      <c r="F377" s="122"/>
      <c r="G377" s="120"/>
      <c r="H377" s="120"/>
    </row>
    <row r="378">
      <c r="A378" s="246"/>
      <c r="B378" s="120"/>
      <c r="C378" s="120"/>
      <c r="D378" s="120"/>
      <c r="E378" s="122"/>
      <c r="F378" s="122"/>
      <c r="G378" s="120"/>
      <c r="H378" s="120"/>
    </row>
    <row r="379">
      <c r="A379" s="246"/>
      <c r="B379" s="120"/>
      <c r="C379" s="120"/>
      <c r="D379" s="120"/>
      <c r="E379" s="122"/>
      <c r="F379" s="122"/>
      <c r="G379" s="120"/>
      <c r="H379" s="120"/>
    </row>
    <row r="380">
      <c r="A380" s="246"/>
      <c r="B380" s="120"/>
      <c r="C380" s="120"/>
      <c r="D380" s="120"/>
      <c r="E380" s="122"/>
      <c r="F380" s="122"/>
      <c r="G380" s="120"/>
      <c r="H380" s="120"/>
    </row>
    <row r="381">
      <c r="A381" s="246"/>
      <c r="B381" s="120"/>
      <c r="C381" s="120"/>
      <c r="D381" s="120"/>
      <c r="E381" s="122"/>
      <c r="F381" s="122"/>
      <c r="G381" s="120"/>
      <c r="H381" s="120"/>
    </row>
    <row r="382">
      <c r="A382" s="246"/>
      <c r="B382" s="120"/>
      <c r="C382" s="120"/>
      <c r="D382" s="120"/>
      <c r="E382" s="122"/>
      <c r="F382" s="122"/>
      <c r="G382" s="120"/>
      <c r="H382" s="120"/>
    </row>
    <row r="383">
      <c r="A383" s="246"/>
      <c r="B383" s="120"/>
      <c r="C383" s="120"/>
      <c r="D383" s="120"/>
      <c r="E383" s="122"/>
      <c r="F383" s="122"/>
      <c r="G383" s="120"/>
      <c r="H383" s="120"/>
    </row>
    <row r="384">
      <c r="A384" s="246"/>
      <c r="B384" s="120"/>
      <c r="C384" s="120"/>
      <c r="D384" s="120"/>
      <c r="E384" s="122"/>
      <c r="F384" s="122"/>
      <c r="G384" s="120"/>
      <c r="H384" s="120"/>
    </row>
    <row r="385">
      <c r="A385" s="246"/>
      <c r="B385" s="120"/>
      <c r="C385" s="120"/>
      <c r="D385" s="120"/>
      <c r="E385" s="122"/>
      <c r="F385" s="122"/>
      <c r="G385" s="120"/>
      <c r="H385" s="120"/>
    </row>
    <row r="386">
      <c r="A386" s="246"/>
      <c r="B386" s="120"/>
      <c r="C386" s="120"/>
      <c r="D386" s="120"/>
      <c r="E386" s="122"/>
      <c r="F386" s="122"/>
      <c r="G386" s="120"/>
      <c r="H386" s="120"/>
    </row>
    <row r="387">
      <c r="A387" s="246"/>
      <c r="B387" s="120"/>
      <c r="C387" s="120"/>
      <c r="D387" s="120"/>
      <c r="E387" s="122"/>
      <c r="F387" s="122"/>
      <c r="G387" s="120"/>
      <c r="H387" s="120"/>
    </row>
    <row r="388">
      <c r="A388" s="246"/>
      <c r="B388" s="120"/>
      <c r="C388" s="120"/>
      <c r="D388" s="120"/>
      <c r="E388" s="122"/>
      <c r="F388" s="122"/>
      <c r="G388" s="120"/>
      <c r="H388" s="120"/>
    </row>
    <row r="389">
      <c r="A389" s="246"/>
      <c r="B389" s="120"/>
      <c r="C389" s="120"/>
      <c r="D389" s="120"/>
      <c r="E389" s="122"/>
      <c r="F389" s="122"/>
      <c r="G389" s="120"/>
      <c r="H389" s="120"/>
    </row>
    <row r="390">
      <c r="A390" s="246"/>
      <c r="B390" s="120"/>
      <c r="C390" s="120"/>
      <c r="D390" s="120"/>
      <c r="E390" s="122"/>
      <c r="F390" s="122"/>
      <c r="G390" s="120"/>
      <c r="H390" s="120"/>
    </row>
    <row r="391">
      <c r="A391" s="246"/>
      <c r="B391" s="120"/>
      <c r="C391" s="120"/>
      <c r="D391" s="120"/>
      <c r="E391" s="122"/>
      <c r="F391" s="122"/>
      <c r="G391" s="120"/>
      <c r="H391" s="120"/>
    </row>
    <row r="392">
      <c r="A392" s="246"/>
      <c r="B392" s="120"/>
      <c r="C392" s="120"/>
      <c r="D392" s="120"/>
      <c r="E392" s="122"/>
      <c r="F392" s="122"/>
      <c r="G392" s="120"/>
      <c r="H392" s="120"/>
    </row>
    <row r="393">
      <c r="A393" s="246"/>
      <c r="B393" s="120"/>
      <c r="C393" s="120"/>
      <c r="D393" s="120"/>
      <c r="E393" s="122"/>
      <c r="F393" s="122"/>
      <c r="G393" s="120"/>
      <c r="H393" s="120"/>
    </row>
    <row r="394">
      <c r="A394" s="246"/>
      <c r="B394" s="120"/>
      <c r="C394" s="120"/>
      <c r="D394" s="120"/>
      <c r="E394" s="122"/>
      <c r="F394" s="122"/>
      <c r="G394" s="120"/>
      <c r="H394" s="120"/>
    </row>
    <row r="395">
      <c r="A395" s="246"/>
      <c r="B395" s="120"/>
      <c r="C395" s="120"/>
      <c r="D395" s="120"/>
      <c r="E395" s="122"/>
      <c r="F395" s="122"/>
      <c r="G395" s="120"/>
      <c r="H395" s="120"/>
    </row>
    <row r="396">
      <c r="A396" s="246"/>
      <c r="B396" s="120"/>
      <c r="C396" s="120"/>
      <c r="D396" s="120"/>
      <c r="E396" s="122"/>
      <c r="F396" s="122"/>
      <c r="G396" s="120"/>
      <c r="H396" s="120"/>
    </row>
    <row r="397">
      <c r="A397" s="246"/>
      <c r="B397" s="120"/>
      <c r="C397" s="120"/>
      <c r="D397" s="120"/>
      <c r="E397" s="122"/>
      <c r="F397" s="122"/>
      <c r="G397" s="120"/>
      <c r="H397" s="120"/>
    </row>
    <row r="398">
      <c r="A398" s="246"/>
      <c r="B398" s="120"/>
      <c r="C398" s="120"/>
      <c r="D398" s="120"/>
      <c r="E398" s="122"/>
      <c r="F398" s="122"/>
      <c r="G398" s="120"/>
      <c r="H398" s="120"/>
    </row>
    <row r="399">
      <c r="A399" s="246"/>
      <c r="B399" s="120"/>
      <c r="C399" s="120"/>
      <c r="D399" s="120"/>
      <c r="E399" s="122"/>
      <c r="F399" s="122"/>
      <c r="G399" s="120"/>
      <c r="H399" s="120"/>
    </row>
    <row r="400">
      <c r="A400" s="246"/>
      <c r="B400" s="120"/>
      <c r="C400" s="120"/>
      <c r="D400" s="120"/>
      <c r="E400" s="122"/>
      <c r="F400" s="122"/>
      <c r="G400" s="120"/>
      <c r="H400" s="120"/>
    </row>
    <row r="401">
      <c r="A401" s="246"/>
      <c r="B401" s="120"/>
      <c r="C401" s="120"/>
      <c r="D401" s="120"/>
      <c r="E401" s="122"/>
      <c r="F401" s="122"/>
      <c r="G401" s="120"/>
      <c r="H401" s="120"/>
    </row>
    <row r="402">
      <c r="A402" s="246"/>
      <c r="B402" s="120"/>
      <c r="C402" s="120"/>
      <c r="D402" s="120"/>
      <c r="E402" s="122"/>
      <c r="F402" s="122"/>
      <c r="G402" s="120"/>
      <c r="H402" s="120"/>
    </row>
    <row r="403">
      <c r="A403" s="246"/>
      <c r="B403" s="120"/>
      <c r="C403" s="120"/>
      <c r="D403" s="120"/>
      <c r="E403" s="122"/>
      <c r="F403" s="122"/>
      <c r="G403" s="120"/>
      <c r="H403" s="120"/>
    </row>
    <row r="404">
      <c r="A404" s="246"/>
      <c r="B404" s="120"/>
      <c r="C404" s="120"/>
      <c r="D404" s="120"/>
      <c r="E404" s="122"/>
      <c r="F404" s="122"/>
      <c r="G404" s="120"/>
      <c r="H404" s="120"/>
    </row>
    <row r="405">
      <c r="A405" s="246"/>
      <c r="B405" s="120"/>
      <c r="C405" s="120"/>
      <c r="D405" s="120"/>
      <c r="E405" s="122"/>
      <c r="F405" s="122"/>
      <c r="G405" s="120"/>
      <c r="H405" s="120"/>
    </row>
    <row r="406">
      <c r="A406" s="246"/>
      <c r="B406" s="120"/>
      <c r="C406" s="120"/>
      <c r="D406" s="120"/>
      <c r="E406" s="122"/>
      <c r="F406" s="122"/>
      <c r="G406" s="120"/>
      <c r="H406" s="120"/>
    </row>
    <row r="407">
      <c r="A407" s="246"/>
      <c r="B407" s="120"/>
      <c r="C407" s="120"/>
      <c r="D407" s="120"/>
      <c r="E407" s="122"/>
      <c r="F407" s="122"/>
      <c r="G407" s="120"/>
      <c r="H407" s="120"/>
    </row>
    <row r="408">
      <c r="A408" s="246"/>
      <c r="B408" s="120"/>
      <c r="C408" s="120"/>
      <c r="D408" s="120"/>
      <c r="E408" s="122"/>
      <c r="F408" s="122"/>
      <c r="G408" s="120"/>
      <c r="H408" s="120"/>
    </row>
    <row r="409">
      <c r="A409" s="246"/>
      <c r="B409" s="120"/>
      <c r="C409" s="120"/>
      <c r="D409" s="120"/>
      <c r="E409" s="122"/>
      <c r="F409" s="122"/>
      <c r="G409" s="120"/>
      <c r="H409" s="120"/>
    </row>
    <row r="410">
      <c r="A410" s="246"/>
      <c r="B410" s="120"/>
      <c r="C410" s="120"/>
      <c r="D410" s="120"/>
      <c r="E410" s="122"/>
      <c r="F410" s="122"/>
      <c r="G410" s="120"/>
      <c r="H410" s="120"/>
    </row>
    <row r="411">
      <c r="A411" s="246"/>
      <c r="B411" s="120"/>
      <c r="C411" s="120"/>
      <c r="D411" s="120"/>
      <c r="E411" s="122"/>
      <c r="F411" s="122"/>
      <c r="G411" s="120"/>
      <c r="H411" s="120"/>
    </row>
    <row r="412">
      <c r="A412" s="246"/>
      <c r="B412" s="120"/>
      <c r="C412" s="120"/>
      <c r="D412" s="120"/>
      <c r="E412" s="122"/>
      <c r="F412" s="122"/>
      <c r="G412" s="120"/>
      <c r="H412" s="120"/>
    </row>
    <row r="413">
      <c r="A413" s="246"/>
      <c r="B413" s="120"/>
      <c r="C413" s="120"/>
      <c r="D413" s="120"/>
      <c r="E413" s="122"/>
      <c r="F413" s="122"/>
      <c r="G413" s="120"/>
      <c r="H413" s="120"/>
    </row>
    <row r="414">
      <c r="A414" s="246"/>
      <c r="B414" s="120"/>
      <c r="C414" s="120"/>
      <c r="D414" s="120"/>
      <c r="E414" s="122"/>
      <c r="F414" s="122"/>
      <c r="G414" s="120"/>
      <c r="H414" s="120"/>
    </row>
    <row r="415">
      <c r="A415" s="246"/>
      <c r="B415" s="120"/>
      <c r="C415" s="120"/>
      <c r="D415" s="120"/>
      <c r="E415" s="122"/>
      <c r="F415" s="122"/>
      <c r="G415" s="120"/>
      <c r="H415" s="120"/>
    </row>
    <row r="416">
      <c r="A416" s="246"/>
      <c r="B416" s="120"/>
      <c r="C416" s="120"/>
      <c r="D416" s="120"/>
      <c r="E416" s="122"/>
      <c r="F416" s="122"/>
      <c r="G416" s="120"/>
      <c r="H416" s="120"/>
    </row>
    <row r="417">
      <c r="A417" s="246"/>
      <c r="B417" s="120"/>
      <c r="C417" s="120"/>
      <c r="D417" s="120"/>
      <c r="E417" s="122"/>
      <c r="F417" s="122"/>
      <c r="G417" s="120"/>
      <c r="H417" s="120"/>
    </row>
    <row r="418">
      <c r="A418" s="246"/>
      <c r="B418" s="120"/>
      <c r="C418" s="120"/>
      <c r="D418" s="120"/>
      <c r="E418" s="122"/>
      <c r="F418" s="122"/>
      <c r="G418" s="120"/>
      <c r="H418" s="120"/>
    </row>
    <row r="419">
      <c r="A419" s="246"/>
      <c r="B419" s="120"/>
      <c r="C419" s="120"/>
      <c r="D419" s="120"/>
      <c r="E419" s="122"/>
      <c r="F419" s="122"/>
      <c r="G419" s="120"/>
      <c r="H419" s="120"/>
    </row>
    <row r="420">
      <c r="A420" s="246"/>
      <c r="B420" s="120"/>
      <c r="C420" s="120"/>
      <c r="D420" s="120"/>
      <c r="E420" s="122"/>
      <c r="F420" s="122"/>
      <c r="G420" s="120"/>
      <c r="H420" s="120"/>
    </row>
    <row r="421">
      <c r="A421" s="246"/>
      <c r="B421" s="120"/>
      <c r="C421" s="120"/>
      <c r="D421" s="120"/>
      <c r="E421" s="122"/>
      <c r="F421" s="122"/>
      <c r="G421" s="120"/>
      <c r="H421" s="120"/>
    </row>
    <row r="422">
      <c r="A422" s="246"/>
      <c r="B422" s="120"/>
      <c r="C422" s="120"/>
      <c r="D422" s="120"/>
      <c r="E422" s="122"/>
      <c r="F422" s="122"/>
      <c r="G422" s="120"/>
      <c r="H422" s="120"/>
    </row>
    <row r="423">
      <c r="A423" s="246"/>
      <c r="B423" s="120"/>
      <c r="C423" s="120"/>
      <c r="D423" s="120"/>
      <c r="E423" s="122"/>
      <c r="F423" s="122"/>
      <c r="G423" s="120"/>
      <c r="H423" s="120"/>
    </row>
    <row r="424">
      <c r="A424" s="246"/>
      <c r="B424" s="120"/>
      <c r="C424" s="120"/>
      <c r="D424" s="120"/>
      <c r="E424" s="122"/>
      <c r="F424" s="122"/>
      <c r="G424" s="120"/>
      <c r="H424" s="120"/>
    </row>
    <row r="425">
      <c r="A425" s="246"/>
      <c r="B425" s="120"/>
      <c r="C425" s="120"/>
      <c r="D425" s="120"/>
      <c r="E425" s="122"/>
      <c r="F425" s="122"/>
      <c r="G425" s="120"/>
      <c r="H425" s="120"/>
    </row>
    <row r="426">
      <c r="A426" s="246"/>
      <c r="B426" s="120"/>
      <c r="C426" s="120"/>
      <c r="D426" s="120"/>
      <c r="E426" s="122"/>
      <c r="F426" s="122"/>
      <c r="G426" s="120"/>
      <c r="H426" s="120"/>
    </row>
    <row r="427">
      <c r="A427" s="246"/>
      <c r="B427" s="120"/>
      <c r="C427" s="120"/>
      <c r="D427" s="120"/>
      <c r="E427" s="122"/>
      <c r="F427" s="122"/>
      <c r="G427" s="120"/>
      <c r="H427" s="120"/>
    </row>
    <row r="428">
      <c r="A428" s="246"/>
      <c r="B428" s="120"/>
      <c r="C428" s="120"/>
      <c r="D428" s="120"/>
      <c r="E428" s="122"/>
      <c r="F428" s="122"/>
      <c r="G428" s="120"/>
      <c r="H428" s="120"/>
    </row>
    <row r="429">
      <c r="A429" s="246"/>
      <c r="B429" s="120"/>
      <c r="C429" s="120"/>
      <c r="D429" s="120"/>
      <c r="E429" s="122"/>
      <c r="F429" s="122"/>
      <c r="G429" s="120"/>
      <c r="H429" s="120"/>
    </row>
    <row r="430">
      <c r="A430" s="246"/>
      <c r="B430" s="120"/>
      <c r="C430" s="120"/>
      <c r="D430" s="120"/>
      <c r="E430" s="122"/>
      <c r="F430" s="122"/>
      <c r="G430" s="120"/>
      <c r="H430" s="120"/>
    </row>
    <row r="431">
      <c r="A431" s="246"/>
      <c r="B431" s="120"/>
      <c r="C431" s="120"/>
      <c r="D431" s="120"/>
      <c r="E431" s="122"/>
      <c r="F431" s="122"/>
      <c r="G431" s="120"/>
      <c r="H431" s="120"/>
    </row>
    <row r="432">
      <c r="A432" s="246"/>
      <c r="B432" s="120"/>
      <c r="C432" s="120"/>
      <c r="D432" s="120"/>
      <c r="E432" s="122"/>
      <c r="F432" s="122"/>
      <c r="G432" s="120"/>
      <c r="H432" s="120"/>
    </row>
    <row r="433">
      <c r="A433" s="246"/>
      <c r="B433" s="120"/>
      <c r="C433" s="120"/>
      <c r="D433" s="120"/>
      <c r="E433" s="122"/>
      <c r="F433" s="122"/>
      <c r="G433" s="120"/>
      <c r="H433" s="120"/>
    </row>
    <row r="434">
      <c r="A434" s="246"/>
      <c r="B434" s="120"/>
      <c r="C434" s="120"/>
      <c r="D434" s="120"/>
      <c r="E434" s="122"/>
      <c r="F434" s="122"/>
      <c r="G434" s="120"/>
      <c r="H434" s="120"/>
    </row>
    <row r="435">
      <c r="A435" s="246"/>
      <c r="B435" s="120"/>
      <c r="C435" s="120"/>
      <c r="D435" s="120"/>
      <c r="E435" s="122"/>
      <c r="F435" s="122"/>
      <c r="G435" s="120"/>
      <c r="H435" s="120"/>
    </row>
    <row r="436">
      <c r="A436" s="246"/>
      <c r="B436" s="120"/>
      <c r="C436" s="120"/>
      <c r="D436" s="120"/>
      <c r="E436" s="122"/>
      <c r="F436" s="122"/>
      <c r="G436" s="120"/>
      <c r="H436" s="120"/>
    </row>
    <row r="437">
      <c r="A437" s="246"/>
      <c r="B437" s="120"/>
      <c r="C437" s="120"/>
      <c r="D437" s="120"/>
      <c r="E437" s="122"/>
      <c r="F437" s="122"/>
      <c r="G437" s="120"/>
      <c r="H437" s="120"/>
    </row>
    <row r="438">
      <c r="A438" s="246"/>
      <c r="B438" s="120"/>
      <c r="C438" s="120"/>
      <c r="D438" s="120"/>
      <c r="E438" s="122"/>
      <c r="F438" s="122"/>
      <c r="G438" s="120"/>
      <c r="H438" s="120"/>
    </row>
    <row r="439">
      <c r="A439" s="246"/>
      <c r="B439" s="120"/>
      <c r="C439" s="120"/>
      <c r="D439" s="120"/>
      <c r="E439" s="122"/>
      <c r="F439" s="122"/>
      <c r="G439" s="120"/>
      <c r="H439" s="120"/>
    </row>
    <row r="440">
      <c r="A440" s="246"/>
      <c r="B440" s="120"/>
      <c r="C440" s="120"/>
      <c r="D440" s="120"/>
      <c r="E440" s="122"/>
      <c r="F440" s="122"/>
      <c r="G440" s="120"/>
      <c r="H440" s="120"/>
    </row>
    <row r="441">
      <c r="A441" s="246"/>
      <c r="B441" s="120"/>
      <c r="C441" s="120"/>
      <c r="D441" s="120"/>
      <c r="E441" s="122"/>
      <c r="F441" s="122"/>
      <c r="G441" s="120"/>
      <c r="H441" s="120"/>
    </row>
    <row r="442">
      <c r="A442" s="246"/>
      <c r="B442" s="120"/>
      <c r="C442" s="120"/>
      <c r="D442" s="120"/>
      <c r="E442" s="122"/>
      <c r="F442" s="122"/>
      <c r="G442" s="120"/>
      <c r="H442" s="120"/>
    </row>
    <row r="443">
      <c r="A443" s="246"/>
      <c r="B443" s="120"/>
      <c r="C443" s="120"/>
      <c r="D443" s="120"/>
      <c r="E443" s="122"/>
      <c r="F443" s="122"/>
      <c r="G443" s="120"/>
      <c r="H443" s="120"/>
    </row>
    <row r="444">
      <c r="A444" s="246"/>
      <c r="B444" s="120"/>
      <c r="C444" s="120"/>
      <c r="D444" s="120"/>
      <c r="E444" s="122"/>
      <c r="F444" s="122"/>
      <c r="G444" s="120"/>
      <c r="H444" s="120"/>
    </row>
    <row r="445">
      <c r="A445" s="246"/>
      <c r="B445" s="120"/>
      <c r="C445" s="120"/>
      <c r="D445" s="120"/>
      <c r="E445" s="122"/>
      <c r="F445" s="122"/>
      <c r="G445" s="120"/>
      <c r="H445" s="120"/>
    </row>
    <row r="446">
      <c r="A446" s="246"/>
      <c r="B446" s="120"/>
      <c r="C446" s="120"/>
      <c r="D446" s="120"/>
      <c r="E446" s="122"/>
      <c r="F446" s="122"/>
      <c r="G446" s="120"/>
      <c r="H446" s="120"/>
    </row>
    <row r="447">
      <c r="A447" s="246"/>
      <c r="B447" s="120"/>
      <c r="C447" s="120"/>
      <c r="D447" s="120"/>
      <c r="E447" s="122"/>
      <c r="F447" s="122"/>
      <c r="G447" s="120"/>
      <c r="H447" s="120"/>
    </row>
    <row r="448">
      <c r="A448" s="246"/>
      <c r="B448" s="120"/>
      <c r="C448" s="120"/>
      <c r="D448" s="120"/>
      <c r="E448" s="122"/>
      <c r="F448" s="122"/>
      <c r="G448" s="120"/>
      <c r="H448" s="120"/>
    </row>
    <row r="449">
      <c r="A449" s="246"/>
      <c r="B449" s="120"/>
      <c r="C449" s="120"/>
      <c r="D449" s="120"/>
      <c r="E449" s="122"/>
      <c r="F449" s="122"/>
      <c r="G449" s="120"/>
      <c r="H449" s="120"/>
    </row>
    <row r="450">
      <c r="A450" s="246"/>
      <c r="B450" s="120"/>
      <c r="C450" s="120"/>
      <c r="D450" s="120"/>
      <c r="E450" s="122"/>
      <c r="F450" s="122"/>
      <c r="G450" s="120"/>
      <c r="H450" s="120"/>
    </row>
    <row r="451">
      <c r="A451" s="246"/>
      <c r="B451" s="120"/>
      <c r="C451" s="120"/>
      <c r="D451" s="120"/>
      <c r="E451" s="122"/>
      <c r="F451" s="122"/>
      <c r="G451" s="120"/>
      <c r="H451" s="120"/>
    </row>
    <row r="452">
      <c r="A452" s="246"/>
      <c r="B452" s="120"/>
      <c r="C452" s="120"/>
      <c r="D452" s="120"/>
      <c r="E452" s="122"/>
      <c r="F452" s="122"/>
      <c r="G452" s="120"/>
      <c r="H452" s="120"/>
    </row>
    <row r="453">
      <c r="A453" s="246"/>
      <c r="B453" s="120"/>
      <c r="C453" s="120"/>
      <c r="D453" s="120"/>
      <c r="E453" s="122"/>
      <c r="F453" s="122"/>
      <c r="G453" s="120"/>
      <c r="H453" s="120"/>
    </row>
    <row r="454">
      <c r="A454" s="246"/>
      <c r="B454" s="120"/>
      <c r="C454" s="120"/>
      <c r="D454" s="120"/>
      <c r="E454" s="122"/>
      <c r="F454" s="122"/>
      <c r="G454" s="120"/>
      <c r="H454" s="120"/>
    </row>
    <row r="455">
      <c r="A455" s="246"/>
      <c r="B455" s="120"/>
      <c r="C455" s="120"/>
      <c r="D455" s="120"/>
      <c r="E455" s="122"/>
      <c r="F455" s="122"/>
      <c r="G455" s="120"/>
      <c r="H455" s="120"/>
    </row>
    <row r="456">
      <c r="A456" s="246"/>
      <c r="B456" s="120"/>
      <c r="C456" s="120"/>
      <c r="D456" s="120"/>
      <c r="E456" s="122"/>
      <c r="F456" s="122"/>
      <c r="G456" s="120"/>
      <c r="H456" s="120"/>
    </row>
    <row r="457">
      <c r="A457" s="246"/>
      <c r="B457" s="120"/>
      <c r="C457" s="120"/>
      <c r="D457" s="120"/>
      <c r="E457" s="122"/>
      <c r="F457" s="122"/>
      <c r="G457" s="120"/>
      <c r="H457" s="120"/>
    </row>
    <row r="458">
      <c r="A458" s="246"/>
      <c r="B458" s="120"/>
      <c r="C458" s="120"/>
      <c r="D458" s="120"/>
      <c r="E458" s="122"/>
      <c r="F458" s="122"/>
      <c r="G458" s="120"/>
      <c r="H458" s="120"/>
    </row>
    <row r="459">
      <c r="A459" s="246"/>
      <c r="B459" s="120"/>
      <c r="C459" s="120"/>
      <c r="D459" s="120"/>
      <c r="E459" s="122"/>
      <c r="F459" s="122"/>
      <c r="G459" s="120"/>
      <c r="H459" s="120"/>
    </row>
    <row r="460">
      <c r="A460" s="246"/>
      <c r="B460" s="120"/>
      <c r="C460" s="120"/>
      <c r="D460" s="120"/>
      <c r="E460" s="122"/>
      <c r="F460" s="122"/>
      <c r="G460" s="120"/>
      <c r="H460" s="120"/>
    </row>
    <row r="461">
      <c r="A461" s="246"/>
      <c r="B461" s="120"/>
      <c r="C461" s="120"/>
      <c r="D461" s="120"/>
      <c r="E461" s="122"/>
      <c r="F461" s="122"/>
      <c r="G461" s="120"/>
      <c r="H461" s="120"/>
    </row>
    <row r="462">
      <c r="A462" s="246"/>
      <c r="B462" s="120"/>
      <c r="C462" s="120"/>
      <c r="D462" s="120"/>
      <c r="E462" s="122"/>
      <c r="F462" s="122"/>
      <c r="G462" s="120"/>
      <c r="H462" s="120"/>
    </row>
    <row r="463">
      <c r="A463" s="246"/>
      <c r="B463" s="120"/>
      <c r="C463" s="120"/>
      <c r="D463" s="120"/>
      <c r="E463" s="122"/>
      <c r="F463" s="122"/>
      <c r="G463" s="120"/>
      <c r="H463" s="120"/>
    </row>
    <row r="464">
      <c r="A464" s="246"/>
      <c r="B464" s="120"/>
      <c r="C464" s="120"/>
      <c r="D464" s="120"/>
      <c r="E464" s="122"/>
      <c r="F464" s="122"/>
      <c r="G464" s="120"/>
      <c r="H464" s="120"/>
    </row>
    <row r="465">
      <c r="A465" s="246"/>
      <c r="B465" s="120"/>
      <c r="C465" s="120"/>
      <c r="D465" s="120"/>
      <c r="E465" s="122"/>
      <c r="F465" s="122"/>
      <c r="G465" s="120"/>
      <c r="H465" s="120"/>
    </row>
    <row r="466">
      <c r="A466" s="246"/>
      <c r="B466" s="120"/>
      <c r="C466" s="120"/>
      <c r="D466" s="120"/>
      <c r="E466" s="122"/>
      <c r="F466" s="122"/>
      <c r="G466" s="120"/>
      <c r="H466" s="120"/>
    </row>
    <row r="467">
      <c r="A467" s="246"/>
      <c r="B467" s="120"/>
      <c r="C467" s="120"/>
      <c r="D467" s="120"/>
      <c r="E467" s="122"/>
      <c r="F467" s="122"/>
      <c r="G467" s="120"/>
      <c r="H467" s="120"/>
    </row>
    <row r="468">
      <c r="A468" s="246"/>
      <c r="B468" s="120"/>
      <c r="C468" s="120"/>
      <c r="D468" s="120"/>
      <c r="E468" s="122"/>
      <c r="F468" s="122"/>
      <c r="G468" s="120"/>
      <c r="H468" s="120"/>
    </row>
    <row r="469">
      <c r="A469" s="246"/>
      <c r="B469" s="120"/>
      <c r="C469" s="120"/>
      <c r="D469" s="120"/>
      <c r="E469" s="122"/>
      <c r="F469" s="122"/>
      <c r="G469" s="120"/>
      <c r="H469" s="120"/>
    </row>
    <row r="470">
      <c r="A470" s="246"/>
      <c r="B470" s="120"/>
      <c r="C470" s="120"/>
      <c r="D470" s="120"/>
      <c r="E470" s="122"/>
      <c r="F470" s="122"/>
      <c r="G470" s="120"/>
      <c r="H470" s="120"/>
    </row>
    <row r="471">
      <c r="A471" s="246"/>
      <c r="B471" s="120"/>
      <c r="C471" s="120"/>
      <c r="D471" s="120"/>
      <c r="E471" s="122"/>
      <c r="F471" s="122"/>
      <c r="G471" s="120"/>
      <c r="H471" s="120"/>
    </row>
    <row r="472">
      <c r="A472" s="246"/>
      <c r="B472" s="120"/>
      <c r="C472" s="120"/>
      <c r="D472" s="120"/>
      <c r="E472" s="122"/>
      <c r="F472" s="122"/>
      <c r="G472" s="120"/>
      <c r="H472" s="120"/>
    </row>
    <row r="473">
      <c r="A473" s="246"/>
      <c r="B473" s="120"/>
      <c r="C473" s="120"/>
      <c r="D473" s="120"/>
      <c r="E473" s="122"/>
      <c r="F473" s="122"/>
      <c r="G473" s="120"/>
      <c r="H473" s="120"/>
    </row>
    <row r="474">
      <c r="A474" s="246"/>
      <c r="B474" s="120"/>
      <c r="C474" s="120"/>
      <c r="D474" s="120"/>
      <c r="E474" s="122"/>
      <c r="F474" s="122"/>
      <c r="G474" s="120"/>
      <c r="H474" s="120"/>
    </row>
    <row r="475">
      <c r="A475" s="246"/>
      <c r="B475" s="120"/>
      <c r="C475" s="120"/>
      <c r="D475" s="120"/>
      <c r="E475" s="122"/>
      <c r="F475" s="122"/>
      <c r="G475" s="120"/>
      <c r="H475" s="120"/>
    </row>
    <row r="476">
      <c r="A476" s="246"/>
      <c r="B476" s="120"/>
      <c r="C476" s="120"/>
      <c r="D476" s="120"/>
      <c r="E476" s="122"/>
      <c r="F476" s="122"/>
      <c r="G476" s="120"/>
      <c r="H476" s="120"/>
    </row>
    <row r="477">
      <c r="A477" s="246"/>
      <c r="B477" s="120"/>
      <c r="C477" s="120"/>
      <c r="D477" s="120"/>
      <c r="E477" s="122"/>
      <c r="F477" s="122"/>
      <c r="G477" s="120"/>
      <c r="H477" s="120"/>
    </row>
    <row r="478">
      <c r="A478" s="246"/>
      <c r="B478" s="120"/>
      <c r="C478" s="120"/>
      <c r="D478" s="120"/>
      <c r="E478" s="122"/>
      <c r="F478" s="122"/>
      <c r="G478" s="120"/>
      <c r="H478" s="120"/>
    </row>
    <row r="479">
      <c r="A479" s="246"/>
      <c r="B479" s="120"/>
      <c r="C479" s="120"/>
      <c r="D479" s="120"/>
      <c r="E479" s="122"/>
      <c r="F479" s="122"/>
      <c r="G479" s="120"/>
      <c r="H479" s="120"/>
    </row>
    <row r="480">
      <c r="A480" s="246"/>
      <c r="B480" s="120"/>
      <c r="C480" s="120"/>
      <c r="D480" s="120"/>
      <c r="E480" s="122"/>
      <c r="F480" s="122"/>
      <c r="G480" s="120"/>
      <c r="H480" s="120"/>
    </row>
    <row r="481">
      <c r="A481" s="246"/>
      <c r="B481" s="120"/>
      <c r="C481" s="120"/>
      <c r="D481" s="120"/>
      <c r="E481" s="122"/>
      <c r="F481" s="122"/>
      <c r="G481" s="120"/>
      <c r="H481" s="120"/>
    </row>
    <row r="482">
      <c r="A482" s="246"/>
      <c r="B482" s="120"/>
      <c r="C482" s="120"/>
      <c r="D482" s="120"/>
      <c r="E482" s="122"/>
      <c r="F482" s="122"/>
      <c r="G482" s="120"/>
      <c r="H482" s="120"/>
    </row>
    <row r="483">
      <c r="A483" s="246"/>
      <c r="B483" s="120"/>
      <c r="C483" s="120"/>
      <c r="D483" s="120"/>
      <c r="E483" s="122"/>
      <c r="F483" s="122"/>
      <c r="G483" s="120"/>
      <c r="H483" s="120"/>
    </row>
    <row r="484">
      <c r="A484" s="246"/>
      <c r="B484" s="120"/>
      <c r="C484" s="120"/>
      <c r="D484" s="120"/>
      <c r="E484" s="122"/>
      <c r="F484" s="122"/>
      <c r="G484" s="120"/>
      <c r="H484" s="120"/>
    </row>
    <row r="485">
      <c r="A485" s="246"/>
      <c r="B485" s="120"/>
      <c r="C485" s="120"/>
      <c r="D485" s="120"/>
      <c r="E485" s="122"/>
      <c r="F485" s="122"/>
      <c r="G485" s="120"/>
      <c r="H485" s="120"/>
    </row>
    <row r="486">
      <c r="A486" s="246"/>
      <c r="B486" s="120"/>
      <c r="C486" s="120"/>
      <c r="D486" s="120"/>
      <c r="E486" s="122"/>
      <c r="F486" s="122"/>
      <c r="G486" s="120"/>
      <c r="H486" s="120"/>
    </row>
    <row r="487">
      <c r="A487" s="246"/>
      <c r="B487" s="120"/>
      <c r="C487" s="120"/>
      <c r="D487" s="120"/>
      <c r="E487" s="122"/>
      <c r="F487" s="122"/>
      <c r="G487" s="120"/>
      <c r="H487" s="120"/>
    </row>
    <row r="488">
      <c r="A488" s="246"/>
      <c r="B488" s="120"/>
      <c r="C488" s="120"/>
      <c r="D488" s="120"/>
      <c r="E488" s="122"/>
      <c r="F488" s="122"/>
      <c r="G488" s="120"/>
      <c r="H488" s="120"/>
    </row>
    <row r="489">
      <c r="A489" s="246"/>
      <c r="B489" s="120"/>
      <c r="C489" s="120"/>
      <c r="D489" s="120"/>
      <c r="E489" s="122"/>
      <c r="F489" s="122"/>
      <c r="G489" s="120"/>
      <c r="H489" s="120"/>
    </row>
    <row r="490">
      <c r="A490" s="246"/>
      <c r="B490" s="120"/>
      <c r="C490" s="120"/>
      <c r="D490" s="120"/>
      <c r="E490" s="122"/>
      <c r="F490" s="122"/>
      <c r="G490" s="120"/>
      <c r="H490" s="120"/>
    </row>
    <row r="491">
      <c r="A491" s="246"/>
      <c r="B491" s="120"/>
      <c r="C491" s="120"/>
      <c r="D491" s="120"/>
      <c r="E491" s="122"/>
      <c r="F491" s="122"/>
      <c r="G491" s="120"/>
      <c r="H491" s="120"/>
    </row>
    <row r="492">
      <c r="A492" s="246"/>
      <c r="B492" s="120"/>
      <c r="C492" s="120"/>
      <c r="D492" s="120"/>
      <c r="E492" s="122"/>
      <c r="F492" s="122"/>
      <c r="G492" s="120"/>
      <c r="H492" s="120"/>
    </row>
    <row r="493">
      <c r="A493" s="246"/>
      <c r="B493" s="120"/>
      <c r="C493" s="120"/>
      <c r="D493" s="120"/>
      <c r="E493" s="122"/>
      <c r="F493" s="122"/>
      <c r="G493" s="120"/>
      <c r="H493" s="120"/>
    </row>
    <row r="494">
      <c r="A494" s="246"/>
      <c r="B494" s="120"/>
      <c r="C494" s="120"/>
      <c r="D494" s="120"/>
      <c r="E494" s="122"/>
      <c r="F494" s="122"/>
      <c r="G494" s="120"/>
      <c r="H494" s="120"/>
    </row>
    <row r="495">
      <c r="A495" s="246"/>
      <c r="B495" s="120"/>
      <c r="C495" s="120"/>
      <c r="D495" s="120"/>
      <c r="E495" s="122"/>
      <c r="F495" s="122"/>
      <c r="G495" s="120"/>
      <c r="H495" s="120"/>
    </row>
    <row r="496">
      <c r="A496" s="246"/>
      <c r="B496" s="120"/>
      <c r="C496" s="120"/>
      <c r="D496" s="120"/>
      <c r="E496" s="122"/>
      <c r="F496" s="122"/>
      <c r="G496" s="120"/>
      <c r="H496" s="120"/>
    </row>
    <row r="497">
      <c r="A497" s="246"/>
      <c r="B497" s="120"/>
      <c r="C497" s="120"/>
      <c r="D497" s="120"/>
      <c r="E497" s="122"/>
      <c r="F497" s="122"/>
      <c r="G497" s="120"/>
      <c r="H497" s="120"/>
    </row>
    <row r="498">
      <c r="A498" s="246"/>
      <c r="B498" s="120"/>
      <c r="C498" s="120"/>
      <c r="D498" s="120"/>
      <c r="E498" s="122"/>
      <c r="F498" s="122"/>
      <c r="G498" s="120"/>
      <c r="H498" s="120"/>
    </row>
    <row r="499">
      <c r="A499" s="246"/>
      <c r="B499" s="120"/>
      <c r="C499" s="120"/>
      <c r="D499" s="120"/>
      <c r="E499" s="122"/>
      <c r="F499" s="122"/>
      <c r="G499" s="120"/>
      <c r="H499" s="120"/>
    </row>
    <row r="500">
      <c r="A500" s="246"/>
      <c r="B500" s="120"/>
      <c r="C500" s="120"/>
      <c r="D500" s="120"/>
      <c r="E500" s="122"/>
      <c r="F500" s="122"/>
      <c r="G500" s="120"/>
      <c r="H500" s="120"/>
    </row>
    <row r="501">
      <c r="A501" s="246"/>
      <c r="B501" s="120"/>
      <c r="C501" s="120"/>
      <c r="D501" s="120"/>
      <c r="E501" s="122"/>
      <c r="F501" s="122"/>
      <c r="G501" s="120"/>
      <c r="H501" s="120"/>
    </row>
    <row r="502">
      <c r="A502" s="246"/>
      <c r="B502" s="120"/>
      <c r="C502" s="120"/>
      <c r="D502" s="120"/>
      <c r="E502" s="122"/>
      <c r="F502" s="122"/>
      <c r="G502" s="120"/>
      <c r="H502" s="120"/>
    </row>
    <row r="503">
      <c r="A503" s="246"/>
      <c r="B503" s="120"/>
      <c r="C503" s="120"/>
      <c r="D503" s="120"/>
      <c r="E503" s="122"/>
      <c r="F503" s="122"/>
      <c r="G503" s="120"/>
      <c r="H503" s="120"/>
    </row>
    <row r="504">
      <c r="A504" s="246"/>
      <c r="B504" s="120"/>
      <c r="C504" s="120"/>
      <c r="D504" s="120"/>
      <c r="E504" s="122"/>
      <c r="F504" s="122"/>
      <c r="G504" s="120"/>
      <c r="H504" s="120"/>
    </row>
    <row r="505">
      <c r="A505" s="246"/>
      <c r="B505" s="120"/>
      <c r="C505" s="120"/>
      <c r="D505" s="120"/>
      <c r="E505" s="122"/>
      <c r="F505" s="122"/>
      <c r="G505" s="120"/>
      <c r="H505" s="120"/>
    </row>
    <row r="506">
      <c r="A506" s="246"/>
      <c r="B506" s="120"/>
      <c r="C506" s="120"/>
      <c r="D506" s="120"/>
      <c r="E506" s="122"/>
      <c r="F506" s="122"/>
      <c r="G506" s="120"/>
      <c r="H506" s="120"/>
    </row>
    <row r="507">
      <c r="A507" s="246"/>
      <c r="B507" s="120"/>
      <c r="C507" s="120"/>
      <c r="D507" s="120"/>
      <c r="E507" s="122"/>
      <c r="F507" s="122"/>
      <c r="G507" s="120"/>
      <c r="H507" s="120"/>
    </row>
    <row r="508">
      <c r="A508" s="246"/>
      <c r="B508" s="120"/>
      <c r="C508" s="120"/>
      <c r="D508" s="120"/>
      <c r="E508" s="122"/>
      <c r="F508" s="122"/>
      <c r="G508" s="120"/>
      <c r="H508" s="120"/>
    </row>
    <row r="509">
      <c r="A509" s="246"/>
      <c r="B509" s="120"/>
      <c r="C509" s="120"/>
      <c r="D509" s="120"/>
      <c r="E509" s="122"/>
      <c r="F509" s="122"/>
      <c r="G509" s="120"/>
      <c r="H509" s="120"/>
    </row>
    <row r="510">
      <c r="A510" s="246"/>
      <c r="B510" s="120"/>
      <c r="C510" s="120"/>
      <c r="D510" s="120"/>
      <c r="E510" s="122"/>
      <c r="F510" s="122"/>
      <c r="G510" s="120"/>
      <c r="H510" s="120"/>
    </row>
    <row r="511">
      <c r="A511" s="246"/>
      <c r="B511" s="120"/>
      <c r="C511" s="120"/>
      <c r="D511" s="120"/>
      <c r="E511" s="122"/>
      <c r="F511" s="122"/>
      <c r="G511" s="120"/>
      <c r="H511" s="120"/>
    </row>
    <row r="512">
      <c r="A512" s="246"/>
      <c r="B512" s="120"/>
      <c r="C512" s="120"/>
      <c r="D512" s="120"/>
      <c r="E512" s="122"/>
      <c r="F512" s="122"/>
      <c r="G512" s="120"/>
      <c r="H512" s="120"/>
    </row>
    <row r="513">
      <c r="A513" s="246"/>
      <c r="B513" s="120"/>
      <c r="C513" s="120"/>
      <c r="D513" s="120"/>
      <c r="E513" s="122"/>
      <c r="F513" s="122"/>
      <c r="G513" s="120"/>
      <c r="H513" s="120"/>
    </row>
    <row r="514">
      <c r="A514" s="246"/>
      <c r="B514" s="120"/>
      <c r="C514" s="120"/>
      <c r="D514" s="120"/>
      <c r="E514" s="122"/>
      <c r="F514" s="122"/>
      <c r="G514" s="120"/>
      <c r="H514" s="120"/>
    </row>
    <row r="515">
      <c r="A515" s="246"/>
      <c r="B515" s="120"/>
      <c r="C515" s="120"/>
      <c r="D515" s="120"/>
      <c r="E515" s="122"/>
      <c r="F515" s="122"/>
      <c r="G515" s="120"/>
      <c r="H515" s="120"/>
    </row>
    <row r="516">
      <c r="A516" s="246"/>
      <c r="B516" s="120"/>
      <c r="C516" s="120"/>
      <c r="D516" s="120"/>
      <c r="E516" s="122"/>
      <c r="F516" s="122"/>
      <c r="G516" s="120"/>
      <c r="H516" s="120"/>
    </row>
    <row r="517">
      <c r="A517" s="246"/>
      <c r="B517" s="120"/>
      <c r="C517" s="120"/>
      <c r="D517" s="120"/>
      <c r="E517" s="122"/>
      <c r="F517" s="122"/>
      <c r="G517" s="120"/>
      <c r="H517" s="120"/>
    </row>
    <row r="518">
      <c r="A518" s="246"/>
      <c r="B518" s="120"/>
      <c r="C518" s="120"/>
      <c r="D518" s="120"/>
      <c r="E518" s="122"/>
      <c r="F518" s="122"/>
      <c r="G518" s="120"/>
      <c r="H518" s="120"/>
    </row>
    <row r="519">
      <c r="A519" s="246"/>
      <c r="B519" s="120"/>
      <c r="C519" s="120"/>
      <c r="D519" s="120"/>
      <c r="E519" s="122"/>
      <c r="F519" s="122"/>
      <c r="G519" s="120"/>
      <c r="H519" s="120"/>
    </row>
    <row r="520">
      <c r="A520" s="246"/>
      <c r="B520" s="120"/>
      <c r="C520" s="120"/>
      <c r="D520" s="120"/>
      <c r="E520" s="122"/>
      <c r="F520" s="122"/>
      <c r="G520" s="120"/>
      <c r="H520" s="120"/>
    </row>
    <row r="521">
      <c r="A521" s="246"/>
      <c r="B521" s="120"/>
      <c r="C521" s="120"/>
      <c r="D521" s="120"/>
      <c r="E521" s="122"/>
      <c r="F521" s="122"/>
      <c r="G521" s="120"/>
      <c r="H521" s="120"/>
    </row>
    <row r="522">
      <c r="A522" s="246"/>
      <c r="B522" s="120"/>
      <c r="C522" s="120"/>
      <c r="D522" s="120"/>
      <c r="E522" s="122"/>
      <c r="F522" s="122"/>
      <c r="G522" s="120"/>
      <c r="H522" s="120"/>
    </row>
    <row r="523">
      <c r="A523" s="246"/>
      <c r="B523" s="120"/>
      <c r="C523" s="120"/>
      <c r="D523" s="120"/>
      <c r="E523" s="122"/>
      <c r="F523" s="122"/>
      <c r="G523" s="120"/>
      <c r="H523" s="120"/>
    </row>
    <row r="524">
      <c r="A524" s="246"/>
      <c r="B524" s="120"/>
      <c r="C524" s="120"/>
      <c r="D524" s="120"/>
      <c r="E524" s="122"/>
      <c r="F524" s="122"/>
      <c r="G524" s="120"/>
      <c r="H524" s="120"/>
    </row>
    <row r="525">
      <c r="A525" s="246"/>
      <c r="B525" s="120"/>
      <c r="C525" s="120"/>
      <c r="D525" s="120"/>
      <c r="E525" s="122"/>
      <c r="F525" s="122"/>
      <c r="G525" s="120"/>
      <c r="H525" s="120"/>
    </row>
    <row r="526">
      <c r="A526" s="246"/>
      <c r="B526" s="120"/>
      <c r="C526" s="120"/>
      <c r="D526" s="120"/>
      <c r="E526" s="122"/>
      <c r="F526" s="122"/>
      <c r="G526" s="120"/>
      <c r="H526" s="120"/>
    </row>
    <row r="527">
      <c r="A527" s="246"/>
      <c r="B527" s="120"/>
      <c r="C527" s="120"/>
      <c r="D527" s="120"/>
      <c r="E527" s="122"/>
      <c r="F527" s="122"/>
      <c r="G527" s="120"/>
      <c r="H527" s="120"/>
    </row>
    <row r="528">
      <c r="A528" s="246"/>
      <c r="B528" s="120"/>
      <c r="C528" s="120"/>
      <c r="D528" s="120"/>
      <c r="E528" s="122"/>
      <c r="F528" s="122"/>
      <c r="G528" s="120"/>
      <c r="H528" s="120"/>
    </row>
    <row r="529">
      <c r="A529" s="246"/>
      <c r="B529" s="120"/>
      <c r="C529" s="120"/>
      <c r="D529" s="120"/>
      <c r="E529" s="122"/>
      <c r="F529" s="122"/>
      <c r="G529" s="120"/>
      <c r="H529" s="120"/>
    </row>
    <row r="530">
      <c r="A530" s="246"/>
      <c r="B530" s="120"/>
      <c r="C530" s="120"/>
      <c r="D530" s="120"/>
      <c r="E530" s="122"/>
      <c r="F530" s="122"/>
      <c r="G530" s="120"/>
      <c r="H530" s="120"/>
    </row>
    <row r="531">
      <c r="A531" s="246"/>
      <c r="B531" s="120"/>
      <c r="C531" s="120"/>
      <c r="D531" s="120"/>
      <c r="E531" s="122"/>
      <c r="F531" s="122"/>
      <c r="G531" s="120"/>
      <c r="H531" s="120"/>
    </row>
    <row r="532">
      <c r="A532" s="246"/>
      <c r="B532" s="120"/>
      <c r="C532" s="120"/>
      <c r="D532" s="120"/>
      <c r="E532" s="122"/>
      <c r="F532" s="122"/>
      <c r="G532" s="120"/>
      <c r="H532" s="120"/>
    </row>
    <row r="533">
      <c r="A533" s="246"/>
      <c r="B533" s="120"/>
      <c r="C533" s="120"/>
      <c r="D533" s="120"/>
      <c r="E533" s="122"/>
      <c r="F533" s="122"/>
      <c r="G533" s="120"/>
      <c r="H533" s="120"/>
    </row>
    <row r="534">
      <c r="A534" s="246"/>
      <c r="B534" s="120"/>
      <c r="C534" s="120"/>
      <c r="D534" s="120"/>
      <c r="E534" s="122"/>
      <c r="F534" s="122"/>
      <c r="G534" s="120"/>
      <c r="H534" s="120"/>
    </row>
    <row r="535">
      <c r="A535" s="246"/>
      <c r="B535" s="120"/>
      <c r="C535" s="120"/>
      <c r="D535" s="120"/>
      <c r="E535" s="122"/>
      <c r="F535" s="122"/>
      <c r="G535" s="120"/>
      <c r="H535" s="120"/>
    </row>
    <row r="536">
      <c r="A536" s="246"/>
      <c r="B536" s="120"/>
      <c r="C536" s="120"/>
      <c r="D536" s="120"/>
      <c r="E536" s="122"/>
      <c r="F536" s="122"/>
      <c r="G536" s="120"/>
      <c r="H536" s="120"/>
    </row>
    <row r="537">
      <c r="A537" s="246"/>
      <c r="B537" s="120"/>
      <c r="C537" s="120"/>
      <c r="D537" s="120"/>
      <c r="E537" s="122"/>
      <c r="F537" s="122"/>
      <c r="G537" s="120"/>
      <c r="H537" s="120"/>
    </row>
    <row r="538">
      <c r="A538" s="246"/>
      <c r="B538" s="120"/>
      <c r="C538" s="120"/>
      <c r="D538" s="120"/>
      <c r="E538" s="122"/>
      <c r="F538" s="122"/>
      <c r="G538" s="120"/>
      <c r="H538" s="120"/>
    </row>
    <row r="539">
      <c r="A539" s="246"/>
      <c r="B539" s="120"/>
      <c r="C539" s="120"/>
      <c r="D539" s="120"/>
      <c r="E539" s="122"/>
      <c r="F539" s="122"/>
      <c r="G539" s="120"/>
      <c r="H539" s="120"/>
    </row>
    <row r="540">
      <c r="A540" s="246"/>
      <c r="B540" s="120"/>
      <c r="C540" s="120"/>
      <c r="D540" s="120"/>
      <c r="E540" s="122"/>
      <c r="F540" s="122"/>
      <c r="G540" s="120"/>
      <c r="H540" s="120"/>
    </row>
    <row r="541">
      <c r="A541" s="246"/>
      <c r="B541" s="120"/>
      <c r="C541" s="120"/>
      <c r="D541" s="120"/>
      <c r="E541" s="122"/>
      <c r="F541" s="122"/>
      <c r="G541" s="120"/>
      <c r="H541" s="120"/>
    </row>
    <row r="542">
      <c r="A542" s="246"/>
      <c r="B542" s="120"/>
      <c r="C542" s="120"/>
      <c r="D542" s="120"/>
      <c r="E542" s="122"/>
      <c r="F542" s="122"/>
      <c r="G542" s="120"/>
      <c r="H542" s="120"/>
    </row>
    <row r="543">
      <c r="A543" s="246"/>
      <c r="B543" s="120"/>
      <c r="C543" s="120"/>
      <c r="D543" s="120"/>
      <c r="E543" s="122"/>
      <c r="F543" s="122"/>
      <c r="G543" s="120"/>
      <c r="H543" s="120"/>
    </row>
    <row r="544">
      <c r="A544" s="246"/>
      <c r="B544" s="120"/>
      <c r="C544" s="120"/>
      <c r="D544" s="120"/>
      <c r="E544" s="122"/>
      <c r="F544" s="122"/>
      <c r="G544" s="120"/>
      <c r="H544" s="120"/>
    </row>
    <row r="545">
      <c r="A545" s="246"/>
      <c r="B545" s="120"/>
      <c r="C545" s="120"/>
      <c r="D545" s="120"/>
      <c r="E545" s="122"/>
      <c r="F545" s="122"/>
      <c r="G545" s="120"/>
      <c r="H545" s="120"/>
    </row>
    <row r="546">
      <c r="A546" s="246"/>
      <c r="B546" s="120"/>
      <c r="C546" s="120"/>
      <c r="D546" s="120"/>
      <c r="E546" s="122"/>
      <c r="F546" s="122"/>
      <c r="G546" s="120"/>
      <c r="H546" s="120"/>
    </row>
    <row r="547">
      <c r="A547" s="246"/>
      <c r="B547" s="120"/>
      <c r="C547" s="120"/>
      <c r="D547" s="120"/>
      <c r="E547" s="122"/>
      <c r="F547" s="122"/>
      <c r="G547" s="120"/>
      <c r="H547" s="120"/>
    </row>
    <row r="548">
      <c r="A548" s="246"/>
      <c r="B548" s="120"/>
      <c r="C548" s="120"/>
      <c r="D548" s="120"/>
      <c r="E548" s="122"/>
      <c r="F548" s="122"/>
      <c r="G548" s="120"/>
      <c r="H548" s="120"/>
    </row>
    <row r="549">
      <c r="A549" s="246"/>
      <c r="B549" s="120"/>
      <c r="C549" s="120"/>
      <c r="D549" s="120"/>
      <c r="E549" s="122"/>
      <c r="F549" s="122"/>
      <c r="G549" s="120"/>
      <c r="H549" s="120"/>
    </row>
    <row r="550">
      <c r="A550" s="246"/>
      <c r="B550" s="120"/>
      <c r="C550" s="120"/>
      <c r="D550" s="120"/>
      <c r="E550" s="122"/>
      <c r="F550" s="122"/>
      <c r="G550" s="120"/>
      <c r="H550" s="120"/>
    </row>
    <row r="551">
      <c r="A551" s="246"/>
      <c r="B551" s="120"/>
      <c r="C551" s="120"/>
      <c r="D551" s="120"/>
      <c r="E551" s="122"/>
      <c r="F551" s="122"/>
      <c r="G551" s="120"/>
      <c r="H551" s="120"/>
    </row>
    <row r="552">
      <c r="A552" s="246"/>
      <c r="B552" s="120"/>
      <c r="C552" s="120"/>
      <c r="D552" s="120"/>
      <c r="E552" s="122"/>
      <c r="F552" s="122"/>
      <c r="G552" s="120"/>
      <c r="H552" s="120"/>
    </row>
    <row r="553">
      <c r="A553" s="246"/>
      <c r="B553" s="120"/>
      <c r="C553" s="120"/>
      <c r="D553" s="120"/>
      <c r="E553" s="122"/>
      <c r="F553" s="122"/>
      <c r="G553" s="120"/>
      <c r="H553" s="120"/>
    </row>
    <row r="554">
      <c r="A554" s="246"/>
      <c r="B554" s="120"/>
      <c r="C554" s="120"/>
      <c r="D554" s="120"/>
      <c r="E554" s="122"/>
      <c r="F554" s="122"/>
      <c r="G554" s="120"/>
      <c r="H554" s="120"/>
    </row>
    <row r="555">
      <c r="A555" s="246"/>
      <c r="B555" s="120"/>
      <c r="C555" s="120"/>
      <c r="D555" s="120"/>
      <c r="E555" s="122"/>
      <c r="F555" s="122"/>
      <c r="G555" s="120"/>
      <c r="H555" s="120"/>
    </row>
    <row r="556">
      <c r="A556" s="246"/>
      <c r="B556" s="120"/>
      <c r="C556" s="120"/>
      <c r="D556" s="120"/>
      <c r="E556" s="122"/>
      <c r="F556" s="122"/>
      <c r="G556" s="120"/>
      <c r="H556" s="120"/>
    </row>
    <row r="557">
      <c r="A557" s="246"/>
      <c r="B557" s="120"/>
      <c r="C557" s="120"/>
      <c r="D557" s="120"/>
      <c r="E557" s="122"/>
      <c r="F557" s="122"/>
      <c r="G557" s="120"/>
      <c r="H557" s="120"/>
    </row>
    <row r="558">
      <c r="A558" s="246"/>
      <c r="B558" s="120"/>
      <c r="C558" s="120"/>
      <c r="D558" s="120"/>
      <c r="E558" s="122"/>
      <c r="F558" s="122"/>
      <c r="G558" s="120"/>
      <c r="H558" s="120"/>
    </row>
    <row r="559">
      <c r="A559" s="246"/>
      <c r="B559" s="120"/>
      <c r="C559" s="120"/>
      <c r="D559" s="120"/>
      <c r="E559" s="122"/>
      <c r="F559" s="122"/>
      <c r="G559" s="120"/>
      <c r="H559" s="120"/>
    </row>
    <row r="560">
      <c r="A560" s="246"/>
      <c r="B560" s="120"/>
      <c r="C560" s="120"/>
      <c r="D560" s="120"/>
      <c r="E560" s="122"/>
      <c r="F560" s="122"/>
      <c r="G560" s="120"/>
      <c r="H560" s="120"/>
    </row>
    <row r="561">
      <c r="A561" s="246"/>
      <c r="B561" s="120"/>
      <c r="C561" s="120"/>
      <c r="D561" s="120"/>
      <c r="E561" s="122"/>
      <c r="F561" s="122"/>
      <c r="G561" s="120"/>
      <c r="H561" s="120"/>
    </row>
    <row r="562">
      <c r="A562" s="246"/>
      <c r="B562" s="120"/>
      <c r="C562" s="120"/>
      <c r="D562" s="120"/>
      <c r="E562" s="122"/>
      <c r="F562" s="122"/>
      <c r="G562" s="120"/>
      <c r="H562" s="120"/>
    </row>
    <row r="563">
      <c r="A563" s="246"/>
      <c r="B563" s="120"/>
      <c r="C563" s="120"/>
      <c r="D563" s="120"/>
      <c r="E563" s="122"/>
      <c r="F563" s="122"/>
      <c r="G563" s="120"/>
      <c r="H563" s="120"/>
    </row>
    <row r="564">
      <c r="A564" s="246"/>
      <c r="B564" s="120"/>
      <c r="C564" s="120"/>
      <c r="D564" s="120"/>
      <c r="E564" s="122"/>
      <c r="F564" s="122"/>
      <c r="G564" s="120"/>
      <c r="H564" s="120"/>
    </row>
    <row r="565">
      <c r="A565" s="246"/>
      <c r="B565" s="120"/>
      <c r="C565" s="120"/>
      <c r="D565" s="120"/>
      <c r="E565" s="122"/>
      <c r="F565" s="122"/>
      <c r="G565" s="120"/>
      <c r="H565" s="120"/>
    </row>
    <row r="566">
      <c r="A566" s="246"/>
      <c r="B566" s="120"/>
      <c r="C566" s="120"/>
      <c r="D566" s="120"/>
      <c r="E566" s="122"/>
      <c r="F566" s="122"/>
      <c r="G566" s="120"/>
      <c r="H566" s="120"/>
    </row>
    <row r="567">
      <c r="A567" s="246"/>
      <c r="B567" s="120"/>
      <c r="C567" s="120"/>
      <c r="D567" s="120"/>
      <c r="E567" s="122"/>
      <c r="F567" s="122"/>
      <c r="G567" s="120"/>
      <c r="H567" s="120"/>
    </row>
    <row r="568">
      <c r="A568" s="246"/>
      <c r="B568" s="120"/>
      <c r="C568" s="120"/>
      <c r="D568" s="120"/>
      <c r="E568" s="122"/>
      <c r="F568" s="122"/>
      <c r="G568" s="120"/>
      <c r="H568" s="120"/>
    </row>
    <row r="569">
      <c r="A569" s="246"/>
      <c r="B569" s="120"/>
      <c r="C569" s="120"/>
      <c r="D569" s="120"/>
      <c r="E569" s="122"/>
      <c r="F569" s="122"/>
      <c r="G569" s="120"/>
      <c r="H569" s="120"/>
    </row>
    <row r="570">
      <c r="A570" s="246"/>
      <c r="B570" s="120"/>
      <c r="C570" s="120"/>
      <c r="D570" s="120"/>
      <c r="E570" s="122"/>
      <c r="F570" s="122"/>
      <c r="G570" s="120"/>
      <c r="H570" s="120"/>
    </row>
    <row r="571">
      <c r="A571" s="246"/>
      <c r="B571" s="120"/>
      <c r="C571" s="120"/>
      <c r="D571" s="120"/>
      <c r="E571" s="122"/>
      <c r="F571" s="122"/>
      <c r="G571" s="120"/>
      <c r="H571" s="120"/>
    </row>
    <row r="572">
      <c r="A572" s="246"/>
      <c r="B572" s="120"/>
      <c r="C572" s="120"/>
      <c r="D572" s="120"/>
      <c r="E572" s="122"/>
      <c r="F572" s="122"/>
      <c r="G572" s="120"/>
      <c r="H572" s="120"/>
    </row>
    <row r="573">
      <c r="A573" s="246"/>
      <c r="B573" s="120"/>
      <c r="C573" s="120"/>
      <c r="D573" s="120"/>
      <c r="E573" s="122"/>
      <c r="F573" s="122"/>
      <c r="G573" s="120"/>
      <c r="H573" s="120"/>
    </row>
    <row r="574">
      <c r="A574" s="246"/>
      <c r="B574" s="120"/>
      <c r="C574" s="120"/>
      <c r="D574" s="120"/>
      <c r="E574" s="122"/>
      <c r="F574" s="122"/>
      <c r="G574" s="120"/>
      <c r="H574" s="120"/>
    </row>
    <row r="575">
      <c r="A575" s="246"/>
      <c r="B575" s="120"/>
      <c r="C575" s="120"/>
      <c r="D575" s="120"/>
      <c r="E575" s="122"/>
      <c r="F575" s="122"/>
      <c r="G575" s="120"/>
      <c r="H575" s="120"/>
    </row>
    <row r="576">
      <c r="A576" s="246"/>
      <c r="B576" s="120"/>
      <c r="C576" s="120"/>
      <c r="D576" s="120"/>
      <c r="E576" s="122"/>
      <c r="F576" s="122"/>
      <c r="G576" s="120"/>
      <c r="H576" s="120"/>
    </row>
    <row r="577">
      <c r="A577" s="246"/>
      <c r="B577" s="120"/>
      <c r="C577" s="120"/>
      <c r="D577" s="120"/>
      <c r="E577" s="122"/>
      <c r="F577" s="122"/>
      <c r="G577" s="120"/>
      <c r="H577" s="120"/>
    </row>
    <row r="578">
      <c r="A578" s="246"/>
      <c r="B578" s="120"/>
      <c r="C578" s="120"/>
      <c r="D578" s="120"/>
      <c r="E578" s="122"/>
      <c r="F578" s="122"/>
      <c r="G578" s="120"/>
      <c r="H578" s="120"/>
    </row>
    <row r="579">
      <c r="A579" s="246"/>
      <c r="B579" s="120"/>
      <c r="C579" s="120"/>
      <c r="D579" s="120"/>
      <c r="E579" s="122"/>
      <c r="F579" s="122"/>
      <c r="G579" s="120"/>
      <c r="H579" s="120"/>
    </row>
    <row r="580">
      <c r="A580" s="246"/>
      <c r="B580" s="120"/>
      <c r="C580" s="120"/>
      <c r="D580" s="120"/>
      <c r="E580" s="122"/>
      <c r="F580" s="122"/>
      <c r="G580" s="120"/>
      <c r="H580" s="120"/>
    </row>
    <row r="581">
      <c r="A581" s="246"/>
      <c r="B581" s="120"/>
      <c r="C581" s="120"/>
      <c r="D581" s="120"/>
      <c r="E581" s="122"/>
      <c r="F581" s="122"/>
      <c r="G581" s="120"/>
      <c r="H581" s="120"/>
    </row>
    <row r="582">
      <c r="A582" s="246"/>
      <c r="B582" s="120"/>
      <c r="C582" s="120"/>
      <c r="D582" s="120"/>
      <c r="E582" s="122"/>
      <c r="F582" s="122"/>
      <c r="G582" s="120"/>
      <c r="H582" s="120"/>
    </row>
    <row r="583">
      <c r="A583" s="246"/>
      <c r="B583" s="120"/>
      <c r="C583" s="120"/>
      <c r="D583" s="120"/>
      <c r="E583" s="122"/>
      <c r="F583" s="122"/>
      <c r="G583" s="120"/>
      <c r="H583" s="120"/>
    </row>
    <row r="584">
      <c r="A584" s="246"/>
      <c r="B584" s="120"/>
      <c r="C584" s="120"/>
      <c r="D584" s="120"/>
      <c r="E584" s="122"/>
      <c r="F584" s="122"/>
      <c r="G584" s="120"/>
      <c r="H584" s="120"/>
    </row>
    <row r="585">
      <c r="A585" s="246"/>
      <c r="B585" s="120"/>
      <c r="C585" s="120"/>
      <c r="D585" s="120"/>
      <c r="E585" s="122"/>
      <c r="F585" s="122"/>
      <c r="G585" s="120"/>
      <c r="H585" s="120"/>
    </row>
    <row r="586">
      <c r="A586" s="246"/>
      <c r="B586" s="120"/>
      <c r="C586" s="120"/>
      <c r="D586" s="120"/>
      <c r="E586" s="122"/>
      <c r="F586" s="122"/>
      <c r="G586" s="120"/>
      <c r="H586" s="120"/>
    </row>
    <row r="587">
      <c r="A587" s="246"/>
      <c r="B587" s="120"/>
      <c r="C587" s="120"/>
      <c r="D587" s="120"/>
      <c r="E587" s="122"/>
      <c r="F587" s="122"/>
      <c r="G587" s="120"/>
      <c r="H587" s="120"/>
    </row>
    <row r="588">
      <c r="A588" s="246"/>
      <c r="B588" s="120"/>
      <c r="C588" s="120"/>
      <c r="D588" s="120"/>
      <c r="E588" s="122"/>
      <c r="F588" s="122"/>
      <c r="G588" s="120"/>
      <c r="H588" s="120"/>
    </row>
    <row r="589">
      <c r="A589" s="246"/>
      <c r="B589" s="120"/>
      <c r="C589" s="120"/>
      <c r="D589" s="120"/>
      <c r="E589" s="122"/>
      <c r="F589" s="122"/>
      <c r="G589" s="120"/>
      <c r="H589" s="120"/>
    </row>
    <row r="590">
      <c r="A590" s="246"/>
      <c r="B590" s="120"/>
      <c r="C590" s="120"/>
      <c r="D590" s="120"/>
      <c r="E590" s="122"/>
      <c r="F590" s="122"/>
      <c r="G590" s="120"/>
      <c r="H590" s="120"/>
    </row>
    <row r="591">
      <c r="A591" s="246"/>
      <c r="B591" s="120"/>
      <c r="C591" s="120"/>
      <c r="D591" s="120"/>
      <c r="E591" s="122"/>
      <c r="F591" s="122"/>
      <c r="G591" s="120"/>
      <c r="H591" s="120"/>
    </row>
    <row r="592">
      <c r="A592" s="246"/>
      <c r="B592" s="120"/>
      <c r="C592" s="120"/>
      <c r="D592" s="120"/>
      <c r="E592" s="122"/>
      <c r="F592" s="122"/>
      <c r="G592" s="120"/>
      <c r="H592" s="120"/>
    </row>
    <row r="593">
      <c r="A593" s="246"/>
      <c r="B593" s="120"/>
      <c r="C593" s="120"/>
      <c r="D593" s="120"/>
      <c r="E593" s="122"/>
      <c r="F593" s="122"/>
      <c r="G593" s="120"/>
      <c r="H593" s="120"/>
    </row>
    <row r="594">
      <c r="A594" s="246"/>
      <c r="B594" s="120"/>
      <c r="C594" s="120"/>
      <c r="D594" s="120"/>
      <c r="E594" s="122"/>
      <c r="F594" s="122"/>
      <c r="G594" s="120"/>
      <c r="H594" s="120"/>
    </row>
    <row r="595">
      <c r="A595" s="246"/>
      <c r="B595" s="120"/>
      <c r="C595" s="120"/>
      <c r="D595" s="120"/>
      <c r="E595" s="122"/>
      <c r="F595" s="122"/>
      <c r="G595" s="120"/>
      <c r="H595" s="120"/>
    </row>
    <row r="596">
      <c r="A596" s="246"/>
      <c r="B596" s="120"/>
      <c r="C596" s="120"/>
      <c r="D596" s="120"/>
      <c r="E596" s="122"/>
      <c r="F596" s="122"/>
      <c r="G596" s="120"/>
      <c r="H596" s="120"/>
    </row>
    <row r="597">
      <c r="A597" s="246"/>
      <c r="B597" s="120"/>
      <c r="C597" s="120"/>
      <c r="D597" s="120"/>
      <c r="E597" s="122"/>
      <c r="F597" s="122"/>
      <c r="G597" s="120"/>
      <c r="H597" s="120"/>
    </row>
    <row r="598">
      <c r="A598" s="246"/>
      <c r="B598" s="120"/>
      <c r="C598" s="120"/>
      <c r="D598" s="120"/>
      <c r="E598" s="122"/>
      <c r="F598" s="122"/>
      <c r="G598" s="120"/>
      <c r="H598" s="120"/>
    </row>
    <row r="599">
      <c r="A599" s="246"/>
      <c r="B599" s="120"/>
      <c r="C599" s="120"/>
      <c r="D599" s="120"/>
      <c r="E599" s="122"/>
      <c r="F599" s="122"/>
      <c r="G599" s="120"/>
      <c r="H599" s="120"/>
    </row>
    <row r="600">
      <c r="A600" s="246"/>
      <c r="B600" s="120"/>
      <c r="C600" s="120"/>
      <c r="D600" s="120"/>
      <c r="E600" s="122"/>
      <c r="F600" s="122"/>
      <c r="G600" s="120"/>
      <c r="H600" s="120"/>
    </row>
    <row r="601">
      <c r="A601" s="246"/>
      <c r="B601" s="120"/>
      <c r="C601" s="120"/>
      <c r="D601" s="120"/>
      <c r="E601" s="122"/>
      <c r="F601" s="122"/>
      <c r="G601" s="120"/>
      <c r="H601" s="120"/>
    </row>
    <row r="602">
      <c r="A602" s="246"/>
      <c r="B602" s="120"/>
      <c r="C602" s="120"/>
      <c r="D602" s="120"/>
      <c r="E602" s="122"/>
      <c r="F602" s="122"/>
      <c r="G602" s="120"/>
      <c r="H602" s="120"/>
    </row>
    <row r="603">
      <c r="A603" s="246"/>
      <c r="B603" s="120"/>
      <c r="C603" s="120"/>
      <c r="D603" s="120"/>
      <c r="E603" s="122"/>
      <c r="F603" s="122"/>
      <c r="G603" s="120"/>
      <c r="H603" s="120"/>
    </row>
    <row r="604">
      <c r="A604" s="246"/>
      <c r="B604" s="120"/>
      <c r="C604" s="120"/>
      <c r="D604" s="120"/>
      <c r="E604" s="122"/>
      <c r="F604" s="122"/>
      <c r="G604" s="120"/>
      <c r="H604" s="120"/>
    </row>
    <row r="605">
      <c r="A605" s="246"/>
      <c r="B605" s="120"/>
      <c r="C605" s="120"/>
      <c r="D605" s="120"/>
      <c r="E605" s="122"/>
      <c r="F605" s="122"/>
      <c r="G605" s="120"/>
      <c r="H605" s="120"/>
    </row>
    <row r="606">
      <c r="A606" s="246"/>
      <c r="B606" s="120"/>
      <c r="C606" s="120"/>
      <c r="D606" s="120"/>
      <c r="E606" s="122"/>
      <c r="F606" s="122"/>
      <c r="G606" s="120"/>
      <c r="H606" s="120"/>
    </row>
    <row r="607">
      <c r="A607" s="246"/>
      <c r="B607" s="120"/>
      <c r="C607" s="120"/>
      <c r="D607" s="120"/>
      <c r="E607" s="122"/>
      <c r="F607" s="122"/>
      <c r="G607" s="120"/>
      <c r="H607" s="120"/>
    </row>
    <row r="608">
      <c r="A608" s="246"/>
      <c r="B608" s="120"/>
      <c r="C608" s="120"/>
      <c r="D608" s="120"/>
      <c r="E608" s="122"/>
      <c r="F608" s="122"/>
      <c r="G608" s="120"/>
      <c r="H608" s="120"/>
    </row>
    <row r="609">
      <c r="A609" s="246"/>
      <c r="B609" s="120"/>
      <c r="C609" s="120"/>
      <c r="D609" s="120"/>
      <c r="E609" s="122"/>
      <c r="F609" s="122"/>
      <c r="G609" s="120"/>
      <c r="H609" s="120"/>
    </row>
    <row r="610">
      <c r="A610" s="246"/>
      <c r="B610" s="120"/>
      <c r="C610" s="120"/>
      <c r="D610" s="120"/>
      <c r="E610" s="122"/>
      <c r="F610" s="122"/>
      <c r="G610" s="120"/>
      <c r="H610" s="120"/>
    </row>
    <row r="611">
      <c r="A611" s="246"/>
      <c r="B611" s="120"/>
      <c r="C611" s="120"/>
      <c r="D611" s="120"/>
      <c r="E611" s="122"/>
      <c r="F611" s="122"/>
      <c r="G611" s="120"/>
      <c r="H611" s="120"/>
    </row>
    <row r="612">
      <c r="A612" s="246"/>
      <c r="B612" s="120"/>
      <c r="C612" s="120"/>
      <c r="D612" s="120"/>
      <c r="E612" s="122"/>
      <c r="F612" s="122"/>
      <c r="G612" s="120"/>
      <c r="H612" s="120"/>
    </row>
    <row r="613">
      <c r="A613" s="246"/>
      <c r="B613" s="120"/>
      <c r="C613" s="120"/>
      <c r="D613" s="120"/>
      <c r="E613" s="122"/>
      <c r="F613" s="122"/>
      <c r="G613" s="120"/>
      <c r="H613" s="120"/>
    </row>
    <row r="614">
      <c r="A614" s="246"/>
      <c r="B614" s="120"/>
      <c r="C614" s="120"/>
      <c r="D614" s="120"/>
      <c r="E614" s="122"/>
      <c r="F614" s="122"/>
      <c r="G614" s="120"/>
      <c r="H614" s="120"/>
    </row>
    <row r="615">
      <c r="A615" s="246"/>
      <c r="B615" s="120"/>
      <c r="C615" s="120"/>
      <c r="D615" s="120"/>
      <c r="E615" s="122"/>
      <c r="F615" s="122"/>
      <c r="G615" s="120"/>
      <c r="H615" s="120"/>
    </row>
    <row r="616">
      <c r="A616" s="246"/>
      <c r="B616" s="120"/>
      <c r="C616" s="120"/>
      <c r="D616" s="120"/>
      <c r="E616" s="122"/>
      <c r="F616" s="122"/>
      <c r="G616" s="120"/>
      <c r="H616" s="120"/>
    </row>
    <row r="617">
      <c r="A617" s="246"/>
      <c r="B617" s="120"/>
      <c r="C617" s="120"/>
      <c r="D617" s="120"/>
      <c r="E617" s="122"/>
      <c r="F617" s="122"/>
      <c r="G617" s="120"/>
      <c r="H617" s="120"/>
    </row>
    <row r="618">
      <c r="A618" s="246"/>
      <c r="B618" s="120"/>
      <c r="C618" s="120"/>
      <c r="D618" s="120"/>
      <c r="E618" s="122"/>
      <c r="F618" s="122"/>
      <c r="G618" s="120"/>
      <c r="H618" s="120"/>
    </row>
    <row r="619">
      <c r="A619" s="246"/>
      <c r="B619" s="120"/>
      <c r="C619" s="120"/>
      <c r="D619" s="120"/>
      <c r="E619" s="122"/>
      <c r="F619" s="122"/>
      <c r="G619" s="120"/>
      <c r="H619" s="120"/>
    </row>
    <row r="620">
      <c r="A620" s="246"/>
      <c r="B620" s="120"/>
      <c r="C620" s="120"/>
      <c r="D620" s="120"/>
      <c r="E620" s="122"/>
      <c r="F620" s="122"/>
      <c r="G620" s="120"/>
      <c r="H620" s="120"/>
    </row>
    <row r="621">
      <c r="A621" s="246"/>
      <c r="B621" s="120"/>
      <c r="C621" s="120"/>
      <c r="D621" s="120"/>
      <c r="E621" s="122"/>
      <c r="F621" s="122"/>
      <c r="G621" s="120"/>
      <c r="H621" s="120"/>
    </row>
    <row r="622">
      <c r="A622" s="246"/>
      <c r="B622" s="120"/>
      <c r="C622" s="120"/>
      <c r="D622" s="120"/>
      <c r="E622" s="122"/>
      <c r="F622" s="122"/>
      <c r="G622" s="120"/>
      <c r="H622" s="120"/>
    </row>
    <row r="623">
      <c r="A623" s="246"/>
      <c r="B623" s="120"/>
      <c r="C623" s="120"/>
      <c r="D623" s="120"/>
      <c r="E623" s="122"/>
      <c r="F623" s="122"/>
      <c r="G623" s="120"/>
      <c r="H623" s="120"/>
    </row>
    <row r="624">
      <c r="A624" s="246"/>
      <c r="B624" s="120"/>
      <c r="C624" s="120"/>
      <c r="D624" s="120"/>
      <c r="E624" s="122"/>
      <c r="F624" s="122"/>
      <c r="G624" s="120"/>
      <c r="H624" s="120"/>
    </row>
    <row r="625">
      <c r="A625" s="246"/>
      <c r="B625" s="120"/>
      <c r="C625" s="120"/>
      <c r="D625" s="120"/>
      <c r="E625" s="122"/>
      <c r="F625" s="122"/>
      <c r="G625" s="120"/>
      <c r="H625" s="120"/>
    </row>
    <row r="626">
      <c r="A626" s="246"/>
      <c r="B626" s="120"/>
      <c r="C626" s="120"/>
      <c r="D626" s="120"/>
      <c r="E626" s="122"/>
      <c r="F626" s="122"/>
      <c r="G626" s="120"/>
      <c r="H626" s="120"/>
    </row>
    <row r="627">
      <c r="A627" s="246"/>
      <c r="B627" s="120"/>
      <c r="C627" s="120"/>
      <c r="D627" s="120"/>
      <c r="E627" s="122"/>
      <c r="F627" s="122"/>
      <c r="G627" s="120"/>
      <c r="H627" s="120"/>
    </row>
    <row r="628">
      <c r="A628" s="246"/>
      <c r="B628" s="120"/>
      <c r="C628" s="120"/>
      <c r="D628" s="120"/>
      <c r="E628" s="122"/>
      <c r="F628" s="122"/>
      <c r="G628" s="120"/>
      <c r="H628" s="120"/>
    </row>
    <row r="629">
      <c r="A629" s="246"/>
      <c r="B629" s="120"/>
      <c r="C629" s="120"/>
      <c r="D629" s="120"/>
      <c r="E629" s="122"/>
      <c r="F629" s="122"/>
      <c r="G629" s="120"/>
      <c r="H629" s="120"/>
    </row>
    <row r="630">
      <c r="A630" s="246"/>
      <c r="B630" s="120"/>
      <c r="C630" s="120"/>
      <c r="D630" s="120"/>
      <c r="E630" s="122"/>
      <c r="F630" s="122"/>
      <c r="G630" s="120"/>
      <c r="H630" s="120"/>
    </row>
    <row r="631">
      <c r="A631" s="246"/>
      <c r="B631" s="120"/>
      <c r="C631" s="120"/>
      <c r="D631" s="120"/>
      <c r="E631" s="122"/>
      <c r="F631" s="122"/>
      <c r="G631" s="120"/>
      <c r="H631" s="120"/>
    </row>
    <row r="632">
      <c r="A632" s="246"/>
      <c r="B632" s="120"/>
      <c r="C632" s="120"/>
      <c r="D632" s="120"/>
      <c r="E632" s="122"/>
      <c r="F632" s="122"/>
      <c r="G632" s="120"/>
      <c r="H632" s="120"/>
    </row>
    <row r="633">
      <c r="A633" s="246"/>
      <c r="B633" s="120"/>
      <c r="C633" s="120"/>
      <c r="D633" s="120"/>
      <c r="E633" s="122"/>
      <c r="F633" s="122"/>
      <c r="G633" s="120"/>
      <c r="H633" s="120"/>
    </row>
    <row r="634">
      <c r="A634" s="246"/>
      <c r="B634" s="120"/>
      <c r="C634" s="120"/>
      <c r="D634" s="120"/>
      <c r="E634" s="122"/>
      <c r="F634" s="122"/>
      <c r="G634" s="120"/>
      <c r="H634" s="120"/>
    </row>
    <row r="635">
      <c r="A635" s="246"/>
      <c r="B635" s="120"/>
      <c r="C635" s="120"/>
      <c r="D635" s="120"/>
      <c r="E635" s="122"/>
      <c r="F635" s="122"/>
      <c r="G635" s="120"/>
      <c r="H635" s="120"/>
    </row>
    <row r="636">
      <c r="A636" s="246"/>
      <c r="B636" s="120"/>
      <c r="C636" s="120"/>
      <c r="D636" s="120"/>
      <c r="E636" s="122"/>
      <c r="F636" s="122"/>
      <c r="G636" s="120"/>
      <c r="H636" s="120"/>
    </row>
    <row r="637">
      <c r="A637" s="246"/>
      <c r="B637" s="120"/>
      <c r="C637" s="120"/>
      <c r="D637" s="120"/>
      <c r="E637" s="122"/>
      <c r="F637" s="122"/>
      <c r="G637" s="120"/>
      <c r="H637" s="120"/>
    </row>
    <row r="638">
      <c r="A638" s="246"/>
      <c r="B638" s="120"/>
      <c r="C638" s="120"/>
      <c r="D638" s="120"/>
      <c r="E638" s="122"/>
      <c r="F638" s="122"/>
      <c r="G638" s="120"/>
      <c r="H638" s="120"/>
    </row>
    <row r="639">
      <c r="A639" s="246"/>
      <c r="B639" s="120"/>
      <c r="C639" s="120"/>
      <c r="D639" s="120"/>
      <c r="E639" s="122"/>
      <c r="F639" s="122"/>
      <c r="G639" s="120"/>
      <c r="H639" s="120"/>
    </row>
    <row r="640">
      <c r="A640" s="246"/>
      <c r="B640" s="120"/>
      <c r="C640" s="120"/>
      <c r="D640" s="120"/>
      <c r="E640" s="122"/>
      <c r="F640" s="122"/>
      <c r="G640" s="120"/>
      <c r="H640" s="120"/>
    </row>
    <row r="641">
      <c r="A641" s="246"/>
      <c r="B641" s="120"/>
      <c r="C641" s="120"/>
      <c r="D641" s="120"/>
      <c r="E641" s="122"/>
      <c r="F641" s="122"/>
      <c r="G641" s="120"/>
      <c r="H641" s="120"/>
    </row>
    <row r="642">
      <c r="A642" s="246"/>
      <c r="B642" s="120"/>
      <c r="C642" s="120"/>
      <c r="D642" s="120"/>
      <c r="E642" s="122"/>
      <c r="F642" s="122"/>
      <c r="G642" s="120"/>
      <c r="H642" s="120"/>
    </row>
    <row r="643">
      <c r="A643" s="246"/>
      <c r="B643" s="120"/>
      <c r="C643" s="120"/>
      <c r="D643" s="120"/>
      <c r="E643" s="122"/>
      <c r="F643" s="122"/>
      <c r="G643" s="120"/>
      <c r="H643" s="120"/>
    </row>
    <row r="644">
      <c r="A644" s="246"/>
      <c r="B644" s="120"/>
      <c r="C644" s="120"/>
      <c r="D644" s="120"/>
      <c r="E644" s="122"/>
      <c r="F644" s="122"/>
      <c r="G644" s="120"/>
      <c r="H644" s="120"/>
    </row>
    <row r="645">
      <c r="A645" s="246"/>
      <c r="B645" s="120"/>
      <c r="C645" s="120"/>
      <c r="D645" s="120"/>
      <c r="E645" s="122"/>
      <c r="F645" s="122"/>
      <c r="G645" s="120"/>
      <c r="H645" s="120"/>
    </row>
    <row r="646">
      <c r="A646" s="246"/>
      <c r="B646" s="120"/>
      <c r="C646" s="120"/>
      <c r="D646" s="120"/>
      <c r="E646" s="122"/>
      <c r="F646" s="122"/>
      <c r="G646" s="120"/>
      <c r="H646" s="120"/>
    </row>
    <row r="647">
      <c r="A647" s="246"/>
      <c r="B647" s="120"/>
      <c r="C647" s="120"/>
      <c r="D647" s="120"/>
      <c r="E647" s="122"/>
      <c r="F647" s="122"/>
      <c r="G647" s="120"/>
      <c r="H647" s="120"/>
    </row>
    <row r="648">
      <c r="A648" s="246"/>
      <c r="B648" s="120"/>
      <c r="C648" s="120"/>
      <c r="D648" s="120"/>
      <c r="E648" s="122"/>
      <c r="F648" s="122"/>
      <c r="G648" s="120"/>
      <c r="H648" s="120"/>
    </row>
    <row r="649">
      <c r="A649" s="246"/>
      <c r="B649" s="120"/>
      <c r="C649" s="120"/>
      <c r="D649" s="120"/>
      <c r="E649" s="122"/>
      <c r="F649" s="122"/>
      <c r="G649" s="120"/>
      <c r="H649" s="120"/>
    </row>
    <row r="650">
      <c r="A650" s="246"/>
      <c r="B650" s="120"/>
      <c r="C650" s="120"/>
      <c r="D650" s="120"/>
      <c r="E650" s="122"/>
      <c r="F650" s="122"/>
      <c r="G650" s="120"/>
      <c r="H650" s="120"/>
    </row>
    <row r="651">
      <c r="A651" s="246"/>
      <c r="B651" s="120"/>
      <c r="C651" s="120"/>
      <c r="D651" s="120"/>
      <c r="E651" s="122"/>
      <c r="F651" s="122"/>
      <c r="G651" s="120"/>
      <c r="H651" s="120"/>
    </row>
    <row r="652">
      <c r="A652" s="246"/>
      <c r="B652" s="120"/>
      <c r="C652" s="120"/>
      <c r="D652" s="120"/>
      <c r="E652" s="122"/>
      <c r="F652" s="122"/>
      <c r="G652" s="120"/>
      <c r="H652" s="120"/>
    </row>
    <row r="653">
      <c r="A653" s="246"/>
      <c r="B653" s="120"/>
      <c r="C653" s="120"/>
      <c r="D653" s="120"/>
      <c r="E653" s="122"/>
      <c r="F653" s="122"/>
      <c r="G653" s="120"/>
      <c r="H653" s="120"/>
    </row>
    <row r="654">
      <c r="A654" s="246"/>
      <c r="B654" s="120"/>
      <c r="C654" s="120"/>
      <c r="D654" s="120"/>
      <c r="E654" s="122"/>
      <c r="F654" s="122"/>
      <c r="G654" s="120"/>
      <c r="H654" s="120"/>
    </row>
    <row r="655">
      <c r="A655" s="246"/>
      <c r="B655" s="120"/>
      <c r="C655" s="120"/>
      <c r="D655" s="120"/>
      <c r="E655" s="122"/>
      <c r="F655" s="122"/>
      <c r="G655" s="120"/>
      <c r="H655" s="120"/>
    </row>
    <row r="656">
      <c r="A656" s="246"/>
      <c r="B656" s="120"/>
      <c r="C656" s="120"/>
      <c r="D656" s="120"/>
      <c r="E656" s="122"/>
      <c r="F656" s="122"/>
      <c r="G656" s="120"/>
      <c r="H656" s="120"/>
    </row>
    <row r="657">
      <c r="A657" s="246"/>
      <c r="B657" s="120"/>
      <c r="C657" s="120"/>
      <c r="D657" s="120"/>
      <c r="E657" s="122"/>
      <c r="F657" s="122"/>
      <c r="G657" s="120"/>
      <c r="H657" s="120"/>
    </row>
    <row r="658">
      <c r="A658" s="246"/>
      <c r="B658" s="120"/>
      <c r="C658" s="120"/>
      <c r="D658" s="120"/>
      <c r="E658" s="122"/>
      <c r="F658" s="122"/>
      <c r="G658" s="120"/>
      <c r="H658" s="120"/>
    </row>
    <row r="659">
      <c r="A659" s="246"/>
      <c r="B659" s="120"/>
      <c r="C659" s="120"/>
      <c r="D659" s="120"/>
      <c r="E659" s="122"/>
      <c r="F659" s="122"/>
      <c r="G659" s="120"/>
      <c r="H659" s="120"/>
    </row>
    <row r="660">
      <c r="A660" s="246"/>
      <c r="B660" s="120"/>
      <c r="C660" s="120"/>
      <c r="D660" s="120"/>
      <c r="E660" s="122"/>
      <c r="F660" s="122"/>
      <c r="G660" s="120"/>
      <c r="H660" s="120"/>
    </row>
    <row r="661">
      <c r="A661" s="246"/>
      <c r="B661" s="120"/>
      <c r="C661" s="120"/>
      <c r="D661" s="120"/>
      <c r="E661" s="122"/>
      <c r="F661" s="122"/>
      <c r="G661" s="120"/>
      <c r="H661" s="120"/>
    </row>
    <row r="662">
      <c r="A662" s="246"/>
      <c r="B662" s="120"/>
      <c r="C662" s="120"/>
      <c r="D662" s="120"/>
      <c r="E662" s="122"/>
      <c r="F662" s="122"/>
      <c r="G662" s="120"/>
      <c r="H662" s="120"/>
    </row>
    <row r="663">
      <c r="A663" s="246"/>
      <c r="B663" s="120"/>
      <c r="C663" s="120"/>
      <c r="D663" s="120"/>
      <c r="E663" s="122"/>
      <c r="F663" s="122"/>
      <c r="G663" s="120"/>
      <c r="H663" s="120"/>
    </row>
    <row r="664">
      <c r="A664" s="246"/>
      <c r="B664" s="120"/>
      <c r="C664" s="120"/>
      <c r="D664" s="120"/>
      <c r="E664" s="122"/>
      <c r="F664" s="122"/>
      <c r="G664" s="120"/>
      <c r="H664" s="120"/>
    </row>
    <row r="665">
      <c r="A665" s="246"/>
      <c r="B665" s="120"/>
      <c r="C665" s="120"/>
      <c r="D665" s="120"/>
      <c r="E665" s="122"/>
      <c r="F665" s="122"/>
      <c r="G665" s="120"/>
      <c r="H665" s="120"/>
    </row>
    <row r="666">
      <c r="A666" s="246"/>
      <c r="B666" s="120"/>
      <c r="C666" s="120"/>
      <c r="D666" s="120"/>
      <c r="E666" s="122"/>
      <c r="F666" s="122"/>
      <c r="G666" s="120"/>
      <c r="H666" s="120"/>
    </row>
    <row r="667">
      <c r="A667" s="246"/>
      <c r="B667" s="120"/>
      <c r="C667" s="120"/>
      <c r="D667" s="120"/>
      <c r="E667" s="122"/>
      <c r="F667" s="122"/>
      <c r="G667" s="120"/>
      <c r="H667" s="120"/>
    </row>
    <row r="668">
      <c r="A668" s="246"/>
      <c r="B668" s="120"/>
      <c r="C668" s="120"/>
      <c r="D668" s="120"/>
      <c r="E668" s="122"/>
      <c r="F668" s="122"/>
      <c r="G668" s="120"/>
      <c r="H668" s="120"/>
    </row>
    <row r="669">
      <c r="A669" s="246"/>
      <c r="B669" s="120"/>
      <c r="C669" s="120"/>
      <c r="D669" s="120"/>
      <c r="E669" s="122"/>
      <c r="F669" s="122"/>
      <c r="G669" s="120"/>
      <c r="H669" s="120"/>
    </row>
    <row r="670">
      <c r="A670" s="246"/>
      <c r="B670" s="120"/>
      <c r="C670" s="120"/>
      <c r="D670" s="120"/>
      <c r="E670" s="122"/>
      <c r="F670" s="122"/>
      <c r="G670" s="120"/>
      <c r="H670" s="120"/>
    </row>
    <row r="671">
      <c r="A671" s="246"/>
      <c r="B671" s="120"/>
      <c r="C671" s="120"/>
      <c r="D671" s="120"/>
      <c r="E671" s="122"/>
      <c r="F671" s="122"/>
      <c r="G671" s="120"/>
      <c r="H671" s="120"/>
    </row>
    <row r="672">
      <c r="A672" s="246"/>
      <c r="B672" s="120"/>
      <c r="C672" s="120"/>
      <c r="D672" s="120"/>
      <c r="E672" s="122"/>
      <c r="F672" s="122"/>
      <c r="G672" s="120"/>
      <c r="H672" s="120"/>
    </row>
    <row r="673">
      <c r="A673" s="246"/>
      <c r="B673" s="120"/>
      <c r="C673" s="120"/>
      <c r="D673" s="120"/>
      <c r="E673" s="122"/>
      <c r="F673" s="122"/>
      <c r="G673" s="120"/>
      <c r="H673" s="120"/>
    </row>
    <row r="674">
      <c r="A674" s="246"/>
      <c r="B674" s="120"/>
      <c r="C674" s="120"/>
      <c r="D674" s="120"/>
      <c r="E674" s="122"/>
      <c r="F674" s="122"/>
      <c r="G674" s="120"/>
      <c r="H674" s="120"/>
    </row>
    <row r="675">
      <c r="A675" s="246"/>
      <c r="B675" s="120"/>
      <c r="C675" s="120"/>
      <c r="D675" s="120"/>
      <c r="E675" s="122"/>
      <c r="F675" s="122"/>
      <c r="G675" s="120"/>
      <c r="H675" s="120"/>
    </row>
    <row r="676">
      <c r="A676" s="246"/>
      <c r="B676" s="120"/>
      <c r="C676" s="120"/>
      <c r="D676" s="120"/>
      <c r="E676" s="122"/>
      <c r="F676" s="122"/>
      <c r="G676" s="120"/>
      <c r="H676" s="120"/>
    </row>
    <row r="677">
      <c r="A677" s="246"/>
      <c r="B677" s="120"/>
      <c r="C677" s="120"/>
      <c r="D677" s="120"/>
      <c r="E677" s="122"/>
      <c r="F677" s="122"/>
      <c r="G677" s="120"/>
      <c r="H677" s="120"/>
    </row>
    <row r="678">
      <c r="A678" s="246"/>
      <c r="B678" s="120"/>
      <c r="C678" s="120"/>
      <c r="D678" s="120"/>
      <c r="E678" s="122"/>
      <c r="F678" s="122"/>
      <c r="G678" s="120"/>
      <c r="H678" s="120"/>
    </row>
    <row r="679">
      <c r="A679" s="246"/>
      <c r="B679" s="120"/>
      <c r="C679" s="120"/>
      <c r="D679" s="120"/>
      <c r="E679" s="122"/>
      <c r="F679" s="122"/>
      <c r="G679" s="120"/>
      <c r="H679" s="120"/>
    </row>
    <row r="680">
      <c r="A680" s="246"/>
      <c r="B680" s="120"/>
      <c r="C680" s="120"/>
      <c r="D680" s="120"/>
      <c r="E680" s="122"/>
      <c r="F680" s="122"/>
      <c r="G680" s="120"/>
      <c r="H680" s="120"/>
    </row>
    <row r="681">
      <c r="A681" s="246"/>
      <c r="B681" s="120"/>
      <c r="C681" s="120"/>
      <c r="D681" s="120"/>
      <c r="E681" s="122"/>
      <c r="F681" s="122"/>
      <c r="G681" s="120"/>
      <c r="H681" s="120"/>
    </row>
    <row r="682">
      <c r="A682" s="246"/>
      <c r="B682" s="120"/>
      <c r="C682" s="120"/>
      <c r="D682" s="120"/>
      <c r="E682" s="122"/>
      <c r="F682" s="122"/>
      <c r="G682" s="120"/>
      <c r="H682" s="120"/>
    </row>
    <row r="683">
      <c r="A683" s="246"/>
      <c r="B683" s="120"/>
      <c r="C683" s="120"/>
      <c r="D683" s="120"/>
      <c r="E683" s="122"/>
      <c r="F683" s="122"/>
      <c r="G683" s="120"/>
      <c r="H683" s="120"/>
    </row>
    <row r="684">
      <c r="A684" s="246"/>
      <c r="B684" s="120"/>
      <c r="C684" s="120"/>
      <c r="D684" s="120"/>
      <c r="E684" s="122"/>
      <c r="F684" s="122"/>
      <c r="G684" s="120"/>
      <c r="H684" s="120"/>
    </row>
    <row r="685">
      <c r="A685" s="246"/>
      <c r="B685" s="120"/>
      <c r="C685" s="120"/>
      <c r="D685" s="120"/>
      <c r="E685" s="122"/>
      <c r="F685" s="122"/>
      <c r="G685" s="120"/>
      <c r="H685" s="120"/>
    </row>
    <row r="686">
      <c r="A686" s="246"/>
      <c r="B686" s="120"/>
      <c r="C686" s="120"/>
      <c r="D686" s="120"/>
      <c r="E686" s="122"/>
      <c r="F686" s="122"/>
      <c r="G686" s="120"/>
      <c r="H686" s="120"/>
    </row>
    <row r="687">
      <c r="A687" s="246"/>
      <c r="B687" s="120"/>
      <c r="C687" s="120"/>
      <c r="D687" s="120"/>
      <c r="E687" s="122"/>
      <c r="F687" s="122"/>
      <c r="G687" s="120"/>
      <c r="H687" s="120"/>
    </row>
    <row r="688">
      <c r="A688" s="246"/>
      <c r="B688" s="120"/>
      <c r="C688" s="120"/>
      <c r="D688" s="120"/>
      <c r="E688" s="122"/>
      <c r="F688" s="122"/>
      <c r="G688" s="120"/>
      <c r="H688" s="120"/>
    </row>
    <row r="689">
      <c r="A689" s="246"/>
      <c r="B689" s="120"/>
      <c r="C689" s="120"/>
      <c r="D689" s="120"/>
      <c r="E689" s="122"/>
      <c r="F689" s="122"/>
      <c r="G689" s="120"/>
      <c r="H689" s="120"/>
    </row>
    <row r="690">
      <c r="A690" s="246"/>
      <c r="B690" s="120"/>
      <c r="C690" s="120"/>
      <c r="D690" s="120"/>
      <c r="E690" s="122"/>
      <c r="F690" s="122"/>
      <c r="G690" s="120"/>
      <c r="H690" s="120"/>
    </row>
    <row r="691">
      <c r="A691" s="246"/>
      <c r="B691" s="120"/>
      <c r="C691" s="120"/>
      <c r="D691" s="120"/>
      <c r="E691" s="122"/>
      <c r="F691" s="122"/>
      <c r="G691" s="120"/>
      <c r="H691" s="120"/>
    </row>
    <row r="692">
      <c r="A692" s="246"/>
      <c r="B692" s="120"/>
      <c r="C692" s="120"/>
      <c r="D692" s="120"/>
      <c r="E692" s="122"/>
      <c r="F692" s="122"/>
      <c r="G692" s="120"/>
      <c r="H692" s="120"/>
    </row>
    <row r="693">
      <c r="A693" s="246"/>
      <c r="B693" s="120"/>
      <c r="C693" s="120"/>
      <c r="D693" s="120"/>
      <c r="E693" s="122"/>
      <c r="F693" s="122"/>
      <c r="G693" s="120"/>
      <c r="H693" s="120"/>
    </row>
    <row r="694">
      <c r="A694" s="246"/>
      <c r="B694" s="120"/>
      <c r="C694" s="120"/>
      <c r="D694" s="120"/>
      <c r="E694" s="122"/>
      <c r="F694" s="122"/>
      <c r="G694" s="120"/>
      <c r="H694" s="120"/>
    </row>
    <row r="695">
      <c r="A695" s="246"/>
      <c r="B695" s="120"/>
      <c r="C695" s="120"/>
      <c r="D695" s="120"/>
      <c r="E695" s="122"/>
      <c r="F695" s="122"/>
      <c r="G695" s="120"/>
      <c r="H695" s="120"/>
    </row>
    <row r="696">
      <c r="A696" s="246"/>
      <c r="B696" s="120"/>
      <c r="C696" s="120"/>
      <c r="D696" s="120"/>
      <c r="E696" s="122"/>
      <c r="F696" s="122"/>
      <c r="G696" s="120"/>
      <c r="H696" s="120"/>
    </row>
    <row r="697">
      <c r="A697" s="246"/>
      <c r="B697" s="120"/>
      <c r="C697" s="120"/>
      <c r="D697" s="120"/>
      <c r="E697" s="122"/>
      <c r="F697" s="122"/>
      <c r="G697" s="120"/>
      <c r="H697" s="120"/>
    </row>
    <row r="698">
      <c r="A698" s="246"/>
      <c r="B698" s="120"/>
      <c r="C698" s="120"/>
      <c r="D698" s="120"/>
      <c r="E698" s="122"/>
      <c r="F698" s="122"/>
      <c r="G698" s="120"/>
      <c r="H698" s="120"/>
    </row>
    <row r="699">
      <c r="A699" s="246"/>
      <c r="B699" s="120"/>
      <c r="C699" s="120"/>
      <c r="D699" s="120"/>
      <c r="E699" s="122"/>
      <c r="F699" s="122"/>
      <c r="G699" s="120"/>
      <c r="H699" s="120"/>
    </row>
    <row r="700">
      <c r="A700" s="246"/>
      <c r="B700" s="120"/>
      <c r="C700" s="120"/>
      <c r="D700" s="120"/>
      <c r="E700" s="122"/>
      <c r="F700" s="122"/>
      <c r="G700" s="120"/>
      <c r="H700" s="120"/>
    </row>
    <row r="701">
      <c r="A701" s="246"/>
      <c r="B701" s="120"/>
      <c r="C701" s="120"/>
      <c r="D701" s="120"/>
      <c r="E701" s="122"/>
      <c r="F701" s="122"/>
      <c r="G701" s="120"/>
      <c r="H701" s="120"/>
    </row>
    <row r="702">
      <c r="A702" s="246"/>
      <c r="B702" s="120"/>
      <c r="C702" s="120"/>
      <c r="D702" s="120"/>
      <c r="E702" s="122"/>
      <c r="F702" s="122"/>
      <c r="G702" s="120"/>
      <c r="H702" s="120"/>
    </row>
    <row r="703">
      <c r="A703" s="246"/>
      <c r="B703" s="120"/>
      <c r="C703" s="120"/>
      <c r="D703" s="120"/>
      <c r="E703" s="122"/>
      <c r="F703" s="122"/>
      <c r="G703" s="120"/>
      <c r="H703" s="120"/>
    </row>
    <row r="704">
      <c r="A704" s="246"/>
      <c r="B704" s="120"/>
      <c r="C704" s="120"/>
      <c r="D704" s="120"/>
      <c r="E704" s="122"/>
      <c r="F704" s="122"/>
      <c r="G704" s="120"/>
      <c r="H704" s="120"/>
    </row>
    <row r="705">
      <c r="A705" s="246"/>
      <c r="B705" s="120"/>
      <c r="C705" s="120"/>
      <c r="D705" s="120"/>
      <c r="E705" s="122"/>
      <c r="F705" s="122"/>
      <c r="G705" s="120"/>
      <c r="H705" s="120"/>
    </row>
    <row r="706">
      <c r="A706" s="246"/>
      <c r="B706" s="120"/>
      <c r="C706" s="120"/>
      <c r="D706" s="120"/>
      <c r="E706" s="122"/>
      <c r="F706" s="122"/>
      <c r="G706" s="120"/>
      <c r="H706" s="120"/>
    </row>
    <row r="707">
      <c r="A707" s="246"/>
      <c r="B707" s="120"/>
      <c r="C707" s="120"/>
      <c r="D707" s="120"/>
      <c r="E707" s="122"/>
      <c r="F707" s="122"/>
      <c r="G707" s="120"/>
      <c r="H707" s="120"/>
    </row>
    <row r="708">
      <c r="A708" s="246"/>
      <c r="B708" s="120"/>
      <c r="C708" s="120"/>
      <c r="D708" s="120"/>
      <c r="E708" s="122"/>
      <c r="F708" s="122"/>
      <c r="G708" s="120"/>
      <c r="H708" s="120"/>
    </row>
    <row r="709">
      <c r="A709" s="246"/>
      <c r="B709" s="120"/>
      <c r="C709" s="120"/>
      <c r="D709" s="120"/>
      <c r="E709" s="122"/>
      <c r="F709" s="122"/>
      <c r="G709" s="120"/>
      <c r="H709" s="120"/>
    </row>
    <row r="710">
      <c r="A710" s="246"/>
      <c r="B710" s="120"/>
      <c r="C710" s="120"/>
      <c r="D710" s="120"/>
      <c r="E710" s="122"/>
      <c r="F710" s="122"/>
      <c r="G710" s="120"/>
      <c r="H710" s="120"/>
    </row>
    <row r="711">
      <c r="A711" s="246"/>
      <c r="B711" s="120"/>
      <c r="C711" s="120"/>
      <c r="D711" s="120"/>
      <c r="E711" s="122"/>
      <c r="F711" s="122"/>
      <c r="G711" s="120"/>
      <c r="H711" s="120"/>
    </row>
    <row r="712">
      <c r="A712" s="246"/>
      <c r="B712" s="120"/>
      <c r="C712" s="120"/>
      <c r="D712" s="120"/>
      <c r="E712" s="122"/>
      <c r="F712" s="122"/>
      <c r="G712" s="120"/>
      <c r="H712" s="120"/>
    </row>
    <row r="713">
      <c r="A713" s="246"/>
      <c r="B713" s="120"/>
      <c r="C713" s="120"/>
      <c r="D713" s="120"/>
      <c r="E713" s="122"/>
      <c r="F713" s="122"/>
      <c r="G713" s="120"/>
      <c r="H713" s="120"/>
    </row>
    <row r="714">
      <c r="A714" s="246"/>
      <c r="B714" s="120"/>
      <c r="C714" s="120"/>
      <c r="D714" s="120"/>
      <c r="E714" s="122"/>
      <c r="F714" s="122"/>
      <c r="G714" s="120"/>
      <c r="H714" s="120"/>
    </row>
    <row r="715">
      <c r="A715" s="246"/>
      <c r="B715" s="120"/>
      <c r="C715" s="120"/>
      <c r="D715" s="120"/>
      <c r="E715" s="122"/>
      <c r="F715" s="122"/>
      <c r="G715" s="120"/>
      <c r="H715" s="120"/>
    </row>
    <row r="716">
      <c r="A716" s="246"/>
      <c r="B716" s="120"/>
      <c r="C716" s="120"/>
      <c r="D716" s="120"/>
      <c r="E716" s="122"/>
      <c r="F716" s="122"/>
      <c r="G716" s="120"/>
      <c r="H716" s="120"/>
    </row>
    <row r="717">
      <c r="A717" s="246"/>
      <c r="B717" s="120"/>
      <c r="C717" s="120"/>
      <c r="D717" s="120"/>
      <c r="E717" s="122"/>
      <c r="F717" s="122"/>
      <c r="G717" s="120"/>
      <c r="H717" s="120"/>
    </row>
    <row r="718">
      <c r="A718" s="246"/>
      <c r="B718" s="120"/>
      <c r="C718" s="120"/>
      <c r="D718" s="120"/>
      <c r="E718" s="122"/>
      <c r="F718" s="122"/>
      <c r="G718" s="120"/>
      <c r="H718" s="120"/>
    </row>
    <row r="719">
      <c r="A719" s="246"/>
      <c r="B719" s="120"/>
      <c r="C719" s="120"/>
      <c r="D719" s="120"/>
      <c r="E719" s="122"/>
      <c r="F719" s="122"/>
      <c r="G719" s="120"/>
      <c r="H719" s="120"/>
    </row>
    <row r="720">
      <c r="A720" s="246"/>
      <c r="B720" s="120"/>
      <c r="C720" s="120"/>
      <c r="D720" s="120"/>
      <c r="E720" s="122"/>
      <c r="F720" s="122"/>
      <c r="G720" s="120"/>
      <c r="H720" s="120"/>
    </row>
    <row r="721">
      <c r="A721" s="246"/>
      <c r="B721" s="120"/>
      <c r="C721" s="120"/>
      <c r="D721" s="120"/>
      <c r="E721" s="122"/>
      <c r="F721" s="122"/>
      <c r="G721" s="120"/>
      <c r="H721" s="120"/>
    </row>
    <row r="722">
      <c r="A722" s="246"/>
      <c r="B722" s="120"/>
      <c r="C722" s="120"/>
      <c r="D722" s="120"/>
      <c r="E722" s="122"/>
      <c r="F722" s="122"/>
      <c r="G722" s="120"/>
      <c r="H722" s="120"/>
    </row>
    <row r="723">
      <c r="A723" s="246"/>
      <c r="B723" s="120"/>
      <c r="C723" s="120"/>
      <c r="D723" s="120"/>
      <c r="E723" s="122"/>
      <c r="F723" s="122"/>
      <c r="G723" s="120"/>
      <c r="H723" s="120"/>
    </row>
    <row r="724">
      <c r="A724" s="246"/>
      <c r="B724" s="120"/>
      <c r="C724" s="120"/>
      <c r="D724" s="120"/>
      <c r="E724" s="122"/>
      <c r="F724" s="122"/>
      <c r="G724" s="120"/>
      <c r="H724" s="120"/>
    </row>
    <row r="725">
      <c r="A725" s="246"/>
      <c r="B725" s="120"/>
      <c r="C725" s="120"/>
      <c r="D725" s="120"/>
      <c r="E725" s="122"/>
      <c r="F725" s="122"/>
      <c r="G725" s="120"/>
      <c r="H725" s="120"/>
    </row>
    <row r="726">
      <c r="A726" s="246"/>
      <c r="B726" s="120"/>
      <c r="C726" s="120"/>
      <c r="D726" s="120"/>
      <c r="E726" s="122"/>
      <c r="F726" s="122"/>
      <c r="G726" s="120"/>
      <c r="H726" s="120"/>
    </row>
    <row r="727">
      <c r="A727" s="246"/>
      <c r="B727" s="120"/>
      <c r="C727" s="120"/>
      <c r="D727" s="120"/>
      <c r="E727" s="122"/>
      <c r="F727" s="122"/>
      <c r="G727" s="120"/>
      <c r="H727" s="120"/>
    </row>
    <row r="728">
      <c r="A728" s="246"/>
      <c r="B728" s="120"/>
      <c r="C728" s="120"/>
      <c r="D728" s="120"/>
      <c r="E728" s="122"/>
      <c r="F728" s="122"/>
      <c r="G728" s="120"/>
      <c r="H728" s="120"/>
    </row>
    <row r="729">
      <c r="A729" s="246"/>
      <c r="B729" s="120"/>
      <c r="C729" s="120"/>
      <c r="D729" s="120"/>
      <c r="E729" s="122"/>
      <c r="F729" s="122"/>
      <c r="G729" s="120"/>
      <c r="H729" s="120"/>
    </row>
    <row r="730">
      <c r="A730" s="246"/>
      <c r="B730" s="120"/>
      <c r="C730" s="120"/>
      <c r="D730" s="120"/>
      <c r="E730" s="122"/>
      <c r="F730" s="122"/>
      <c r="G730" s="120"/>
      <c r="H730" s="120"/>
    </row>
    <row r="731">
      <c r="A731" s="246"/>
      <c r="B731" s="120"/>
      <c r="C731" s="120"/>
      <c r="D731" s="120"/>
      <c r="E731" s="122"/>
      <c r="F731" s="122"/>
      <c r="G731" s="120"/>
      <c r="H731" s="120"/>
    </row>
    <row r="732">
      <c r="A732" s="246"/>
      <c r="B732" s="120"/>
      <c r="C732" s="120"/>
      <c r="D732" s="120"/>
      <c r="E732" s="122"/>
      <c r="F732" s="122"/>
      <c r="G732" s="120"/>
      <c r="H732" s="120"/>
    </row>
    <row r="733">
      <c r="A733" s="246"/>
      <c r="B733" s="120"/>
      <c r="C733" s="120"/>
      <c r="D733" s="120"/>
      <c r="E733" s="122"/>
      <c r="F733" s="122"/>
      <c r="G733" s="120"/>
      <c r="H733" s="120"/>
    </row>
    <row r="734">
      <c r="A734" s="246"/>
      <c r="B734" s="120"/>
      <c r="C734" s="120"/>
      <c r="D734" s="120"/>
      <c r="E734" s="122"/>
      <c r="F734" s="122"/>
      <c r="G734" s="120"/>
      <c r="H734" s="120"/>
    </row>
    <row r="735">
      <c r="A735" s="246"/>
      <c r="B735" s="120"/>
      <c r="C735" s="120"/>
      <c r="D735" s="120"/>
      <c r="E735" s="122"/>
      <c r="F735" s="122"/>
      <c r="G735" s="120"/>
      <c r="H735" s="120"/>
    </row>
    <row r="736">
      <c r="A736" s="246"/>
      <c r="B736" s="120"/>
      <c r="C736" s="120"/>
      <c r="D736" s="120"/>
      <c r="E736" s="122"/>
      <c r="F736" s="122"/>
      <c r="G736" s="120"/>
      <c r="H736" s="120"/>
    </row>
    <row r="737">
      <c r="A737" s="246"/>
      <c r="B737" s="120"/>
      <c r="C737" s="120"/>
      <c r="D737" s="120"/>
      <c r="E737" s="122"/>
      <c r="F737" s="122"/>
      <c r="G737" s="120"/>
      <c r="H737" s="120"/>
    </row>
    <row r="738">
      <c r="A738" s="246"/>
      <c r="B738" s="120"/>
      <c r="C738" s="120"/>
      <c r="D738" s="120"/>
      <c r="E738" s="122"/>
      <c r="F738" s="122"/>
      <c r="G738" s="120"/>
      <c r="H738" s="120"/>
    </row>
    <row r="739">
      <c r="A739" s="246"/>
      <c r="B739" s="120"/>
      <c r="C739" s="120"/>
      <c r="D739" s="120"/>
      <c r="E739" s="122"/>
      <c r="F739" s="122"/>
      <c r="G739" s="120"/>
      <c r="H739" s="120"/>
    </row>
    <row r="740">
      <c r="A740" s="246"/>
      <c r="B740" s="120"/>
      <c r="C740" s="120"/>
      <c r="D740" s="120"/>
      <c r="E740" s="122"/>
      <c r="F740" s="122"/>
      <c r="G740" s="120"/>
      <c r="H740" s="120"/>
    </row>
    <row r="741">
      <c r="A741" s="246"/>
      <c r="B741" s="120"/>
      <c r="C741" s="120"/>
      <c r="D741" s="120"/>
      <c r="E741" s="122"/>
      <c r="F741" s="122"/>
      <c r="G741" s="120"/>
      <c r="H741" s="120"/>
    </row>
    <row r="742">
      <c r="A742" s="246"/>
      <c r="B742" s="120"/>
      <c r="C742" s="120"/>
      <c r="D742" s="120"/>
      <c r="E742" s="122"/>
      <c r="F742" s="122"/>
      <c r="G742" s="120"/>
      <c r="H742" s="120"/>
    </row>
    <row r="743">
      <c r="A743" s="246"/>
      <c r="B743" s="120"/>
      <c r="C743" s="120"/>
      <c r="D743" s="120"/>
      <c r="E743" s="122"/>
      <c r="F743" s="122"/>
      <c r="G743" s="120"/>
      <c r="H743" s="120"/>
    </row>
    <row r="744">
      <c r="A744" s="246"/>
      <c r="B744" s="120"/>
      <c r="C744" s="120"/>
      <c r="D744" s="120"/>
      <c r="E744" s="122"/>
      <c r="F744" s="122"/>
      <c r="G744" s="120"/>
      <c r="H744" s="120"/>
    </row>
    <row r="745">
      <c r="A745" s="246"/>
      <c r="B745" s="120"/>
      <c r="C745" s="120"/>
      <c r="D745" s="120"/>
      <c r="E745" s="122"/>
      <c r="F745" s="122"/>
      <c r="G745" s="120"/>
      <c r="H745" s="120"/>
    </row>
    <row r="746">
      <c r="A746" s="246"/>
      <c r="B746" s="120"/>
      <c r="C746" s="120"/>
      <c r="D746" s="120"/>
      <c r="E746" s="122"/>
      <c r="F746" s="122"/>
      <c r="G746" s="120"/>
      <c r="H746" s="120"/>
    </row>
    <row r="747">
      <c r="A747" s="246"/>
      <c r="B747" s="120"/>
      <c r="C747" s="120"/>
      <c r="D747" s="120"/>
      <c r="E747" s="122"/>
      <c r="F747" s="122"/>
      <c r="G747" s="120"/>
      <c r="H747" s="120"/>
    </row>
    <row r="748">
      <c r="A748" s="246"/>
      <c r="B748" s="120"/>
      <c r="C748" s="120"/>
      <c r="D748" s="120"/>
      <c r="E748" s="122"/>
      <c r="F748" s="122"/>
      <c r="G748" s="120"/>
      <c r="H748" s="120"/>
    </row>
    <row r="749">
      <c r="A749" s="246"/>
      <c r="B749" s="120"/>
      <c r="C749" s="120"/>
      <c r="D749" s="120"/>
      <c r="E749" s="122"/>
      <c r="F749" s="122"/>
      <c r="G749" s="120"/>
      <c r="H749" s="120"/>
    </row>
    <row r="750">
      <c r="A750" s="246"/>
      <c r="B750" s="120"/>
      <c r="C750" s="120"/>
      <c r="D750" s="120"/>
      <c r="E750" s="122"/>
      <c r="F750" s="122"/>
      <c r="G750" s="120"/>
      <c r="H750" s="120"/>
    </row>
    <row r="751">
      <c r="A751" s="246"/>
      <c r="B751" s="120"/>
      <c r="C751" s="120"/>
      <c r="D751" s="120"/>
      <c r="E751" s="122"/>
      <c r="F751" s="122"/>
      <c r="G751" s="120"/>
      <c r="H751" s="120"/>
    </row>
    <row r="752">
      <c r="A752" s="246"/>
      <c r="B752" s="120"/>
      <c r="C752" s="120"/>
      <c r="D752" s="120"/>
      <c r="E752" s="122"/>
      <c r="F752" s="122"/>
      <c r="G752" s="120"/>
      <c r="H752" s="120"/>
    </row>
    <row r="753">
      <c r="A753" s="246"/>
      <c r="B753" s="120"/>
      <c r="C753" s="120"/>
      <c r="D753" s="120"/>
      <c r="E753" s="122"/>
      <c r="F753" s="122"/>
      <c r="G753" s="120"/>
      <c r="H753" s="120"/>
    </row>
    <row r="754">
      <c r="A754" s="246"/>
      <c r="B754" s="120"/>
      <c r="C754" s="120"/>
      <c r="D754" s="120"/>
      <c r="E754" s="122"/>
      <c r="F754" s="122"/>
      <c r="G754" s="120"/>
      <c r="H754" s="120"/>
    </row>
    <row r="755">
      <c r="A755" s="246"/>
      <c r="B755" s="120"/>
      <c r="C755" s="120"/>
      <c r="D755" s="120"/>
      <c r="E755" s="122"/>
      <c r="F755" s="122"/>
      <c r="G755" s="120"/>
      <c r="H755" s="120"/>
    </row>
    <row r="756">
      <c r="A756" s="246"/>
      <c r="B756" s="120"/>
      <c r="C756" s="120"/>
      <c r="D756" s="120"/>
      <c r="E756" s="122"/>
      <c r="F756" s="122"/>
      <c r="G756" s="120"/>
      <c r="H756" s="120"/>
    </row>
    <row r="757">
      <c r="A757" s="246"/>
      <c r="B757" s="120"/>
      <c r="C757" s="120"/>
      <c r="D757" s="120"/>
      <c r="E757" s="122"/>
      <c r="F757" s="122"/>
      <c r="G757" s="120"/>
      <c r="H757" s="120"/>
    </row>
    <row r="758">
      <c r="A758" s="246"/>
      <c r="B758" s="120"/>
      <c r="C758" s="120"/>
      <c r="D758" s="120"/>
      <c r="E758" s="122"/>
      <c r="F758" s="122"/>
      <c r="G758" s="120"/>
      <c r="H758" s="120"/>
    </row>
    <row r="759">
      <c r="A759" s="246"/>
      <c r="B759" s="120"/>
      <c r="C759" s="120"/>
      <c r="D759" s="120"/>
      <c r="E759" s="122"/>
      <c r="F759" s="122"/>
      <c r="G759" s="120"/>
      <c r="H759" s="120"/>
    </row>
    <row r="760">
      <c r="A760" s="246"/>
      <c r="B760" s="120"/>
      <c r="C760" s="120"/>
      <c r="D760" s="120"/>
      <c r="E760" s="122"/>
      <c r="F760" s="122"/>
      <c r="G760" s="120"/>
      <c r="H760" s="120"/>
    </row>
    <row r="761">
      <c r="A761" s="246"/>
      <c r="B761" s="120"/>
      <c r="C761" s="120"/>
      <c r="D761" s="120"/>
      <c r="E761" s="122"/>
      <c r="F761" s="122"/>
      <c r="G761" s="120"/>
      <c r="H761" s="120"/>
    </row>
    <row r="762">
      <c r="A762" s="246"/>
      <c r="B762" s="120"/>
      <c r="C762" s="120"/>
      <c r="D762" s="120"/>
      <c r="E762" s="122"/>
      <c r="F762" s="122"/>
      <c r="G762" s="120"/>
      <c r="H762" s="120"/>
    </row>
    <row r="763">
      <c r="A763" s="246"/>
      <c r="B763" s="120"/>
      <c r="C763" s="120"/>
      <c r="D763" s="120"/>
      <c r="E763" s="122"/>
      <c r="F763" s="122"/>
      <c r="G763" s="120"/>
      <c r="H763" s="120"/>
    </row>
    <row r="764">
      <c r="A764" s="246"/>
      <c r="B764" s="120"/>
      <c r="C764" s="120"/>
      <c r="D764" s="120"/>
      <c r="E764" s="122"/>
      <c r="F764" s="122"/>
      <c r="G764" s="120"/>
      <c r="H764" s="120"/>
    </row>
    <row r="765">
      <c r="A765" s="246"/>
      <c r="B765" s="120"/>
      <c r="C765" s="120"/>
      <c r="D765" s="120"/>
      <c r="E765" s="122"/>
      <c r="F765" s="122"/>
      <c r="G765" s="120"/>
      <c r="H765" s="120"/>
    </row>
    <row r="766">
      <c r="A766" s="246"/>
      <c r="B766" s="120"/>
      <c r="C766" s="120"/>
      <c r="D766" s="120"/>
      <c r="E766" s="122"/>
      <c r="F766" s="122"/>
      <c r="G766" s="120"/>
      <c r="H766" s="120"/>
    </row>
    <row r="767">
      <c r="A767" s="246"/>
      <c r="B767" s="120"/>
      <c r="C767" s="120"/>
      <c r="D767" s="120"/>
      <c r="E767" s="122"/>
      <c r="F767" s="122"/>
      <c r="G767" s="120"/>
      <c r="H767" s="120"/>
    </row>
    <row r="768">
      <c r="A768" s="246"/>
      <c r="B768" s="120"/>
      <c r="C768" s="120"/>
      <c r="D768" s="120"/>
      <c r="E768" s="122"/>
      <c r="F768" s="122"/>
      <c r="G768" s="120"/>
      <c r="H768" s="120"/>
    </row>
    <row r="769">
      <c r="A769" s="246"/>
      <c r="B769" s="120"/>
      <c r="C769" s="120"/>
      <c r="D769" s="120"/>
      <c r="E769" s="122"/>
      <c r="F769" s="122"/>
      <c r="G769" s="120"/>
      <c r="H769" s="120"/>
    </row>
    <row r="770">
      <c r="A770" s="246"/>
      <c r="B770" s="120"/>
      <c r="C770" s="120"/>
      <c r="D770" s="120"/>
      <c r="E770" s="122"/>
      <c r="F770" s="122"/>
      <c r="G770" s="120"/>
      <c r="H770" s="120"/>
    </row>
    <row r="771">
      <c r="A771" s="246"/>
      <c r="B771" s="120"/>
      <c r="C771" s="120"/>
      <c r="D771" s="120"/>
      <c r="E771" s="122"/>
      <c r="F771" s="122"/>
      <c r="G771" s="120"/>
      <c r="H771" s="120"/>
    </row>
    <row r="772">
      <c r="A772" s="246"/>
      <c r="B772" s="120"/>
      <c r="C772" s="120"/>
      <c r="D772" s="120"/>
      <c r="E772" s="122"/>
      <c r="F772" s="122"/>
      <c r="G772" s="120"/>
      <c r="H772" s="120"/>
    </row>
    <row r="773">
      <c r="A773" s="246"/>
      <c r="B773" s="120"/>
      <c r="C773" s="120"/>
      <c r="D773" s="120"/>
      <c r="E773" s="122"/>
      <c r="F773" s="122"/>
      <c r="G773" s="120"/>
      <c r="H773" s="120"/>
    </row>
    <row r="774">
      <c r="A774" s="246"/>
      <c r="B774" s="120"/>
      <c r="C774" s="120"/>
      <c r="D774" s="120"/>
      <c r="E774" s="122"/>
      <c r="F774" s="122"/>
      <c r="G774" s="120"/>
      <c r="H774" s="120"/>
    </row>
    <row r="775">
      <c r="A775" s="246"/>
      <c r="B775" s="120"/>
      <c r="C775" s="120"/>
      <c r="D775" s="120"/>
      <c r="E775" s="122"/>
      <c r="F775" s="122"/>
      <c r="G775" s="120"/>
      <c r="H775" s="120"/>
    </row>
    <row r="776">
      <c r="A776" s="246"/>
      <c r="B776" s="120"/>
      <c r="C776" s="120"/>
      <c r="D776" s="120"/>
      <c r="E776" s="122"/>
      <c r="F776" s="122"/>
      <c r="G776" s="120"/>
      <c r="H776" s="120"/>
    </row>
    <row r="777">
      <c r="A777" s="246"/>
      <c r="B777" s="120"/>
      <c r="C777" s="120"/>
      <c r="D777" s="120"/>
      <c r="E777" s="122"/>
      <c r="F777" s="122"/>
      <c r="G777" s="120"/>
      <c r="H777" s="120"/>
    </row>
    <row r="778">
      <c r="A778" s="246"/>
      <c r="B778" s="120"/>
      <c r="C778" s="120"/>
      <c r="D778" s="120"/>
      <c r="E778" s="122"/>
      <c r="F778" s="122"/>
      <c r="G778" s="120"/>
      <c r="H778" s="120"/>
    </row>
    <row r="779">
      <c r="A779" s="246"/>
      <c r="B779" s="120"/>
      <c r="C779" s="120"/>
      <c r="D779" s="120"/>
      <c r="E779" s="122"/>
      <c r="F779" s="122"/>
      <c r="G779" s="120"/>
      <c r="H779" s="120"/>
    </row>
    <row r="780">
      <c r="A780" s="246"/>
      <c r="B780" s="120"/>
      <c r="C780" s="120"/>
      <c r="D780" s="120"/>
      <c r="E780" s="122"/>
      <c r="F780" s="122"/>
      <c r="G780" s="120"/>
      <c r="H780" s="120"/>
    </row>
    <row r="781">
      <c r="A781" s="246"/>
      <c r="B781" s="120"/>
      <c r="C781" s="120"/>
      <c r="D781" s="120"/>
      <c r="E781" s="122"/>
      <c r="F781" s="122"/>
      <c r="G781" s="120"/>
      <c r="H781" s="120"/>
    </row>
    <row r="782">
      <c r="A782" s="246"/>
      <c r="B782" s="120"/>
      <c r="C782" s="120"/>
      <c r="D782" s="120"/>
      <c r="E782" s="122"/>
      <c r="F782" s="122"/>
      <c r="G782" s="120"/>
      <c r="H782" s="120"/>
    </row>
    <row r="783">
      <c r="A783" s="246"/>
      <c r="B783" s="120"/>
      <c r="C783" s="120"/>
      <c r="D783" s="120"/>
      <c r="E783" s="122"/>
      <c r="F783" s="122"/>
      <c r="G783" s="120"/>
      <c r="H783" s="120"/>
    </row>
    <row r="784">
      <c r="A784" s="246"/>
      <c r="B784" s="120"/>
      <c r="C784" s="120"/>
      <c r="D784" s="120"/>
      <c r="E784" s="122"/>
      <c r="F784" s="122"/>
      <c r="G784" s="120"/>
      <c r="H784" s="120"/>
    </row>
    <row r="785">
      <c r="A785" s="246"/>
      <c r="B785" s="120"/>
      <c r="C785" s="120"/>
      <c r="D785" s="120"/>
      <c r="E785" s="122"/>
      <c r="F785" s="122"/>
      <c r="G785" s="120"/>
      <c r="H785" s="120"/>
    </row>
    <row r="786">
      <c r="A786" s="246"/>
      <c r="B786" s="120"/>
      <c r="C786" s="120"/>
      <c r="D786" s="120"/>
      <c r="E786" s="122"/>
      <c r="F786" s="122"/>
      <c r="G786" s="120"/>
      <c r="H786" s="120"/>
    </row>
    <row r="787">
      <c r="A787" s="246"/>
      <c r="B787" s="120"/>
      <c r="C787" s="120"/>
      <c r="D787" s="120"/>
      <c r="E787" s="122"/>
      <c r="F787" s="122"/>
      <c r="G787" s="120"/>
      <c r="H787" s="120"/>
    </row>
    <row r="788">
      <c r="A788" s="246"/>
      <c r="B788" s="120"/>
      <c r="C788" s="120"/>
      <c r="D788" s="120"/>
      <c r="E788" s="122"/>
      <c r="F788" s="122"/>
      <c r="G788" s="120"/>
      <c r="H788" s="120"/>
    </row>
    <row r="789">
      <c r="A789" s="246"/>
      <c r="B789" s="120"/>
      <c r="C789" s="120"/>
      <c r="D789" s="120"/>
      <c r="E789" s="122"/>
      <c r="F789" s="122"/>
      <c r="G789" s="120"/>
      <c r="H789" s="120"/>
    </row>
    <row r="790">
      <c r="A790" s="246"/>
      <c r="B790" s="120"/>
      <c r="C790" s="120"/>
      <c r="D790" s="120"/>
      <c r="E790" s="122"/>
      <c r="F790" s="122"/>
      <c r="G790" s="120"/>
      <c r="H790" s="120"/>
    </row>
    <row r="791">
      <c r="A791" s="246"/>
      <c r="B791" s="120"/>
      <c r="C791" s="120"/>
      <c r="D791" s="120"/>
      <c r="E791" s="122"/>
      <c r="F791" s="122"/>
      <c r="G791" s="120"/>
      <c r="H791" s="120"/>
    </row>
    <row r="792">
      <c r="A792" s="246"/>
      <c r="B792" s="120"/>
      <c r="C792" s="120"/>
      <c r="D792" s="120"/>
      <c r="E792" s="122"/>
      <c r="F792" s="122"/>
      <c r="G792" s="120"/>
      <c r="H792" s="120"/>
    </row>
    <row r="793">
      <c r="A793" s="246"/>
      <c r="B793" s="120"/>
      <c r="C793" s="120"/>
      <c r="D793" s="120"/>
      <c r="E793" s="122"/>
      <c r="F793" s="122"/>
      <c r="G793" s="120"/>
      <c r="H793" s="120"/>
    </row>
    <row r="794">
      <c r="A794" s="246"/>
      <c r="B794" s="120"/>
      <c r="C794" s="120"/>
      <c r="D794" s="120"/>
      <c r="E794" s="122"/>
      <c r="F794" s="122"/>
      <c r="G794" s="120"/>
      <c r="H794" s="120"/>
    </row>
    <row r="795">
      <c r="A795" s="246"/>
      <c r="B795" s="120"/>
      <c r="C795" s="120"/>
      <c r="D795" s="120"/>
      <c r="E795" s="122"/>
      <c r="F795" s="122"/>
      <c r="G795" s="120"/>
      <c r="H795" s="120"/>
    </row>
    <row r="796">
      <c r="A796" s="246"/>
      <c r="B796" s="120"/>
      <c r="C796" s="120"/>
      <c r="D796" s="120"/>
      <c r="E796" s="122"/>
      <c r="F796" s="122"/>
      <c r="G796" s="120"/>
      <c r="H796" s="120"/>
    </row>
    <row r="797">
      <c r="A797" s="246"/>
      <c r="B797" s="120"/>
      <c r="C797" s="120"/>
      <c r="D797" s="120"/>
      <c r="E797" s="122"/>
      <c r="F797" s="122"/>
      <c r="G797" s="120"/>
      <c r="H797" s="120"/>
    </row>
    <row r="798">
      <c r="A798" s="246"/>
      <c r="B798" s="120"/>
      <c r="C798" s="120"/>
      <c r="D798" s="120"/>
      <c r="E798" s="122"/>
      <c r="F798" s="122"/>
      <c r="G798" s="120"/>
      <c r="H798" s="120"/>
    </row>
    <row r="799">
      <c r="A799" s="246"/>
      <c r="B799" s="120"/>
      <c r="C799" s="120"/>
      <c r="D799" s="120"/>
      <c r="E799" s="122"/>
      <c r="F799" s="122"/>
      <c r="G799" s="120"/>
      <c r="H799" s="120"/>
    </row>
    <row r="800">
      <c r="A800" s="246"/>
      <c r="B800" s="120"/>
      <c r="C800" s="120"/>
      <c r="D800" s="120"/>
      <c r="E800" s="122"/>
      <c r="F800" s="122"/>
      <c r="G800" s="120"/>
      <c r="H800" s="120"/>
    </row>
    <row r="801">
      <c r="A801" s="246"/>
      <c r="B801" s="120"/>
      <c r="C801" s="120"/>
      <c r="D801" s="120"/>
      <c r="E801" s="122"/>
      <c r="F801" s="122"/>
      <c r="G801" s="120"/>
      <c r="H801" s="120"/>
    </row>
    <row r="802">
      <c r="A802" s="246"/>
      <c r="B802" s="120"/>
      <c r="C802" s="120"/>
      <c r="D802" s="120"/>
      <c r="E802" s="122"/>
      <c r="F802" s="122"/>
      <c r="G802" s="120"/>
      <c r="H802" s="120"/>
    </row>
    <row r="803">
      <c r="A803" s="246"/>
      <c r="B803" s="120"/>
      <c r="C803" s="120"/>
      <c r="D803" s="120"/>
      <c r="E803" s="122"/>
      <c r="F803" s="122"/>
      <c r="G803" s="120"/>
      <c r="H803" s="120"/>
    </row>
    <row r="804">
      <c r="A804" s="246"/>
      <c r="B804" s="120"/>
      <c r="C804" s="120"/>
      <c r="D804" s="120"/>
      <c r="E804" s="122"/>
      <c r="F804" s="122"/>
      <c r="G804" s="120"/>
      <c r="H804" s="120"/>
    </row>
    <row r="805">
      <c r="A805" s="246"/>
      <c r="B805" s="120"/>
      <c r="C805" s="120"/>
      <c r="D805" s="120"/>
      <c r="E805" s="122"/>
      <c r="F805" s="122"/>
      <c r="G805" s="120"/>
      <c r="H805" s="120"/>
    </row>
    <row r="806">
      <c r="A806" s="246"/>
      <c r="B806" s="120"/>
      <c r="C806" s="120"/>
      <c r="D806" s="120"/>
      <c r="E806" s="122"/>
      <c r="F806" s="122"/>
      <c r="G806" s="120"/>
      <c r="H806" s="120"/>
    </row>
    <row r="807">
      <c r="A807" s="246"/>
      <c r="B807" s="120"/>
      <c r="C807" s="120"/>
      <c r="D807" s="120"/>
      <c r="E807" s="122"/>
      <c r="F807" s="122"/>
      <c r="G807" s="120"/>
      <c r="H807" s="120"/>
    </row>
    <row r="808">
      <c r="A808" s="246"/>
      <c r="B808" s="120"/>
      <c r="C808" s="120"/>
      <c r="D808" s="120"/>
      <c r="E808" s="122"/>
      <c r="F808" s="122"/>
      <c r="G808" s="120"/>
      <c r="H808" s="120"/>
    </row>
    <row r="809">
      <c r="A809" s="246"/>
      <c r="B809" s="120"/>
      <c r="C809" s="120"/>
      <c r="D809" s="120"/>
      <c r="E809" s="122"/>
      <c r="F809" s="122"/>
      <c r="G809" s="120"/>
      <c r="H809" s="120"/>
    </row>
    <row r="810">
      <c r="A810" s="246"/>
      <c r="B810" s="120"/>
      <c r="C810" s="120"/>
      <c r="D810" s="120"/>
      <c r="E810" s="122"/>
      <c r="F810" s="122"/>
      <c r="G810" s="120"/>
      <c r="H810" s="120"/>
    </row>
    <row r="811">
      <c r="A811" s="246"/>
      <c r="B811" s="120"/>
      <c r="C811" s="120"/>
      <c r="D811" s="120"/>
      <c r="E811" s="122"/>
      <c r="F811" s="122"/>
      <c r="G811" s="120"/>
      <c r="H811" s="120"/>
    </row>
    <row r="812">
      <c r="A812" s="246"/>
      <c r="B812" s="120"/>
      <c r="C812" s="120"/>
      <c r="D812" s="120"/>
      <c r="E812" s="122"/>
      <c r="F812" s="122"/>
      <c r="G812" s="120"/>
      <c r="H812" s="120"/>
    </row>
    <row r="813">
      <c r="A813" s="246"/>
      <c r="B813" s="120"/>
      <c r="C813" s="120"/>
      <c r="D813" s="120"/>
      <c r="E813" s="122"/>
      <c r="F813" s="122"/>
      <c r="G813" s="120"/>
      <c r="H813" s="120"/>
    </row>
    <row r="814">
      <c r="A814" s="246"/>
      <c r="B814" s="120"/>
      <c r="C814" s="120"/>
      <c r="D814" s="120"/>
      <c r="E814" s="122"/>
      <c r="F814" s="122"/>
      <c r="G814" s="120"/>
      <c r="H814" s="120"/>
    </row>
    <row r="815">
      <c r="A815" s="246"/>
      <c r="B815" s="120"/>
      <c r="C815" s="120"/>
      <c r="D815" s="120"/>
      <c r="E815" s="122"/>
      <c r="F815" s="122"/>
      <c r="G815" s="120"/>
      <c r="H815" s="120"/>
    </row>
    <row r="816">
      <c r="A816" s="246"/>
      <c r="B816" s="120"/>
      <c r="C816" s="120"/>
      <c r="D816" s="120"/>
      <c r="E816" s="122"/>
      <c r="F816" s="122"/>
      <c r="G816" s="120"/>
      <c r="H816" s="120"/>
    </row>
    <row r="817">
      <c r="A817" s="246"/>
      <c r="B817" s="120"/>
      <c r="C817" s="120"/>
      <c r="D817" s="120"/>
      <c r="E817" s="122"/>
      <c r="F817" s="122"/>
      <c r="G817" s="120"/>
      <c r="H817" s="120"/>
    </row>
    <row r="818">
      <c r="A818" s="246"/>
      <c r="B818" s="120"/>
      <c r="C818" s="120"/>
      <c r="D818" s="120"/>
      <c r="E818" s="122"/>
      <c r="F818" s="122"/>
      <c r="G818" s="120"/>
      <c r="H818" s="120"/>
    </row>
    <row r="819">
      <c r="A819" s="246"/>
      <c r="B819" s="120"/>
      <c r="C819" s="120"/>
      <c r="D819" s="120"/>
      <c r="E819" s="122"/>
      <c r="F819" s="122"/>
      <c r="G819" s="120"/>
      <c r="H819" s="120"/>
    </row>
    <row r="820">
      <c r="A820" s="246"/>
      <c r="B820" s="120"/>
      <c r="C820" s="120"/>
      <c r="D820" s="120"/>
      <c r="E820" s="122"/>
      <c r="F820" s="122"/>
      <c r="G820" s="120"/>
      <c r="H820" s="120"/>
    </row>
    <row r="821">
      <c r="A821" s="246"/>
      <c r="B821" s="120"/>
      <c r="C821" s="120"/>
      <c r="D821" s="120"/>
      <c r="E821" s="122"/>
      <c r="F821" s="122"/>
      <c r="G821" s="120"/>
      <c r="H821" s="120"/>
    </row>
    <row r="822">
      <c r="A822" s="246"/>
      <c r="B822" s="120"/>
      <c r="C822" s="120"/>
      <c r="D822" s="120"/>
      <c r="E822" s="122"/>
      <c r="F822" s="122"/>
      <c r="G822" s="120"/>
      <c r="H822" s="120"/>
    </row>
    <row r="823">
      <c r="A823" s="246"/>
      <c r="B823" s="120"/>
      <c r="C823" s="120"/>
      <c r="D823" s="120"/>
      <c r="E823" s="122"/>
      <c r="F823" s="122"/>
      <c r="G823" s="120"/>
      <c r="H823" s="120"/>
    </row>
    <row r="824">
      <c r="A824" s="246"/>
      <c r="B824" s="120"/>
      <c r="C824" s="120"/>
      <c r="D824" s="120"/>
      <c r="E824" s="122"/>
      <c r="F824" s="122"/>
      <c r="G824" s="120"/>
      <c r="H824" s="120"/>
    </row>
    <row r="825">
      <c r="A825" s="246"/>
      <c r="B825" s="120"/>
      <c r="C825" s="120"/>
      <c r="D825" s="120"/>
      <c r="E825" s="122"/>
      <c r="F825" s="122"/>
      <c r="G825" s="120"/>
      <c r="H825" s="120"/>
    </row>
    <row r="826">
      <c r="A826" s="246"/>
      <c r="B826" s="120"/>
      <c r="C826" s="120"/>
      <c r="D826" s="120"/>
      <c r="E826" s="122"/>
      <c r="F826" s="122"/>
      <c r="G826" s="120"/>
      <c r="H826" s="120"/>
    </row>
    <row r="827">
      <c r="A827" s="246"/>
      <c r="B827" s="120"/>
      <c r="C827" s="120"/>
      <c r="D827" s="120"/>
      <c r="E827" s="122"/>
      <c r="F827" s="122"/>
      <c r="G827" s="120"/>
      <c r="H827" s="120"/>
    </row>
    <row r="828">
      <c r="A828" s="246"/>
      <c r="B828" s="120"/>
      <c r="C828" s="120"/>
      <c r="D828" s="120"/>
      <c r="E828" s="122"/>
      <c r="F828" s="122"/>
      <c r="G828" s="120"/>
      <c r="H828" s="120"/>
    </row>
    <row r="829">
      <c r="A829" s="246"/>
      <c r="B829" s="120"/>
      <c r="C829" s="120"/>
      <c r="D829" s="120"/>
      <c r="E829" s="122"/>
      <c r="F829" s="122"/>
      <c r="G829" s="120"/>
      <c r="H829" s="120"/>
    </row>
    <row r="830">
      <c r="A830" s="246"/>
      <c r="B830" s="120"/>
      <c r="C830" s="120"/>
      <c r="D830" s="120"/>
      <c r="E830" s="122"/>
      <c r="F830" s="122"/>
      <c r="G830" s="120"/>
      <c r="H830" s="120"/>
    </row>
    <row r="831">
      <c r="A831" s="246"/>
      <c r="B831" s="120"/>
      <c r="C831" s="120"/>
      <c r="D831" s="120"/>
      <c r="E831" s="122"/>
      <c r="F831" s="122"/>
      <c r="G831" s="120"/>
      <c r="H831" s="120"/>
    </row>
    <row r="832">
      <c r="A832" s="246"/>
      <c r="B832" s="120"/>
      <c r="C832" s="120"/>
      <c r="D832" s="120"/>
      <c r="E832" s="122"/>
      <c r="F832" s="122"/>
      <c r="G832" s="120"/>
      <c r="H832" s="120"/>
    </row>
    <row r="833">
      <c r="A833" s="246"/>
      <c r="B833" s="120"/>
      <c r="C833" s="120"/>
      <c r="D833" s="120"/>
      <c r="E833" s="122"/>
      <c r="F833" s="122"/>
      <c r="G833" s="120"/>
      <c r="H833" s="120"/>
    </row>
    <row r="834">
      <c r="A834" s="246"/>
      <c r="B834" s="120"/>
      <c r="C834" s="120"/>
      <c r="D834" s="120"/>
      <c r="E834" s="122"/>
      <c r="F834" s="122"/>
      <c r="G834" s="120"/>
      <c r="H834" s="120"/>
    </row>
    <row r="835">
      <c r="A835" s="246"/>
      <c r="B835" s="120"/>
      <c r="C835" s="120"/>
      <c r="D835" s="120"/>
      <c r="E835" s="122"/>
      <c r="F835" s="122"/>
      <c r="G835" s="120"/>
      <c r="H835" s="120"/>
    </row>
    <row r="836">
      <c r="A836" s="246"/>
      <c r="B836" s="120"/>
      <c r="C836" s="120"/>
      <c r="D836" s="120"/>
      <c r="E836" s="122"/>
      <c r="F836" s="122"/>
      <c r="G836" s="120"/>
      <c r="H836" s="120"/>
    </row>
    <row r="837">
      <c r="A837" s="246"/>
      <c r="B837" s="120"/>
      <c r="C837" s="120"/>
      <c r="D837" s="120"/>
      <c r="E837" s="122"/>
      <c r="F837" s="122"/>
      <c r="G837" s="120"/>
      <c r="H837" s="120"/>
    </row>
    <row r="838">
      <c r="A838" s="246"/>
      <c r="B838" s="120"/>
      <c r="C838" s="120"/>
      <c r="D838" s="120"/>
      <c r="E838" s="122"/>
      <c r="F838" s="122"/>
      <c r="G838" s="120"/>
      <c r="H838" s="120"/>
    </row>
    <row r="839">
      <c r="A839" s="246"/>
      <c r="B839" s="120"/>
      <c r="C839" s="120"/>
      <c r="D839" s="120"/>
      <c r="E839" s="122"/>
      <c r="F839" s="122"/>
      <c r="G839" s="120"/>
      <c r="H839" s="120"/>
    </row>
    <row r="840">
      <c r="A840" s="246"/>
      <c r="B840" s="120"/>
      <c r="C840" s="120"/>
      <c r="D840" s="120"/>
      <c r="E840" s="122"/>
      <c r="F840" s="122"/>
      <c r="G840" s="120"/>
      <c r="H840" s="120"/>
    </row>
    <row r="841">
      <c r="A841" s="246"/>
      <c r="B841" s="120"/>
      <c r="C841" s="120"/>
      <c r="D841" s="120"/>
      <c r="E841" s="122"/>
      <c r="F841" s="122"/>
      <c r="G841" s="120"/>
      <c r="H841" s="120"/>
    </row>
    <row r="842">
      <c r="A842" s="246"/>
      <c r="B842" s="120"/>
      <c r="C842" s="120"/>
      <c r="D842" s="120"/>
      <c r="E842" s="122"/>
      <c r="F842" s="122"/>
      <c r="G842" s="120"/>
      <c r="H842" s="120"/>
    </row>
    <row r="843">
      <c r="A843" s="246"/>
      <c r="B843" s="120"/>
      <c r="C843" s="120"/>
      <c r="D843" s="120"/>
      <c r="E843" s="122"/>
      <c r="F843" s="122"/>
      <c r="G843" s="120"/>
      <c r="H843" s="120"/>
    </row>
    <row r="844">
      <c r="A844" s="246"/>
      <c r="B844" s="120"/>
      <c r="C844" s="120"/>
      <c r="D844" s="120"/>
      <c r="E844" s="122"/>
      <c r="F844" s="122"/>
      <c r="G844" s="120"/>
      <c r="H844" s="120"/>
    </row>
    <row r="845">
      <c r="A845" s="246"/>
      <c r="B845" s="120"/>
      <c r="C845" s="120"/>
      <c r="D845" s="120"/>
      <c r="E845" s="122"/>
      <c r="F845" s="122"/>
      <c r="G845" s="120"/>
      <c r="H845" s="120"/>
    </row>
    <row r="846">
      <c r="A846" s="246"/>
      <c r="B846" s="120"/>
      <c r="C846" s="120"/>
      <c r="D846" s="120"/>
      <c r="E846" s="122"/>
      <c r="F846" s="122"/>
      <c r="G846" s="120"/>
      <c r="H846" s="120"/>
    </row>
    <row r="847">
      <c r="A847" s="246"/>
      <c r="B847" s="120"/>
      <c r="C847" s="120"/>
      <c r="D847" s="120"/>
      <c r="E847" s="122"/>
      <c r="F847" s="122"/>
      <c r="G847" s="120"/>
      <c r="H847" s="120"/>
    </row>
    <row r="848">
      <c r="A848" s="246"/>
      <c r="B848" s="120"/>
      <c r="C848" s="120"/>
      <c r="D848" s="120"/>
      <c r="E848" s="122"/>
      <c r="F848" s="122"/>
      <c r="G848" s="120"/>
      <c r="H848" s="120"/>
    </row>
    <row r="849">
      <c r="A849" s="246"/>
      <c r="B849" s="120"/>
      <c r="C849" s="120"/>
      <c r="D849" s="120"/>
      <c r="E849" s="122"/>
      <c r="F849" s="122"/>
      <c r="G849" s="120"/>
      <c r="H849" s="120"/>
    </row>
    <row r="850">
      <c r="A850" s="246"/>
      <c r="B850" s="120"/>
      <c r="C850" s="120"/>
      <c r="D850" s="120"/>
      <c r="E850" s="122"/>
      <c r="F850" s="122"/>
      <c r="G850" s="120"/>
      <c r="H850" s="120"/>
    </row>
    <row r="851">
      <c r="A851" s="246"/>
      <c r="B851" s="120"/>
      <c r="C851" s="120"/>
      <c r="D851" s="120"/>
      <c r="E851" s="122"/>
      <c r="F851" s="122"/>
      <c r="G851" s="120"/>
      <c r="H851" s="120"/>
    </row>
    <row r="852">
      <c r="A852" s="246"/>
      <c r="B852" s="120"/>
      <c r="C852" s="120"/>
      <c r="D852" s="120"/>
      <c r="E852" s="122"/>
      <c r="F852" s="122"/>
      <c r="G852" s="120"/>
      <c r="H852" s="120"/>
    </row>
    <row r="853">
      <c r="A853" s="246"/>
      <c r="B853" s="120"/>
      <c r="C853" s="120"/>
      <c r="D853" s="120"/>
      <c r="E853" s="122"/>
      <c r="F853" s="122"/>
      <c r="G853" s="120"/>
      <c r="H853" s="120"/>
    </row>
    <row r="854">
      <c r="A854" s="246"/>
      <c r="B854" s="120"/>
      <c r="C854" s="120"/>
      <c r="D854" s="120"/>
      <c r="E854" s="122"/>
      <c r="F854" s="122"/>
      <c r="G854" s="120"/>
      <c r="H854" s="120"/>
    </row>
    <row r="855">
      <c r="A855" s="246"/>
      <c r="B855" s="120"/>
      <c r="C855" s="120"/>
      <c r="D855" s="120"/>
      <c r="E855" s="122"/>
      <c r="F855" s="122"/>
      <c r="G855" s="120"/>
      <c r="H855" s="120"/>
    </row>
    <row r="856">
      <c r="A856" s="246"/>
      <c r="B856" s="120"/>
      <c r="C856" s="120"/>
      <c r="D856" s="120"/>
      <c r="E856" s="122"/>
      <c r="F856" s="122"/>
      <c r="G856" s="120"/>
      <c r="H856" s="120"/>
    </row>
    <row r="857">
      <c r="A857" s="246"/>
      <c r="B857" s="120"/>
      <c r="C857" s="120"/>
      <c r="D857" s="120"/>
      <c r="E857" s="122"/>
      <c r="F857" s="122"/>
      <c r="G857" s="120"/>
      <c r="H857" s="120"/>
    </row>
    <row r="858">
      <c r="A858" s="246"/>
      <c r="B858" s="120"/>
      <c r="C858" s="120"/>
      <c r="D858" s="120"/>
      <c r="E858" s="122"/>
      <c r="F858" s="122"/>
      <c r="G858" s="120"/>
      <c r="H858" s="120"/>
    </row>
    <row r="859">
      <c r="A859" s="246"/>
      <c r="B859" s="120"/>
      <c r="C859" s="120"/>
      <c r="D859" s="120"/>
      <c r="E859" s="122"/>
      <c r="F859" s="122"/>
      <c r="G859" s="120"/>
      <c r="H859" s="120"/>
    </row>
    <row r="860">
      <c r="A860" s="246"/>
      <c r="B860" s="120"/>
      <c r="C860" s="120"/>
      <c r="D860" s="120"/>
      <c r="E860" s="122"/>
      <c r="F860" s="122"/>
      <c r="G860" s="120"/>
      <c r="H860" s="120"/>
    </row>
    <row r="861">
      <c r="A861" s="246"/>
      <c r="B861" s="120"/>
      <c r="C861" s="120"/>
      <c r="D861" s="120"/>
      <c r="E861" s="122"/>
      <c r="F861" s="122"/>
      <c r="G861" s="120"/>
      <c r="H861" s="120"/>
    </row>
    <row r="862">
      <c r="A862" s="246"/>
      <c r="B862" s="120"/>
      <c r="C862" s="120"/>
      <c r="D862" s="120"/>
      <c r="E862" s="122"/>
      <c r="F862" s="122"/>
      <c r="G862" s="120"/>
      <c r="H862" s="120"/>
    </row>
    <row r="863">
      <c r="A863" s="246"/>
      <c r="B863" s="120"/>
      <c r="C863" s="120"/>
      <c r="D863" s="120"/>
      <c r="E863" s="122"/>
      <c r="F863" s="122"/>
      <c r="G863" s="120"/>
      <c r="H863" s="120"/>
    </row>
    <row r="864">
      <c r="A864" s="246"/>
      <c r="B864" s="120"/>
      <c r="C864" s="120"/>
      <c r="D864" s="120"/>
      <c r="E864" s="122"/>
      <c r="F864" s="122"/>
      <c r="G864" s="120"/>
      <c r="H864" s="120"/>
    </row>
    <row r="865">
      <c r="A865" s="246"/>
      <c r="B865" s="120"/>
      <c r="C865" s="120"/>
      <c r="D865" s="120"/>
      <c r="E865" s="122"/>
      <c r="F865" s="122"/>
      <c r="G865" s="120"/>
      <c r="H865" s="120"/>
    </row>
    <row r="866">
      <c r="A866" s="246"/>
      <c r="B866" s="120"/>
      <c r="C866" s="120"/>
      <c r="D866" s="120"/>
      <c r="E866" s="122"/>
      <c r="F866" s="122"/>
      <c r="G866" s="120"/>
      <c r="H866" s="120"/>
    </row>
    <row r="867">
      <c r="A867" s="246"/>
      <c r="B867" s="120"/>
      <c r="C867" s="120"/>
      <c r="D867" s="120"/>
      <c r="E867" s="122"/>
      <c r="F867" s="122"/>
      <c r="G867" s="120"/>
      <c r="H867" s="120"/>
    </row>
    <row r="868">
      <c r="A868" s="246"/>
      <c r="B868" s="120"/>
      <c r="C868" s="120"/>
      <c r="D868" s="120"/>
      <c r="E868" s="122"/>
      <c r="F868" s="122"/>
      <c r="G868" s="120"/>
      <c r="H868" s="120"/>
    </row>
    <row r="869">
      <c r="A869" s="246"/>
      <c r="B869" s="120"/>
      <c r="C869" s="120"/>
      <c r="D869" s="120"/>
      <c r="E869" s="122"/>
      <c r="F869" s="122"/>
      <c r="G869" s="120"/>
      <c r="H869" s="120"/>
    </row>
    <row r="870">
      <c r="A870" s="246"/>
      <c r="B870" s="120"/>
      <c r="C870" s="120"/>
      <c r="D870" s="120"/>
      <c r="E870" s="122"/>
      <c r="F870" s="122"/>
      <c r="G870" s="120"/>
      <c r="H870" s="120"/>
    </row>
    <row r="871">
      <c r="A871" s="246"/>
      <c r="B871" s="120"/>
      <c r="C871" s="120"/>
      <c r="D871" s="120"/>
      <c r="E871" s="122"/>
      <c r="F871" s="122"/>
      <c r="G871" s="120"/>
      <c r="H871" s="120"/>
    </row>
    <row r="872">
      <c r="A872" s="246"/>
      <c r="B872" s="120"/>
      <c r="C872" s="120"/>
      <c r="D872" s="120"/>
      <c r="E872" s="122"/>
      <c r="F872" s="122"/>
      <c r="G872" s="120"/>
      <c r="H872" s="120"/>
    </row>
    <row r="873">
      <c r="A873" s="246"/>
      <c r="B873" s="120"/>
      <c r="C873" s="120"/>
      <c r="D873" s="120"/>
      <c r="E873" s="122"/>
      <c r="F873" s="122"/>
      <c r="G873" s="120"/>
      <c r="H873" s="120"/>
    </row>
    <row r="874">
      <c r="A874" s="246"/>
      <c r="B874" s="120"/>
      <c r="C874" s="120"/>
      <c r="D874" s="120"/>
      <c r="E874" s="122"/>
      <c r="F874" s="122"/>
      <c r="G874" s="120"/>
      <c r="H874" s="120"/>
    </row>
    <row r="875">
      <c r="A875" s="246"/>
      <c r="B875" s="120"/>
      <c r="C875" s="120"/>
      <c r="D875" s="120"/>
      <c r="E875" s="122"/>
      <c r="F875" s="122"/>
      <c r="G875" s="120"/>
      <c r="H875" s="120"/>
    </row>
    <row r="876">
      <c r="A876" s="246"/>
      <c r="B876" s="120"/>
      <c r="C876" s="120"/>
      <c r="D876" s="120"/>
      <c r="E876" s="122"/>
      <c r="F876" s="122"/>
      <c r="G876" s="120"/>
      <c r="H876" s="120"/>
    </row>
    <row r="877">
      <c r="A877" s="246"/>
      <c r="B877" s="120"/>
      <c r="C877" s="120"/>
      <c r="D877" s="120"/>
      <c r="E877" s="122"/>
      <c r="F877" s="122"/>
      <c r="G877" s="120"/>
      <c r="H877" s="120"/>
    </row>
    <row r="878">
      <c r="A878" s="246"/>
      <c r="B878" s="120"/>
      <c r="C878" s="120"/>
      <c r="D878" s="120"/>
      <c r="E878" s="122"/>
      <c r="F878" s="122"/>
      <c r="G878" s="120"/>
      <c r="H878" s="120"/>
    </row>
    <row r="879">
      <c r="A879" s="246"/>
      <c r="B879" s="120"/>
      <c r="C879" s="120"/>
      <c r="D879" s="120"/>
      <c r="E879" s="122"/>
      <c r="F879" s="122"/>
      <c r="G879" s="120"/>
      <c r="H879" s="120"/>
    </row>
    <row r="880">
      <c r="A880" s="246"/>
      <c r="B880" s="120"/>
      <c r="C880" s="120"/>
      <c r="D880" s="120"/>
      <c r="E880" s="122"/>
      <c r="F880" s="122"/>
      <c r="G880" s="120"/>
      <c r="H880" s="120"/>
    </row>
    <row r="881">
      <c r="A881" s="246"/>
      <c r="B881" s="120"/>
      <c r="C881" s="120"/>
      <c r="D881" s="120"/>
      <c r="E881" s="122"/>
      <c r="F881" s="122"/>
      <c r="G881" s="120"/>
      <c r="H881" s="120"/>
    </row>
    <row r="882">
      <c r="A882" s="246"/>
      <c r="B882" s="120"/>
      <c r="C882" s="120"/>
      <c r="D882" s="120"/>
      <c r="E882" s="122"/>
      <c r="F882" s="122"/>
      <c r="G882" s="120"/>
      <c r="H882" s="120"/>
    </row>
    <row r="883">
      <c r="A883" s="246"/>
      <c r="B883" s="120"/>
      <c r="C883" s="120"/>
      <c r="D883" s="120"/>
      <c r="E883" s="122"/>
      <c r="F883" s="122"/>
      <c r="G883" s="120"/>
      <c r="H883" s="120"/>
    </row>
    <row r="884">
      <c r="A884" s="246"/>
      <c r="B884" s="120"/>
      <c r="C884" s="120"/>
      <c r="D884" s="120"/>
      <c r="E884" s="122"/>
      <c r="F884" s="122"/>
      <c r="G884" s="120"/>
      <c r="H884" s="120"/>
    </row>
    <row r="885">
      <c r="A885" s="246"/>
      <c r="B885" s="120"/>
      <c r="C885" s="120"/>
      <c r="D885" s="120"/>
      <c r="E885" s="122"/>
      <c r="F885" s="122"/>
      <c r="G885" s="120"/>
      <c r="H885" s="120"/>
    </row>
    <row r="886">
      <c r="A886" s="246"/>
      <c r="B886" s="120"/>
      <c r="C886" s="120"/>
      <c r="D886" s="120"/>
      <c r="E886" s="122"/>
      <c r="F886" s="122"/>
      <c r="G886" s="120"/>
      <c r="H886" s="120"/>
    </row>
    <row r="887">
      <c r="A887" s="246"/>
      <c r="B887" s="120"/>
      <c r="C887" s="120"/>
      <c r="D887" s="120"/>
      <c r="E887" s="122"/>
      <c r="F887" s="122"/>
      <c r="G887" s="120"/>
      <c r="H887" s="120"/>
    </row>
    <row r="888">
      <c r="A888" s="246"/>
      <c r="B888" s="120"/>
      <c r="C888" s="120"/>
      <c r="D888" s="120"/>
      <c r="E888" s="122"/>
      <c r="F888" s="122"/>
      <c r="G888" s="120"/>
      <c r="H888" s="120"/>
    </row>
    <row r="889">
      <c r="A889" s="246"/>
      <c r="B889" s="120"/>
      <c r="C889" s="120"/>
      <c r="D889" s="120"/>
      <c r="E889" s="122"/>
      <c r="F889" s="122"/>
      <c r="G889" s="120"/>
      <c r="H889" s="120"/>
    </row>
    <row r="890">
      <c r="A890" s="246"/>
      <c r="B890" s="120"/>
      <c r="C890" s="120"/>
      <c r="D890" s="120"/>
      <c r="E890" s="122"/>
      <c r="F890" s="122"/>
      <c r="G890" s="120"/>
      <c r="H890" s="120"/>
    </row>
    <row r="891">
      <c r="A891" s="246"/>
      <c r="B891" s="120"/>
      <c r="C891" s="120"/>
      <c r="D891" s="120"/>
      <c r="E891" s="122"/>
      <c r="F891" s="122"/>
      <c r="G891" s="120"/>
      <c r="H891" s="120"/>
    </row>
    <row r="892">
      <c r="A892" s="246"/>
      <c r="B892" s="120"/>
      <c r="C892" s="120"/>
      <c r="D892" s="120"/>
      <c r="E892" s="122"/>
      <c r="F892" s="122"/>
      <c r="G892" s="120"/>
      <c r="H892" s="120"/>
    </row>
    <row r="893">
      <c r="A893" s="246"/>
      <c r="B893" s="120"/>
      <c r="C893" s="120"/>
      <c r="D893" s="120"/>
      <c r="E893" s="122"/>
      <c r="F893" s="122"/>
      <c r="G893" s="120"/>
      <c r="H893" s="120"/>
    </row>
    <row r="894">
      <c r="A894" s="246"/>
      <c r="B894" s="120"/>
      <c r="C894" s="120"/>
      <c r="D894" s="120"/>
      <c r="E894" s="122"/>
      <c r="F894" s="122"/>
      <c r="G894" s="120"/>
      <c r="H894" s="120"/>
    </row>
    <row r="895">
      <c r="A895" s="246"/>
      <c r="B895" s="120"/>
      <c r="C895" s="120"/>
      <c r="D895" s="120"/>
      <c r="E895" s="122"/>
      <c r="F895" s="122"/>
      <c r="G895" s="120"/>
      <c r="H895" s="120"/>
    </row>
    <row r="896">
      <c r="A896" s="246"/>
      <c r="B896" s="120"/>
      <c r="C896" s="120"/>
      <c r="D896" s="120"/>
      <c r="E896" s="122"/>
      <c r="F896" s="122"/>
      <c r="G896" s="120"/>
      <c r="H896" s="120"/>
    </row>
    <row r="897">
      <c r="A897" s="246"/>
      <c r="B897" s="120"/>
      <c r="C897" s="120"/>
      <c r="D897" s="120"/>
      <c r="E897" s="122"/>
      <c r="F897" s="122"/>
      <c r="G897" s="120"/>
      <c r="H897" s="120"/>
    </row>
    <row r="898">
      <c r="A898" s="246"/>
      <c r="B898" s="120"/>
      <c r="C898" s="120"/>
      <c r="D898" s="120"/>
      <c r="E898" s="122"/>
      <c r="F898" s="122"/>
      <c r="G898" s="120"/>
      <c r="H898" s="120"/>
    </row>
    <row r="899">
      <c r="A899" s="246"/>
      <c r="B899" s="120"/>
      <c r="C899" s="120"/>
      <c r="D899" s="120"/>
      <c r="E899" s="122"/>
      <c r="F899" s="122"/>
      <c r="G899" s="120"/>
      <c r="H899" s="120"/>
    </row>
    <row r="900">
      <c r="A900" s="246"/>
      <c r="B900" s="120"/>
      <c r="C900" s="120"/>
      <c r="D900" s="120"/>
      <c r="E900" s="122"/>
      <c r="F900" s="122"/>
      <c r="G900" s="120"/>
      <c r="H900" s="120"/>
    </row>
    <row r="901">
      <c r="A901" s="246"/>
      <c r="B901" s="120"/>
      <c r="C901" s="120"/>
      <c r="D901" s="120"/>
      <c r="E901" s="122"/>
      <c r="F901" s="122"/>
      <c r="G901" s="120"/>
      <c r="H901" s="120"/>
    </row>
    <row r="902">
      <c r="A902" s="246"/>
      <c r="B902" s="120"/>
      <c r="C902" s="120"/>
      <c r="D902" s="120"/>
      <c r="E902" s="122"/>
      <c r="F902" s="122"/>
      <c r="G902" s="120"/>
      <c r="H902" s="120"/>
    </row>
    <row r="903">
      <c r="A903" s="246"/>
      <c r="B903" s="120"/>
      <c r="C903" s="120"/>
      <c r="D903" s="120"/>
      <c r="E903" s="122"/>
      <c r="F903" s="122"/>
      <c r="G903" s="120"/>
      <c r="H903" s="120"/>
    </row>
    <row r="904">
      <c r="A904" s="246"/>
      <c r="B904" s="120"/>
      <c r="C904" s="120"/>
      <c r="D904" s="120"/>
      <c r="E904" s="122"/>
      <c r="F904" s="122"/>
      <c r="G904" s="120"/>
      <c r="H904" s="120"/>
    </row>
    <row r="905">
      <c r="A905" s="246"/>
      <c r="B905" s="120"/>
      <c r="C905" s="120"/>
      <c r="D905" s="120"/>
      <c r="E905" s="122"/>
      <c r="F905" s="122"/>
      <c r="G905" s="120"/>
      <c r="H905" s="120"/>
    </row>
    <row r="906">
      <c r="A906" s="246"/>
      <c r="B906" s="120"/>
      <c r="C906" s="120"/>
      <c r="D906" s="120"/>
      <c r="E906" s="122"/>
      <c r="F906" s="122"/>
      <c r="G906" s="120"/>
      <c r="H906" s="120"/>
    </row>
    <row r="907">
      <c r="A907" s="246"/>
      <c r="B907" s="120"/>
      <c r="C907" s="120"/>
      <c r="D907" s="120"/>
      <c r="E907" s="122"/>
      <c r="F907" s="122"/>
      <c r="G907" s="120"/>
      <c r="H907" s="120"/>
    </row>
    <row r="908">
      <c r="A908" s="246"/>
      <c r="B908" s="120"/>
      <c r="C908" s="120"/>
      <c r="D908" s="120"/>
      <c r="E908" s="122"/>
      <c r="F908" s="122"/>
      <c r="G908" s="120"/>
      <c r="H908" s="120"/>
    </row>
    <row r="909">
      <c r="A909" s="246"/>
      <c r="B909" s="120"/>
      <c r="C909" s="120"/>
      <c r="D909" s="120"/>
      <c r="E909" s="122"/>
      <c r="F909" s="122"/>
      <c r="G909" s="120"/>
      <c r="H909" s="120"/>
    </row>
    <row r="910">
      <c r="A910" s="246"/>
      <c r="B910" s="120"/>
      <c r="C910" s="120"/>
      <c r="D910" s="120"/>
      <c r="E910" s="122"/>
      <c r="F910" s="122"/>
      <c r="G910" s="120"/>
      <c r="H910" s="120"/>
    </row>
    <row r="911">
      <c r="A911" s="246"/>
      <c r="B911" s="120"/>
      <c r="C911" s="120"/>
      <c r="D911" s="120"/>
      <c r="E911" s="122"/>
      <c r="F911" s="122"/>
      <c r="G911" s="120"/>
      <c r="H911" s="120"/>
    </row>
    <row r="912">
      <c r="A912" s="246"/>
      <c r="B912" s="120"/>
      <c r="C912" s="120"/>
      <c r="D912" s="120"/>
      <c r="E912" s="122"/>
      <c r="F912" s="122"/>
      <c r="G912" s="120"/>
      <c r="H912" s="120"/>
    </row>
    <row r="913">
      <c r="A913" s="246"/>
      <c r="B913" s="120"/>
      <c r="C913" s="120"/>
      <c r="D913" s="120"/>
      <c r="E913" s="122"/>
      <c r="F913" s="122"/>
      <c r="G913" s="120"/>
      <c r="H913" s="120"/>
    </row>
    <row r="914">
      <c r="A914" s="246"/>
      <c r="B914" s="120"/>
      <c r="C914" s="120"/>
      <c r="D914" s="120"/>
      <c r="E914" s="122"/>
      <c r="F914" s="122"/>
      <c r="G914" s="120"/>
      <c r="H914" s="120"/>
    </row>
    <row r="915">
      <c r="A915" s="246"/>
      <c r="B915" s="120"/>
      <c r="C915" s="120"/>
      <c r="D915" s="120"/>
      <c r="E915" s="122"/>
      <c r="F915" s="122"/>
      <c r="G915" s="120"/>
      <c r="H915" s="120"/>
    </row>
    <row r="916">
      <c r="A916" s="246"/>
      <c r="B916" s="120"/>
      <c r="C916" s="120"/>
      <c r="D916" s="120"/>
      <c r="E916" s="122"/>
      <c r="F916" s="122"/>
      <c r="G916" s="120"/>
      <c r="H916" s="120"/>
    </row>
    <row r="917">
      <c r="A917" s="246"/>
      <c r="B917" s="120"/>
      <c r="C917" s="120"/>
      <c r="D917" s="120"/>
      <c r="E917" s="122"/>
      <c r="F917" s="122"/>
      <c r="G917" s="120"/>
      <c r="H917" s="120"/>
    </row>
    <row r="918">
      <c r="A918" s="246"/>
      <c r="B918" s="120"/>
      <c r="C918" s="120"/>
      <c r="D918" s="120"/>
      <c r="E918" s="122"/>
      <c r="F918" s="122"/>
      <c r="G918" s="120"/>
      <c r="H918" s="120"/>
    </row>
    <row r="919">
      <c r="A919" s="246"/>
      <c r="B919" s="120"/>
      <c r="C919" s="120"/>
      <c r="D919" s="120"/>
      <c r="E919" s="122"/>
      <c r="F919" s="122"/>
      <c r="G919" s="120"/>
      <c r="H919" s="120"/>
    </row>
    <row r="920">
      <c r="A920" s="246"/>
      <c r="B920" s="120"/>
      <c r="C920" s="120"/>
      <c r="D920" s="120"/>
      <c r="E920" s="122"/>
      <c r="F920" s="122"/>
      <c r="G920" s="120"/>
      <c r="H920" s="120"/>
    </row>
    <row r="921">
      <c r="A921" s="246"/>
      <c r="B921" s="120"/>
      <c r="C921" s="120"/>
      <c r="D921" s="120"/>
      <c r="E921" s="122"/>
      <c r="F921" s="122"/>
      <c r="G921" s="120"/>
      <c r="H921" s="120"/>
    </row>
    <row r="922">
      <c r="A922" s="246"/>
      <c r="B922" s="120"/>
      <c r="C922" s="120"/>
      <c r="D922" s="120"/>
      <c r="E922" s="122"/>
      <c r="F922" s="122"/>
      <c r="G922" s="120"/>
      <c r="H922" s="120"/>
    </row>
    <row r="923">
      <c r="A923" s="246"/>
      <c r="B923" s="120"/>
      <c r="C923" s="120"/>
      <c r="D923" s="120"/>
      <c r="E923" s="122"/>
      <c r="F923" s="122"/>
      <c r="G923" s="120"/>
      <c r="H923" s="120"/>
    </row>
    <row r="924">
      <c r="A924" s="246"/>
      <c r="B924" s="120"/>
      <c r="C924" s="120"/>
      <c r="D924" s="120"/>
      <c r="E924" s="122"/>
      <c r="F924" s="122"/>
      <c r="G924" s="120"/>
      <c r="H924" s="120"/>
    </row>
    <row r="925">
      <c r="A925" s="246"/>
      <c r="B925" s="120"/>
      <c r="C925" s="120"/>
      <c r="D925" s="120"/>
      <c r="E925" s="122"/>
      <c r="F925" s="122"/>
      <c r="G925" s="120"/>
      <c r="H925" s="120"/>
    </row>
    <row r="926">
      <c r="A926" s="246"/>
      <c r="B926" s="120"/>
      <c r="C926" s="120"/>
      <c r="D926" s="120"/>
      <c r="E926" s="122"/>
      <c r="F926" s="122"/>
      <c r="G926" s="120"/>
      <c r="H926" s="120"/>
    </row>
    <row r="927">
      <c r="A927" s="246"/>
      <c r="B927" s="120"/>
      <c r="C927" s="120"/>
      <c r="D927" s="120"/>
      <c r="E927" s="122"/>
      <c r="F927" s="122"/>
      <c r="G927" s="120"/>
      <c r="H927" s="120"/>
    </row>
    <row r="928">
      <c r="A928" s="246"/>
      <c r="B928" s="120"/>
      <c r="C928" s="120"/>
      <c r="D928" s="120"/>
      <c r="E928" s="122"/>
      <c r="F928" s="122"/>
      <c r="G928" s="120"/>
      <c r="H928" s="120"/>
    </row>
    <row r="929">
      <c r="A929" s="246"/>
      <c r="B929" s="120"/>
      <c r="C929" s="120"/>
      <c r="D929" s="120"/>
      <c r="E929" s="122"/>
      <c r="F929" s="122"/>
      <c r="G929" s="120"/>
      <c r="H929" s="120"/>
    </row>
    <row r="930">
      <c r="A930" s="246"/>
      <c r="B930" s="120"/>
      <c r="C930" s="120"/>
      <c r="D930" s="120"/>
      <c r="E930" s="122"/>
      <c r="F930" s="122"/>
      <c r="G930" s="120"/>
      <c r="H930" s="120"/>
    </row>
    <row r="931">
      <c r="A931" s="246"/>
      <c r="B931" s="120"/>
      <c r="C931" s="120"/>
      <c r="D931" s="120"/>
      <c r="E931" s="122"/>
      <c r="F931" s="122"/>
      <c r="G931" s="120"/>
      <c r="H931" s="120"/>
    </row>
    <row r="932">
      <c r="A932" s="246"/>
      <c r="B932" s="120"/>
      <c r="C932" s="120"/>
      <c r="D932" s="120"/>
      <c r="E932" s="122"/>
      <c r="F932" s="122"/>
      <c r="G932" s="120"/>
      <c r="H932" s="120"/>
    </row>
    <row r="933">
      <c r="A933" s="246"/>
      <c r="B933" s="120"/>
      <c r="C933" s="120"/>
      <c r="D933" s="120"/>
      <c r="E933" s="122"/>
      <c r="F933" s="122"/>
      <c r="G933" s="120"/>
      <c r="H933" s="120"/>
    </row>
    <row r="934">
      <c r="A934" s="246"/>
      <c r="B934" s="120"/>
      <c r="C934" s="120"/>
      <c r="D934" s="120"/>
      <c r="E934" s="122"/>
      <c r="F934" s="122"/>
      <c r="G934" s="120"/>
      <c r="H934" s="120"/>
    </row>
    <row r="935">
      <c r="A935" s="246"/>
      <c r="B935" s="120"/>
      <c r="C935" s="120"/>
      <c r="D935" s="120"/>
      <c r="E935" s="122"/>
      <c r="F935" s="122"/>
      <c r="G935" s="120"/>
      <c r="H935" s="120"/>
    </row>
    <row r="936">
      <c r="A936" s="246"/>
      <c r="B936" s="120"/>
      <c r="C936" s="120"/>
      <c r="D936" s="120"/>
      <c r="E936" s="122"/>
      <c r="F936" s="122"/>
      <c r="G936" s="120"/>
      <c r="H936" s="120"/>
    </row>
    <row r="937">
      <c r="A937" s="246"/>
      <c r="B937" s="120"/>
      <c r="C937" s="120"/>
      <c r="D937" s="120"/>
      <c r="E937" s="122"/>
      <c r="F937" s="122"/>
      <c r="G937" s="120"/>
      <c r="H937" s="120"/>
    </row>
    <row r="938">
      <c r="A938" s="246"/>
      <c r="B938" s="120"/>
      <c r="C938" s="120"/>
      <c r="D938" s="120"/>
      <c r="E938" s="122"/>
      <c r="F938" s="122"/>
      <c r="G938" s="120"/>
      <c r="H938" s="120"/>
    </row>
    <row r="939">
      <c r="A939" s="246"/>
      <c r="B939" s="120"/>
      <c r="C939" s="120"/>
      <c r="D939" s="120"/>
      <c r="E939" s="122"/>
      <c r="F939" s="122"/>
      <c r="G939" s="120"/>
      <c r="H939" s="120"/>
    </row>
    <row r="940">
      <c r="A940" s="246"/>
      <c r="B940" s="120"/>
      <c r="C940" s="120"/>
      <c r="D940" s="120"/>
      <c r="E940" s="122"/>
      <c r="F940" s="122"/>
      <c r="G940" s="120"/>
      <c r="H940" s="120"/>
    </row>
    <row r="941">
      <c r="A941" s="246"/>
      <c r="B941" s="120"/>
      <c r="C941" s="120"/>
      <c r="D941" s="120"/>
      <c r="E941" s="122"/>
      <c r="F941" s="122"/>
      <c r="G941" s="120"/>
      <c r="H941" s="120"/>
    </row>
    <row r="942">
      <c r="A942" s="246"/>
      <c r="B942" s="120"/>
      <c r="C942" s="120"/>
      <c r="D942" s="120"/>
      <c r="E942" s="122"/>
      <c r="F942" s="122"/>
      <c r="G942" s="120"/>
      <c r="H942" s="120"/>
    </row>
    <row r="943">
      <c r="A943" s="246"/>
      <c r="B943" s="120"/>
      <c r="C943" s="120"/>
      <c r="D943" s="120"/>
      <c r="E943" s="122"/>
      <c r="F943" s="122"/>
      <c r="G943" s="120"/>
      <c r="H943" s="120"/>
    </row>
    <row r="944">
      <c r="A944" s="246"/>
      <c r="B944" s="120"/>
      <c r="C944" s="120"/>
      <c r="D944" s="120"/>
      <c r="E944" s="122"/>
      <c r="F944" s="122"/>
      <c r="G944" s="120"/>
      <c r="H944" s="120"/>
    </row>
    <row r="945">
      <c r="A945" s="246"/>
      <c r="B945" s="120"/>
      <c r="C945" s="120"/>
      <c r="D945" s="120"/>
      <c r="E945" s="122"/>
      <c r="F945" s="122"/>
      <c r="G945" s="120"/>
      <c r="H945" s="120"/>
    </row>
    <row r="946">
      <c r="A946" s="246"/>
      <c r="B946" s="120"/>
      <c r="C946" s="120"/>
      <c r="D946" s="120"/>
      <c r="E946" s="122"/>
      <c r="F946" s="122"/>
      <c r="G946" s="120"/>
      <c r="H946" s="120"/>
    </row>
    <row r="947">
      <c r="A947" s="246"/>
      <c r="B947" s="120"/>
      <c r="C947" s="120"/>
      <c r="D947" s="120"/>
      <c r="E947" s="122"/>
      <c r="F947" s="122"/>
      <c r="G947" s="120"/>
      <c r="H947" s="120"/>
    </row>
    <row r="948">
      <c r="A948" s="246"/>
      <c r="B948" s="120"/>
      <c r="C948" s="120"/>
      <c r="D948" s="120"/>
      <c r="E948" s="122"/>
      <c r="F948" s="122"/>
      <c r="G948" s="120"/>
      <c r="H948" s="120"/>
    </row>
    <row r="949">
      <c r="A949" s="246"/>
      <c r="B949" s="120"/>
      <c r="C949" s="120"/>
      <c r="D949" s="120"/>
      <c r="E949" s="122"/>
      <c r="F949" s="122"/>
      <c r="G949" s="120"/>
      <c r="H949" s="120"/>
    </row>
    <row r="950">
      <c r="A950" s="246"/>
      <c r="B950" s="120"/>
      <c r="C950" s="120"/>
      <c r="D950" s="120"/>
      <c r="E950" s="122"/>
      <c r="F950" s="122"/>
      <c r="G950" s="120"/>
      <c r="H950" s="120"/>
    </row>
    <row r="951">
      <c r="A951" s="246"/>
      <c r="B951" s="120"/>
      <c r="C951" s="120"/>
      <c r="D951" s="120"/>
      <c r="E951" s="122"/>
      <c r="F951" s="122"/>
      <c r="G951" s="120"/>
      <c r="H951" s="120"/>
    </row>
    <row r="952">
      <c r="A952" s="246"/>
      <c r="B952" s="120"/>
      <c r="C952" s="120"/>
      <c r="D952" s="120"/>
      <c r="E952" s="122"/>
      <c r="F952" s="122"/>
      <c r="G952" s="120"/>
      <c r="H952" s="120"/>
    </row>
    <row r="953">
      <c r="A953" s="246"/>
      <c r="B953" s="120"/>
      <c r="C953" s="120"/>
      <c r="D953" s="120"/>
      <c r="E953" s="122"/>
      <c r="F953" s="122"/>
      <c r="G953" s="120"/>
      <c r="H953" s="120"/>
    </row>
    <row r="954">
      <c r="A954" s="246"/>
      <c r="B954" s="120"/>
      <c r="C954" s="120"/>
      <c r="D954" s="120"/>
      <c r="E954" s="122"/>
      <c r="F954" s="122"/>
      <c r="G954" s="120"/>
      <c r="H954" s="120"/>
    </row>
    <row r="955">
      <c r="A955" s="246"/>
      <c r="B955" s="120"/>
      <c r="C955" s="120"/>
      <c r="D955" s="120"/>
      <c r="E955" s="122"/>
      <c r="F955" s="122"/>
      <c r="G955" s="120"/>
      <c r="H955" s="120"/>
    </row>
    <row r="956">
      <c r="A956" s="246"/>
      <c r="B956" s="120"/>
      <c r="C956" s="120"/>
      <c r="D956" s="120"/>
      <c r="E956" s="122"/>
      <c r="F956" s="122"/>
      <c r="G956" s="120"/>
      <c r="H956" s="120"/>
    </row>
    <row r="957">
      <c r="A957" s="246"/>
      <c r="B957" s="120"/>
      <c r="C957" s="120"/>
      <c r="D957" s="120"/>
      <c r="E957" s="122"/>
      <c r="F957" s="122"/>
      <c r="G957" s="120"/>
      <c r="H957" s="120"/>
    </row>
    <row r="958">
      <c r="A958" s="246"/>
      <c r="B958" s="120"/>
      <c r="C958" s="120"/>
      <c r="D958" s="120"/>
      <c r="E958" s="122"/>
      <c r="F958" s="122"/>
      <c r="G958" s="120"/>
      <c r="H958" s="120"/>
    </row>
    <row r="959">
      <c r="A959" s="246"/>
      <c r="B959" s="120"/>
      <c r="C959" s="120"/>
      <c r="D959" s="120"/>
      <c r="E959" s="122"/>
      <c r="F959" s="122"/>
      <c r="G959" s="120"/>
      <c r="H959" s="120"/>
    </row>
    <row r="960">
      <c r="A960" s="246"/>
      <c r="B960" s="120"/>
      <c r="C960" s="120"/>
      <c r="D960" s="120"/>
      <c r="E960" s="122"/>
      <c r="F960" s="122"/>
      <c r="G960" s="120"/>
      <c r="H960" s="120"/>
    </row>
    <row r="961">
      <c r="A961" s="246"/>
      <c r="B961" s="120"/>
      <c r="C961" s="120"/>
      <c r="D961" s="120"/>
      <c r="E961" s="122"/>
      <c r="F961" s="122"/>
      <c r="G961" s="120"/>
      <c r="H961" s="120"/>
    </row>
    <row r="962">
      <c r="A962" s="246"/>
      <c r="B962" s="120"/>
      <c r="C962" s="120"/>
      <c r="D962" s="120"/>
      <c r="E962" s="122"/>
      <c r="F962" s="122"/>
      <c r="G962" s="120"/>
      <c r="H962" s="120"/>
    </row>
    <row r="963">
      <c r="A963" s="246"/>
      <c r="B963" s="120"/>
      <c r="C963" s="120"/>
      <c r="D963" s="120"/>
      <c r="E963" s="122"/>
      <c r="F963" s="122"/>
      <c r="G963" s="120"/>
      <c r="H963" s="120"/>
    </row>
    <row r="964">
      <c r="A964" s="246"/>
      <c r="B964" s="120"/>
      <c r="C964" s="120"/>
      <c r="D964" s="120"/>
      <c r="E964" s="122"/>
      <c r="F964" s="122"/>
      <c r="G964" s="120"/>
      <c r="H964" s="120"/>
    </row>
    <row r="965">
      <c r="A965" s="246"/>
      <c r="B965" s="120"/>
      <c r="C965" s="120"/>
      <c r="D965" s="120"/>
      <c r="E965" s="122"/>
      <c r="F965" s="122"/>
      <c r="G965" s="120"/>
      <c r="H965" s="120"/>
    </row>
    <row r="966">
      <c r="A966" s="246"/>
      <c r="B966" s="120"/>
      <c r="C966" s="120"/>
      <c r="D966" s="120"/>
      <c r="E966" s="122"/>
      <c r="F966" s="122"/>
      <c r="G966" s="120"/>
      <c r="H966" s="120"/>
    </row>
    <row r="967">
      <c r="A967" s="246"/>
      <c r="B967" s="120"/>
      <c r="C967" s="120"/>
      <c r="D967" s="120"/>
      <c r="E967" s="122"/>
      <c r="F967" s="122"/>
      <c r="G967" s="120"/>
      <c r="H967" s="120"/>
    </row>
    <row r="968">
      <c r="A968" s="246"/>
      <c r="B968" s="120"/>
      <c r="C968" s="120"/>
      <c r="D968" s="120"/>
      <c r="E968" s="122"/>
      <c r="F968" s="122"/>
      <c r="G968" s="120"/>
      <c r="H968" s="120"/>
    </row>
    <row r="969">
      <c r="A969" s="246"/>
      <c r="B969" s="120"/>
      <c r="C969" s="120"/>
      <c r="D969" s="120"/>
      <c r="E969" s="122"/>
      <c r="F969" s="122"/>
      <c r="G969" s="120"/>
      <c r="H969" s="120"/>
    </row>
    <row r="970">
      <c r="A970" s="246"/>
      <c r="B970" s="120"/>
      <c r="C970" s="120"/>
      <c r="D970" s="120"/>
      <c r="E970" s="122"/>
      <c r="F970" s="122"/>
      <c r="G970" s="120"/>
      <c r="H970" s="120"/>
    </row>
    <row r="971">
      <c r="A971" s="246"/>
      <c r="B971" s="120"/>
      <c r="C971" s="120"/>
      <c r="D971" s="120"/>
      <c r="E971" s="122"/>
      <c r="F971" s="122"/>
      <c r="G971" s="120"/>
      <c r="H971" s="120"/>
    </row>
    <row r="972">
      <c r="A972" s="246"/>
      <c r="B972" s="120"/>
      <c r="C972" s="120"/>
      <c r="D972" s="120"/>
      <c r="E972" s="122"/>
      <c r="F972" s="122"/>
      <c r="G972" s="120"/>
      <c r="H972" s="120"/>
    </row>
    <row r="973">
      <c r="A973" s="246"/>
      <c r="B973" s="120"/>
      <c r="C973" s="120"/>
      <c r="D973" s="120"/>
      <c r="E973" s="122"/>
      <c r="F973" s="122"/>
      <c r="G973" s="120"/>
      <c r="H973" s="120"/>
    </row>
    <row r="974">
      <c r="A974" s="246"/>
      <c r="B974" s="120"/>
      <c r="C974" s="120"/>
      <c r="D974" s="120"/>
      <c r="E974" s="122"/>
      <c r="F974" s="122"/>
      <c r="G974" s="120"/>
      <c r="H974" s="120"/>
    </row>
    <row r="975">
      <c r="A975" s="246"/>
      <c r="B975" s="120"/>
      <c r="C975" s="120"/>
      <c r="D975" s="120"/>
      <c r="E975" s="122"/>
      <c r="F975" s="122"/>
      <c r="G975" s="120"/>
      <c r="H975" s="120"/>
    </row>
    <row r="976">
      <c r="A976" s="246"/>
      <c r="B976" s="120"/>
      <c r="C976" s="120"/>
      <c r="D976" s="120"/>
      <c r="E976" s="122"/>
      <c r="F976" s="122"/>
      <c r="G976" s="120"/>
      <c r="H976" s="120"/>
    </row>
    <row r="977">
      <c r="A977" s="246"/>
      <c r="B977" s="120"/>
      <c r="C977" s="120"/>
      <c r="D977" s="120"/>
      <c r="E977" s="122"/>
      <c r="F977" s="122"/>
      <c r="G977" s="120"/>
      <c r="H977" s="120"/>
    </row>
    <row r="978">
      <c r="A978" s="246"/>
      <c r="B978" s="120"/>
      <c r="C978" s="120"/>
      <c r="D978" s="120"/>
      <c r="E978" s="122"/>
      <c r="F978" s="122"/>
      <c r="G978" s="120"/>
      <c r="H978" s="120"/>
    </row>
    <row r="979">
      <c r="A979" s="246"/>
      <c r="B979" s="120"/>
      <c r="C979" s="120"/>
      <c r="D979" s="120"/>
      <c r="E979" s="122"/>
      <c r="F979" s="122"/>
      <c r="G979" s="120"/>
      <c r="H979" s="120"/>
    </row>
    <row r="980">
      <c r="A980" s="246"/>
      <c r="B980" s="120"/>
      <c r="C980" s="120"/>
      <c r="D980" s="120"/>
      <c r="E980" s="122"/>
      <c r="F980" s="122"/>
      <c r="G980" s="120"/>
      <c r="H980" s="120"/>
    </row>
    <row r="981">
      <c r="A981" s="246"/>
      <c r="B981" s="120"/>
      <c r="C981" s="120"/>
      <c r="D981" s="120"/>
      <c r="E981" s="122"/>
      <c r="F981" s="122"/>
      <c r="G981" s="120"/>
      <c r="H981" s="120"/>
    </row>
    <row r="982">
      <c r="A982" s="246"/>
      <c r="B982" s="120"/>
      <c r="C982" s="120"/>
      <c r="D982" s="120"/>
      <c r="E982" s="122"/>
      <c r="F982" s="122"/>
      <c r="G982" s="120"/>
      <c r="H982" s="120"/>
    </row>
    <row r="983">
      <c r="A983" s="246"/>
      <c r="B983" s="120"/>
      <c r="C983" s="120"/>
      <c r="D983" s="120"/>
      <c r="E983" s="122"/>
      <c r="F983" s="122"/>
      <c r="G983" s="120"/>
      <c r="H983" s="120"/>
    </row>
    <row r="984">
      <c r="A984" s="246"/>
      <c r="B984" s="120"/>
      <c r="C984" s="120"/>
      <c r="D984" s="120"/>
      <c r="E984" s="122"/>
      <c r="F984" s="122"/>
      <c r="G984" s="120"/>
      <c r="H984" s="120"/>
    </row>
    <row r="985">
      <c r="A985" s="246"/>
      <c r="B985" s="120"/>
      <c r="C985" s="120"/>
      <c r="D985" s="120"/>
      <c r="E985" s="122"/>
      <c r="F985" s="122"/>
      <c r="G985" s="120"/>
      <c r="H985" s="120"/>
    </row>
    <row r="986">
      <c r="A986" s="246"/>
      <c r="B986" s="120"/>
      <c r="C986" s="120"/>
      <c r="D986" s="120"/>
      <c r="E986" s="122"/>
      <c r="F986" s="122"/>
      <c r="G986" s="120"/>
      <c r="H986" s="120"/>
    </row>
    <row r="987">
      <c r="A987" s="246"/>
      <c r="B987" s="120"/>
      <c r="C987" s="120"/>
      <c r="D987" s="120"/>
      <c r="E987" s="122"/>
      <c r="F987" s="122"/>
      <c r="G987" s="120"/>
      <c r="H987" s="120"/>
    </row>
    <row r="988">
      <c r="A988" s="246"/>
      <c r="B988" s="120"/>
      <c r="C988" s="120"/>
      <c r="D988" s="120"/>
      <c r="E988" s="122"/>
      <c r="F988" s="122"/>
      <c r="G988" s="120"/>
      <c r="H988" s="120"/>
    </row>
    <row r="989">
      <c r="A989" s="246"/>
      <c r="B989" s="120"/>
      <c r="C989" s="120"/>
      <c r="D989" s="120"/>
      <c r="E989" s="122"/>
      <c r="F989" s="122"/>
      <c r="G989" s="120"/>
      <c r="H989" s="120"/>
    </row>
    <row r="990">
      <c r="A990" s="246"/>
      <c r="B990" s="120"/>
      <c r="C990" s="120"/>
      <c r="D990" s="120"/>
      <c r="E990" s="122"/>
      <c r="F990" s="122"/>
      <c r="G990" s="120"/>
      <c r="H990" s="120"/>
    </row>
    <row r="991">
      <c r="A991" s="246"/>
      <c r="B991" s="120"/>
      <c r="C991" s="120"/>
      <c r="D991" s="120"/>
      <c r="E991" s="122"/>
      <c r="F991" s="122"/>
      <c r="G991" s="120"/>
      <c r="H991" s="120"/>
    </row>
    <row r="992">
      <c r="A992" s="246"/>
      <c r="B992" s="120"/>
      <c r="C992" s="120"/>
      <c r="D992" s="120"/>
      <c r="E992" s="122"/>
      <c r="F992" s="122"/>
      <c r="G992" s="120"/>
      <c r="H992" s="120"/>
    </row>
    <row r="993">
      <c r="A993" s="246"/>
      <c r="B993" s="120"/>
      <c r="C993" s="120"/>
      <c r="D993" s="120"/>
      <c r="E993" s="122"/>
      <c r="F993" s="122"/>
      <c r="G993" s="120"/>
      <c r="H993" s="120"/>
    </row>
    <row r="994">
      <c r="A994" s="246"/>
      <c r="B994" s="120"/>
      <c r="C994" s="120"/>
      <c r="D994" s="120"/>
      <c r="E994" s="122"/>
      <c r="F994" s="122"/>
      <c r="G994" s="120"/>
      <c r="H994" s="120"/>
    </row>
    <row r="995">
      <c r="A995" s="246"/>
      <c r="B995" s="120"/>
      <c r="C995" s="120"/>
      <c r="D995" s="120"/>
      <c r="E995" s="122"/>
      <c r="F995" s="122"/>
      <c r="G995" s="120"/>
      <c r="H995" s="120"/>
    </row>
    <row r="996">
      <c r="A996" s="246"/>
      <c r="B996" s="120"/>
      <c r="C996" s="120"/>
      <c r="D996" s="120"/>
      <c r="E996" s="122"/>
      <c r="F996" s="122"/>
      <c r="G996" s="120"/>
      <c r="H996" s="120"/>
    </row>
    <row r="997">
      <c r="A997" s="246"/>
      <c r="B997" s="120"/>
      <c r="C997" s="120"/>
      <c r="D997" s="120"/>
      <c r="E997" s="122"/>
      <c r="F997" s="122"/>
      <c r="G997" s="120"/>
      <c r="H997" s="120"/>
    </row>
    <row r="998">
      <c r="A998" s="246"/>
      <c r="B998" s="120"/>
      <c r="C998" s="120"/>
      <c r="D998" s="120"/>
      <c r="E998" s="122"/>
      <c r="F998" s="122"/>
      <c r="G998" s="120"/>
      <c r="H998" s="120"/>
    </row>
    <row r="999">
      <c r="A999" s="246"/>
      <c r="B999" s="120"/>
      <c r="C999" s="120"/>
      <c r="D999" s="120"/>
      <c r="E999" s="122"/>
      <c r="F999" s="122"/>
      <c r="G999" s="120"/>
      <c r="H999" s="120"/>
    </row>
    <row r="1000">
      <c r="A1000" s="246"/>
      <c r="B1000" s="120"/>
      <c r="C1000" s="120"/>
      <c r="D1000" s="120"/>
      <c r="E1000" s="122"/>
      <c r="F1000" s="122"/>
      <c r="G1000" s="120"/>
      <c r="H1000" s="120"/>
    </row>
    <row r="1001">
      <c r="A1001" s="246"/>
      <c r="B1001" s="120"/>
      <c r="C1001" s="120"/>
      <c r="D1001" s="120"/>
      <c r="E1001" s="122"/>
      <c r="F1001" s="122"/>
      <c r="G1001" s="120"/>
      <c r="H1001" s="120"/>
    </row>
    <row r="1002">
      <c r="A1002" s="246"/>
      <c r="B1002" s="120"/>
      <c r="C1002" s="120"/>
      <c r="D1002" s="120"/>
      <c r="E1002" s="122"/>
      <c r="F1002" s="122"/>
      <c r="G1002" s="120"/>
      <c r="H1002" s="120"/>
    </row>
    <row r="1003">
      <c r="A1003" s="246"/>
      <c r="B1003" s="120"/>
      <c r="C1003" s="120"/>
      <c r="D1003" s="120"/>
      <c r="E1003" s="122"/>
      <c r="F1003" s="122"/>
      <c r="G1003" s="120"/>
      <c r="H1003" s="120"/>
    </row>
    <row r="1004">
      <c r="A1004" s="246"/>
      <c r="B1004" s="120"/>
      <c r="C1004" s="120"/>
      <c r="D1004" s="120"/>
      <c r="E1004" s="122"/>
      <c r="F1004" s="122"/>
      <c r="G1004" s="120"/>
      <c r="H1004" s="120"/>
    </row>
    <row r="1005">
      <c r="A1005" s="246"/>
      <c r="B1005" s="120"/>
      <c r="C1005" s="120"/>
      <c r="D1005" s="120"/>
      <c r="E1005" s="122"/>
      <c r="F1005" s="122"/>
      <c r="G1005" s="120"/>
      <c r="H1005" s="120"/>
    </row>
    <row r="1006">
      <c r="A1006" s="246"/>
      <c r="B1006" s="120"/>
      <c r="C1006" s="120"/>
      <c r="D1006" s="120"/>
      <c r="E1006" s="122"/>
      <c r="F1006" s="122"/>
      <c r="G1006" s="120"/>
      <c r="H1006" s="120"/>
    </row>
    <row r="1007">
      <c r="A1007" s="246"/>
      <c r="B1007" s="120"/>
      <c r="C1007" s="120"/>
      <c r="D1007" s="120"/>
      <c r="E1007" s="122"/>
      <c r="F1007" s="122"/>
      <c r="G1007" s="120"/>
      <c r="H1007" s="120"/>
    </row>
    <row r="1008">
      <c r="A1008" s="246"/>
      <c r="B1008" s="120"/>
      <c r="C1008" s="120"/>
      <c r="D1008" s="120"/>
      <c r="E1008" s="122"/>
      <c r="F1008" s="122"/>
      <c r="G1008" s="120"/>
      <c r="H1008" s="120"/>
    </row>
    <row r="1009">
      <c r="A1009" s="246"/>
      <c r="B1009" s="120"/>
      <c r="C1009" s="120"/>
      <c r="D1009" s="120"/>
      <c r="E1009" s="122"/>
      <c r="F1009" s="122"/>
      <c r="G1009" s="120"/>
      <c r="H1009" s="120"/>
    </row>
    <row r="1010">
      <c r="A1010" s="246"/>
      <c r="B1010" s="120"/>
      <c r="C1010" s="120"/>
      <c r="D1010" s="120"/>
      <c r="E1010" s="122"/>
      <c r="F1010" s="122"/>
      <c r="G1010" s="120"/>
      <c r="H1010" s="120"/>
    </row>
    <row r="1011">
      <c r="A1011" s="246"/>
      <c r="B1011" s="120"/>
      <c r="C1011" s="120"/>
      <c r="D1011" s="120"/>
      <c r="E1011" s="122"/>
      <c r="F1011" s="122"/>
      <c r="G1011" s="120"/>
      <c r="H1011" s="120"/>
    </row>
    <row r="1012">
      <c r="A1012" s="246"/>
      <c r="B1012" s="120"/>
      <c r="C1012" s="120"/>
      <c r="D1012" s="120"/>
      <c r="E1012" s="122"/>
      <c r="F1012" s="122"/>
      <c r="G1012" s="120"/>
      <c r="H1012" s="120"/>
    </row>
    <row r="1013">
      <c r="A1013" s="246"/>
      <c r="B1013" s="120"/>
      <c r="C1013" s="120"/>
      <c r="D1013" s="120"/>
      <c r="E1013" s="122"/>
      <c r="F1013" s="122"/>
      <c r="G1013" s="120"/>
      <c r="H1013" s="120"/>
    </row>
    <row r="1014">
      <c r="A1014" s="246"/>
      <c r="B1014" s="120"/>
      <c r="C1014" s="120"/>
      <c r="D1014" s="120"/>
      <c r="E1014" s="122"/>
      <c r="F1014" s="122"/>
      <c r="G1014" s="120"/>
      <c r="H1014" s="120"/>
    </row>
    <row r="1015">
      <c r="A1015" s="246"/>
      <c r="B1015" s="120"/>
      <c r="C1015" s="120"/>
      <c r="D1015" s="120"/>
      <c r="E1015" s="122"/>
      <c r="F1015" s="122"/>
      <c r="G1015" s="120"/>
      <c r="H1015" s="120"/>
    </row>
    <row r="1016">
      <c r="A1016" s="246"/>
      <c r="B1016" s="120"/>
      <c r="C1016" s="120"/>
      <c r="D1016" s="120"/>
      <c r="E1016" s="122"/>
      <c r="F1016" s="122"/>
      <c r="G1016" s="120"/>
      <c r="H1016" s="120"/>
    </row>
    <row r="1017">
      <c r="A1017" s="246"/>
      <c r="B1017" s="120"/>
      <c r="C1017" s="120"/>
      <c r="D1017" s="120"/>
      <c r="E1017" s="122"/>
      <c r="F1017" s="122"/>
      <c r="G1017" s="120"/>
      <c r="H1017" s="120"/>
    </row>
    <row r="1018">
      <c r="A1018" s="246"/>
      <c r="B1018" s="120"/>
      <c r="C1018" s="120"/>
      <c r="D1018" s="120"/>
      <c r="E1018" s="122"/>
      <c r="F1018" s="122"/>
      <c r="G1018" s="120"/>
      <c r="H1018" s="120"/>
    </row>
    <row r="1019">
      <c r="A1019" s="246"/>
      <c r="B1019" s="120"/>
      <c r="C1019" s="120"/>
      <c r="D1019" s="120"/>
      <c r="E1019" s="122"/>
      <c r="F1019" s="122"/>
      <c r="G1019" s="120"/>
      <c r="H1019" s="120"/>
    </row>
    <row r="1020">
      <c r="A1020" s="246"/>
      <c r="B1020" s="120"/>
      <c r="C1020" s="120"/>
      <c r="D1020" s="120"/>
      <c r="E1020" s="122"/>
      <c r="F1020" s="122"/>
      <c r="G1020" s="120"/>
      <c r="H1020" s="120"/>
    </row>
    <row r="1021">
      <c r="A1021" s="246"/>
      <c r="B1021" s="120"/>
      <c r="C1021" s="120"/>
      <c r="D1021" s="120"/>
      <c r="E1021" s="122"/>
      <c r="F1021" s="122"/>
      <c r="G1021" s="120"/>
      <c r="H1021" s="120"/>
    </row>
    <row r="1022">
      <c r="A1022" s="246"/>
      <c r="B1022" s="120"/>
      <c r="C1022" s="120"/>
      <c r="D1022" s="120"/>
      <c r="E1022" s="122"/>
      <c r="F1022" s="122"/>
      <c r="G1022" s="120"/>
      <c r="H1022" s="120"/>
    </row>
    <row r="1023">
      <c r="A1023" s="246"/>
      <c r="B1023" s="120"/>
      <c r="C1023" s="120"/>
      <c r="D1023" s="120"/>
      <c r="E1023" s="122"/>
      <c r="F1023" s="122"/>
      <c r="G1023" s="120"/>
      <c r="H1023" s="120"/>
    </row>
    <row r="1024">
      <c r="A1024" s="246"/>
      <c r="B1024" s="120"/>
      <c r="C1024" s="120"/>
      <c r="D1024" s="120"/>
      <c r="E1024" s="122"/>
      <c r="F1024" s="122"/>
      <c r="G1024" s="120"/>
      <c r="H1024" s="120"/>
    </row>
    <row r="1025">
      <c r="A1025" s="246"/>
      <c r="B1025" s="120"/>
      <c r="C1025" s="120"/>
      <c r="D1025" s="120"/>
      <c r="E1025" s="122"/>
      <c r="F1025" s="122"/>
      <c r="G1025" s="120"/>
      <c r="H1025" s="120"/>
    </row>
    <row r="1026">
      <c r="A1026" s="246"/>
      <c r="B1026" s="120"/>
      <c r="C1026" s="120"/>
      <c r="D1026" s="120"/>
      <c r="E1026" s="122"/>
      <c r="F1026" s="122"/>
      <c r="G1026" s="120"/>
      <c r="H1026" s="120"/>
    </row>
    <row r="1027">
      <c r="A1027" s="246"/>
      <c r="B1027" s="120"/>
      <c r="C1027" s="120"/>
      <c r="D1027" s="120"/>
      <c r="E1027" s="122"/>
      <c r="F1027" s="122"/>
      <c r="G1027" s="120"/>
      <c r="H1027" s="120"/>
    </row>
    <row r="1028">
      <c r="A1028" s="246"/>
      <c r="B1028" s="120"/>
      <c r="C1028" s="120"/>
      <c r="D1028" s="120"/>
      <c r="E1028" s="122"/>
      <c r="F1028" s="122"/>
      <c r="G1028" s="120"/>
      <c r="H1028" s="120"/>
    </row>
    <row r="1029">
      <c r="A1029" s="246"/>
      <c r="B1029" s="120"/>
      <c r="C1029" s="120"/>
      <c r="D1029" s="120"/>
      <c r="E1029" s="122"/>
      <c r="F1029" s="122"/>
      <c r="G1029" s="120"/>
      <c r="H1029" s="120"/>
    </row>
    <row r="1030">
      <c r="A1030" s="246"/>
      <c r="B1030" s="120"/>
      <c r="C1030" s="120"/>
      <c r="D1030" s="120"/>
      <c r="E1030" s="122"/>
      <c r="F1030" s="122"/>
      <c r="G1030" s="120"/>
      <c r="H1030" s="120"/>
    </row>
    <row r="1031">
      <c r="A1031" s="246"/>
      <c r="B1031" s="120"/>
      <c r="C1031" s="120"/>
      <c r="D1031" s="120"/>
      <c r="E1031" s="122"/>
      <c r="F1031" s="122"/>
      <c r="G1031" s="120"/>
      <c r="H1031" s="120"/>
    </row>
    <row r="1032">
      <c r="A1032" s="246"/>
      <c r="B1032" s="120"/>
      <c r="C1032" s="120"/>
      <c r="D1032" s="120"/>
      <c r="E1032" s="122"/>
      <c r="F1032" s="122"/>
      <c r="G1032" s="120"/>
      <c r="H1032" s="120"/>
    </row>
    <row r="1033">
      <c r="A1033" s="246"/>
      <c r="B1033" s="120"/>
      <c r="C1033" s="120"/>
      <c r="D1033" s="120"/>
      <c r="E1033" s="122"/>
      <c r="F1033" s="122"/>
      <c r="G1033" s="120"/>
      <c r="H1033" s="120"/>
    </row>
    <row r="1034">
      <c r="A1034" s="246"/>
      <c r="B1034" s="120"/>
      <c r="C1034" s="120"/>
      <c r="D1034" s="120"/>
      <c r="E1034" s="122"/>
      <c r="F1034" s="122"/>
      <c r="G1034" s="120"/>
      <c r="H1034" s="120"/>
    </row>
    <row r="1035">
      <c r="A1035" s="246"/>
      <c r="B1035" s="120"/>
      <c r="C1035" s="120"/>
      <c r="D1035" s="120"/>
      <c r="E1035" s="122"/>
      <c r="F1035" s="122"/>
      <c r="G1035" s="120"/>
      <c r="H1035" s="120"/>
    </row>
    <row r="1036">
      <c r="A1036" s="246"/>
      <c r="B1036" s="120"/>
      <c r="C1036" s="120"/>
      <c r="D1036" s="120"/>
      <c r="E1036" s="122"/>
      <c r="F1036" s="122"/>
      <c r="G1036" s="120"/>
      <c r="H1036" s="120"/>
    </row>
    <row r="1037">
      <c r="A1037" s="246"/>
      <c r="B1037" s="120"/>
      <c r="C1037" s="120"/>
      <c r="D1037" s="120"/>
      <c r="E1037" s="122"/>
      <c r="F1037" s="122"/>
      <c r="G1037" s="120"/>
      <c r="H1037" s="120"/>
    </row>
    <row r="1038">
      <c r="A1038" s="246"/>
      <c r="B1038" s="120"/>
      <c r="C1038" s="120"/>
      <c r="D1038" s="120"/>
      <c r="E1038" s="122"/>
      <c r="F1038" s="122"/>
      <c r="G1038" s="120"/>
      <c r="H1038" s="120"/>
    </row>
    <row r="1039">
      <c r="A1039" s="246"/>
      <c r="B1039" s="120"/>
      <c r="C1039" s="120"/>
      <c r="D1039" s="120"/>
      <c r="E1039" s="122"/>
      <c r="F1039" s="122"/>
      <c r="G1039" s="120"/>
      <c r="H1039" s="120"/>
    </row>
    <row r="1040">
      <c r="A1040" s="246"/>
      <c r="B1040" s="120"/>
      <c r="C1040" s="120"/>
      <c r="D1040" s="120"/>
      <c r="E1040" s="122"/>
      <c r="F1040" s="122"/>
      <c r="G1040" s="120"/>
      <c r="H1040" s="120"/>
    </row>
    <row r="1041">
      <c r="A1041" s="246"/>
      <c r="B1041" s="120"/>
      <c r="C1041" s="120"/>
      <c r="D1041" s="120"/>
      <c r="E1041" s="122"/>
      <c r="F1041" s="122"/>
      <c r="G1041" s="120"/>
      <c r="H1041" s="120"/>
    </row>
    <row r="1042">
      <c r="A1042" s="246"/>
      <c r="B1042" s="120"/>
      <c r="C1042" s="120"/>
      <c r="D1042" s="120"/>
      <c r="E1042" s="122"/>
      <c r="F1042" s="122"/>
      <c r="G1042" s="120"/>
      <c r="H1042" s="120"/>
    </row>
    <row r="1043">
      <c r="A1043" s="246"/>
      <c r="B1043" s="120"/>
      <c r="C1043" s="120"/>
      <c r="D1043" s="120"/>
      <c r="E1043" s="122"/>
      <c r="F1043" s="122"/>
      <c r="G1043" s="120"/>
      <c r="H1043" s="120"/>
    </row>
    <row r="1044">
      <c r="A1044" s="246"/>
      <c r="B1044" s="120"/>
      <c r="C1044" s="120"/>
      <c r="D1044" s="120"/>
      <c r="E1044" s="122"/>
      <c r="F1044" s="122"/>
      <c r="G1044" s="120"/>
      <c r="H1044" s="120"/>
    </row>
    <row r="1045">
      <c r="A1045" s="246"/>
      <c r="B1045" s="120"/>
      <c r="C1045" s="120"/>
      <c r="D1045" s="120"/>
      <c r="E1045" s="122"/>
      <c r="F1045" s="122"/>
      <c r="G1045" s="120"/>
      <c r="H1045" s="120"/>
    </row>
    <row r="1046">
      <c r="A1046" s="246"/>
      <c r="B1046" s="120"/>
      <c r="C1046" s="120"/>
      <c r="D1046" s="120"/>
      <c r="E1046" s="122"/>
      <c r="F1046" s="122"/>
      <c r="G1046" s="120"/>
      <c r="H1046" s="120"/>
    </row>
    <row r="1047">
      <c r="A1047" s="246"/>
      <c r="B1047" s="120"/>
      <c r="C1047" s="120"/>
      <c r="D1047" s="120"/>
      <c r="E1047" s="122"/>
      <c r="F1047" s="122"/>
      <c r="G1047" s="120"/>
      <c r="H1047" s="120"/>
    </row>
    <row r="1048">
      <c r="A1048" s="246"/>
      <c r="B1048" s="120"/>
      <c r="C1048" s="120"/>
      <c r="D1048" s="120"/>
      <c r="E1048" s="122"/>
      <c r="F1048" s="122"/>
      <c r="G1048" s="120"/>
      <c r="H1048" s="120"/>
    </row>
    <row r="1049">
      <c r="A1049" s="246"/>
      <c r="B1049" s="120"/>
      <c r="C1049" s="120"/>
      <c r="D1049" s="120"/>
      <c r="E1049" s="122"/>
      <c r="F1049" s="122"/>
      <c r="G1049" s="120"/>
      <c r="H1049" s="120"/>
    </row>
    <row r="1050">
      <c r="A1050" s="246"/>
      <c r="B1050" s="120"/>
      <c r="C1050" s="120"/>
      <c r="D1050" s="120"/>
      <c r="E1050" s="122"/>
      <c r="F1050" s="122"/>
      <c r="G1050" s="120"/>
      <c r="H1050" s="120"/>
    </row>
    <row r="1051">
      <c r="A1051" s="246"/>
      <c r="B1051" s="120"/>
      <c r="C1051" s="120"/>
      <c r="D1051" s="120"/>
      <c r="E1051" s="122"/>
      <c r="F1051" s="122"/>
      <c r="G1051" s="120"/>
      <c r="H1051" s="120"/>
    </row>
    <row r="1052">
      <c r="A1052" s="246"/>
      <c r="B1052" s="120"/>
      <c r="C1052" s="120"/>
      <c r="D1052" s="120"/>
      <c r="E1052" s="122"/>
      <c r="F1052" s="122"/>
      <c r="G1052" s="120"/>
      <c r="H1052" s="120"/>
    </row>
    <row r="1053">
      <c r="A1053" s="246"/>
      <c r="B1053" s="120"/>
      <c r="C1053" s="120"/>
      <c r="D1053" s="120"/>
      <c r="E1053" s="122"/>
      <c r="F1053" s="122"/>
      <c r="G1053" s="120"/>
      <c r="H1053" s="120"/>
    </row>
    <row r="1054">
      <c r="A1054" s="246"/>
      <c r="B1054" s="120"/>
      <c r="C1054" s="120"/>
      <c r="D1054" s="120"/>
      <c r="E1054" s="122"/>
      <c r="F1054" s="122"/>
      <c r="G1054" s="120"/>
      <c r="H1054" s="120"/>
    </row>
    <row r="1055">
      <c r="A1055" s="246"/>
      <c r="B1055" s="120"/>
      <c r="C1055" s="120"/>
      <c r="D1055" s="120"/>
      <c r="E1055" s="122"/>
      <c r="F1055" s="122"/>
      <c r="G1055" s="120"/>
      <c r="H1055" s="120"/>
    </row>
  </sheetData>
  <autoFilter ref="$A$7:$H$1055">
    <filterColumn colId="6">
      <filters blank="1"/>
    </filterColumn>
  </autoFilter>
  <mergeCells count="1">
    <mergeCell ref="A1:H1"/>
  </mergeCells>
  <hyperlinks>
    <hyperlink r:id="rId1" ref="D61"/>
    <hyperlink r:id="rId2" ref="D75"/>
    <hyperlink r:id="rId3" ref="D80"/>
    <hyperlink r:id="rId4" ref="D81"/>
    <hyperlink r:id="rId5" ref="D84"/>
    <hyperlink r:id="rId6" ref="D86"/>
    <hyperlink r:id="rId7" ref="D87"/>
    <hyperlink r:id="rId8" ref="D88"/>
    <hyperlink r:id="rId9" ref="D89"/>
    <hyperlink r:id="rId10" ref="D91"/>
    <hyperlink r:id="rId11" ref="D94"/>
    <hyperlink r:id="rId12" ref="D95"/>
    <hyperlink r:id="rId13" ref="D97"/>
    <hyperlink r:id="rId14" ref="D100"/>
    <hyperlink r:id="rId15" ref="D102"/>
    <hyperlink r:id="rId16" ref="D104"/>
    <hyperlink r:id="rId17" ref="D113"/>
    <hyperlink r:id="rId18" ref="D118"/>
    <hyperlink r:id="rId19" ref="D120"/>
    <hyperlink r:id="rId20" ref="D121"/>
    <hyperlink r:id="rId21" ref="D123"/>
    <hyperlink r:id="rId22" ref="D127"/>
    <hyperlink r:id="rId23" ref="D128"/>
    <hyperlink r:id="rId24" ref="D129"/>
    <hyperlink r:id="rId25" ref="D130"/>
    <hyperlink r:id="rId26" ref="D131"/>
    <hyperlink r:id="rId27" ref="D132"/>
    <hyperlink r:id="rId28" ref="D134"/>
    <hyperlink r:id="rId29" ref="D135"/>
    <hyperlink r:id="rId30" ref="D137"/>
    <hyperlink r:id="rId31" ref="D140"/>
    <hyperlink r:id="rId32" ref="D142"/>
    <hyperlink r:id="rId33" ref="D143"/>
    <hyperlink r:id="rId34" ref="D144"/>
    <hyperlink r:id="rId35" ref="D154"/>
    <hyperlink r:id="rId36" ref="D164"/>
    <hyperlink r:id="rId37" ref="D169"/>
    <hyperlink r:id="rId38" ref="D170"/>
    <hyperlink r:id="rId39" ref="D171"/>
    <hyperlink r:id="rId40" ref="D172"/>
    <hyperlink r:id="rId41" ref="D173"/>
    <hyperlink r:id="rId42" ref="D175"/>
    <hyperlink r:id="rId43" ref="D176"/>
    <hyperlink r:id="rId44" ref="D177"/>
    <hyperlink r:id="rId45" ref="D178"/>
    <hyperlink r:id="rId46" ref="D179"/>
    <hyperlink r:id="rId47" ref="D180"/>
    <hyperlink r:id="rId48" ref="D181"/>
    <hyperlink r:id="rId49" ref="D183"/>
    <hyperlink r:id="rId50" ref="D184"/>
    <hyperlink r:id="rId51" ref="D185"/>
    <hyperlink r:id="rId52" ref="D186"/>
    <hyperlink r:id="rId53" ref="D187"/>
    <hyperlink r:id="rId54" ref="H194"/>
    <hyperlink r:id="rId55" ref="D195"/>
    <hyperlink r:id="rId56" ref="D196"/>
    <hyperlink r:id="rId57" ref="D198"/>
    <hyperlink r:id="rId58" ref="D202"/>
    <hyperlink r:id="rId59" ref="D203"/>
    <hyperlink r:id="rId60" ref="D204"/>
    <hyperlink r:id="rId61" ref="D205"/>
  </hyperlinks>
  <drawing r:id="rId6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ollapsed="1" customWidth="1" min="1" max="1" width="6.13"/>
    <col customWidth="1" hidden="1" min="2" max="2" width="30.63" outlineLevel="1"/>
    <col customWidth="1" hidden="1" min="3" max="3" width="5.13" outlineLevel="1"/>
    <col customWidth="1" hidden="1" min="4" max="4" width="30.63" outlineLevel="1"/>
    <col customWidth="1" hidden="1" min="5" max="5" width="5.13" outlineLevel="1"/>
    <col customWidth="1" hidden="1" min="6" max="6" width="30.63" outlineLevel="1"/>
    <col customWidth="1" hidden="1" min="7" max="7" width="5.13" outlineLevel="1"/>
    <col customWidth="1" hidden="1" min="8" max="8" width="30.63" outlineLevel="1"/>
    <col customWidth="1" hidden="1" min="9" max="9" width="5.13" outlineLevel="1"/>
    <col customWidth="1" hidden="1" min="10" max="10" width="30.63" outlineLevel="1"/>
    <col customWidth="1" hidden="1" min="11" max="11" width="5.13" outlineLevel="1"/>
    <col customWidth="1" hidden="1" min="12" max="12" width="30.63" outlineLevel="1"/>
    <col customWidth="1" hidden="1" min="13" max="13" width="5.75" outlineLevel="1"/>
    <col customWidth="1" hidden="1" min="14" max="14" width="30.63" outlineLevel="1"/>
    <col customWidth="1" hidden="1" min="15" max="15" width="5.13" outlineLevel="1"/>
    <col customWidth="1" hidden="1" min="16" max="16" width="30.63" outlineLevel="1"/>
    <col customWidth="1" hidden="1" min="17" max="17" width="5.13" outlineLevel="1"/>
    <col customWidth="1" min="18" max="18" width="6.88"/>
    <col customWidth="1" min="19" max="19" width="44.25"/>
    <col customWidth="1" min="20" max="21" width="6.13"/>
    <col customWidth="1" min="22" max="22" width="5.13"/>
    <col customWidth="1" min="23" max="23" width="6.88"/>
    <col customWidth="1" min="24" max="24" width="28.5"/>
    <col customWidth="1" min="25" max="25" width="31.88"/>
    <col customWidth="1" min="26" max="26" width="7.25"/>
    <col customWidth="1" min="28" max="28" width="34.75"/>
    <col customWidth="1" min="29" max="29" width="10.38"/>
  </cols>
  <sheetData>
    <row r="1">
      <c r="A1" s="19" t="s">
        <v>1109</v>
      </c>
      <c r="R1" s="247" t="s">
        <v>1110</v>
      </c>
      <c r="S1" s="248"/>
      <c r="V1" s="249"/>
      <c r="W1" s="247" t="s">
        <v>1111</v>
      </c>
      <c r="X1" s="250"/>
      <c r="Y1" s="250"/>
      <c r="Z1" s="248"/>
      <c r="AA1" s="251"/>
    </row>
    <row r="2">
      <c r="R2" s="252" t="s">
        <v>1112</v>
      </c>
      <c r="V2" s="249"/>
      <c r="W2" s="253" t="s">
        <v>1113</v>
      </c>
      <c r="AA2" s="254"/>
      <c r="AB2" s="255"/>
      <c r="AC2" s="255"/>
      <c r="AD2" s="255"/>
      <c r="AE2" s="255"/>
      <c r="AF2" s="255"/>
      <c r="AG2" s="255"/>
      <c r="AH2" s="255"/>
      <c r="AI2" s="255"/>
      <c r="AJ2" s="255"/>
      <c r="AK2" s="255"/>
      <c r="AL2" s="255"/>
      <c r="AQ2" s="19" t="s">
        <v>1114</v>
      </c>
    </row>
    <row r="3">
      <c r="B3" s="256">
        <v>45047.0</v>
      </c>
      <c r="C3" s="257"/>
      <c r="D3" s="258">
        <v>45078.0</v>
      </c>
      <c r="E3" s="248"/>
      <c r="F3" s="256">
        <v>45108.0</v>
      </c>
      <c r="G3" s="248"/>
      <c r="H3" s="256">
        <v>45139.0</v>
      </c>
      <c r="I3" s="248"/>
      <c r="J3" s="256">
        <v>45170.0</v>
      </c>
      <c r="K3" s="248"/>
      <c r="L3" s="256">
        <v>45200.0</v>
      </c>
      <c r="M3" s="248"/>
      <c r="N3" s="256">
        <v>45231.0</v>
      </c>
      <c r="O3" s="248"/>
      <c r="P3" s="256">
        <v>45261.0</v>
      </c>
      <c r="Q3" s="248"/>
      <c r="R3" s="259">
        <v>45413.0</v>
      </c>
      <c r="S3" s="248"/>
      <c r="V3" s="249"/>
      <c r="W3" s="260" t="s">
        <v>1115</v>
      </c>
      <c r="X3" s="255"/>
      <c r="Y3" s="255"/>
      <c r="Z3" s="255"/>
      <c r="AA3" s="261"/>
      <c r="AB3" s="262"/>
      <c r="AC3" s="262"/>
      <c r="AD3" s="262"/>
      <c r="AE3" s="262"/>
      <c r="AF3" s="263"/>
      <c r="AG3" s="262"/>
      <c r="AH3" s="263"/>
      <c r="AI3" s="262"/>
      <c r="AJ3" s="263"/>
      <c r="AK3" s="262"/>
      <c r="AL3" s="262"/>
      <c r="AQ3" s="19" t="s">
        <v>1116</v>
      </c>
    </row>
    <row r="4">
      <c r="A4" s="249"/>
      <c r="B4" s="264" t="s">
        <v>1117</v>
      </c>
      <c r="C4" s="265" t="s">
        <v>1118</v>
      </c>
      <c r="D4" s="266" t="s">
        <v>1117</v>
      </c>
      <c r="E4" s="267" t="s">
        <v>1118</v>
      </c>
      <c r="F4" s="264" t="s">
        <v>1117</v>
      </c>
      <c r="G4" s="267" t="s">
        <v>1118</v>
      </c>
      <c r="H4" s="268" t="s">
        <v>1117</v>
      </c>
      <c r="I4" s="267" t="s">
        <v>1118</v>
      </c>
      <c r="J4" s="268" t="s">
        <v>1117</v>
      </c>
      <c r="K4" s="267" t="s">
        <v>1118</v>
      </c>
      <c r="L4" s="268" t="s">
        <v>1117</v>
      </c>
      <c r="M4" s="267" t="s">
        <v>1118</v>
      </c>
      <c r="N4" s="268" t="s">
        <v>1117</v>
      </c>
      <c r="O4" s="267" t="s">
        <v>1118</v>
      </c>
      <c r="P4" s="268" t="s">
        <v>1117</v>
      </c>
      <c r="Q4" s="267" t="s">
        <v>1118</v>
      </c>
      <c r="R4" s="269" t="s">
        <v>136</v>
      </c>
      <c r="S4" s="270" t="s">
        <v>1117</v>
      </c>
      <c r="V4" s="249"/>
      <c r="W4" s="269" t="s">
        <v>136</v>
      </c>
      <c r="X4" s="271" t="s">
        <v>1117</v>
      </c>
      <c r="Y4" s="271" t="s">
        <v>1119</v>
      </c>
      <c r="Z4" s="269" t="s">
        <v>1120</v>
      </c>
      <c r="AA4" s="272" t="s">
        <v>1121</v>
      </c>
      <c r="AB4" s="273"/>
      <c r="AC4" s="274"/>
      <c r="AD4" s="273"/>
      <c r="AE4" s="274"/>
      <c r="AF4" s="273"/>
      <c r="AG4" s="274"/>
      <c r="AH4" s="273"/>
      <c r="AI4" s="274"/>
      <c r="AJ4" s="273"/>
      <c r="AK4" s="274"/>
      <c r="AL4" s="275"/>
    </row>
    <row r="5">
      <c r="A5" s="276" t="s">
        <v>181</v>
      </c>
      <c r="B5" s="277"/>
      <c r="C5" s="278"/>
      <c r="D5" s="279" t="s">
        <v>1122</v>
      </c>
      <c r="E5" s="278"/>
      <c r="F5" s="279" t="s">
        <v>1122</v>
      </c>
      <c r="G5" s="278"/>
      <c r="H5" s="279" t="s">
        <v>1122</v>
      </c>
      <c r="I5" s="278"/>
      <c r="J5" s="279" t="s">
        <v>1122</v>
      </c>
      <c r="K5" s="278"/>
      <c r="L5" s="279" t="s">
        <v>1122</v>
      </c>
      <c r="M5" s="278"/>
      <c r="N5" s="279" t="s">
        <v>1122</v>
      </c>
      <c r="O5" s="278"/>
      <c r="P5" s="279" t="s">
        <v>1122</v>
      </c>
      <c r="Q5" s="280"/>
      <c r="R5" s="281">
        <v>12.0</v>
      </c>
      <c r="S5" s="282" t="s">
        <v>526</v>
      </c>
      <c r="T5" s="19">
        <v>2.3</v>
      </c>
      <c r="V5" s="283" t="s">
        <v>181</v>
      </c>
      <c r="W5" s="281">
        <v>9.0</v>
      </c>
      <c r="X5" s="284" t="s">
        <v>486</v>
      </c>
      <c r="Y5" s="284" t="s">
        <v>1123</v>
      </c>
      <c r="Z5" s="285">
        <v>3317.0</v>
      </c>
      <c r="AA5" s="272" t="s">
        <v>1124</v>
      </c>
      <c r="AB5" s="272"/>
      <c r="AC5" s="274"/>
      <c r="AD5" s="286"/>
      <c r="AE5" s="274"/>
      <c r="AF5" s="286"/>
      <c r="AG5" s="274"/>
      <c r="AH5" s="286"/>
      <c r="AI5" s="274"/>
      <c r="AJ5" s="286"/>
      <c r="AK5" s="274"/>
      <c r="AL5" s="287"/>
      <c r="AQ5" s="19" t="s">
        <v>1125</v>
      </c>
    </row>
    <row r="6">
      <c r="A6" s="288"/>
      <c r="B6" s="289"/>
      <c r="C6" s="290"/>
      <c r="D6" s="291"/>
      <c r="E6" s="290"/>
      <c r="F6" s="292"/>
      <c r="G6" s="290"/>
      <c r="H6" s="292"/>
      <c r="I6" s="290"/>
      <c r="J6" s="292"/>
      <c r="K6" s="290"/>
      <c r="L6" s="292"/>
      <c r="M6" s="290"/>
      <c r="N6" s="293" t="s">
        <v>1126</v>
      </c>
      <c r="O6" s="290"/>
      <c r="P6" s="294" t="s">
        <v>1126</v>
      </c>
      <c r="Q6" s="295"/>
      <c r="R6" s="281">
        <v>17.0</v>
      </c>
      <c r="S6" s="282" t="s">
        <v>528</v>
      </c>
      <c r="T6" s="19">
        <v>2.2</v>
      </c>
      <c r="V6" s="296"/>
      <c r="W6" s="297">
        <v>18.0</v>
      </c>
      <c r="X6" s="298" t="s">
        <v>478</v>
      </c>
      <c r="Y6" s="298" t="s">
        <v>1127</v>
      </c>
      <c r="Z6" s="299">
        <v>24436.0</v>
      </c>
      <c r="AA6" s="272" t="s">
        <v>1128</v>
      </c>
      <c r="AB6" s="272"/>
      <c r="AC6" s="274"/>
      <c r="AD6" s="300"/>
      <c r="AE6" s="274"/>
      <c r="AF6" s="300"/>
      <c r="AG6" s="274"/>
      <c r="AH6" s="300"/>
      <c r="AI6" s="274"/>
      <c r="AJ6" s="300"/>
      <c r="AK6" s="274"/>
      <c r="AL6" s="275"/>
    </row>
    <row r="7">
      <c r="A7" s="288"/>
      <c r="B7" s="301"/>
      <c r="C7" s="290"/>
      <c r="D7" s="302"/>
      <c r="E7" s="290"/>
      <c r="F7" s="303"/>
      <c r="G7" s="290"/>
      <c r="H7" s="303"/>
      <c r="I7" s="290"/>
      <c r="J7" s="303"/>
      <c r="K7" s="290"/>
      <c r="L7" s="303"/>
      <c r="M7" s="290"/>
      <c r="N7" s="303"/>
      <c r="O7" s="290"/>
      <c r="P7" s="245"/>
      <c r="Q7" s="295"/>
      <c r="R7" s="304">
        <v>17.0</v>
      </c>
      <c r="S7" s="305" t="s">
        <v>527</v>
      </c>
      <c r="T7" s="19">
        <v>2.5</v>
      </c>
      <c r="V7" s="296"/>
      <c r="W7" s="297"/>
      <c r="X7" s="306"/>
      <c r="Y7" s="306"/>
      <c r="Z7" s="307"/>
      <c r="AA7" s="251"/>
      <c r="AB7" s="251"/>
      <c r="AC7" s="274"/>
      <c r="AD7" s="300"/>
      <c r="AE7" s="274"/>
      <c r="AF7" s="300"/>
      <c r="AG7" s="274"/>
      <c r="AH7" s="300"/>
      <c r="AI7" s="274"/>
      <c r="AJ7" s="300"/>
      <c r="AK7" s="274"/>
      <c r="AL7" s="275"/>
    </row>
    <row r="8">
      <c r="A8" s="308"/>
      <c r="B8" s="309"/>
      <c r="C8" s="310"/>
      <c r="D8" s="311"/>
      <c r="E8" s="310"/>
      <c r="F8" s="312"/>
      <c r="G8" s="310"/>
      <c r="H8" s="312"/>
      <c r="I8" s="310"/>
      <c r="J8" s="312"/>
      <c r="K8" s="310"/>
      <c r="L8" s="312"/>
      <c r="M8" s="310"/>
      <c r="N8" s="312"/>
      <c r="O8" s="310"/>
      <c r="P8" s="313"/>
      <c r="Q8" s="314"/>
      <c r="R8" s="315"/>
      <c r="S8" s="316"/>
      <c r="V8" s="317"/>
      <c r="W8" s="318"/>
      <c r="X8" s="319"/>
      <c r="Y8" s="320"/>
      <c r="Z8" s="318"/>
      <c r="AA8" s="251"/>
      <c r="AB8" s="251"/>
      <c r="AC8" s="274"/>
      <c r="AD8" s="300"/>
      <c r="AE8" s="274"/>
      <c r="AF8" s="321"/>
      <c r="AG8" s="274"/>
      <c r="AH8" s="273"/>
      <c r="AI8" s="274"/>
      <c r="AJ8" s="273"/>
      <c r="AK8" s="274"/>
      <c r="AL8" s="275"/>
      <c r="AQ8" s="19" t="s">
        <v>1129</v>
      </c>
    </row>
    <row r="9">
      <c r="A9" s="322" t="s">
        <v>145</v>
      </c>
      <c r="B9" s="323"/>
      <c r="C9" s="324"/>
      <c r="D9" s="325"/>
      <c r="E9" s="326"/>
      <c r="F9" s="325"/>
      <c r="G9" s="326"/>
      <c r="H9" s="327" t="s">
        <v>1130</v>
      </c>
      <c r="I9" s="326"/>
      <c r="J9" s="328"/>
      <c r="K9" s="290"/>
      <c r="L9" s="329" t="s">
        <v>509</v>
      </c>
      <c r="M9" s="290"/>
      <c r="N9" s="328" t="s">
        <v>509</v>
      </c>
      <c r="O9" s="290"/>
      <c r="P9" s="330" t="s">
        <v>1131</v>
      </c>
      <c r="Q9" s="295"/>
      <c r="R9" s="281">
        <v>10.0</v>
      </c>
      <c r="S9" s="331" t="s">
        <v>1131</v>
      </c>
      <c r="T9" s="19">
        <v>1.1</v>
      </c>
      <c r="V9" s="332" t="s">
        <v>145</v>
      </c>
      <c r="W9" s="281">
        <v>8.0</v>
      </c>
      <c r="X9" s="284" t="s">
        <v>251</v>
      </c>
      <c r="Y9" s="284" t="s">
        <v>1132</v>
      </c>
      <c r="Z9" s="285">
        <v>24376.0</v>
      </c>
      <c r="AA9" s="272" t="s">
        <v>1133</v>
      </c>
      <c r="AB9" s="272"/>
      <c r="AC9" s="274"/>
      <c r="AD9" s="286"/>
      <c r="AE9" s="274"/>
      <c r="AF9" s="333"/>
      <c r="AG9" s="274"/>
      <c r="AH9" s="300"/>
      <c r="AI9" s="274"/>
      <c r="AJ9" s="300"/>
      <c r="AK9" s="274"/>
      <c r="AL9" s="287"/>
    </row>
    <row r="10">
      <c r="A10" s="288"/>
      <c r="B10" s="291"/>
      <c r="C10" s="334"/>
      <c r="D10" s="289"/>
      <c r="E10" s="290"/>
      <c r="F10" s="289"/>
      <c r="G10" s="290"/>
      <c r="H10" s="335" t="s">
        <v>1134</v>
      </c>
      <c r="I10" s="290"/>
      <c r="J10" s="301"/>
      <c r="K10" s="290"/>
      <c r="L10" s="301"/>
      <c r="M10" s="290"/>
      <c r="N10" s="301"/>
      <c r="O10" s="290"/>
      <c r="P10" s="336"/>
      <c r="Q10" s="295"/>
      <c r="R10" s="297"/>
      <c r="S10" s="337"/>
      <c r="V10" s="296"/>
      <c r="W10" s="297"/>
      <c r="X10" s="338"/>
      <c r="Y10" s="338"/>
      <c r="Z10" s="297"/>
      <c r="AA10" s="251"/>
      <c r="AB10" s="251"/>
      <c r="AC10" s="274"/>
      <c r="AD10" s="300"/>
      <c r="AE10" s="274"/>
      <c r="AF10" s="321"/>
      <c r="AG10" s="274"/>
      <c r="AH10" s="300"/>
      <c r="AI10" s="274"/>
      <c r="AJ10" s="300"/>
      <c r="AK10" s="274"/>
      <c r="AL10" s="275"/>
    </row>
    <row r="11">
      <c r="A11" s="288"/>
      <c r="B11" s="302"/>
      <c r="C11" s="334"/>
      <c r="D11" s="301"/>
      <c r="E11" s="290"/>
      <c r="F11" s="301"/>
      <c r="G11" s="290"/>
      <c r="H11" s="339" t="s">
        <v>1135</v>
      </c>
      <c r="I11" s="290"/>
      <c r="J11" s="301"/>
      <c r="K11" s="290"/>
      <c r="L11" s="301"/>
      <c r="M11" s="290"/>
      <c r="N11" s="301"/>
      <c r="O11" s="290"/>
      <c r="P11" s="336"/>
      <c r="Q11" s="295"/>
      <c r="R11" s="297"/>
      <c r="S11" s="337"/>
      <c r="V11" s="296"/>
      <c r="W11" s="297"/>
      <c r="X11" s="340"/>
      <c r="Y11" s="340"/>
      <c r="Z11" s="297"/>
      <c r="AA11" s="251"/>
      <c r="AB11" s="251"/>
      <c r="AC11" s="274"/>
      <c r="AD11" s="300"/>
      <c r="AE11" s="274"/>
      <c r="AF11" s="321"/>
      <c r="AG11" s="274"/>
      <c r="AH11" s="300"/>
      <c r="AI11" s="274"/>
      <c r="AJ11" s="300"/>
      <c r="AK11" s="274"/>
      <c r="AL11" s="275"/>
    </row>
    <row r="12">
      <c r="A12" s="288"/>
      <c r="B12" s="302"/>
      <c r="C12" s="334"/>
      <c r="D12" s="301"/>
      <c r="E12" s="290"/>
      <c r="F12" s="301"/>
      <c r="G12" s="290"/>
      <c r="H12" s="339" t="s">
        <v>1136</v>
      </c>
      <c r="I12" s="290"/>
      <c r="J12" s="301"/>
      <c r="K12" s="290"/>
      <c r="L12" s="301"/>
      <c r="M12" s="290"/>
      <c r="N12" s="301"/>
      <c r="O12" s="290"/>
      <c r="P12" s="336"/>
      <c r="Q12" s="295"/>
      <c r="R12" s="297"/>
      <c r="S12" s="341"/>
      <c r="V12" s="296"/>
      <c r="W12" s="297"/>
      <c r="X12" s="340"/>
      <c r="Y12" s="340"/>
      <c r="Z12" s="297"/>
      <c r="AA12" s="251"/>
      <c r="AB12" s="251"/>
      <c r="AD12" s="342"/>
      <c r="AF12" s="342"/>
      <c r="AH12" s="342"/>
      <c r="AJ12" s="342"/>
      <c r="AL12" s="343"/>
    </row>
    <row r="13">
      <c r="A13" s="288"/>
      <c r="B13" s="344"/>
      <c r="C13" s="345"/>
      <c r="D13" s="346"/>
      <c r="E13" s="295"/>
      <c r="F13" s="346"/>
      <c r="G13" s="295"/>
      <c r="H13" s="346"/>
      <c r="I13" s="295"/>
      <c r="J13" s="346"/>
      <c r="K13" s="295"/>
      <c r="L13" s="346"/>
      <c r="M13" s="295"/>
      <c r="N13" s="346"/>
      <c r="O13" s="295"/>
      <c r="P13" s="346"/>
      <c r="Q13" s="295"/>
      <c r="R13" s="297"/>
      <c r="S13" s="347"/>
      <c r="V13" s="296"/>
      <c r="W13" s="297"/>
      <c r="X13" s="348"/>
      <c r="Y13" s="348"/>
      <c r="Z13" s="297"/>
      <c r="AA13" s="251"/>
      <c r="AB13" s="251"/>
      <c r="AD13" s="342"/>
      <c r="AF13" s="342"/>
      <c r="AH13" s="342"/>
      <c r="AJ13" s="342"/>
      <c r="AL13" s="349"/>
    </row>
    <row r="14">
      <c r="A14" s="288"/>
      <c r="B14" s="344" t="s">
        <v>511</v>
      </c>
      <c r="C14" s="345"/>
      <c r="D14" s="346" t="s">
        <v>511</v>
      </c>
      <c r="E14" s="295"/>
      <c r="F14" s="346" t="s">
        <v>511</v>
      </c>
      <c r="G14" s="295"/>
      <c r="H14" s="346" t="s">
        <v>511</v>
      </c>
      <c r="I14" s="295"/>
      <c r="J14" s="346" t="s">
        <v>511</v>
      </c>
      <c r="K14" s="295"/>
      <c r="L14" s="346" t="s">
        <v>511</v>
      </c>
      <c r="M14" s="295"/>
      <c r="N14" s="346" t="s">
        <v>511</v>
      </c>
      <c r="O14" s="295"/>
      <c r="P14" s="346" t="s">
        <v>511</v>
      </c>
      <c r="Q14" s="295"/>
      <c r="R14" s="304">
        <v>18.0</v>
      </c>
      <c r="S14" s="347" t="s">
        <v>511</v>
      </c>
      <c r="T14" s="19">
        <v>6.4</v>
      </c>
      <c r="V14" s="296"/>
      <c r="W14" s="297"/>
      <c r="X14" s="348"/>
      <c r="Y14" s="348"/>
      <c r="Z14" s="297"/>
      <c r="AA14" s="251"/>
      <c r="AB14" s="251"/>
      <c r="AD14" s="349"/>
      <c r="AF14" s="349"/>
      <c r="AH14" s="350"/>
      <c r="AJ14" s="350"/>
      <c r="AL14" s="349"/>
    </row>
    <row r="15">
      <c r="A15" s="308"/>
      <c r="B15" s="351" t="s">
        <v>525</v>
      </c>
      <c r="C15" s="314"/>
      <c r="D15" s="351"/>
      <c r="E15" s="314"/>
      <c r="F15" s="351"/>
      <c r="G15" s="314"/>
      <c r="H15" s="352" t="s">
        <v>1137</v>
      </c>
      <c r="I15" s="314"/>
      <c r="J15" s="353"/>
      <c r="K15" s="314"/>
      <c r="L15" s="353"/>
      <c r="M15" s="314"/>
      <c r="N15" s="353"/>
      <c r="O15" s="314"/>
      <c r="P15" s="354"/>
      <c r="Q15" s="314"/>
      <c r="R15" s="355"/>
      <c r="S15" s="356"/>
      <c r="V15" s="317"/>
      <c r="W15" s="355"/>
      <c r="X15" s="357"/>
      <c r="Y15" s="357"/>
      <c r="Z15" s="355"/>
      <c r="AA15" s="349"/>
      <c r="AB15" s="349"/>
      <c r="AC15" s="350"/>
      <c r="AD15" s="349"/>
      <c r="AE15" s="350"/>
      <c r="AF15" s="349"/>
      <c r="AG15" s="350"/>
      <c r="AH15" s="349"/>
      <c r="AI15" s="350"/>
      <c r="AJ15" s="349"/>
      <c r="AK15" s="350"/>
      <c r="AL15" s="349"/>
      <c r="AQ15" s="19" t="s">
        <v>1138</v>
      </c>
    </row>
    <row r="16">
      <c r="A16" s="322" t="s">
        <v>154</v>
      </c>
      <c r="B16" s="358" t="s">
        <v>1139</v>
      </c>
      <c r="C16" s="359"/>
      <c r="D16" s="358" t="s">
        <v>1139</v>
      </c>
      <c r="E16" s="359"/>
      <c r="F16" s="358" t="s">
        <v>1139</v>
      </c>
      <c r="G16" s="359"/>
      <c r="H16" s="358" t="s">
        <v>1139</v>
      </c>
      <c r="I16" s="359"/>
      <c r="J16" s="358" t="s">
        <v>1139</v>
      </c>
      <c r="K16" s="359"/>
      <c r="L16" s="358" t="s">
        <v>1139</v>
      </c>
      <c r="M16" s="359"/>
      <c r="N16" s="358" t="s">
        <v>1139</v>
      </c>
      <c r="O16" s="359"/>
      <c r="P16" s="360" t="s">
        <v>1139</v>
      </c>
      <c r="Q16" s="361"/>
      <c r="R16" s="362">
        <v>9.0</v>
      </c>
      <c r="S16" s="363" t="s">
        <v>513</v>
      </c>
      <c r="T16" s="19">
        <v>0.2</v>
      </c>
      <c r="V16" s="332" t="s">
        <v>154</v>
      </c>
      <c r="W16" s="364">
        <v>10.0</v>
      </c>
      <c r="X16" s="364" t="s">
        <v>280</v>
      </c>
      <c r="Y16" s="364" t="s">
        <v>1140</v>
      </c>
      <c r="Z16" s="365">
        <v>24298.0</v>
      </c>
      <c r="AA16" s="272" t="s">
        <v>1141</v>
      </c>
      <c r="AB16" s="272"/>
      <c r="AC16" s="366"/>
      <c r="AD16" s="366"/>
      <c r="AE16" s="366"/>
      <c r="AF16" s="366"/>
      <c r="AG16" s="366"/>
      <c r="AH16" s="366"/>
      <c r="AI16" s="366"/>
      <c r="AJ16" s="366"/>
      <c r="AK16" s="366"/>
      <c r="AL16" s="349"/>
      <c r="AQ16" s="19" t="s">
        <v>1142</v>
      </c>
    </row>
    <row r="17">
      <c r="A17" s="288"/>
      <c r="B17" s="367" t="s">
        <v>1143</v>
      </c>
      <c r="C17" s="368"/>
      <c r="D17" s="369" t="s">
        <v>1143</v>
      </c>
      <c r="E17" s="370"/>
      <c r="F17" s="369" t="s">
        <v>1143</v>
      </c>
      <c r="G17" s="370"/>
      <c r="H17" s="369" t="s">
        <v>1143</v>
      </c>
      <c r="I17" s="370"/>
      <c r="J17" s="369" t="s">
        <v>1143</v>
      </c>
      <c r="K17" s="370"/>
      <c r="L17" s="369" t="s">
        <v>1143</v>
      </c>
      <c r="M17" s="370"/>
      <c r="N17" s="369" t="s">
        <v>1143</v>
      </c>
      <c r="O17" s="370"/>
      <c r="P17" s="369" t="s">
        <v>1143</v>
      </c>
      <c r="Q17" s="370"/>
      <c r="R17" s="364">
        <v>10.0</v>
      </c>
      <c r="S17" s="371" t="s">
        <v>514</v>
      </c>
      <c r="T17" s="19">
        <v>1.8</v>
      </c>
      <c r="V17" s="296"/>
      <c r="W17" s="372">
        <v>12.0</v>
      </c>
      <c r="X17" s="373" t="s">
        <v>302</v>
      </c>
      <c r="Y17" s="374" t="s">
        <v>1144</v>
      </c>
      <c r="Z17" s="375">
        <v>24336.0</v>
      </c>
      <c r="AA17" s="272" t="s">
        <v>1145</v>
      </c>
      <c r="AB17" s="272"/>
      <c r="AC17" s="321"/>
      <c r="AD17" s="300"/>
      <c r="AE17" s="321"/>
      <c r="AF17" s="300"/>
      <c r="AG17" s="321"/>
      <c r="AH17" s="321"/>
      <c r="AI17" s="321"/>
      <c r="AJ17" s="300"/>
      <c r="AK17" s="321"/>
      <c r="AL17" s="275"/>
      <c r="AQ17" s="19" t="s">
        <v>1146</v>
      </c>
    </row>
    <row r="18">
      <c r="A18" s="288"/>
      <c r="B18" s="302"/>
      <c r="C18" s="376"/>
      <c r="D18" s="301"/>
      <c r="E18" s="377"/>
      <c r="F18" s="301"/>
      <c r="G18" s="377"/>
      <c r="H18" s="301"/>
      <c r="I18" s="377"/>
      <c r="J18" s="327" t="s">
        <v>1130</v>
      </c>
      <c r="K18" s="377"/>
      <c r="L18" s="301"/>
      <c r="M18" s="377"/>
      <c r="N18" s="378"/>
      <c r="O18" s="377"/>
      <c r="P18" s="379"/>
      <c r="Q18" s="377"/>
      <c r="R18" s="380">
        <v>10.0</v>
      </c>
      <c r="S18" s="381" t="s">
        <v>515</v>
      </c>
      <c r="T18" s="19">
        <v>2.4</v>
      </c>
      <c r="V18" s="296"/>
      <c r="W18" s="288"/>
      <c r="X18" s="382" t="s">
        <v>301</v>
      </c>
      <c r="Y18" s="383" t="s">
        <v>1147</v>
      </c>
      <c r="Z18" s="384">
        <v>24356.0</v>
      </c>
      <c r="AA18" s="272" t="s">
        <v>1148</v>
      </c>
      <c r="AB18" s="272"/>
      <c r="AC18" s="321"/>
      <c r="AD18" s="300"/>
      <c r="AE18" s="321"/>
      <c r="AF18" s="300"/>
      <c r="AG18" s="321"/>
      <c r="AH18" s="333"/>
      <c r="AI18" s="321"/>
      <c r="AJ18" s="300"/>
      <c r="AK18" s="321"/>
      <c r="AL18" s="385"/>
      <c r="AQ18" s="19" t="s">
        <v>1149</v>
      </c>
    </row>
    <row r="19">
      <c r="A19" s="288"/>
      <c r="B19" s="302"/>
      <c r="C19" s="376"/>
      <c r="D19" s="301"/>
      <c r="E19" s="377"/>
      <c r="F19" s="301"/>
      <c r="G19" s="377"/>
      <c r="H19" s="301"/>
      <c r="I19" s="377"/>
      <c r="J19" s="335" t="s">
        <v>1134</v>
      </c>
      <c r="K19" s="377"/>
      <c r="L19" s="301"/>
      <c r="M19" s="377"/>
      <c r="N19" s="301"/>
      <c r="O19" s="377"/>
      <c r="P19" s="336"/>
      <c r="Q19" s="377"/>
      <c r="R19" s="297"/>
      <c r="S19" s="337"/>
      <c r="V19" s="296"/>
      <c r="W19" s="288"/>
      <c r="X19" s="386" t="s">
        <v>300</v>
      </c>
      <c r="Y19" s="386" t="s">
        <v>1150</v>
      </c>
      <c r="Z19" s="384">
        <v>24876.0</v>
      </c>
      <c r="AA19" s="272" t="s">
        <v>1151</v>
      </c>
      <c r="AB19" s="272"/>
      <c r="AC19" s="321"/>
      <c r="AD19" s="300"/>
      <c r="AE19" s="321"/>
      <c r="AF19" s="300"/>
      <c r="AG19" s="321"/>
      <c r="AH19" s="321"/>
      <c r="AI19" s="321"/>
      <c r="AJ19" s="300"/>
      <c r="AK19" s="321"/>
      <c r="AL19" s="385"/>
      <c r="AQ19" s="19" t="s">
        <v>1152</v>
      </c>
    </row>
    <row r="20">
      <c r="A20" s="288"/>
      <c r="B20" s="302"/>
      <c r="C20" s="376"/>
      <c r="D20" s="301"/>
      <c r="E20" s="377"/>
      <c r="F20" s="301"/>
      <c r="G20" s="377"/>
      <c r="H20" s="301"/>
      <c r="I20" s="377"/>
      <c r="J20" s="339" t="s">
        <v>1135</v>
      </c>
      <c r="K20" s="377"/>
      <c r="L20" s="301"/>
      <c r="M20" s="377"/>
      <c r="N20" s="301"/>
      <c r="O20" s="377"/>
      <c r="P20" s="336"/>
      <c r="Q20" s="377"/>
      <c r="R20" s="297"/>
      <c r="S20" s="337"/>
      <c r="V20" s="296"/>
      <c r="W20" s="387"/>
      <c r="X20" s="388" t="s">
        <v>303</v>
      </c>
      <c r="Y20" s="389" t="s">
        <v>1153</v>
      </c>
      <c r="Z20" s="390">
        <v>24358.0</v>
      </c>
      <c r="AA20" s="272" t="s">
        <v>1154</v>
      </c>
      <c r="AB20" s="272"/>
      <c r="AC20" s="350"/>
      <c r="AD20" s="350"/>
      <c r="AE20" s="350"/>
      <c r="AF20" s="350"/>
      <c r="AG20" s="350"/>
      <c r="AH20" s="321"/>
      <c r="AI20" s="350"/>
      <c r="AJ20" s="350"/>
      <c r="AK20" s="350"/>
      <c r="AL20" s="349"/>
    </row>
    <row r="21">
      <c r="A21" s="288"/>
      <c r="B21" s="391"/>
      <c r="C21" s="392"/>
      <c r="D21" s="393"/>
      <c r="E21" s="394"/>
      <c r="F21" s="393"/>
      <c r="G21" s="394"/>
      <c r="H21" s="393"/>
      <c r="I21" s="394"/>
      <c r="J21" s="339" t="s">
        <v>1136</v>
      </c>
      <c r="K21" s="394"/>
      <c r="L21" s="393"/>
      <c r="M21" s="394"/>
      <c r="N21" s="393"/>
      <c r="O21" s="394"/>
      <c r="P21" s="395"/>
      <c r="Q21" s="396"/>
      <c r="R21" s="397">
        <v>19.0</v>
      </c>
      <c r="S21" s="331" t="s">
        <v>512</v>
      </c>
      <c r="T21" s="19">
        <v>3.2</v>
      </c>
      <c r="V21" s="296"/>
      <c r="W21" s="397"/>
      <c r="X21" s="398"/>
      <c r="Y21" s="398"/>
      <c r="Z21" s="397"/>
      <c r="AA21" s="349"/>
      <c r="AB21" s="349"/>
      <c r="AC21" s="350"/>
      <c r="AD21" s="350"/>
      <c r="AE21" s="350"/>
      <c r="AF21" s="350"/>
      <c r="AG21" s="350"/>
      <c r="AH21" s="349"/>
      <c r="AI21" s="350"/>
      <c r="AJ21" s="350"/>
      <c r="AK21" s="350"/>
      <c r="AL21" s="349"/>
    </row>
    <row r="22">
      <c r="A22" s="308"/>
      <c r="B22" s="399"/>
      <c r="C22" s="400"/>
      <c r="D22" s="353"/>
      <c r="E22" s="401"/>
      <c r="F22" s="353"/>
      <c r="G22" s="401"/>
      <c r="H22" s="353"/>
      <c r="I22" s="401"/>
      <c r="J22" s="352" t="s">
        <v>1137</v>
      </c>
      <c r="K22" s="401"/>
      <c r="L22" s="353"/>
      <c r="M22" s="401"/>
      <c r="N22" s="353"/>
      <c r="O22" s="401"/>
      <c r="P22" s="354"/>
      <c r="Q22" s="402"/>
      <c r="R22" s="403"/>
      <c r="S22" s="356"/>
      <c r="V22" s="317"/>
      <c r="W22" s="357"/>
      <c r="X22" s="404"/>
      <c r="Y22" s="404"/>
      <c r="Z22" s="357"/>
      <c r="AA22" s="349"/>
      <c r="AB22" s="349"/>
      <c r="AC22" s="350"/>
      <c r="AD22" s="350"/>
      <c r="AE22" s="350"/>
      <c r="AF22" s="405"/>
      <c r="AG22" s="350"/>
      <c r="AH22" s="405"/>
      <c r="AI22" s="274"/>
      <c r="AJ22" s="405"/>
      <c r="AK22" s="274"/>
      <c r="AL22" s="349"/>
    </row>
    <row r="23">
      <c r="A23" s="322" t="s">
        <v>156</v>
      </c>
      <c r="B23" s="406"/>
      <c r="C23" s="407"/>
      <c r="D23" s="408"/>
      <c r="E23" s="359"/>
      <c r="F23" s="408"/>
      <c r="G23" s="359"/>
      <c r="H23" s="409" t="s">
        <v>1155</v>
      </c>
      <c r="I23" s="359"/>
      <c r="J23" s="409" t="s">
        <v>1155</v>
      </c>
      <c r="K23" s="326"/>
      <c r="L23" s="410"/>
      <c r="M23" s="326"/>
      <c r="N23" s="410"/>
      <c r="O23" s="326"/>
      <c r="P23" s="411"/>
      <c r="Q23" s="412"/>
      <c r="R23" s="413">
        <v>10.0</v>
      </c>
      <c r="S23" s="341" t="s">
        <v>517</v>
      </c>
      <c r="T23" s="19">
        <v>6.0</v>
      </c>
      <c r="V23" s="332" t="s">
        <v>156</v>
      </c>
      <c r="W23" s="413">
        <v>8.0</v>
      </c>
      <c r="X23" s="414" t="s">
        <v>358</v>
      </c>
      <c r="Y23" s="414" t="s">
        <v>1156</v>
      </c>
      <c r="Z23" s="365">
        <v>12077.0</v>
      </c>
      <c r="AA23" s="272" t="s">
        <v>1157</v>
      </c>
      <c r="AB23" s="272"/>
      <c r="AC23" s="300"/>
      <c r="AD23" s="415"/>
      <c r="AE23" s="300"/>
      <c r="AF23" s="416"/>
      <c r="AG23" s="300"/>
      <c r="AH23" s="416"/>
      <c r="AI23" s="274"/>
      <c r="AJ23" s="416"/>
      <c r="AK23" s="274"/>
      <c r="AL23" s="405"/>
    </row>
    <row r="24">
      <c r="A24" s="288"/>
      <c r="B24" s="417"/>
      <c r="C24" s="418"/>
      <c r="D24" s="419"/>
      <c r="E24" s="420"/>
      <c r="F24" s="419"/>
      <c r="G24" s="420"/>
      <c r="H24" s="421" t="s">
        <v>1158</v>
      </c>
      <c r="I24" s="420"/>
      <c r="J24" s="421" t="s">
        <v>1158</v>
      </c>
      <c r="K24" s="290"/>
      <c r="L24" s="422"/>
      <c r="M24" s="290"/>
      <c r="N24" s="419" t="s">
        <v>1159</v>
      </c>
      <c r="O24" s="290"/>
      <c r="P24" s="423" t="s">
        <v>1159</v>
      </c>
      <c r="Q24" s="295"/>
      <c r="R24" s="380">
        <v>15.0</v>
      </c>
      <c r="S24" s="341" t="s">
        <v>518</v>
      </c>
      <c r="T24" s="19">
        <v>8.0</v>
      </c>
      <c r="V24" s="296"/>
      <c r="W24" s="424"/>
      <c r="X24" s="425"/>
      <c r="Y24" s="425"/>
      <c r="Z24" s="424"/>
      <c r="AA24" s="349"/>
      <c r="AB24" s="366"/>
      <c r="AC24" s="366"/>
      <c r="AD24" s="366"/>
      <c r="AE24" s="366"/>
      <c r="AF24" s="366"/>
      <c r="AG24" s="366"/>
      <c r="AH24" s="366"/>
      <c r="AI24" s="366"/>
      <c r="AJ24" s="366"/>
      <c r="AK24" s="366"/>
      <c r="AL24" s="349"/>
    </row>
    <row r="25">
      <c r="A25" s="308"/>
      <c r="B25" s="426" t="s">
        <v>518</v>
      </c>
      <c r="C25" s="427"/>
      <c r="D25" s="354" t="s">
        <v>518</v>
      </c>
      <c r="E25" s="402"/>
      <c r="F25" s="354" t="s">
        <v>518</v>
      </c>
      <c r="G25" s="402"/>
      <c r="H25" s="354" t="s">
        <v>518</v>
      </c>
      <c r="I25" s="402"/>
      <c r="J25" s="354" t="s">
        <v>518</v>
      </c>
      <c r="K25" s="402"/>
      <c r="L25" s="354" t="s">
        <v>518</v>
      </c>
      <c r="M25" s="402"/>
      <c r="N25" s="354" t="s">
        <v>518</v>
      </c>
      <c r="O25" s="402"/>
      <c r="P25" s="354" t="s">
        <v>518</v>
      </c>
      <c r="Q25" s="402"/>
      <c r="R25" s="428">
        <v>19.0</v>
      </c>
      <c r="S25" s="341" t="s">
        <v>516</v>
      </c>
      <c r="T25" s="19">
        <v>4.0</v>
      </c>
      <c r="V25" s="317"/>
      <c r="W25" s="357"/>
      <c r="X25" s="404"/>
      <c r="Y25" s="404"/>
      <c r="Z25" s="357"/>
      <c r="AA25" s="349"/>
      <c r="AB25" s="273"/>
      <c r="AC25" s="366"/>
      <c r="AD25" s="273"/>
      <c r="AE25" s="366"/>
      <c r="AF25" s="273"/>
      <c r="AG25" s="366"/>
      <c r="AH25" s="273"/>
      <c r="AI25" s="366"/>
      <c r="AJ25" s="273"/>
      <c r="AK25" s="366"/>
      <c r="AL25" s="429"/>
    </row>
    <row r="26">
      <c r="A26" s="322" t="s">
        <v>165</v>
      </c>
      <c r="B26" s="430" t="s">
        <v>1122</v>
      </c>
      <c r="C26" s="370"/>
      <c r="D26" s="328"/>
      <c r="E26" s="370"/>
      <c r="F26" s="328"/>
      <c r="G26" s="370"/>
      <c r="H26" s="328"/>
      <c r="I26" s="370"/>
      <c r="J26" s="328"/>
      <c r="K26" s="370"/>
      <c r="L26" s="328"/>
      <c r="M26" s="370"/>
      <c r="N26" s="431" t="s">
        <v>1160</v>
      </c>
      <c r="O26" s="370"/>
      <c r="P26" s="330" t="s">
        <v>1160</v>
      </c>
      <c r="Q26" s="370"/>
      <c r="R26" s="432">
        <v>8.0</v>
      </c>
      <c r="S26" s="433" t="s">
        <v>519</v>
      </c>
      <c r="T26" s="19">
        <v>2.0</v>
      </c>
      <c r="V26" s="332" t="s">
        <v>165</v>
      </c>
      <c r="W26" s="434">
        <v>19.0</v>
      </c>
      <c r="X26" s="435" t="s">
        <v>477</v>
      </c>
      <c r="Y26" s="435" t="s">
        <v>1161</v>
      </c>
      <c r="Z26" s="436">
        <v>24936.0</v>
      </c>
      <c r="AA26" s="437" t="s">
        <v>1162</v>
      </c>
      <c r="AB26" s="438"/>
      <c r="AC26" s="321"/>
      <c r="AD26" s="438"/>
      <c r="AE26" s="321"/>
      <c r="AF26" s="438"/>
      <c r="AG26" s="321"/>
      <c r="AH26" s="438"/>
      <c r="AI26" s="321"/>
      <c r="AJ26" s="438"/>
      <c r="AK26" s="321"/>
      <c r="AL26" s="429"/>
    </row>
    <row r="27">
      <c r="A27" s="288"/>
      <c r="B27" s="439"/>
      <c r="C27" s="440"/>
      <c r="D27" s="441"/>
      <c r="E27" s="442"/>
      <c r="F27" s="441"/>
      <c r="G27" s="442"/>
      <c r="H27" s="441"/>
      <c r="I27" s="442"/>
      <c r="J27" s="441"/>
      <c r="K27" s="442"/>
      <c r="L27" s="441"/>
      <c r="M27" s="442"/>
      <c r="N27" s="441"/>
      <c r="O27" s="442"/>
      <c r="P27" s="441"/>
      <c r="Q27" s="440"/>
      <c r="R27" s="443">
        <v>9.0</v>
      </c>
      <c r="S27" s="331" t="s">
        <v>370</v>
      </c>
      <c r="T27" s="19">
        <v>3.0</v>
      </c>
      <c r="V27" s="296"/>
      <c r="W27" s="444"/>
      <c r="X27" s="445"/>
      <c r="Y27" s="445"/>
      <c r="Z27" s="444"/>
      <c r="AA27" s="349"/>
      <c r="AB27" s="286"/>
      <c r="AC27" s="350"/>
      <c r="AD27" s="286"/>
      <c r="AE27" s="350"/>
      <c r="AF27" s="286"/>
      <c r="AG27" s="350"/>
      <c r="AH27" s="286"/>
      <c r="AI27" s="350"/>
      <c r="AJ27" s="446"/>
      <c r="AK27" s="350"/>
      <c r="AL27" s="287"/>
    </row>
    <row r="28">
      <c r="A28" s="288"/>
      <c r="B28" s="447"/>
      <c r="C28" s="448"/>
      <c r="D28" s="449" t="s">
        <v>1163</v>
      </c>
      <c r="E28" s="450"/>
      <c r="F28" s="449" t="s">
        <v>1163</v>
      </c>
      <c r="G28" s="450"/>
      <c r="H28" s="449" t="s">
        <v>1163</v>
      </c>
      <c r="I28" s="450"/>
      <c r="J28" s="449" t="s">
        <v>1163</v>
      </c>
      <c r="K28" s="450"/>
      <c r="L28" s="449" t="s">
        <v>1163</v>
      </c>
      <c r="M28" s="450"/>
      <c r="N28" s="449" t="s">
        <v>1163</v>
      </c>
      <c r="O28" s="450"/>
      <c r="P28" s="449" t="s">
        <v>1163</v>
      </c>
      <c r="Q28" s="450"/>
      <c r="R28" s="380">
        <v>18.0</v>
      </c>
      <c r="S28" s="341" t="s">
        <v>520</v>
      </c>
      <c r="T28" s="19">
        <v>4.0</v>
      </c>
      <c r="V28" s="296"/>
      <c r="W28" s="424"/>
      <c r="X28" s="451"/>
      <c r="Y28" s="451"/>
      <c r="Z28" s="424"/>
      <c r="AA28" s="349"/>
      <c r="AB28" s="286"/>
      <c r="AC28" s="350"/>
      <c r="AD28" s="286"/>
      <c r="AE28" s="350"/>
      <c r="AF28" s="286"/>
      <c r="AG28" s="350"/>
      <c r="AH28" s="286"/>
      <c r="AI28" s="350"/>
      <c r="AJ28" s="446"/>
      <c r="AK28" s="350"/>
      <c r="AL28" s="287"/>
    </row>
    <row r="29">
      <c r="A29" s="308"/>
      <c r="B29" s="452"/>
      <c r="C29" s="453"/>
      <c r="D29" s="454"/>
      <c r="E29" s="455"/>
      <c r="F29" s="454"/>
      <c r="G29" s="455"/>
      <c r="H29" s="454"/>
      <c r="I29" s="455"/>
      <c r="J29" s="454"/>
      <c r="K29" s="455"/>
      <c r="L29" s="454"/>
      <c r="M29" s="455"/>
      <c r="N29" s="454"/>
      <c r="O29" s="455"/>
      <c r="P29" s="454"/>
      <c r="Q29" s="455"/>
      <c r="R29" s="380">
        <v>19.0</v>
      </c>
      <c r="S29" s="456" t="s">
        <v>521</v>
      </c>
      <c r="T29" s="19"/>
      <c r="V29" s="317"/>
      <c r="W29" s="457"/>
      <c r="X29" s="458"/>
      <c r="Y29" s="458"/>
      <c r="Z29" s="457"/>
      <c r="AA29" s="349"/>
      <c r="AB29" s="286"/>
      <c r="AC29" s="350"/>
      <c r="AD29" s="286"/>
      <c r="AE29" s="350"/>
      <c r="AF29" s="286"/>
      <c r="AG29" s="350"/>
      <c r="AH29" s="286"/>
      <c r="AI29" s="350"/>
      <c r="AJ29" s="446"/>
      <c r="AK29" s="350"/>
      <c r="AL29" s="287"/>
    </row>
    <row r="30">
      <c r="A30" s="322" t="s">
        <v>169</v>
      </c>
      <c r="B30" s="459"/>
      <c r="C30" s="460"/>
      <c r="D30" s="461"/>
      <c r="E30" s="462"/>
      <c r="F30" s="461"/>
      <c r="G30" s="462"/>
      <c r="H30" s="461"/>
      <c r="I30" s="462"/>
      <c r="J30" s="461"/>
      <c r="K30" s="462"/>
      <c r="L30" s="463" t="s">
        <v>523</v>
      </c>
      <c r="M30" s="462"/>
      <c r="N30" s="464" t="s">
        <v>523</v>
      </c>
      <c r="O30" s="462"/>
      <c r="P30" s="464" t="s">
        <v>523</v>
      </c>
      <c r="Q30" s="465"/>
      <c r="R30" s="466">
        <v>15.0</v>
      </c>
      <c r="S30" s="467" t="s">
        <v>522</v>
      </c>
      <c r="T30" s="468">
        <v>4.1</v>
      </c>
      <c r="V30" s="469" t="s">
        <v>169</v>
      </c>
      <c r="W30" s="470"/>
      <c r="X30" s="471"/>
      <c r="Y30" s="471"/>
      <c r="Z30" s="472"/>
      <c r="AA30" s="349"/>
      <c r="AB30" s="366"/>
      <c r="AD30" s="366"/>
      <c r="AE30" s="350"/>
      <c r="AF30" s="366"/>
      <c r="AG30" s="366"/>
      <c r="AH30" s="366"/>
      <c r="AI30" s="366"/>
      <c r="AJ30" s="366"/>
      <c r="AK30" s="366"/>
      <c r="AL30" s="473"/>
    </row>
    <row r="31">
      <c r="A31" s="308"/>
      <c r="B31" s="474"/>
      <c r="C31" s="475"/>
      <c r="D31" s="461"/>
      <c r="E31" s="462"/>
      <c r="F31" s="461"/>
      <c r="G31" s="476"/>
      <c r="H31" s="461"/>
      <c r="I31" s="462"/>
      <c r="J31" s="461"/>
      <c r="K31" s="462"/>
      <c r="L31" s="463"/>
      <c r="M31" s="462"/>
      <c r="N31" s="464"/>
      <c r="O31" s="462"/>
      <c r="P31" s="464"/>
      <c r="Q31" s="477"/>
      <c r="R31" s="466">
        <v>17.0</v>
      </c>
      <c r="S31" s="305" t="s">
        <v>523</v>
      </c>
      <c r="T31" s="19">
        <v>2.0</v>
      </c>
      <c r="V31" s="332" t="s">
        <v>177</v>
      </c>
      <c r="W31" s="434"/>
      <c r="X31" s="478"/>
      <c r="Y31" s="478"/>
      <c r="Z31" s="434"/>
      <c r="AA31" s="349"/>
      <c r="AB31" s="366"/>
      <c r="AD31" s="366"/>
      <c r="AE31" s="350"/>
      <c r="AF31" s="366"/>
      <c r="AG31" s="366"/>
      <c r="AH31" s="366"/>
      <c r="AI31" s="366"/>
      <c r="AJ31" s="366"/>
      <c r="AK31" s="366"/>
      <c r="AL31" s="473"/>
    </row>
    <row r="32">
      <c r="A32" s="322" t="s">
        <v>177</v>
      </c>
      <c r="B32" s="479"/>
      <c r="C32" s="407"/>
      <c r="D32" s="354" t="s">
        <v>525</v>
      </c>
      <c r="E32" s="314"/>
      <c r="F32" s="354" t="s">
        <v>525</v>
      </c>
      <c r="G32" s="359"/>
      <c r="H32" s="354" t="s">
        <v>525</v>
      </c>
      <c r="I32" s="402"/>
      <c r="J32" s="354" t="s">
        <v>525</v>
      </c>
      <c r="K32" s="402"/>
      <c r="L32" s="354" t="s">
        <v>525</v>
      </c>
      <c r="M32" s="402"/>
      <c r="N32" s="354" t="s">
        <v>525</v>
      </c>
      <c r="O32" s="402"/>
      <c r="P32" s="354" t="s">
        <v>525</v>
      </c>
      <c r="Q32" s="427"/>
      <c r="R32" s="480">
        <v>17.0</v>
      </c>
      <c r="S32" s="481" t="s">
        <v>524</v>
      </c>
      <c r="T32" s="19">
        <v>2.0</v>
      </c>
      <c r="V32" s="296"/>
      <c r="W32" s="364"/>
      <c r="X32" s="482"/>
      <c r="Y32" s="482"/>
      <c r="Z32" s="364"/>
      <c r="AA32" s="349"/>
      <c r="AB32" s="366"/>
      <c r="AC32" s="366"/>
      <c r="AD32" s="366"/>
      <c r="AE32" s="366"/>
      <c r="AF32" s="366"/>
      <c r="AG32" s="366"/>
      <c r="AH32" s="366"/>
      <c r="AI32" s="366"/>
      <c r="AJ32" s="366"/>
      <c r="AK32" s="366"/>
      <c r="AL32" s="349"/>
    </row>
    <row r="33">
      <c r="A33" s="308"/>
      <c r="B33" s="426"/>
      <c r="C33" s="427"/>
      <c r="D33" s="354"/>
      <c r="E33" s="402"/>
      <c r="F33" s="354"/>
      <c r="G33" s="402"/>
      <c r="H33" s="354"/>
      <c r="I33" s="402"/>
      <c r="J33" s="354"/>
      <c r="K33" s="402"/>
      <c r="L33" s="354"/>
      <c r="M33" s="402"/>
      <c r="N33" s="353" t="s">
        <v>524</v>
      </c>
      <c r="O33" s="402"/>
      <c r="P33" s="354" t="s">
        <v>524</v>
      </c>
      <c r="Q33" s="427"/>
      <c r="R33" s="357">
        <v>18.0</v>
      </c>
      <c r="S33" s="356" t="s">
        <v>525</v>
      </c>
      <c r="T33" s="19">
        <v>5.0</v>
      </c>
      <c r="V33" s="317"/>
      <c r="W33" s="357"/>
      <c r="X33" s="404"/>
      <c r="Y33" s="404"/>
      <c r="Z33" s="357"/>
      <c r="AA33" s="483"/>
      <c r="AB33" s="132"/>
      <c r="AC33" s="484"/>
      <c r="AD33" s="132"/>
      <c r="AE33" s="484"/>
      <c r="AF33" s="132"/>
      <c r="AG33" s="484"/>
      <c r="AH33" s="132"/>
      <c r="AI33" s="484"/>
      <c r="AJ33" s="132"/>
      <c r="AK33" s="484"/>
      <c r="AL33" s="485"/>
    </row>
    <row r="34">
      <c r="A34" s="486" t="s">
        <v>1164</v>
      </c>
      <c r="B34" s="487"/>
      <c r="C34" s="488">
        <f>SUM(C9:C33)</f>
        <v>0</v>
      </c>
      <c r="D34" s="489"/>
      <c r="E34" s="490">
        <f>SUM(E9:E33)</f>
        <v>0</v>
      </c>
      <c r="F34" s="487"/>
      <c r="G34" s="490">
        <f>SUM(G9:G33)</f>
        <v>0</v>
      </c>
      <c r="H34" s="487"/>
      <c r="I34" s="490">
        <f>SUM(I9:I33)</f>
        <v>0</v>
      </c>
      <c r="J34" s="487"/>
      <c r="K34" s="490">
        <f>SUM(K9:K33)</f>
        <v>0</v>
      </c>
      <c r="L34" s="487"/>
      <c r="M34" s="490">
        <f>SUM(M9:M33)</f>
        <v>0</v>
      </c>
      <c r="N34" s="487"/>
      <c r="O34" s="490">
        <f>SUM(O9:O33)</f>
        <v>0</v>
      </c>
      <c r="P34" s="487"/>
      <c r="Q34" s="490">
        <f>SUM(Q9:Q33)</f>
        <v>0</v>
      </c>
      <c r="R34" s="491"/>
      <c r="S34" s="492"/>
      <c r="V34" s="493" t="s">
        <v>1164</v>
      </c>
      <c r="W34" s="494"/>
      <c r="X34" s="495"/>
      <c r="Y34" s="495"/>
      <c r="Z34" s="494"/>
      <c r="AA34" s="251"/>
    </row>
    <row r="35">
      <c r="R35" s="496"/>
      <c r="T35">
        <f>SUM(T5:T33)</f>
        <v>62.2</v>
      </c>
      <c r="V35" s="249"/>
      <c r="W35" s="496"/>
      <c r="AA35" s="251"/>
    </row>
    <row r="36">
      <c r="AA36" s="251"/>
    </row>
    <row r="37">
      <c r="AA37" s="251"/>
    </row>
    <row r="38">
      <c r="AA38" s="251"/>
    </row>
    <row r="39">
      <c r="AA39" s="251"/>
    </row>
    <row r="40">
      <c r="AA40" s="251"/>
    </row>
    <row r="41">
      <c r="AA41" s="251"/>
    </row>
    <row r="42">
      <c r="AA42" s="251"/>
    </row>
    <row r="43">
      <c r="AA43" s="251"/>
    </row>
    <row r="44">
      <c r="AA44" s="251"/>
    </row>
    <row r="45">
      <c r="AA45" s="251"/>
    </row>
    <row r="46">
      <c r="AA46" s="251"/>
    </row>
    <row r="47">
      <c r="AA47" s="251"/>
    </row>
    <row r="48">
      <c r="AA48" s="251"/>
    </row>
    <row r="49">
      <c r="AA49" s="251"/>
    </row>
    <row r="50">
      <c r="AA50" s="251"/>
    </row>
    <row r="51">
      <c r="AA51" s="251"/>
    </row>
    <row r="52">
      <c r="AA52" s="251"/>
    </row>
    <row r="53">
      <c r="AA53" s="251"/>
    </row>
    <row r="54">
      <c r="AA54" s="251"/>
    </row>
    <row r="55">
      <c r="AA55" s="251"/>
    </row>
    <row r="56">
      <c r="AA56" s="251"/>
    </row>
    <row r="57">
      <c r="AA57" s="251"/>
    </row>
    <row r="58">
      <c r="AA58" s="251"/>
    </row>
    <row r="59">
      <c r="AA59" s="251"/>
    </row>
    <row r="60">
      <c r="AA60" s="251"/>
    </row>
    <row r="61">
      <c r="AA61" s="251"/>
    </row>
    <row r="62">
      <c r="AA62" s="251"/>
    </row>
    <row r="63">
      <c r="AA63" s="251"/>
    </row>
    <row r="64">
      <c r="AA64" s="251"/>
    </row>
    <row r="65">
      <c r="AA65" s="251"/>
    </row>
    <row r="66">
      <c r="AA66" s="251"/>
    </row>
    <row r="67">
      <c r="AA67" s="251"/>
    </row>
    <row r="68">
      <c r="AA68" s="251"/>
    </row>
    <row r="69">
      <c r="AA69" s="251"/>
    </row>
    <row r="70">
      <c r="AA70" s="251"/>
    </row>
    <row r="71">
      <c r="AA71" s="251"/>
    </row>
    <row r="72">
      <c r="AA72" s="251"/>
    </row>
    <row r="73">
      <c r="AA73" s="251"/>
    </row>
    <row r="74">
      <c r="AA74" s="251"/>
    </row>
    <row r="75">
      <c r="AA75" s="251"/>
    </row>
    <row r="76">
      <c r="AA76" s="251"/>
    </row>
    <row r="77">
      <c r="AA77" s="251"/>
    </row>
    <row r="78">
      <c r="AA78" s="251"/>
    </row>
    <row r="79">
      <c r="AA79" s="251"/>
    </row>
    <row r="80">
      <c r="AA80" s="251"/>
    </row>
    <row r="81">
      <c r="AA81" s="251"/>
    </row>
    <row r="82">
      <c r="AA82" s="251"/>
    </row>
    <row r="83">
      <c r="AA83" s="251"/>
    </row>
    <row r="84">
      <c r="AA84" s="251"/>
    </row>
    <row r="85">
      <c r="AA85" s="251"/>
    </row>
    <row r="86">
      <c r="AA86" s="251"/>
    </row>
    <row r="87">
      <c r="AA87" s="251"/>
    </row>
    <row r="88">
      <c r="AA88" s="251"/>
    </row>
    <row r="89">
      <c r="AA89" s="251"/>
    </row>
    <row r="90">
      <c r="AA90" s="251"/>
    </row>
    <row r="91">
      <c r="AA91" s="251"/>
    </row>
    <row r="92">
      <c r="AA92" s="251"/>
    </row>
    <row r="93">
      <c r="AA93" s="251"/>
    </row>
    <row r="94">
      <c r="AA94" s="251"/>
    </row>
    <row r="95">
      <c r="AA95" s="251"/>
    </row>
    <row r="96">
      <c r="AA96" s="251"/>
    </row>
    <row r="97">
      <c r="AA97" s="251"/>
    </row>
    <row r="98">
      <c r="AA98" s="251"/>
    </row>
    <row r="99">
      <c r="AA99" s="251"/>
    </row>
    <row r="100">
      <c r="AA100" s="251"/>
    </row>
    <row r="101">
      <c r="AA101" s="251"/>
    </row>
    <row r="102">
      <c r="AA102" s="251"/>
    </row>
    <row r="103">
      <c r="AA103" s="251"/>
    </row>
    <row r="104">
      <c r="AA104" s="251"/>
    </row>
    <row r="105">
      <c r="AA105" s="251"/>
    </row>
    <row r="106">
      <c r="AA106" s="251"/>
    </row>
    <row r="107">
      <c r="AA107" s="251"/>
    </row>
    <row r="108">
      <c r="AA108" s="251"/>
    </row>
    <row r="109">
      <c r="AA109" s="251"/>
    </row>
    <row r="110">
      <c r="AA110" s="251"/>
    </row>
    <row r="111">
      <c r="AA111" s="251"/>
    </row>
    <row r="112">
      <c r="AA112" s="251"/>
    </row>
    <row r="113">
      <c r="AA113" s="251"/>
    </row>
    <row r="114">
      <c r="AA114" s="251"/>
    </row>
    <row r="115">
      <c r="AA115" s="251"/>
    </row>
    <row r="116">
      <c r="AA116" s="251"/>
    </row>
    <row r="117">
      <c r="AA117" s="251"/>
    </row>
    <row r="118">
      <c r="AA118" s="251"/>
    </row>
    <row r="119">
      <c r="AA119" s="251"/>
    </row>
    <row r="120">
      <c r="AA120" s="251"/>
    </row>
    <row r="121">
      <c r="AA121" s="251"/>
    </row>
    <row r="122">
      <c r="AA122" s="251"/>
    </row>
    <row r="123">
      <c r="AA123" s="251"/>
    </row>
    <row r="124">
      <c r="AA124" s="251"/>
    </row>
    <row r="125">
      <c r="AA125" s="251"/>
    </row>
    <row r="126">
      <c r="AA126" s="251"/>
    </row>
    <row r="127">
      <c r="AA127" s="251"/>
    </row>
    <row r="128">
      <c r="AA128" s="251"/>
    </row>
    <row r="129">
      <c r="AA129" s="251"/>
    </row>
    <row r="130">
      <c r="AA130" s="251"/>
    </row>
    <row r="131">
      <c r="AA131" s="251"/>
    </row>
    <row r="132">
      <c r="AA132" s="251"/>
    </row>
    <row r="133">
      <c r="AA133" s="251"/>
    </row>
    <row r="134">
      <c r="AA134" s="251"/>
    </row>
    <row r="135">
      <c r="AA135" s="251"/>
    </row>
    <row r="136">
      <c r="AA136" s="251"/>
    </row>
    <row r="137">
      <c r="AA137" s="251"/>
    </row>
    <row r="138">
      <c r="AA138" s="251"/>
    </row>
    <row r="139">
      <c r="AA139" s="251"/>
    </row>
    <row r="140">
      <c r="AA140" s="251"/>
    </row>
    <row r="141">
      <c r="AA141" s="251"/>
    </row>
    <row r="142">
      <c r="AA142" s="251"/>
    </row>
    <row r="143">
      <c r="AA143" s="251"/>
    </row>
    <row r="144">
      <c r="AA144" s="251"/>
    </row>
    <row r="145">
      <c r="AA145" s="251"/>
    </row>
    <row r="146">
      <c r="AA146" s="251"/>
    </row>
    <row r="147">
      <c r="AA147" s="251"/>
    </row>
    <row r="148">
      <c r="AA148" s="251"/>
    </row>
    <row r="149">
      <c r="AA149" s="251"/>
    </row>
    <row r="150">
      <c r="AA150" s="251"/>
    </row>
    <row r="151">
      <c r="AA151" s="251"/>
    </row>
    <row r="152">
      <c r="AA152" s="251"/>
    </row>
    <row r="153">
      <c r="AA153" s="251"/>
    </row>
    <row r="154">
      <c r="AA154" s="251"/>
    </row>
    <row r="155">
      <c r="AA155" s="251"/>
    </row>
    <row r="156">
      <c r="AA156" s="251"/>
    </row>
    <row r="157">
      <c r="AA157" s="251"/>
    </row>
    <row r="158">
      <c r="AA158" s="251"/>
    </row>
    <row r="159">
      <c r="AA159" s="251"/>
    </row>
    <row r="160">
      <c r="AA160" s="251"/>
    </row>
    <row r="161">
      <c r="AA161" s="251"/>
    </row>
    <row r="162">
      <c r="AA162" s="251"/>
    </row>
    <row r="163">
      <c r="AA163" s="251"/>
    </row>
    <row r="164">
      <c r="AA164" s="251"/>
    </row>
    <row r="165">
      <c r="AA165" s="251"/>
    </row>
    <row r="166">
      <c r="AA166" s="251"/>
    </row>
    <row r="167">
      <c r="AA167" s="251"/>
    </row>
    <row r="168">
      <c r="AA168" s="251"/>
    </row>
    <row r="169">
      <c r="AA169" s="251"/>
    </row>
    <row r="170">
      <c r="AA170" s="251"/>
    </row>
    <row r="171">
      <c r="AA171" s="251"/>
    </row>
    <row r="172">
      <c r="AA172" s="251"/>
    </row>
    <row r="173">
      <c r="AA173" s="251"/>
    </row>
    <row r="174">
      <c r="AA174" s="251"/>
    </row>
    <row r="175">
      <c r="AA175" s="251"/>
    </row>
    <row r="176">
      <c r="AA176" s="251"/>
    </row>
    <row r="177">
      <c r="AA177" s="251"/>
    </row>
    <row r="178">
      <c r="AA178" s="251"/>
    </row>
    <row r="179">
      <c r="AA179" s="251"/>
    </row>
    <row r="180">
      <c r="AA180" s="251"/>
    </row>
    <row r="181">
      <c r="AA181" s="251"/>
    </row>
    <row r="182">
      <c r="AA182" s="251"/>
    </row>
    <row r="183">
      <c r="AA183" s="251"/>
    </row>
    <row r="184">
      <c r="AA184" s="251"/>
    </row>
    <row r="185">
      <c r="AA185" s="251"/>
    </row>
    <row r="186">
      <c r="AA186" s="251"/>
    </row>
    <row r="187">
      <c r="AA187" s="251"/>
    </row>
    <row r="188">
      <c r="AA188" s="251"/>
    </row>
    <row r="189">
      <c r="AA189" s="251"/>
    </row>
    <row r="190">
      <c r="AA190" s="251"/>
    </row>
    <row r="191">
      <c r="AA191" s="251"/>
    </row>
    <row r="192">
      <c r="AA192" s="251"/>
    </row>
    <row r="193">
      <c r="AA193" s="251"/>
    </row>
    <row r="194">
      <c r="AA194" s="251"/>
    </row>
    <row r="195">
      <c r="AA195" s="251"/>
    </row>
    <row r="196">
      <c r="AA196" s="251"/>
    </row>
    <row r="197">
      <c r="AA197" s="251"/>
    </row>
    <row r="198">
      <c r="AA198" s="251"/>
    </row>
    <row r="199">
      <c r="AA199" s="251"/>
    </row>
    <row r="200">
      <c r="AA200" s="251"/>
    </row>
    <row r="201">
      <c r="AA201" s="251"/>
    </row>
    <row r="202">
      <c r="AA202" s="251"/>
    </row>
    <row r="203">
      <c r="AA203" s="251"/>
    </row>
    <row r="204">
      <c r="AA204" s="251"/>
    </row>
    <row r="205">
      <c r="AA205" s="251"/>
    </row>
    <row r="206">
      <c r="AA206" s="251"/>
    </row>
    <row r="207">
      <c r="AA207" s="251"/>
    </row>
    <row r="208">
      <c r="AA208" s="251"/>
    </row>
    <row r="209">
      <c r="AA209" s="251"/>
    </row>
    <row r="210">
      <c r="AA210" s="251"/>
    </row>
    <row r="211">
      <c r="AA211" s="251"/>
    </row>
    <row r="212">
      <c r="AA212" s="251"/>
    </row>
    <row r="213">
      <c r="AA213" s="251"/>
    </row>
    <row r="214">
      <c r="AA214" s="251"/>
    </row>
    <row r="215">
      <c r="AA215" s="251"/>
    </row>
    <row r="216">
      <c r="AA216" s="251"/>
    </row>
    <row r="217">
      <c r="AA217" s="251"/>
    </row>
    <row r="218">
      <c r="AA218" s="251"/>
    </row>
    <row r="219">
      <c r="AA219" s="251"/>
    </row>
    <row r="220">
      <c r="AA220" s="251"/>
    </row>
    <row r="221">
      <c r="AA221" s="251"/>
    </row>
    <row r="222">
      <c r="AA222" s="251"/>
    </row>
    <row r="223">
      <c r="AA223" s="251"/>
    </row>
    <row r="224">
      <c r="AA224" s="251"/>
    </row>
    <row r="225">
      <c r="AA225" s="251"/>
    </row>
    <row r="226">
      <c r="AA226" s="251"/>
    </row>
    <row r="227">
      <c r="AA227" s="251"/>
    </row>
    <row r="228">
      <c r="AA228" s="251"/>
    </row>
    <row r="229">
      <c r="AA229" s="251"/>
    </row>
    <row r="230">
      <c r="AA230" s="251"/>
    </row>
    <row r="231">
      <c r="AA231" s="251"/>
    </row>
    <row r="232">
      <c r="AA232" s="251"/>
    </row>
    <row r="233">
      <c r="AA233" s="251"/>
    </row>
    <row r="234">
      <c r="AA234" s="251"/>
    </row>
    <row r="235">
      <c r="AA235" s="251"/>
    </row>
    <row r="236">
      <c r="AA236" s="251"/>
    </row>
    <row r="237">
      <c r="AA237" s="251"/>
    </row>
    <row r="238">
      <c r="AA238" s="251"/>
    </row>
    <row r="239">
      <c r="AA239" s="251"/>
    </row>
    <row r="240">
      <c r="AA240" s="251"/>
    </row>
    <row r="241">
      <c r="AA241" s="251"/>
    </row>
    <row r="242">
      <c r="AA242" s="251"/>
    </row>
    <row r="243">
      <c r="AA243" s="251"/>
    </row>
    <row r="244">
      <c r="AA244" s="251"/>
    </row>
    <row r="245">
      <c r="AA245" s="251"/>
    </row>
    <row r="246">
      <c r="AA246" s="251"/>
    </row>
    <row r="247">
      <c r="AA247" s="251"/>
    </row>
    <row r="248">
      <c r="AA248" s="251"/>
    </row>
    <row r="249">
      <c r="AA249" s="251"/>
    </row>
    <row r="250">
      <c r="AA250" s="251"/>
    </row>
    <row r="251">
      <c r="AA251" s="251"/>
    </row>
    <row r="252">
      <c r="AA252" s="251"/>
    </row>
    <row r="253">
      <c r="AA253" s="251"/>
    </row>
    <row r="254">
      <c r="AA254" s="251"/>
    </row>
    <row r="255">
      <c r="AA255" s="251"/>
    </row>
    <row r="256">
      <c r="AA256" s="251"/>
    </row>
    <row r="257">
      <c r="AA257" s="251"/>
    </row>
    <row r="258">
      <c r="AA258" s="251"/>
    </row>
    <row r="259">
      <c r="AA259" s="251"/>
    </row>
    <row r="260">
      <c r="AA260" s="251"/>
    </row>
    <row r="261">
      <c r="AA261" s="251"/>
    </row>
    <row r="262">
      <c r="AA262" s="251"/>
    </row>
    <row r="263">
      <c r="AA263" s="251"/>
    </row>
    <row r="264">
      <c r="AA264" s="251"/>
    </row>
    <row r="265">
      <c r="AA265" s="251"/>
    </row>
    <row r="266">
      <c r="AA266" s="251"/>
    </row>
    <row r="267">
      <c r="AA267" s="251"/>
    </row>
    <row r="268">
      <c r="AA268" s="251"/>
    </row>
    <row r="269">
      <c r="AA269" s="251"/>
    </row>
    <row r="270">
      <c r="AA270" s="251"/>
    </row>
    <row r="271">
      <c r="AA271" s="251"/>
    </row>
    <row r="272">
      <c r="AA272" s="251"/>
    </row>
    <row r="273">
      <c r="AA273" s="251"/>
    </row>
    <row r="274">
      <c r="AA274" s="251"/>
    </row>
    <row r="275">
      <c r="AA275" s="251"/>
    </row>
    <row r="276">
      <c r="AA276" s="251"/>
    </row>
    <row r="277">
      <c r="AA277" s="251"/>
    </row>
    <row r="278">
      <c r="AA278" s="251"/>
    </row>
    <row r="279">
      <c r="AA279" s="251"/>
    </row>
    <row r="280">
      <c r="AA280" s="251"/>
    </row>
    <row r="281">
      <c r="AA281" s="251"/>
    </row>
    <row r="282">
      <c r="AA282" s="251"/>
    </row>
    <row r="283">
      <c r="AA283" s="251"/>
    </row>
    <row r="284">
      <c r="AA284" s="251"/>
    </row>
    <row r="285">
      <c r="AA285" s="251"/>
    </row>
    <row r="286">
      <c r="AA286" s="251"/>
    </row>
    <row r="287">
      <c r="AA287" s="251"/>
    </row>
    <row r="288">
      <c r="AA288" s="251"/>
    </row>
    <row r="289">
      <c r="AA289" s="251"/>
    </row>
    <row r="290">
      <c r="AA290" s="251"/>
    </row>
    <row r="291">
      <c r="AA291" s="251"/>
    </row>
    <row r="292">
      <c r="AA292" s="251"/>
    </row>
    <row r="293">
      <c r="AA293" s="251"/>
    </row>
    <row r="294">
      <c r="AA294" s="251"/>
    </row>
    <row r="295">
      <c r="AA295" s="251"/>
    </row>
    <row r="296">
      <c r="AA296" s="251"/>
    </row>
    <row r="297">
      <c r="AA297" s="251"/>
    </row>
    <row r="298">
      <c r="AA298" s="251"/>
    </row>
    <row r="299">
      <c r="AA299" s="251"/>
    </row>
    <row r="300">
      <c r="AA300" s="251"/>
    </row>
    <row r="301">
      <c r="AA301" s="251"/>
    </row>
    <row r="302">
      <c r="AA302" s="251"/>
    </row>
    <row r="303">
      <c r="AA303" s="251"/>
    </row>
    <row r="304">
      <c r="AA304" s="251"/>
    </row>
    <row r="305">
      <c r="AA305" s="251"/>
    </row>
    <row r="306">
      <c r="AA306" s="251"/>
    </row>
    <row r="307">
      <c r="AA307" s="251"/>
    </row>
    <row r="308">
      <c r="AA308" s="251"/>
    </row>
    <row r="309">
      <c r="AA309" s="251"/>
    </row>
    <row r="310">
      <c r="AA310" s="251"/>
    </row>
    <row r="311">
      <c r="AA311" s="251"/>
    </row>
    <row r="312">
      <c r="AA312" s="251"/>
    </row>
    <row r="313">
      <c r="AA313" s="251"/>
    </row>
    <row r="314">
      <c r="AA314" s="251"/>
    </row>
    <row r="315">
      <c r="AA315" s="251"/>
    </row>
    <row r="316">
      <c r="AA316" s="251"/>
    </row>
    <row r="317">
      <c r="AA317" s="251"/>
    </row>
    <row r="318">
      <c r="AA318" s="251"/>
    </row>
    <row r="319">
      <c r="AA319" s="251"/>
    </row>
    <row r="320">
      <c r="AA320" s="251"/>
    </row>
    <row r="321">
      <c r="AA321" s="251"/>
    </row>
    <row r="322">
      <c r="AA322" s="251"/>
    </row>
    <row r="323">
      <c r="AA323" s="251"/>
    </row>
    <row r="324">
      <c r="AA324" s="251"/>
    </row>
    <row r="325">
      <c r="AA325" s="251"/>
    </row>
    <row r="326">
      <c r="AA326" s="251"/>
    </row>
    <row r="327">
      <c r="AA327" s="251"/>
    </row>
    <row r="328">
      <c r="AA328" s="251"/>
    </row>
    <row r="329">
      <c r="AA329" s="251"/>
    </row>
    <row r="330">
      <c r="AA330" s="251"/>
    </row>
    <row r="331">
      <c r="AA331" s="251"/>
    </row>
    <row r="332">
      <c r="AA332" s="251"/>
    </row>
    <row r="333">
      <c r="AA333" s="251"/>
    </row>
    <row r="334">
      <c r="AA334" s="251"/>
    </row>
    <row r="335">
      <c r="AA335" s="251"/>
    </row>
    <row r="336">
      <c r="AA336" s="251"/>
    </row>
    <row r="337">
      <c r="AA337" s="251"/>
    </row>
    <row r="338">
      <c r="AA338" s="251"/>
    </row>
    <row r="339">
      <c r="AA339" s="251"/>
    </row>
    <row r="340">
      <c r="AA340" s="251"/>
    </row>
    <row r="341">
      <c r="AA341" s="251"/>
    </row>
    <row r="342">
      <c r="AA342" s="251"/>
    </row>
    <row r="343">
      <c r="AA343" s="251"/>
    </row>
    <row r="344">
      <c r="AA344" s="251"/>
    </row>
    <row r="345">
      <c r="AA345" s="251"/>
    </row>
    <row r="346">
      <c r="AA346" s="251"/>
    </row>
    <row r="347">
      <c r="AA347" s="251"/>
    </row>
    <row r="348">
      <c r="AA348" s="251"/>
    </row>
    <row r="349">
      <c r="AA349" s="251"/>
    </row>
    <row r="350">
      <c r="AA350" s="251"/>
    </row>
    <row r="351">
      <c r="AA351" s="251"/>
    </row>
    <row r="352">
      <c r="AA352" s="251"/>
    </row>
    <row r="353">
      <c r="AA353" s="251"/>
    </row>
    <row r="354">
      <c r="AA354" s="251"/>
    </row>
    <row r="355">
      <c r="AA355" s="251"/>
    </row>
    <row r="356">
      <c r="AA356" s="251"/>
    </row>
    <row r="357">
      <c r="AA357" s="251"/>
    </row>
    <row r="358">
      <c r="AA358" s="251"/>
    </row>
    <row r="359">
      <c r="AA359" s="251"/>
    </row>
    <row r="360">
      <c r="AA360" s="251"/>
    </row>
    <row r="361">
      <c r="AA361" s="251"/>
    </row>
    <row r="362">
      <c r="AA362" s="251"/>
    </row>
    <row r="363">
      <c r="AA363" s="251"/>
    </row>
    <row r="364">
      <c r="AA364" s="251"/>
    </row>
    <row r="365">
      <c r="AA365" s="251"/>
    </row>
    <row r="366">
      <c r="AA366" s="251"/>
    </row>
    <row r="367">
      <c r="AA367" s="251"/>
    </row>
    <row r="368">
      <c r="AA368" s="251"/>
    </row>
    <row r="369">
      <c r="AA369" s="251"/>
    </row>
    <row r="370">
      <c r="AA370" s="251"/>
    </row>
    <row r="371">
      <c r="AA371" s="251"/>
    </row>
    <row r="372">
      <c r="AA372" s="251"/>
    </row>
    <row r="373">
      <c r="AA373" s="251"/>
    </row>
    <row r="374">
      <c r="AA374" s="251"/>
    </row>
    <row r="375">
      <c r="AA375" s="251"/>
    </row>
    <row r="376">
      <c r="AA376" s="251"/>
    </row>
    <row r="377">
      <c r="AA377" s="251"/>
    </row>
    <row r="378">
      <c r="AA378" s="251"/>
    </row>
    <row r="379">
      <c r="AA379" s="251"/>
    </row>
    <row r="380">
      <c r="AA380" s="251"/>
    </row>
    <row r="381">
      <c r="AA381" s="251"/>
    </row>
    <row r="382">
      <c r="AA382" s="251"/>
    </row>
    <row r="383">
      <c r="AA383" s="251"/>
    </row>
    <row r="384">
      <c r="AA384" s="251"/>
    </row>
    <row r="385">
      <c r="AA385" s="251"/>
    </row>
    <row r="386">
      <c r="AA386" s="251"/>
    </row>
    <row r="387">
      <c r="AA387" s="251"/>
    </row>
    <row r="388">
      <c r="AA388" s="251"/>
    </row>
    <row r="389">
      <c r="AA389" s="251"/>
    </row>
    <row r="390">
      <c r="AA390" s="251"/>
    </row>
    <row r="391">
      <c r="AA391" s="251"/>
    </row>
    <row r="392">
      <c r="AA392" s="251"/>
    </row>
    <row r="393">
      <c r="AA393" s="251"/>
    </row>
    <row r="394">
      <c r="AA394" s="251"/>
    </row>
    <row r="395">
      <c r="AA395" s="251"/>
    </row>
    <row r="396">
      <c r="AA396" s="251"/>
    </row>
    <row r="397">
      <c r="AA397" s="251"/>
    </row>
    <row r="398">
      <c r="AA398" s="251"/>
    </row>
    <row r="399">
      <c r="AA399" s="251"/>
    </row>
    <row r="400">
      <c r="AA400" s="251"/>
    </row>
    <row r="401">
      <c r="AA401" s="251"/>
    </row>
    <row r="402">
      <c r="AA402" s="251"/>
    </row>
    <row r="403">
      <c r="AA403" s="251"/>
    </row>
    <row r="404">
      <c r="AA404" s="251"/>
    </row>
    <row r="405">
      <c r="AA405" s="251"/>
    </row>
    <row r="406">
      <c r="AA406" s="251"/>
    </row>
    <row r="407">
      <c r="AA407" s="251"/>
    </row>
    <row r="408">
      <c r="AA408" s="251"/>
    </row>
    <row r="409">
      <c r="AA409" s="251"/>
    </row>
    <row r="410">
      <c r="AA410" s="251"/>
    </row>
    <row r="411">
      <c r="AA411" s="251"/>
    </row>
    <row r="412">
      <c r="AA412" s="251"/>
    </row>
    <row r="413">
      <c r="AA413" s="251"/>
    </row>
    <row r="414">
      <c r="AA414" s="251"/>
    </row>
    <row r="415">
      <c r="AA415" s="251"/>
    </row>
    <row r="416">
      <c r="AA416" s="251"/>
    </row>
    <row r="417">
      <c r="AA417" s="251"/>
    </row>
    <row r="418">
      <c r="AA418" s="251"/>
    </row>
    <row r="419">
      <c r="AA419" s="251"/>
    </row>
    <row r="420">
      <c r="AA420" s="251"/>
    </row>
    <row r="421">
      <c r="AA421" s="251"/>
    </row>
    <row r="422">
      <c r="AA422" s="251"/>
    </row>
    <row r="423">
      <c r="AA423" s="251"/>
    </row>
    <row r="424">
      <c r="AA424" s="251"/>
    </row>
    <row r="425">
      <c r="AA425" s="251"/>
    </row>
    <row r="426">
      <c r="AA426" s="251"/>
    </row>
    <row r="427">
      <c r="AA427" s="251"/>
    </row>
    <row r="428">
      <c r="AA428" s="251"/>
    </row>
    <row r="429">
      <c r="AA429" s="251"/>
    </row>
    <row r="430">
      <c r="AA430" s="251"/>
    </row>
    <row r="431">
      <c r="AA431" s="251"/>
    </row>
    <row r="432">
      <c r="AA432" s="251"/>
    </row>
    <row r="433">
      <c r="AA433" s="251"/>
    </row>
    <row r="434">
      <c r="AA434" s="251"/>
    </row>
    <row r="435">
      <c r="AA435" s="251"/>
    </row>
    <row r="436">
      <c r="AA436" s="251"/>
    </row>
    <row r="437">
      <c r="AA437" s="251"/>
    </row>
    <row r="438">
      <c r="AA438" s="251"/>
    </row>
    <row r="439">
      <c r="AA439" s="251"/>
    </row>
    <row r="440">
      <c r="AA440" s="251"/>
    </row>
    <row r="441">
      <c r="AA441" s="251"/>
    </row>
    <row r="442">
      <c r="AA442" s="251"/>
    </row>
    <row r="443">
      <c r="AA443" s="251"/>
    </row>
    <row r="444">
      <c r="AA444" s="251"/>
    </row>
    <row r="445">
      <c r="AA445" s="251"/>
    </row>
    <row r="446">
      <c r="AA446" s="251"/>
    </row>
    <row r="447">
      <c r="AA447" s="251"/>
    </row>
    <row r="448">
      <c r="AA448" s="251"/>
    </row>
    <row r="449">
      <c r="AA449" s="251"/>
    </row>
    <row r="450">
      <c r="AA450" s="251"/>
    </row>
    <row r="451">
      <c r="AA451" s="251"/>
    </row>
    <row r="452">
      <c r="AA452" s="251"/>
    </row>
    <row r="453">
      <c r="AA453" s="251"/>
    </row>
    <row r="454">
      <c r="AA454" s="251"/>
    </row>
    <row r="455">
      <c r="AA455" s="251"/>
    </row>
    <row r="456">
      <c r="AA456" s="251"/>
    </row>
    <row r="457">
      <c r="AA457" s="251"/>
    </row>
    <row r="458">
      <c r="AA458" s="251"/>
    </row>
    <row r="459">
      <c r="AA459" s="251"/>
    </row>
    <row r="460">
      <c r="AA460" s="251"/>
    </row>
    <row r="461">
      <c r="AA461" s="251"/>
    </row>
    <row r="462">
      <c r="AA462" s="251"/>
    </row>
    <row r="463">
      <c r="AA463" s="251"/>
    </row>
    <row r="464">
      <c r="AA464" s="251"/>
    </row>
    <row r="465">
      <c r="AA465" s="251"/>
    </row>
    <row r="466">
      <c r="AA466" s="251"/>
    </row>
    <row r="467">
      <c r="AA467" s="251"/>
    </row>
    <row r="468">
      <c r="AA468" s="251"/>
    </row>
    <row r="469">
      <c r="AA469" s="251"/>
    </row>
    <row r="470">
      <c r="AA470" s="251"/>
    </row>
    <row r="471">
      <c r="AA471" s="251"/>
    </row>
    <row r="472">
      <c r="AA472" s="251"/>
    </row>
    <row r="473">
      <c r="AA473" s="251"/>
    </row>
    <row r="474">
      <c r="AA474" s="251"/>
    </row>
    <row r="475">
      <c r="AA475" s="251"/>
    </row>
    <row r="476">
      <c r="AA476" s="251"/>
    </row>
    <row r="477">
      <c r="AA477" s="251"/>
    </row>
    <row r="478">
      <c r="AA478" s="251"/>
    </row>
    <row r="479">
      <c r="AA479" s="251"/>
    </row>
    <row r="480">
      <c r="AA480" s="251"/>
    </row>
    <row r="481">
      <c r="AA481" s="251"/>
    </row>
    <row r="482">
      <c r="AA482" s="251"/>
    </row>
    <row r="483">
      <c r="AA483" s="251"/>
    </row>
    <row r="484">
      <c r="AA484" s="251"/>
    </row>
    <row r="485">
      <c r="AA485" s="251"/>
    </row>
    <row r="486">
      <c r="AA486" s="251"/>
    </row>
    <row r="487">
      <c r="AA487" s="251"/>
    </row>
    <row r="488">
      <c r="AA488" s="251"/>
    </row>
    <row r="489">
      <c r="AA489" s="251"/>
    </row>
    <row r="490">
      <c r="AA490" s="251"/>
    </row>
    <row r="491">
      <c r="AA491" s="251"/>
    </row>
    <row r="492">
      <c r="AA492" s="251"/>
    </row>
    <row r="493">
      <c r="AA493" s="251"/>
    </row>
    <row r="494">
      <c r="AA494" s="251"/>
    </row>
    <row r="495">
      <c r="AA495" s="251"/>
    </row>
    <row r="496">
      <c r="AA496" s="251"/>
    </row>
    <row r="497">
      <c r="AA497" s="251"/>
    </row>
    <row r="498">
      <c r="AA498" s="251"/>
    </row>
    <row r="499">
      <c r="AA499" s="251"/>
    </row>
    <row r="500">
      <c r="AA500" s="251"/>
    </row>
    <row r="501">
      <c r="AA501" s="251"/>
    </row>
    <row r="502">
      <c r="AA502" s="251"/>
    </row>
    <row r="503">
      <c r="AA503" s="251"/>
    </row>
    <row r="504">
      <c r="AA504" s="251"/>
    </row>
    <row r="505">
      <c r="AA505" s="251"/>
    </row>
    <row r="506">
      <c r="AA506" s="251"/>
    </row>
    <row r="507">
      <c r="AA507" s="251"/>
    </row>
    <row r="508">
      <c r="AA508" s="251"/>
    </row>
    <row r="509">
      <c r="AA509" s="251"/>
    </row>
    <row r="510">
      <c r="AA510" s="251"/>
    </row>
    <row r="511">
      <c r="AA511" s="251"/>
    </row>
    <row r="512">
      <c r="AA512" s="251"/>
    </row>
    <row r="513">
      <c r="AA513" s="251"/>
    </row>
    <row r="514">
      <c r="AA514" s="251"/>
    </row>
    <row r="515">
      <c r="AA515" s="251"/>
    </row>
    <row r="516">
      <c r="AA516" s="251"/>
    </row>
    <row r="517">
      <c r="AA517" s="251"/>
    </row>
    <row r="518">
      <c r="AA518" s="251"/>
    </row>
    <row r="519">
      <c r="AA519" s="251"/>
    </row>
    <row r="520">
      <c r="AA520" s="251"/>
    </row>
    <row r="521">
      <c r="AA521" s="251"/>
    </row>
    <row r="522">
      <c r="AA522" s="251"/>
    </row>
    <row r="523">
      <c r="AA523" s="251"/>
    </row>
    <row r="524">
      <c r="AA524" s="251"/>
    </row>
    <row r="525">
      <c r="AA525" s="251"/>
    </row>
    <row r="526">
      <c r="AA526" s="251"/>
    </row>
    <row r="527">
      <c r="AA527" s="251"/>
    </row>
    <row r="528">
      <c r="AA528" s="251"/>
    </row>
    <row r="529">
      <c r="AA529" s="251"/>
    </row>
    <row r="530">
      <c r="AA530" s="251"/>
    </row>
    <row r="531">
      <c r="AA531" s="251"/>
    </row>
    <row r="532">
      <c r="AA532" s="251"/>
    </row>
    <row r="533">
      <c r="AA533" s="251"/>
    </row>
    <row r="534">
      <c r="AA534" s="251"/>
    </row>
    <row r="535">
      <c r="AA535" s="251"/>
    </row>
    <row r="536">
      <c r="AA536" s="251"/>
    </row>
    <row r="537">
      <c r="AA537" s="251"/>
    </row>
    <row r="538">
      <c r="AA538" s="251"/>
    </row>
    <row r="539">
      <c r="AA539" s="251"/>
    </row>
    <row r="540">
      <c r="AA540" s="251"/>
    </row>
    <row r="541">
      <c r="AA541" s="251"/>
    </row>
    <row r="542">
      <c r="AA542" s="251"/>
    </row>
    <row r="543">
      <c r="AA543" s="251"/>
    </row>
    <row r="544">
      <c r="AA544" s="251"/>
    </row>
    <row r="545">
      <c r="AA545" s="251"/>
    </row>
    <row r="546">
      <c r="AA546" s="251"/>
    </row>
    <row r="547">
      <c r="AA547" s="251"/>
    </row>
    <row r="548">
      <c r="AA548" s="251"/>
    </row>
    <row r="549">
      <c r="AA549" s="251"/>
    </row>
    <row r="550">
      <c r="AA550" s="251"/>
    </row>
    <row r="551">
      <c r="AA551" s="251"/>
    </row>
    <row r="552">
      <c r="AA552" s="251"/>
    </row>
    <row r="553">
      <c r="AA553" s="251"/>
    </row>
    <row r="554">
      <c r="AA554" s="251"/>
    </row>
    <row r="555">
      <c r="AA555" s="251"/>
    </row>
    <row r="556">
      <c r="AA556" s="251"/>
    </row>
    <row r="557">
      <c r="AA557" s="251"/>
    </row>
    <row r="558">
      <c r="AA558" s="251"/>
    </row>
    <row r="559">
      <c r="AA559" s="251"/>
    </row>
    <row r="560">
      <c r="AA560" s="251"/>
    </row>
    <row r="561">
      <c r="AA561" s="251"/>
    </row>
    <row r="562">
      <c r="AA562" s="251"/>
    </row>
    <row r="563">
      <c r="AA563" s="251"/>
    </row>
    <row r="564">
      <c r="AA564" s="251"/>
    </row>
    <row r="565">
      <c r="AA565" s="251"/>
    </row>
    <row r="566">
      <c r="AA566" s="251"/>
    </row>
    <row r="567">
      <c r="AA567" s="251"/>
    </row>
    <row r="568">
      <c r="AA568" s="251"/>
    </row>
    <row r="569">
      <c r="AA569" s="251"/>
    </row>
    <row r="570">
      <c r="AA570" s="251"/>
    </row>
    <row r="571">
      <c r="AA571" s="251"/>
    </row>
    <row r="572">
      <c r="AA572" s="251"/>
    </row>
    <row r="573">
      <c r="AA573" s="251"/>
    </row>
    <row r="574">
      <c r="AA574" s="251"/>
    </row>
    <row r="575">
      <c r="AA575" s="251"/>
    </row>
    <row r="576">
      <c r="AA576" s="251"/>
    </row>
    <row r="577">
      <c r="AA577" s="251"/>
    </row>
    <row r="578">
      <c r="AA578" s="251"/>
    </row>
    <row r="579">
      <c r="AA579" s="251"/>
    </row>
    <row r="580">
      <c r="AA580" s="251"/>
    </row>
    <row r="581">
      <c r="AA581" s="251"/>
    </row>
    <row r="582">
      <c r="AA582" s="251"/>
    </row>
    <row r="583">
      <c r="AA583" s="251"/>
    </row>
    <row r="584">
      <c r="AA584" s="251"/>
    </row>
    <row r="585">
      <c r="AA585" s="251"/>
    </row>
    <row r="586">
      <c r="AA586" s="251"/>
    </row>
    <row r="587">
      <c r="AA587" s="251"/>
    </row>
    <row r="588">
      <c r="AA588" s="251"/>
    </row>
    <row r="589">
      <c r="AA589" s="251"/>
    </row>
    <row r="590">
      <c r="AA590" s="251"/>
    </row>
    <row r="591">
      <c r="AA591" s="251"/>
    </row>
    <row r="592">
      <c r="AA592" s="251"/>
    </row>
    <row r="593">
      <c r="AA593" s="251"/>
    </row>
    <row r="594">
      <c r="AA594" s="251"/>
    </row>
    <row r="595">
      <c r="AA595" s="251"/>
    </row>
    <row r="596">
      <c r="AA596" s="251"/>
    </row>
    <row r="597">
      <c r="AA597" s="251"/>
    </row>
    <row r="598">
      <c r="AA598" s="251"/>
    </row>
    <row r="599">
      <c r="AA599" s="251"/>
    </row>
    <row r="600">
      <c r="AA600" s="251"/>
    </row>
    <row r="601">
      <c r="AA601" s="251"/>
    </row>
    <row r="602">
      <c r="AA602" s="251"/>
    </row>
    <row r="603">
      <c r="AA603" s="251"/>
    </row>
    <row r="604">
      <c r="AA604" s="251"/>
    </row>
    <row r="605">
      <c r="AA605" s="251"/>
    </row>
    <row r="606">
      <c r="AA606" s="251"/>
    </row>
    <row r="607">
      <c r="AA607" s="251"/>
    </row>
    <row r="608">
      <c r="AA608" s="251"/>
    </row>
    <row r="609">
      <c r="AA609" s="251"/>
    </row>
    <row r="610">
      <c r="AA610" s="251"/>
    </row>
    <row r="611">
      <c r="AA611" s="251"/>
    </row>
    <row r="612">
      <c r="AA612" s="251"/>
    </row>
    <row r="613">
      <c r="AA613" s="251"/>
    </row>
    <row r="614">
      <c r="AA614" s="251"/>
    </row>
    <row r="615">
      <c r="AA615" s="251"/>
    </row>
    <row r="616">
      <c r="AA616" s="251"/>
    </row>
    <row r="617">
      <c r="AA617" s="251"/>
    </row>
    <row r="618">
      <c r="AA618" s="251"/>
    </row>
    <row r="619">
      <c r="AA619" s="251"/>
    </row>
    <row r="620">
      <c r="AA620" s="251"/>
    </row>
    <row r="621">
      <c r="AA621" s="251"/>
    </row>
    <row r="622">
      <c r="AA622" s="251"/>
    </row>
    <row r="623">
      <c r="AA623" s="251"/>
    </row>
    <row r="624">
      <c r="AA624" s="251"/>
    </row>
    <row r="625">
      <c r="AA625" s="251"/>
    </row>
    <row r="626">
      <c r="AA626" s="251"/>
    </row>
    <row r="627">
      <c r="AA627" s="251"/>
    </row>
    <row r="628">
      <c r="AA628" s="251"/>
    </row>
    <row r="629">
      <c r="AA629" s="251"/>
    </row>
    <row r="630">
      <c r="AA630" s="251"/>
    </row>
    <row r="631">
      <c r="AA631" s="251"/>
    </row>
    <row r="632">
      <c r="AA632" s="251"/>
    </row>
    <row r="633">
      <c r="AA633" s="251"/>
    </row>
    <row r="634">
      <c r="AA634" s="251"/>
    </row>
    <row r="635">
      <c r="AA635" s="251"/>
    </row>
    <row r="636">
      <c r="AA636" s="251"/>
    </row>
    <row r="637">
      <c r="AA637" s="251"/>
    </row>
    <row r="638">
      <c r="AA638" s="251"/>
    </row>
    <row r="639">
      <c r="AA639" s="251"/>
    </row>
    <row r="640">
      <c r="AA640" s="251"/>
    </row>
    <row r="641">
      <c r="AA641" s="251"/>
    </row>
    <row r="642">
      <c r="AA642" s="251"/>
    </row>
    <row r="643">
      <c r="AA643" s="251"/>
    </row>
    <row r="644">
      <c r="AA644" s="251"/>
    </row>
    <row r="645">
      <c r="AA645" s="251"/>
    </row>
    <row r="646">
      <c r="AA646" s="251"/>
    </row>
    <row r="647">
      <c r="AA647" s="251"/>
    </row>
    <row r="648">
      <c r="AA648" s="251"/>
    </row>
    <row r="649">
      <c r="AA649" s="251"/>
    </row>
    <row r="650">
      <c r="AA650" s="251"/>
    </row>
    <row r="651">
      <c r="AA651" s="251"/>
    </row>
    <row r="652">
      <c r="AA652" s="251"/>
    </row>
    <row r="653">
      <c r="AA653" s="251"/>
    </row>
    <row r="654">
      <c r="AA654" s="251"/>
    </row>
    <row r="655">
      <c r="AA655" s="251"/>
    </row>
    <row r="656">
      <c r="AA656" s="251"/>
    </row>
    <row r="657">
      <c r="AA657" s="251"/>
    </row>
    <row r="658">
      <c r="AA658" s="251"/>
    </row>
    <row r="659">
      <c r="AA659" s="251"/>
    </row>
    <row r="660">
      <c r="AA660" s="251"/>
    </row>
    <row r="661">
      <c r="AA661" s="251"/>
    </row>
    <row r="662">
      <c r="AA662" s="251"/>
    </row>
    <row r="663">
      <c r="AA663" s="251"/>
    </row>
    <row r="664">
      <c r="AA664" s="251"/>
    </row>
    <row r="665">
      <c r="AA665" s="251"/>
    </row>
    <row r="666">
      <c r="AA666" s="251"/>
    </row>
    <row r="667">
      <c r="AA667" s="251"/>
    </row>
    <row r="668">
      <c r="AA668" s="251"/>
    </row>
    <row r="669">
      <c r="AA669" s="251"/>
    </row>
    <row r="670">
      <c r="AA670" s="251"/>
    </row>
    <row r="671">
      <c r="AA671" s="251"/>
    </row>
    <row r="672">
      <c r="AA672" s="251"/>
    </row>
    <row r="673">
      <c r="AA673" s="251"/>
    </row>
    <row r="674">
      <c r="AA674" s="251"/>
    </row>
    <row r="675">
      <c r="AA675" s="251"/>
    </row>
    <row r="676">
      <c r="AA676" s="251"/>
    </row>
    <row r="677">
      <c r="AA677" s="251"/>
    </row>
    <row r="678">
      <c r="AA678" s="251"/>
    </row>
    <row r="679">
      <c r="AA679" s="251"/>
    </row>
    <row r="680">
      <c r="AA680" s="251"/>
    </row>
    <row r="681">
      <c r="AA681" s="251"/>
    </row>
    <row r="682">
      <c r="AA682" s="251"/>
    </row>
    <row r="683">
      <c r="AA683" s="251"/>
    </row>
    <row r="684">
      <c r="AA684" s="251"/>
    </row>
    <row r="685">
      <c r="AA685" s="251"/>
    </row>
    <row r="686">
      <c r="AA686" s="251"/>
    </row>
    <row r="687">
      <c r="AA687" s="251"/>
    </row>
    <row r="688">
      <c r="AA688" s="251"/>
    </row>
    <row r="689">
      <c r="AA689" s="251"/>
    </row>
    <row r="690">
      <c r="AA690" s="251"/>
    </row>
    <row r="691">
      <c r="AA691" s="251"/>
    </row>
    <row r="692">
      <c r="AA692" s="251"/>
    </row>
    <row r="693">
      <c r="AA693" s="251"/>
    </row>
    <row r="694">
      <c r="AA694" s="251"/>
    </row>
    <row r="695">
      <c r="AA695" s="251"/>
    </row>
    <row r="696">
      <c r="AA696" s="251"/>
    </row>
    <row r="697">
      <c r="AA697" s="251"/>
    </row>
    <row r="698">
      <c r="AA698" s="251"/>
    </row>
    <row r="699">
      <c r="AA699" s="251"/>
    </row>
    <row r="700">
      <c r="AA700" s="251"/>
    </row>
    <row r="701">
      <c r="AA701" s="251"/>
    </row>
    <row r="702">
      <c r="AA702" s="251"/>
    </row>
    <row r="703">
      <c r="AA703" s="251"/>
    </row>
    <row r="704">
      <c r="AA704" s="251"/>
    </row>
    <row r="705">
      <c r="AA705" s="251"/>
    </row>
    <row r="706">
      <c r="AA706" s="251"/>
    </row>
    <row r="707">
      <c r="AA707" s="251"/>
    </row>
    <row r="708">
      <c r="AA708" s="251"/>
    </row>
    <row r="709">
      <c r="AA709" s="251"/>
    </row>
    <row r="710">
      <c r="AA710" s="251"/>
    </row>
    <row r="711">
      <c r="AA711" s="251"/>
    </row>
    <row r="712">
      <c r="AA712" s="251"/>
    </row>
    <row r="713">
      <c r="AA713" s="251"/>
    </row>
    <row r="714">
      <c r="AA714" s="251"/>
    </row>
    <row r="715">
      <c r="AA715" s="251"/>
    </row>
    <row r="716">
      <c r="AA716" s="251"/>
    </row>
    <row r="717">
      <c r="AA717" s="251"/>
    </row>
    <row r="718">
      <c r="AA718" s="251"/>
    </row>
    <row r="719">
      <c r="AA719" s="251"/>
    </row>
    <row r="720">
      <c r="AA720" s="251"/>
    </row>
    <row r="721">
      <c r="AA721" s="251"/>
    </row>
    <row r="722">
      <c r="AA722" s="251"/>
    </row>
    <row r="723">
      <c r="AA723" s="251"/>
    </row>
    <row r="724">
      <c r="AA724" s="251"/>
    </row>
    <row r="725">
      <c r="AA725" s="251"/>
    </row>
    <row r="726">
      <c r="AA726" s="251"/>
    </row>
    <row r="727">
      <c r="AA727" s="251"/>
    </row>
    <row r="728">
      <c r="AA728" s="251"/>
    </row>
    <row r="729">
      <c r="AA729" s="251"/>
    </row>
    <row r="730">
      <c r="AA730" s="251"/>
    </row>
    <row r="731">
      <c r="AA731" s="251"/>
    </row>
    <row r="732">
      <c r="AA732" s="251"/>
    </row>
    <row r="733">
      <c r="AA733" s="251"/>
    </row>
    <row r="734">
      <c r="AA734" s="251"/>
    </row>
    <row r="735">
      <c r="AA735" s="251"/>
    </row>
    <row r="736">
      <c r="AA736" s="251"/>
    </row>
    <row r="737">
      <c r="AA737" s="251"/>
    </row>
    <row r="738">
      <c r="AA738" s="251"/>
    </row>
    <row r="739">
      <c r="AA739" s="251"/>
    </row>
    <row r="740">
      <c r="AA740" s="251"/>
    </row>
    <row r="741">
      <c r="AA741" s="251"/>
    </row>
    <row r="742">
      <c r="AA742" s="251"/>
    </row>
    <row r="743">
      <c r="AA743" s="251"/>
    </row>
    <row r="744">
      <c r="AA744" s="251"/>
    </row>
    <row r="745">
      <c r="AA745" s="251"/>
    </row>
    <row r="746">
      <c r="AA746" s="251"/>
    </row>
    <row r="747">
      <c r="AA747" s="251"/>
    </row>
    <row r="748">
      <c r="AA748" s="251"/>
    </row>
    <row r="749">
      <c r="AA749" s="251"/>
    </row>
    <row r="750">
      <c r="AA750" s="251"/>
    </row>
    <row r="751">
      <c r="AA751" s="251"/>
    </row>
    <row r="752">
      <c r="AA752" s="251"/>
    </row>
    <row r="753">
      <c r="AA753" s="251"/>
    </row>
    <row r="754">
      <c r="AA754" s="251"/>
    </row>
    <row r="755">
      <c r="AA755" s="251"/>
    </row>
    <row r="756">
      <c r="AA756" s="251"/>
    </row>
    <row r="757">
      <c r="AA757" s="251"/>
    </row>
    <row r="758">
      <c r="AA758" s="251"/>
    </row>
    <row r="759">
      <c r="AA759" s="251"/>
    </row>
    <row r="760">
      <c r="AA760" s="251"/>
    </row>
    <row r="761">
      <c r="AA761" s="251"/>
    </row>
    <row r="762">
      <c r="AA762" s="251"/>
    </row>
    <row r="763">
      <c r="AA763" s="251"/>
    </row>
    <row r="764">
      <c r="AA764" s="251"/>
    </row>
    <row r="765">
      <c r="AA765" s="251"/>
    </row>
    <row r="766">
      <c r="AA766" s="251"/>
    </row>
    <row r="767">
      <c r="AA767" s="251"/>
    </row>
    <row r="768">
      <c r="AA768" s="251"/>
    </row>
    <row r="769">
      <c r="AA769" s="251"/>
    </row>
    <row r="770">
      <c r="AA770" s="251"/>
    </row>
    <row r="771">
      <c r="AA771" s="251"/>
    </row>
    <row r="772">
      <c r="AA772" s="251"/>
    </row>
    <row r="773">
      <c r="AA773" s="251"/>
    </row>
    <row r="774">
      <c r="AA774" s="251"/>
    </row>
    <row r="775">
      <c r="AA775" s="251"/>
    </row>
    <row r="776">
      <c r="AA776" s="251"/>
    </row>
    <row r="777">
      <c r="AA777" s="251"/>
    </row>
    <row r="778">
      <c r="AA778" s="251"/>
    </row>
    <row r="779">
      <c r="AA779" s="251"/>
    </row>
    <row r="780">
      <c r="AA780" s="251"/>
    </row>
    <row r="781">
      <c r="AA781" s="251"/>
    </row>
    <row r="782">
      <c r="AA782" s="251"/>
    </row>
    <row r="783">
      <c r="AA783" s="251"/>
    </row>
    <row r="784">
      <c r="AA784" s="251"/>
    </row>
    <row r="785">
      <c r="AA785" s="251"/>
    </row>
    <row r="786">
      <c r="AA786" s="251"/>
    </row>
    <row r="787">
      <c r="AA787" s="251"/>
    </row>
    <row r="788">
      <c r="AA788" s="251"/>
    </row>
    <row r="789">
      <c r="AA789" s="251"/>
    </row>
    <row r="790">
      <c r="AA790" s="251"/>
    </row>
    <row r="791">
      <c r="AA791" s="251"/>
    </row>
    <row r="792">
      <c r="AA792" s="251"/>
    </row>
    <row r="793">
      <c r="AA793" s="251"/>
    </row>
    <row r="794">
      <c r="AA794" s="251"/>
    </row>
    <row r="795">
      <c r="AA795" s="251"/>
    </row>
    <row r="796">
      <c r="AA796" s="251"/>
    </row>
    <row r="797">
      <c r="AA797" s="251"/>
    </row>
    <row r="798">
      <c r="AA798" s="251"/>
    </row>
    <row r="799">
      <c r="AA799" s="251"/>
    </row>
    <row r="800">
      <c r="AA800" s="251"/>
    </row>
    <row r="801">
      <c r="AA801" s="251"/>
    </row>
    <row r="802">
      <c r="AA802" s="251"/>
    </row>
    <row r="803">
      <c r="AA803" s="251"/>
    </row>
    <row r="804">
      <c r="AA804" s="251"/>
    </row>
    <row r="805">
      <c r="AA805" s="251"/>
    </row>
    <row r="806">
      <c r="AA806" s="251"/>
    </row>
    <row r="807">
      <c r="AA807" s="251"/>
    </row>
    <row r="808">
      <c r="AA808" s="251"/>
    </row>
    <row r="809">
      <c r="AA809" s="251"/>
    </row>
    <row r="810">
      <c r="AA810" s="251"/>
    </row>
    <row r="811">
      <c r="AA811" s="251"/>
    </row>
    <row r="812">
      <c r="AA812" s="251"/>
    </row>
    <row r="813">
      <c r="AA813" s="251"/>
    </row>
    <row r="814">
      <c r="AA814" s="251"/>
    </row>
    <row r="815">
      <c r="AA815" s="251"/>
    </row>
    <row r="816">
      <c r="AA816" s="251"/>
    </row>
    <row r="817">
      <c r="AA817" s="251"/>
    </row>
    <row r="818">
      <c r="AA818" s="251"/>
    </row>
    <row r="819">
      <c r="AA819" s="251"/>
    </row>
    <row r="820">
      <c r="AA820" s="251"/>
    </row>
    <row r="821">
      <c r="AA821" s="251"/>
    </row>
    <row r="822">
      <c r="AA822" s="251"/>
    </row>
    <row r="823">
      <c r="AA823" s="251"/>
    </row>
    <row r="824">
      <c r="AA824" s="251"/>
    </row>
    <row r="825">
      <c r="AA825" s="251"/>
    </row>
    <row r="826">
      <c r="AA826" s="251"/>
    </row>
    <row r="827">
      <c r="AA827" s="251"/>
    </row>
    <row r="828">
      <c r="AA828" s="251"/>
    </row>
    <row r="829">
      <c r="AA829" s="251"/>
    </row>
    <row r="830">
      <c r="AA830" s="251"/>
    </row>
    <row r="831">
      <c r="AA831" s="251"/>
    </row>
    <row r="832">
      <c r="AA832" s="251"/>
    </row>
    <row r="833">
      <c r="AA833" s="251"/>
    </row>
    <row r="834">
      <c r="AA834" s="251"/>
    </row>
    <row r="835">
      <c r="AA835" s="251"/>
    </row>
    <row r="836">
      <c r="AA836" s="251"/>
    </row>
    <row r="837">
      <c r="AA837" s="251"/>
    </row>
    <row r="838">
      <c r="AA838" s="251"/>
    </row>
    <row r="839">
      <c r="AA839" s="251"/>
    </row>
    <row r="840">
      <c r="AA840" s="251"/>
    </row>
    <row r="841">
      <c r="AA841" s="251"/>
    </row>
    <row r="842">
      <c r="AA842" s="251"/>
    </row>
    <row r="843">
      <c r="AA843" s="251"/>
    </row>
    <row r="844">
      <c r="AA844" s="251"/>
    </row>
    <row r="845">
      <c r="AA845" s="251"/>
    </row>
    <row r="846">
      <c r="AA846" s="251"/>
    </row>
    <row r="847">
      <c r="AA847" s="251"/>
    </row>
    <row r="848">
      <c r="AA848" s="251"/>
    </row>
    <row r="849">
      <c r="AA849" s="251"/>
    </row>
    <row r="850">
      <c r="AA850" s="251"/>
    </row>
    <row r="851">
      <c r="AA851" s="251"/>
    </row>
    <row r="852">
      <c r="AA852" s="251"/>
    </row>
    <row r="853">
      <c r="AA853" s="251"/>
    </row>
    <row r="854">
      <c r="AA854" s="251"/>
    </row>
    <row r="855">
      <c r="AA855" s="251"/>
    </row>
    <row r="856">
      <c r="AA856" s="251"/>
    </row>
    <row r="857">
      <c r="AA857" s="251"/>
    </row>
    <row r="858">
      <c r="AA858" s="251"/>
    </row>
    <row r="859">
      <c r="AA859" s="251"/>
    </row>
    <row r="860">
      <c r="AA860" s="251"/>
    </row>
    <row r="861">
      <c r="AA861" s="251"/>
    </row>
    <row r="862">
      <c r="AA862" s="251"/>
    </row>
    <row r="863">
      <c r="AA863" s="251"/>
    </row>
    <row r="864">
      <c r="AA864" s="251"/>
    </row>
    <row r="865">
      <c r="AA865" s="251"/>
    </row>
    <row r="866">
      <c r="AA866" s="251"/>
    </row>
    <row r="867">
      <c r="AA867" s="251"/>
    </row>
    <row r="868">
      <c r="AA868" s="251"/>
    </row>
    <row r="869">
      <c r="AA869" s="251"/>
    </row>
    <row r="870">
      <c r="AA870" s="251"/>
    </row>
    <row r="871">
      <c r="AA871" s="251"/>
    </row>
    <row r="872">
      <c r="AA872" s="251"/>
    </row>
    <row r="873">
      <c r="AA873" s="251"/>
    </row>
    <row r="874">
      <c r="AA874" s="251"/>
    </row>
    <row r="875">
      <c r="AA875" s="251"/>
    </row>
    <row r="876">
      <c r="AA876" s="251"/>
    </row>
    <row r="877">
      <c r="AA877" s="251"/>
    </row>
    <row r="878">
      <c r="AA878" s="251"/>
    </row>
    <row r="879">
      <c r="AA879" s="251"/>
    </row>
    <row r="880">
      <c r="AA880" s="251"/>
    </row>
    <row r="881">
      <c r="AA881" s="251"/>
    </row>
    <row r="882">
      <c r="AA882" s="251"/>
    </row>
    <row r="883">
      <c r="AA883" s="251"/>
    </row>
    <row r="884">
      <c r="AA884" s="251"/>
    </row>
    <row r="885">
      <c r="AA885" s="251"/>
    </row>
    <row r="886">
      <c r="AA886" s="251"/>
    </row>
    <row r="887">
      <c r="AA887" s="251"/>
    </row>
    <row r="888">
      <c r="AA888" s="251"/>
    </row>
    <row r="889">
      <c r="AA889" s="251"/>
    </row>
    <row r="890">
      <c r="AA890" s="251"/>
    </row>
    <row r="891">
      <c r="AA891" s="251"/>
    </row>
    <row r="892">
      <c r="AA892" s="251"/>
    </row>
    <row r="893">
      <c r="AA893" s="251"/>
    </row>
    <row r="894">
      <c r="AA894" s="251"/>
    </row>
    <row r="895">
      <c r="AA895" s="251"/>
    </row>
    <row r="896">
      <c r="AA896" s="251"/>
    </row>
    <row r="897">
      <c r="AA897" s="251"/>
    </row>
    <row r="898">
      <c r="AA898" s="251"/>
    </row>
    <row r="899">
      <c r="AA899" s="251"/>
    </row>
    <row r="900">
      <c r="AA900" s="251"/>
    </row>
    <row r="901">
      <c r="AA901" s="251"/>
    </row>
    <row r="902">
      <c r="AA902" s="251"/>
    </row>
    <row r="903">
      <c r="AA903" s="251"/>
    </row>
    <row r="904">
      <c r="AA904" s="251"/>
    </row>
    <row r="905">
      <c r="AA905" s="251"/>
    </row>
    <row r="906">
      <c r="AA906" s="251"/>
    </row>
    <row r="907">
      <c r="AA907" s="251"/>
    </row>
    <row r="908">
      <c r="AA908" s="251"/>
    </row>
    <row r="909">
      <c r="AA909" s="251"/>
    </row>
    <row r="910">
      <c r="AA910" s="251"/>
    </row>
    <row r="911">
      <c r="AA911" s="251"/>
    </row>
    <row r="912">
      <c r="AA912" s="251"/>
    </row>
    <row r="913">
      <c r="AA913" s="251"/>
    </row>
    <row r="914">
      <c r="AA914" s="251"/>
    </row>
    <row r="915">
      <c r="AA915" s="251"/>
    </row>
    <row r="916">
      <c r="AA916" s="251"/>
    </row>
    <row r="917">
      <c r="AA917" s="251"/>
    </row>
    <row r="918">
      <c r="AA918" s="251"/>
    </row>
    <row r="919">
      <c r="AA919" s="251"/>
    </row>
    <row r="920">
      <c r="AA920" s="251"/>
    </row>
    <row r="921">
      <c r="AA921" s="251"/>
    </row>
    <row r="922">
      <c r="AA922" s="251"/>
    </row>
    <row r="923">
      <c r="AA923" s="251"/>
    </row>
    <row r="924">
      <c r="AA924" s="251"/>
    </row>
    <row r="925">
      <c r="AA925" s="251"/>
    </row>
    <row r="926">
      <c r="AA926" s="251"/>
    </row>
    <row r="927">
      <c r="AA927" s="251"/>
    </row>
    <row r="928">
      <c r="AA928" s="251"/>
    </row>
    <row r="929">
      <c r="AA929" s="251"/>
    </row>
    <row r="930">
      <c r="AA930" s="251"/>
    </row>
    <row r="931">
      <c r="AA931" s="251"/>
    </row>
    <row r="932">
      <c r="AA932" s="251"/>
    </row>
    <row r="933">
      <c r="AA933" s="251"/>
    </row>
    <row r="934">
      <c r="AA934" s="251"/>
    </row>
    <row r="935">
      <c r="AA935" s="251"/>
    </row>
    <row r="936">
      <c r="AA936" s="251"/>
    </row>
    <row r="937">
      <c r="AA937" s="251"/>
    </row>
    <row r="938">
      <c r="AA938" s="251"/>
    </row>
    <row r="939">
      <c r="AA939" s="251"/>
    </row>
    <row r="940">
      <c r="AA940" s="251"/>
    </row>
    <row r="941">
      <c r="AA941" s="251"/>
    </row>
    <row r="942">
      <c r="AA942" s="251"/>
    </row>
    <row r="943">
      <c r="AA943" s="251"/>
    </row>
    <row r="944">
      <c r="AA944" s="251"/>
    </row>
    <row r="945">
      <c r="AA945" s="251"/>
    </row>
    <row r="946">
      <c r="AA946" s="251"/>
    </row>
    <row r="947">
      <c r="AA947" s="251"/>
    </row>
    <row r="948">
      <c r="AA948" s="251"/>
    </row>
    <row r="949">
      <c r="AA949" s="251"/>
    </row>
    <row r="950">
      <c r="AA950" s="251"/>
    </row>
    <row r="951">
      <c r="AA951" s="251"/>
    </row>
    <row r="952">
      <c r="AA952" s="251"/>
    </row>
    <row r="953">
      <c r="AA953" s="251"/>
    </row>
    <row r="954">
      <c r="AA954" s="251"/>
    </row>
    <row r="955">
      <c r="AA955" s="251"/>
    </row>
    <row r="956">
      <c r="AA956" s="251"/>
    </row>
    <row r="957">
      <c r="AA957" s="251"/>
    </row>
    <row r="958">
      <c r="AA958" s="251"/>
    </row>
    <row r="959">
      <c r="AA959" s="251"/>
    </row>
    <row r="960">
      <c r="AA960" s="251"/>
    </row>
    <row r="961">
      <c r="AA961" s="251"/>
    </row>
    <row r="962">
      <c r="AA962" s="251"/>
    </row>
    <row r="963">
      <c r="AA963" s="251"/>
    </row>
    <row r="964">
      <c r="AA964" s="251"/>
    </row>
    <row r="965">
      <c r="AA965" s="251"/>
    </row>
    <row r="966">
      <c r="AA966" s="251"/>
    </row>
    <row r="967">
      <c r="AA967" s="251"/>
    </row>
    <row r="968">
      <c r="AA968" s="251"/>
    </row>
    <row r="969">
      <c r="AA969" s="251"/>
    </row>
    <row r="970">
      <c r="AA970" s="251"/>
    </row>
    <row r="971">
      <c r="AA971" s="251"/>
    </row>
    <row r="972">
      <c r="AA972" s="251"/>
    </row>
    <row r="973">
      <c r="AA973" s="251"/>
    </row>
    <row r="974">
      <c r="AA974" s="251"/>
    </row>
    <row r="975">
      <c r="AA975" s="251"/>
    </row>
    <row r="976">
      <c r="AA976" s="251"/>
    </row>
    <row r="977">
      <c r="AA977" s="251"/>
    </row>
    <row r="978">
      <c r="AA978" s="251"/>
    </row>
    <row r="979">
      <c r="AA979" s="251"/>
    </row>
    <row r="980">
      <c r="AA980" s="251"/>
    </row>
    <row r="981">
      <c r="AA981" s="251"/>
    </row>
    <row r="982">
      <c r="AA982" s="251"/>
    </row>
    <row r="983">
      <c r="AA983" s="251"/>
    </row>
    <row r="984">
      <c r="AA984" s="251"/>
    </row>
    <row r="985">
      <c r="AA985" s="251"/>
    </row>
    <row r="986">
      <c r="AA986" s="251"/>
    </row>
    <row r="987">
      <c r="AA987" s="251"/>
    </row>
    <row r="988">
      <c r="AA988" s="251"/>
    </row>
    <row r="989">
      <c r="AA989" s="251"/>
    </row>
    <row r="990">
      <c r="AA990" s="251"/>
    </row>
    <row r="991">
      <c r="AA991" s="251"/>
    </row>
    <row r="992">
      <c r="AA992" s="251"/>
    </row>
    <row r="993">
      <c r="AA993" s="251"/>
    </row>
    <row r="994">
      <c r="AA994" s="251"/>
    </row>
    <row r="995">
      <c r="AA995" s="251"/>
    </row>
  </sheetData>
  <mergeCells count="25">
    <mergeCell ref="R1:S1"/>
    <mergeCell ref="W1:Z1"/>
    <mergeCell ref="B3:C3"/>
    <mergeCell ref="D3:E3"/>
    <mergeCell ref="F3:G3"/>
    <mergeCell ref="H3:I3"/>
    <mergeCell ref="J3:K3"/>
    <mergeCell ref="V26:V29"/>
    <mergeCell ref="V31:V33"/>
    <mergeCell ref="P3:Q3"/>
    <mergeCell ref="R3:S3"/>
    <mergeCell ref="V5:V8"/>
    <mergeCell ref="V9:V15"/>
    <mergeCell ref="V16:V22"/>
    <mergeCell ref="W17:W20"/>
    <mergeCell ref="V23:V25"/>
    <mergeCell ref="A30:A31"/>
    <mergeCell ref="A32:A33"/>
    <mergeCell ref="L3:M3"/>
    <mergeCell ref="N3:O3"/>
    <mergeCell ref="A5:A8"/>
    <mergeCell ref="A9:A15"/>
    <mergeCell ref="A16:A22"/>
    <mergeCell ref="A23:A25"/>
    <mergeCell ref="A26:A29"/>
  </mergeCells>
  <hyperlinks>
    <hyperlink r:id="rId2" location="/site/typedataanalysis/views/_16889661321470/2?:iid=7" ref="R2"/>
    <hyperlink r:id="rId3" ref="Z5"/>
    <hyperlink r:id="rId4" ref="Z6"/>
    <hyperlink r:id="rId5" ref="Z9"/>
    <hyperlink r:id="rId6" ref="Z16"/>
    <hyperlink r:id="rId7" ref="Z17"/>
    <hyperlink r:id="rId8" ref="Z18"/>
    <hyperlink r:id="rId9" ref="Z19"/>
    <hyperlink r:id="rId10" ref="Z20"/>
    <hyperlink r:id="rId11" ref="Z23"/>
    <hyperlink r:id="rId12" ref="Z26"/>
  </hyperlinks>
  <drawing r:id="rId13"/>
  <legacyDrawing r:id="rId1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0.0"/>
    <col customWidth="1" min="2" max="2" width="23.13"/>
    <col customWidth="1" min="3" max="3" width="22.88"/>
    <col customWidth="1" min="4" max="4" width="46.38"/>
    <col customWidth="1" min="5" max="5" width="6.63"/>
    <col customWidth="1" min="6" max="7" width="8.5"/>
    <col customWidth="1" min="8" max="9" width="27.63"/>
    <col customWidth="1" min="17" max="17" width="16.38"/>
  </cols>
  <sheetData>
    <row r="1" ht="24.75" customHeight="1" collapsed="1">
      <c r="A1" s="497" t="s">
        <v>1165</v>
      </c>
      <c r="B1" s="498"/>
      <c r="C1" s="498"/>
      <c r="D1" s="498"/>
      <c r="E1" s="498"/>
      <c r="F1" s="496"/>
      <c r="G1" s="496"/>
      <c r="H1" s="496"/>
      <c r="I1" s="496"/>
      <c r="J1" s="496"/>
      <c r="K1" s="496"/>
      <c r="L1" s="496"/>
      <c r="M1" s="496"/>
      <c r="N1" s="496"/>
      <c r="O1" s="496"/>
      <c r="P1" s="496"/>
      <c r="Q1" s="496"/>
      <c r="R1" s="496"/>
      <c r="S1" s="496"/>
      <c r="T1" s="496"/>
      <c r="U1" s="496"/>
      <c r="V1" s="496"/>
      <c r="W1" s="496"/>
      <c r="X1" s="496"/>
      <c r="Y1" s="496"/>
      <c r="Z1" s="496"/>
      <c r="AA1" s="496"/>
      <c r="AB1" s="496"/>
      <c r="AC1" s="496"/>
    </row>
    <row r="2" ht="24.75" hidden="1" customHeight="1" outlineLevel="1">
      <c r="A2" s="499" t="s">
        <v>1166</v>
      </c>
      <c r="B2" s="499" t="s">
        <v>1117</v>
      </c>
      <c r="C2" s="499" t="s">
        <v>1167</v>
      </c>
      <c r="D2" s="499" t="s">
        <v>1168</v>
      </c>
      <c r="E2" s="499" t="s">
        <v>1169</v>
      </c>
      <c r="F2" s="496"/>
      <c r="G2" s="496"/>
      <c r="H2" s="496"/>
      <c r="I2" s="496"/>
      <c r="J2" s="496"/>
      <c r="K2" s="496"/>
      <c r="L2" s="496"/>
      <c r="M2" s="496"/>
      <c r="N2" s="496"/>
      <c r="O2" s="496"/>
      <c r="P2" s="496"/>
      <c r="Q2" s="496"/>
      <c r="R2" s="496"/>
      <c r="S2" s="496"/>
      <c r="T2" s="496"/>
      <c r="U2" s="496"/>
      <c r="V2" s="496"/>
      <c r="W2" s="496"/>
      <c r="X2" s="496"/>
      <c r="Y2" s="496"/>
      <c r="Z2" s="496"/>
      <c r="AA2" s="496"/>
      <c r="AB2" s="496"/>
      <c r="AC2" s="496"/>
    </row>
    <row r="3" ht="24.75" hidden="1" customHeight="1" outlineLevel="1">
      <c r="A3" s="500">
        <v>43957.0</v>
      </c>
      <c r="B3" s="501" t="s">
        <v>1170</v>
      </c>
      <c r="C3" s="502" t="s">
        <v>1171</v>
      </c>
      <c r="D3" s="502" t="s">
        <v>1172</v>
      </c>
      <c r="E3" s="503"/>
      <c r="F3" s="132"/>
      <c r="G3" s="132"/>
      <c r="H3" s="132"/>
      <c r="I3" s="132"/>
      <c r="J3" s="132"/>
      <c r="K3" s="132"/>
      <c r="L3" s="132"/>
      <c r="M3" s="132"/>
      <c r="N3" s="132"/>
      <c r="O3" s="132"/>
      <c r="P3" s="132"/>
      <c r="Q3" s="132"/>
      <c r="R3" s="132"/>
      <c r="S3" s="132"/>
      <c r="T3" s="132"/>
      <c r="U3" s="132"/>
      <c r="V3" s="132"/>
      <c r="W3" s="132"/>
      <c r="X3" s="132"/>
      <c r="Y3" s="132"/>
      <c r="Z3" s="132"/>
      <c r="AA3" s="132"/>
      <c r="AB3" s="132"/>
      <c r="AC3" s="132"/>
    </row>
    <row r="4" ht="24.75" hidden="1" customHeight="1" outlineLevel="1">
      <c r="A4" s="504">
        <v>43957.0</v>
      </c>
      <c r="B4" s="505" t="s">
        <v>1173</v>
      </c>
      <c r="C4" s="506" t="s">
        <v>1174</v>
      </c>
      <c r="D4" s="506" t="s">
        <v>1175</v>
      </c>
      <c r="E4" s="36"/>
      <c r="F4" s="132"/>
      <c r="G4" s="132"/>
      <c r="H4" s="132"/>
      <c r="I4" s="132"/>
      <c r="J4" s="132"/>
      <c r="K4" s="132"/>
      <c r="L4" s="132"/>
      <c r="M4" s="132"/>
      <c r="N4" s="132"/>
      <c r="O4" s="132"/>
      <c r="P4" s="132"/>
      <c r="Q4" s="132"/>
      <c r="R4" s="132"/>
      <c r="S4" s="132"/>
      <c r="T4" s="132"/>
      <c r="U4" s="132"/>
      <c r="V4" s="132"/>
      <c r="W4" s="132"/>
      <c r="X4" s="132"/>
      <c r="Y4" s="132"/>
      <c r="Z4" s="132"/>
      <c r="AA4" s="132"/>
      <c r="AB4" s="132"/>
      <c r="AC4" s="132"/>
    </row>
    <row r="5" ht="24.75" hidden="1" customHeight="1" outlineLevel="1">
      <c r="A5" s="504">
        <v>43957.0</v>
      </c>
      <c r="B5" s="505" t="s">
        <v>1176</v>
      </c>
      <c r="C5" s="506" t="s">
        <v>1177</v>
      </c>
      <c r="D5" s="506" t="s">
        <v>1175</v>
      </c>
      <c r="E5" s="36"/>
      <c r="F5" s="132"/>
      <c r="G5" s="132"/>
      <c r="H5" s="132"/>
      <c r="I5" s="132"/>
      <c r="J5" s="132"/>
      <c r="K5" s="132"/>
      <c r="L5" s="132"/>
      <c r="M5" s="132"/>
      <c r="N5" s="132"/>
      <c r="O5" s="132"/>
      <c r="P5" s="132"/>
      <c r="Q5" s="132"/>
      <c r="R5" s="132"/>
      <c r="S5" s="132"/>
      <c r="T5" s="132"/>
      <c r="U5" s="132"/>
      <c r="V5" s="132"/>
      <c r="W5" s="132"/>
      <c r="X5" s="132"/>
      <c r="Y5" s="132"/>
      <c r="Z5" s="132"/>
      <c r="AA5" s="132"/>
      <c r="AB5" s="132"/>
      <c r="AC5" s="132"/>
    </row>
    <row r="6" ht="24.75" hidden="1" customHeight="1" outlineLevel="1">
      <c r="A6" s="504">
        <v>43958.0</v>
      </c>
      <c r="B6" s="505" t="s">
        <v>1178</v>
      </c>
      <c r="C6" s="507" t="s">
        <v>1179</v>
      </c>
      <c r="D6" s="506" t="s">
        <v>1180</v>
      </c>
      <c r="E6" s="36"/>
      <c r="F6" s="132"/>
      <c r="G6" s="132"/>
      <c r="H6" s="132"/>
      <c r="I6" s="132"/>
      <c r="J6" s="132"/>
      <c r="K6" s="132"/>
      <c r="L6" s="132"/>
      <c r="M6" s="132"/>
      <c r="N6" s="132"/>
      <c r="O6" s="132"/>
      <c r="P6" s="132"/>
      <c r="Q6" s="132"/>
      <c r="R6" s="132"/>
      <c r="S6" s="132"/>
      <c r="T6" s="132"/>
      <c r="U6" s="132"/>
      <c r="V6" s="132"/>
      <c r="W6" s="132"/>
      <c r="X6" s="132"/>
      <c r="Y6" s="132"/>
      <c r="Z6" s="132"/>
      <c r="AA6" s="132"/>
      <c r="AB6" s="132"/>
      <c r="AC6" s="132"/>
    </row>
    <row r="7" ht="24.75" hidden="1" customHeight="1" outlineLevel="1">
      <c r="A7" s="504">
        <v>43959.0</v>
      </c>
      <c r="B7" s="506" t="s">
        <v>1181</v>
      </c>
      <c r="C7" s="505" t="s">
        <v>1182</v>
      </c>
      <c r="D7" s="506" t="s">
        <v>1183</v>
      </c>
      <c r="E7" s="36"/>
      <c r="F7" s="132"/>
      <c r="G7" s="132"/>
      <c r="H7" s="132"/>
      <c r="I7" s="132"/>
      <c r="J7" s="132"/>
      <c r="K7" s="132"/>
      <c r="L7" s="132"/>
      <c r="M7" s="132"/>
      <c r="N7" s="132"/>
      <c r="O7" s="132"/>
      <c r="P7" s="132"/>
      <c r="Q7" s="132"/>
      <c r="R7" s="132"/>
      <c r="S7" s="132"/>
      <c r="T7" s="132"/>
      <c r="U7" s="132"/>
      <c r="V7" s="132"/>
      <c r="W7" s="132"/>
      <c r="X7" s="132"/>
      <c r="Y7" s="132"/>
      <c r="Z7" s="132"/>
      <c r="AA7" s="132"/>
      <c r="AB7" s="132"/>
      <c r="AC7" s="132"/>
    </row>
    <row r="8" ht="24.75" hidden="1" customHeight="1" outlineLevel="1">
      <c r="A8" s="504">
        <v>43960.0</v>
      </c>
      <c r="B8" s="505" t="s">
        <v>1184</v>
      </c>
      <c r="C8" s="506" t="s">
        <v>1171</v>
      </c>
      <c r="D8" s="506" t="s">
        <v>1180</v>
      </c>
      <c r="E8" s="35"/>
      <c r="F8" s="132"/>
      <c r="G8" s="132"/>
      <c r="H8" s="132"/>
      <c r="I8" s="132"/>
      <c r="J8" s="132"/>
      <c r="K8" s="132"/>
      <c r="L8" s="132"/>
      <c r="M8" s="132"/>
      <c r="N8" s="132"/>
      <c r="O8" s="132"/>
      <c r="P8" s="132"/>
      <c r="Q8" s="132"/>
      <c r="R8" s="132"/>
      <c r="S8" s="132"/>
      <c r="T8" s="132"/>
      <c r="U8" s="132"/>
      <c r="V8" s="132"/>
      <c r="W8" s="132"/>
      <c r="X8" s="132"/>
      <c r="Y8" s="132"/>
      <c r="Z8" s="132"/>
      <c r="AA8" s="132"/>
      <c r="AB8" s="132"/>
      <c r="AC8" s="132"/>
    </row>
    <row r="9" ht="24.75" hidden="1" customHeight="1" outlineLevel="1">
      <c r="A9" s="504">
        <v>43960.0</v>
      </c>
      <c r="B9" s="507" t="s">
        <v>1185</v>
      </c>
      <c r="C9" s="507" t="s">
        <v>1186</v>
      </c>
      <c r="D9" s="506" t="s">
        <v>1180</v>
      </c>
      <c r="E9" s="36"/>
      <c r="F9" s="132"/>
      <c r="G9" s="132"/>
      <c r="H9" s="132"/>
      <c r="I9" s="132"/>
      <c r="J9" s="132"/>
      <c r="K9" s="132"/>
      <c r="L9" s="132"/>
      <c r="M9" s="132"/>
      <c r="N9" s="132"/>
      <c r="O9" s="132"/>
      <c r="P9" s="132"/>
      <c r="Q9" s="132"/>
      <c r="R9" s="132"/>
      <c r="S9" s="132"/>
      <c r="T9" s="132"/>
      <c r="U9" s="132"/>
      <c r="V9" s="132"/>
      <c r="W9" s="132"/>
      <c r="X9" s="132"/>
      <c r="Y9" s="132"/>
      <c r="Z9" s="132"/>
      <c r="AA9" s="132"/>
      <c r="AB9" s="132"/>
      <c r="AC9" s="132"/>
    </row>
    <row r="10" ht="24.75" hidden="1" customHeight="1" outlineLevel="1">
      <c r="A10" s="504">
        <v>43961.0</v>
      </c>
      <c r="B10" s="507" t="s">
        <v>1187</v>
      </c>
      <c r="C10" s="506" t="s">
        <v>1188</v>
      </c>
      <c r="D10" s="506" t="s">
        <v>1180</v>
      </c>
      <c r="E10" s="36"/>
      <c r="F10" s="132"/>
      <c r="G10" s="132"/>
      <c r="H10" s="132"/>
      <c r="I10" s="132"/>
      <c r="J10" s="132"/>
      <c r="K10" s="132"/>
      <c r="L10" s="132"/>
      <c r="M10" s="132"/>
      <c r="N10" s="132"/>
      <c r="O10" s="132"/>
      <c r="P10" s="132"/>
      <c r="Q10" s="132"/>
      <c r="R10" s="132"/>
      <c r="S10" s="132"/>
      <c r="T10" s="132"/>
      <c r="U10" s="132"/>
      <c r="V10" s="132"/>
      <c r="W10" s="132"/>
      <c r="X10" s="132"/>
      <c r="Y10" s="132"/>
      <c r="Z10" s="132"/>
      <c r="AA10" s="132"/>
      <c r="AB10" s="132"/>
      <c r="AC10" s="132"/>
    </row>
    <row r="11" ht="24.75" hidden="1" customHeight="1" outlineLevel="1">
      <c r="A11" s="504">
        <v>43961.0</v>
      </c>
      <c r="B11" s="507" t="s">
        <v>1189</v>
      </c>
      <c r="C11" s="506" t="s">
        <v>1174</v>
      </c>
      <c r="D11" s="506" t="s">
        <v>1180</v>
      </c>
      <c r="E11" s="36"/>
      <c r="F11" s="132"/>
      <c r="G11" s="132"/>
      <c r="H11" s="132"/>
      <c r="I11" s="132"/>
      <c r="J11" s="132"/>
      <c r="K11" s="132"/>
      <c r="L11" s="132"/>
      <c r="M11" s="132"/>
      <c r="N11" s="132"/>
      <c r="O11" s="132"/>
      <c r="P11" s="132"/>
      <c r="Q11" s="132"/>
      <c r="R11" s="132"/>
      <c r="S11" s="132"/>
      <c r="T11" s="132"/>
      <c r="U11" s="132"/>
      <c r="V11" s="132"/>
      <c r="W11" s="132"/>
      <c r="X11" s="132"/>
      <c r="Y11" s="132"/>
      <c r="Z11" s="132"/>
      <c r="AA11" s="132"/>
      <c r="AB11" s="132"/>
      <c r="AC11" s="132"/>
    </row>
    <row r="12" ht="24.75" hidden="1" customHeight="1" outlineLevel="1">
      <c r="A12" s="504">
        <v>43962.0</v>
      </c>
      <c r="B12" s="508" t="s">
        <v>1170</v>
      </c>
      <c r="C12" s="506" t="s">
        <v>1171</v>
      </c>
      <c r="D12" s="506" t="s">
        <v>1180</v>
      </c>
      <c r="E12" s="35"/>
      <c r="F12" s="132"/>
      <c r="G12" s="132"/>
      <c r="H12" s="132"/>
      <c r="I12" s="132"/>
      <c r="J12" s="132"/>
      <c r="K12" s="132"/>
      <c r="L12" s="132"/>
      <c r="M12" s="132"/>
      <c r="N12" s="132"/>
      <c r="O12" s="132"/>
      <c r="P12" s="132"/>
      <c r="Q12" s="132"/>
      <c r="R12" s="132"/>
      <c r="S12" s="132"/>
      <c r="T12" s="132"/>
      <c r="U12" s="132"/>
      <c r="V12" s="132"/>
      <c r="W12" s="132"/>
      <c r="X12" s="132"/>
      <c r="Y12" s="132"/>
      <c r="Z12" s="132"/>
      <c r="AA12" s="132"/>
      <c r="AB12" s="132"/>
      <c r="AC12" s="132"/>
    </row>
    <row r="13" ht="24.75" hidden="1" customHeight="1" outlineLevel="1">
      <c r="A13" s="504">
        <v>43962.0</v>
      </c>
      <c r="B13" s="507" t="s">
        <v>1190</v>
      </c>
      <c r="C13" s="507" t="s">
        <v>1191</v>
      </c>
      <c r="D13" s="506" t="s">
        <v>1180</v>
      </c>
      <c r="E13" s="36"/>
      <c r="F13" s="132"/>
      <c r="G13" s="132"/>
      <c r="H13" s="132"/>
      <c r="I13" s="132"/>
      <c r="J13" s="132"/>
      <c r="K13" s="132"/>
      <c r="L13" s="132"/>
      <c r="M13" s="132"/>
      <c r="N13" s="132"/>
      <c r="O13" s="132"/>
      <c r="P13" s="132"/>
      <c r="Q13" s="132"/>
      <c r="R13" s="132"/>
      <c r="S13" s="132"/>
      <c r="T13" s="132"/>
      <c r="U13" s="132"/>
      <c r="V13" s="132"/>
      <c r="W13" s="132"/>
      <c r="X13" s="132"/>
      <c r="Y13" s="132"/>
      <c r="Z13" s="132"/>
      <c r="AA13" s="132"/>
      <c r="AB13" s="132"/>
      <c r="AC13" s="132"/>
    </row>
    <row r="14" ht="24.75" hidden="1" customHeight="1" outlineLevel="1">
      <c r="A14" s="504">
        <v>43962.0</v>
      </c>
      <c r="B14" s="507" t="s">
        <v>1192</v>
      </c>
      <c r="C14" s="507" t="s">
        <v>1191</v>
      </c>
      <c r="D14" s="506" t="s">
        <v>1180</v>
      </c>
      <c r="E14" s="36"/>
      <c r="F14" s="132"/>
      <c r="G14" s="132"/>
      <c r="H14" s="132"/>
      <c r="I14" s="132"/>
      <c r="J14" s="132"/>
      <c r="K14" s="132"/>
      <c r="L14" s="132"/>
      <c r="M14" s="132"/>
      <c r="N14" s="132"/>
      <c r="O14" s="132"/>
      <c r="P14" s="132"/>
      <c r="Q14" s="132"/>
      <c r="R14" s="132"/>
      <c r="S14" s="132"/>
      <c r="T14" s="132"/>
      <c r="U14" s="132"/>
      <c r="V14" s="132"/>
      <c r="W14" s="132"/>
      <c r="X14" s="132"/>
      <c r="Y14" s="132"/>
      <c r="Z14" s="132"/>
      <c r="AA14" s="132"/>
      <c r="AB14" s="132"/>
      <c r="AC14" s="132"/>
    </row>
    <row r="15" ht="24.75" hidden="1" customHeight="1" outlineLevel="1">
      <c r="A15" s="504">
        <v>43962.0</v>
      </c>
      <c r="B15" s="507" t="s">
        <v>534</v>
      </c>
      <c r="C15" s="507" t="s">
        <v>1193</v>
      </c>
      <c r="D15" s="506" t="s">
        <v>1194</v>
      </c>
      <c r="E15" s="36"/>
      <c r="F15" s="132"/>
      <c r="G15" s="132"/>
      <c r="H15" s="132"/>
      <c r="I15" s="132"/>
      <c r="J15" s="132"/>
      <c r="K15" s="132"/>
      <c r="L15" s="132"/>
      <c r="M15" s="132"/>
      <c r="N15" s="132"/>
      <c r="O15" s="132"/>
      <c r="P15" s="132"/>
      <c r="Q15" s="132"/>
      <c r="R15" s="132"/>
      <c r="S15" s="132"/>
      <c r="T15" s="132"/>
      <c r="U15" s="132"/>
      <c r="V15" s="132"/>
      <c r="W15" s="132"/>
      <c r="X15" s="132"/>
      <c r="Y15" s="132"/>
      <c r="Z15" s="132"/>
      <c r="AA15" s="132"/>
      <c r="AB15" s="132"/>
      <c r="AC15" s="132"/>
    </row>
    <row r="16" ht="24.75" customHeight="1">
      <c r="A16" s="132"/>
      <c r="B16" s="132"/>
      <c r="C16" s="132"/>
      <c r="D16" s="132"/>
      <c r="E16" s="496"/>
      <c r="F16" s="132"/>
      <c r="G16" s="132"/>
      <c r="H16" s="132"/>
      <c r="I16" s="132"/>
      <c r="J16" s="132"/>
      <c r="K16" s="132"/>
      <c r="L16" s="132"/>
      <c r="M16" s="132"/>
      <c r="N16" s="132"/>
      <c r="O16" s="132"/>
      <c r="P16" s="132"/>
      <c r="Q16" s="132"/>
      <c r="R16" s="132"/>
      <c r="S16" s="132"/>
      <c r="T16" s="132"/>
      <c r="U16" s="132"/>
      <c r="V16" s="132"/>
      <c r="W16" s="132"/>
      <c r="X16" s="132"/>
      <c r="Y16" s="132"/>
      <c r="Z16" s="132"/>
      <c r="AA16" s="132"/>
      <c r="AB16" s="132"/>
      <c r="AC16" s="132"/>
    </row>
    <row r="17" ht="24.75" customHeight="1" collapsed="1">
      <c r="A17" s="175" t="s">
        <v>1195</v>
      </c>
      <c r="B17" s="132"/>
      <c r="C17" s="509"/>
      <c r="D17" s="175"/>
      <c r="E17" s="496"/>
      <c r="F17" s="132"/>
      <c r="G17" s="132"/>
      <c r="H17" s="132"/>
      <c r="I17" s="132"/>
      <c r="J17" s="132"/>
      <c r="K17" s="132"/>
      <c r="L17" s="132"/>
      <c r="M17" s="132"/>
      <c r="N17" s="132"/>
      <c r="O17" s="132"/>
      <c r="P17" s="132"/>
      <c r="Q17" s="132"/>
      <c r="R17" s="132"/>
      <c r="S17" s="132"/>
      <c r="T17" s="132"/>
      <c r="U17" s="132"/>
      <c r="V17" s="132"/>
      <c r="W17" s="132"/>
      <c r="X17" s="132"/>
      <c r="Y17" s="132"/>
      <c r="Z17" s="132"/>
      <c r="AA17" s="132"/>
      <c r="AB17" s="132"/>
      <c r="AC17" s="132"/>
    </row>
    <row r="18" ht="24.75" hidden="1" customHeight="1" outlineLevel="1">
      <c r="A18" s="499" t="s">
        <v>1166</v>
      </c>
      <c r="B18" s="499" t="s">
        <v>1117</v>
      </c>
      <c r="C18" s="499" t="s">
        <v>1167</v>
      </c>
      <c r="D18" s="499" t="s">
        <v>1168</v>
      </c>
      <c r="E18" s="499" t="s">
        <v>1169</v>
      </c>
      <c r="F18" s="132"/>
      <c r="G18" s="132"/>
      <c r="H18" s="132"/>
      <c r="I18" s="132"/>
      <c r="J18" s="132"/>
      <c r="K18" s="132"/>
      <c r="L18" s="132"/>
      <c r="M18" s="132"/>
      <c r="N18" s="132"/>
      <c r="O18" s="132"/>
      <c r="P18" s="132"/>
      <c r="Q18" s="132"/>
      <c r="R18" s="132"/>
      <c r="S18" s="132"/>
      <c r="T18" s="132"/>
      <c r="U18" s="132"/>
      <c r="V18" s="132"/>
      <c r="W18" s="132"/>
      <c r="X18" s="132"/>
      <c r="Y18" s="132"/>
      <c r="Z18" s="132"/>
      <c r="AA18" s="132"/>
      <c r="AB18" s="132"/>
      <c r="AC18" s="132"/>
    </row>
    <row r="19" ht="24.75" hidden="1" customHeight="1" outlineLevel="1">
      <c r="A19" s="500">
        <v>44194.0</v>
      </c>
      <c r="B19" s="507" t="s">
        <v>1196</v>
      </c>
      <c r="C19" s="502"/>
      <c r="D19" s="502" t="s">
        <v>1197</v>
      </c>
      <c r="E19" s="503"/>
      <c r="F19" s="132"/>
      <c r="G19" s="132"/>
      <c r="H19" s="132"/>
      <c r="I19" s="132"/>
      <c r="J19" s="175"/>
      <c r="K19" s="132"/>
      <c r="L19" s="132"/>
      <c r="M19" s="132"/>
      <c r="N19" s="132"/>
      <c r="O19" s="132"/>
      <c r="P19" s="132"/>
      <c r="Q19" s="132"/>
      <c r="R19" s="132"/>
      <c r="S19" s="132"/>
      <c r="T19" s="132"/>
      <c r="U19" s="132"/>
      <c r="V19" s="132"/>
      <c r="W19" s="132"/>
      <c r="X19" s="132"/>
      <c r="Y19" s="132"/>
      <c r="Z19" s="132"/>
      <c r="AA19" s="132"/>
      <c r="AB19" s="132"/>
      <c r="AC19" s="132"/>
    </row>
    <row r="20" ht="24.75" hidden="1" customHeight="1" outlineLevel="1">
      <c r="A20" s="504">
        <v>44195.0</v>
      </c>
      <c r="B20" s="507" t="s">
        <v>1198</v>
      </c>
      <c r="C20" s="506"/>
      <c r="D20" s="506" t="s">
        <v>1175</v>
      </c>
      <c r="E20" s="36"/>
      <c r="F20" s="132"/>
      <c r="G20" s="132"/>
      <c r="H20" s="132"/>
      <c r="I20" s="132"/>
      <c r="J20" s="175"/>
      <c r="K20" s="132"/>
      <c r="L20" s="132"/>
      <c r="M20" s="132"/>
      <c r="N20" s="132"/>
      <c r="O20" s="132"/>
      <c r="P20" s="132"/>
      <c r="Q20" s="132"/>
      <c r="R20" s="132"/>
      <c r="S20" s="132"/>
      <c r="T20" s="132"/>
      <c r="U20" s="132"/>
      <c r="V20" s="132"/>
      <c r="W20" s="132"/>
      <c r="X20" s="132"/>
      <c r="Y20" s="132"/>
      <c r="Z20" s="132"/>
      <c r="AA20" s="132"/>
      <c r="AB20" s="132"/>
      <c r="AC20" s="132"/>
    </row>
    <row r="21" ht="24.75" hidden="1" customHeight="1" outlineLevel="1">
      <c r="A21" s="504">
        <v>44195.0</v>
      </c>
      <c r="B21" s="507" t="s">
        <v>1173</v>
      </c>
      <c r="C21" s="506"/>
      <c r="D21" s="506" t="s">
        <v>1199</v>
      </c>
      <c r="E21" s="36"/>
      <c r="F21" s="132"/>
      <c r="G21" s="132"/>
      <c r="H21" s="132"/>
      <c r="I21" s="132"/>
      <c r="J21" s="175"/>
      <c r="K21" s="132"/>
      <c r="L21" s="132"/>
      <c r="M21" s="132"/>
      <c r="N21" s="132"/>
      <c r="O21" s="132"/>
      <c r="P21" s="132"/>
      <c r="Q21" s="132"/>
      <c r="R21" s="132"/>
      <c r="S21" s="132"/>
      <c r="T21" s="132"/>
      <c r="U21" s="132"/>
      <c r="V21" s="132"/>
      <c r="W21" s="132"/>
      <c r="X21" s="132"/>
      <c r="Y21" s="132"/>
      <c r="Z21" s="132"/>
      <c r="AA21" s="132"/>
      <c r="AB21" s="132"/>
      <c r="AC21" s="132"/>
    </row>
    <row r="22" ht="24.75" hidden="1" customHeight="1" outlineLevel="1">
      <c r="A22" s="504">
        <v>44195.0</v>
      </c>
      <c r="B22" s="507" t="s">
        <v>1200</v>
      </c>
      <c r="C22" s="506" t="s">
        <v>1201</v>
      </c>
      <c r="D22" s="506" t="s">
        <v>1202</v>
      </c>
      <c r="E22" s="36" t="s">
        <v>1203</v>
      </c>
      <c r="F22" s="132"/>
      <c r="G22" s="132"/>
      <c r="H22" s="132"/>
      <c r="I22" s="132"/>
      <c r="J22" s="175"/>
      <c r="K22" s="132"/>
      <c r="L22" s="132"/>
      <c r="M22" s="132"/>
      <c r="N22" s="132"/>
      <c r="O22" s="132"/>
      <c r="P22" s="132"/>
      <c r="Q22" s="132"/>
      <c r="R22" s="132"/>
      <c r="S22" s="132"/>
      <c r="T22" s="132"/>
      <c r="U22" s="132"/>
      <c r="V22" s="132"/>
      <c r="W22" s="132"/>
      <c r="X22" s="132"/>
      <c r="Y22" s="132"/>
      <c r="Z22" s="132"/>
      <c r="AA22" s="132"/>
      <c r="AB22" s="132"/>
      <c r="AC22" s="132"/>
    </row>
    <row r="23" ht="24.75" hidden="1" customHeight="1" outlineLevel="1">
      <c r="A23" s="504">
        <v>44195.0</v>
      </c>
      <c r="B23" s="507" t="s">
        <v>1204</v>
      </c>
      <c r="C23" s="507" t="s">
        <v>1205</v>
      </c>
      <c r="D23" s="506" t="s">
        <v>1175</v>
      </c>
      <c r="E23" s="36" t="s">
        <v>1203</v>
      </c>
      <c r="F23" s="132"/>
      <c r="G23" s="132"/>
      <c r="H23" s="132"/>
      <c r="I23" s="132"/>
      <c r="J23" s="175"/>
      <c r="K23" s="132"/>
      <c r="L23" s="132"/>
      <c r="M23" s="132"/>
      <c r="N23" s="132"/>
      <c r="O23" s="132"/>
      <c r="P23" s="132"/>
      <c r="Q23" s="132"/>
      <c r="R23" s="132"/>
      <c r="S23" s="132"/>
      <c r="T23" s="132"/>
      <c r="U23" s="132"/>
      <c r="V23" s="132"/>
      <c r="W23" s="132"/>
      <c r="X23" s="132"/>
      <c r="Y23" s="132"/>
      <c r="Z23" s="132"/>
      <c r="AA23" s="132"/>
      <c r="AB23" s="132"/>
      <c r="AC23" s="132"/>
    </row>
    <row r="24" ht="24.75" hidden="1" customHeight="1" outlineLevel="1">
      <c r="A24" s="504">
        <v>44196.0</v>
      </c>
      <c r="B24" s="507" t="s">
        <v>1206</v>
      </c>
      <c r="C24" s="505"/>
      <c r="D24" s="506" t="s">
        <v>1175</v>
      </c>
      <c r="E24" s="36"/>
      <c r="F24" s="132"/>
      <c r="G24" s="132"/>
      <c r="H24" s="132"/>
      <c r="I24" s="132"/>
      <c r="J24" s="175"/>
      <c r="K24" s="132"/>
      <c r="L24" s="132"/>
      <c r="M24" s="132"/>
      <c r="N24" s="132"/>
      <c r="O24" s="132"/>
      <c r="P24" s="132"/>
      <c r="Q24" s="132"/>
      <c r="R24" s="132"/>
      <c r="S24" s="132"/>
      <c r="T24" s="132"/>
      <c r="U24" s="132"/>
      <c r="V24" s="132"/>
      <c r="W24" s="132"/>
      <c r="X24" s="132"/>
      <c r="Y24" s="132"/>
      <c r="Z24" s="132"/>
      <c r="AA24" s="132"/>
      <c r="AB24" s="132"/>
      <c r="AC24" s="132"/>
    </row>
    <row r="25" ht="24.75" hidden="1" customHeight="1" outlineLevel="1">
      <c r="A25" s="504">
        <v>44197.0</v>
      </c>
      <c r="B25" s="507" t="s">
        <v>1207</v>
      </c>
      <c r="C25" s="505"/>
      <c r="D25" s="506" t="s">
        <v>1175</v>
      </c>
      <c r="E25" s="36"/>
      <c r="F25" s="132"/>
      <c r="G25" s="132"/>
      <c r="H25" s="132"/>
      <c r="I25" s="132"/>
      <c r="J25" s="175"/>
      <c r="K25" s="132"/>
      <c r="L25" s="132"/>
      <c r="M25" s="132"/>
      <c r="N25" s="132"/>
      <c r="O25" s="132"/>
      <c r="P25" s="132"/>
      <c r="Q25" s="132"/>
      <c r="R25" s="132"/>
      <c r="S25" s="132"/>
      <c r="T25" s="132"/>
      <c r="U25" s="132"/>
      <c r="V25" s="132"/>
      <c r="W25" s="132"/>
      <c r="X25" s="132"/>
      <c r="Y25" s="132"/>
      <c r="Z25" s="132"/>
      <c r="AA25" s="132"/>
      <c r="AB25" s="132"/>
      <c r="AC25" s="132"/>
    </row>
    <row r="26" ht="24.75" hidden="1" customHeight="1" outlineLevel="1">
      <c r="A26" s="504">
        <v>44197.0</v>
      </c>
      <c r="B26" s="507" t="s">
        <v>1181</v>
      </c>
      <c r="C26" s="505" t="s">
        <v>1208</v>
      </c>
      <c r="D26" s="506" t="s">
        <v>1175</v>
      </c>
      <c r="E26" s="36" t="s">
        <v>1203</v>
      </c>
      <c r="F26" s="132"/>
      <c r="G26" s="132"/>
      <c r="H26" s="132"/>
      <c r="I26" s="132"/>
      <c r="J26" s="175"/>
      <c r="K26" s="132"/>
      <c r="L26" s="132"/>
      <c r="M26" s="132"/>
      <c r="N26" s="132"/>
      <c r="O26" s="132"/>
      <c r="P26" s="132"/>
      <c r="Q26" s="132"/>
      <c r="R26" s="132"/>
      <c r="S26" s="132"/>
      <c r="T26" s="132"/>
      <c r="U26" s="132"/>
      <c r="V26" s="132"/>
      <c r="W26" s="132"/>
      <c r="X26" s="132"/>
      <c r="Y26" s="132"/>
      <c r="Z26" s="132"/>
      <c r="AA26" s="132"/>
      <c r="AB26" s="132"/>
      <c r="AC26" s="132"/>
    </row>
    <row r="27" ht="24.75" hidden="1" customHeight="1" outlineLevel="1">
      <c r="A27" s="504">
        <v>44198.0</v>
      </c>
      <c r="B27" s="507" t="s">
        <v>1209</v>
      </c>
      <c r="C27" s="506"/>
      <c r="D27" s="506" t="s">
        <v>1175</v>
      </c>
      <c r="E27" s="35"/>
      <c r="F27" s="132"/>
      <c r="G27" s="132"/>
      <c r="H27" s="132"/>
      <c r="I27" s="132"/>
      <c r="J27" s="175"/>
      <c r="K27" s="132"/>
      <c r="L27" s="132"/>
      <c r="M27" s="132"/>
      <c r="N27" s="132"/>
      <c r="O27" s="132"/>
      <c r="P27" s="132"/>
      <c r="Q27" s="132"/>
      <c r="R27" s="132"/>
      <c r="S27" s="132"/>
      <c r="T27" s="132"/>
      <c r="U27" s="132"/>
      <c r="V27" s="132"/>
      <c r="W27" s="132"/>
      <c r="X27" s="132"/>
      <c r="Y27" s="132"/>
      <c r="Z27" s="132"/>
      <c r="AA27" s="132"/>
      <c r="AB27" s="132"/>
      <c r="AC27" s="132"/>
    </row>
    <row r="28" ht="24.75" hidden="1" customHeight="1" outlineLevel="1">
      <c r="A28" s="504">
        <v>44198.0</v>
      </c>
      <c r="B28" s="507" t="s">
        <v>1210</v>
      </c>
      <c r="C28" s="507" t="s">
        <v>1211</v>
      </c>
      <c r="D28" s="506" t="s">
        <v>1212</v>
      </c>
      <c r="E28" s="36" t="s">
        <v>1203</v>
      </c>
      <c r="F28" s="132"/>
      <c r="G28" s="132"/>
      <c r="H28" s="132"/>
      <c r="I28" s="132"/>
      <c r="J28" s="175"/>
      <c r="K28" s="132"/>
      <c r="L28" s="132"/>
      <c r="M28" s="132"/>
      <c r="N28" s="132"/>
      <c r="O28" s="132"/>
      <c r="P28" s="132"/>
      <c r="Q28" s="132"/>
      <c r="R28" s="132"/>
      <c r="S28" s="132"/>
      <c r="T28" s="132"/>
      <c r="U28" s="132"/>
      <c r="V28" s="132"/>
      <c r="W28" s="132"/>
      <c r="X28" s="132"/>
      <c r="Y28" s="132"/>
      <c r="Z28" s="132"/>
      <c r="AA28" s="132"/>
      <c r="AB28" s="132"/>
      <c r="AC28" s="132"/>
    </row>
    <row r="29" ht="24.75" hidden="1" customHeight="1" outlineLevel="1">
      <c r="A29" s="504">
        <v>44198.0</v>
      </c>
      <c r="B29" s="507" t="s">
        <v>1213</v>
      </c>
      <c r="C29" s="506" t="s">
        <v>1201</v>
      </c>
      <c r="D29" s="506" t="s">
        <v>1175</v>
      </c>
      <c r="E29" s="36" t="s">
        <v>1203</v>
      </c>
      <c r="F29" s="132"/>
      <c r="G29" s="132"/>
      <c r="H29" s="132"/>
      <c r="I29" s="132"/>
      <c r="J29" s="175"/>
      <c r="K29" s="132"/>
      <c r="L29" s="132"/>
      <c r="M29" s="132"/>
      <c r="N29" s="132"/>
      <c r="O29" s="132"/>
      <c r="P29" s="132"/>
      <c r="Q29" s="132"/>
      <c r="R29" s="132"/>
      <c r="S29" s="132"/>
      <c r="T29" s="132"/>
      <c r="U29" s="132"/>
      <c r="V29" s="132"/>
      <c r="W29" s="132"/>
      <c r="X29" s="132"/>
      <c r="Y29" s="132"/>
      <c r="Z29" s="132"/>
      <c r="AA29" s="132"/>
      <c r="AB29" s="132"/>
      <c r="AC29" s="132"/>
    </row>
    <row r="30" ht="24.75" hidden="1" customHeight="1" outlineLevel="1">
      <c r="A30" s="504">
        <v>44199.0</v>
      </c>
      <c r="B30" s="507" t="s">
        <v>1189</v>
      </c>
      <c r="C30" s="506" t="s">
        <v>1214</v>
      </c>
      <c r="D30" s="506" t="s">
        <v>1175</v>
      </c>
      <c r="E30" s="36" t="s">
        <v>1203</v>
      </c>
      <c r="F30" s="132"/>
      <c r="G30" s="132"/>
      <c r="H30" s="132"/>
      <c r="I30" s="132"/>
      <c r="J30" s="175"/>
      <c r="K30" s="132"/>
      <c r="L30" s="132"/>
      <c r="M30" s="132"/>
      <c r="N30" s="132"/>
      <c r="O30" s="132"/>
      <c r="P30" s="132"/>
      <c r="Q30" s="132"/>
      <c r="R30" s="132"/>
      <c r="S30" s="132"/>
      <c r="T30" s="132"/>
      <c r="U30" s="132"/>
      <c r="V30" s="132"/>
      <c r="W30" s="132"/>
      <c r="X30" s="132"/>
      <c r="Y30" s="132"/>
      <c r="Z30" s="132"/>
      <c r="AA30" s="132"/>
      <c r="AB30" s="132"/>
      <c r="AC30" s="132"/>
    </row>
    <row r="31" ht="24.75" hidden="1" customHeight="1" outlineLevel="1">
      <c r="A31" s="504">
        <v>44200.0</v>
      </c>
      <c r="B31" s="507" t="s">
        <v>1215</v>
      </c>
      <c r="C31" s="506" t="s">
        <v>1216</v>
      </c>
      <c r="D31" s="506" t="s">
        <v>1175</v>
      </c>
      <c r="E31" s="36" t="s">
        <v>1203</v>
      </c>
      <c r="F31" s="132"/>
      <c r="G31" s="132"/>
      <c r="H31" s="132"/>
      <c r="I31" s="132"/>
      <c r="J31" s="175"/>
      <c r="K31" s="132"/>
      <c r="L31" s="132"/>
      <c r="M31" s="132"/>
      <c r="N31" s="132"/>
      <c r="O31" s="132"/>
      <c r="P31" s="132"/>
      <c r="Q31" s="132"/>
      <c r="R31" s="132"/>
      <c r="S31" s="132"/>
      <c r="T31" s="132"/>
      <c r="U31" s="132"/>
      <c r="V31" s="132"/>
      <c r="W31" s="132"/>
      <c r="X31" s="132"/>
      <c r="Y31" s="132"/>
      <c r="Z31" s="132"/>
      <c r="AA31" s="132"/>
      <c r="AB31" s="132"/>
      <c r="AC31" s="132"/>
    </row>
    <row r="32" ht="24.75" hidden="1" customHeight="1" outlineLevel="1">
      <c r="A32" s="504">
        <v>44200.0</v>
      </c>
      <c r="B32" s="507" t="s">
        <v>1217</v>
      </c>
      <c r="C32" s="507" t="s">
        <v>1218</v>
      </c>
      <c r="D32" s="506" t="s">
        <v>1175</v>
      </c>
      <c r="E32" s="36" t="s">
        <v>1203</v>
      </c>
      <c r="F32" s="132"/>
      <c r="G32" s="132"/>
      <c r="H32" s="132"/>
      <c r="I32" s="132"/>
      <c r="J32" s="175"/>
      <c r="K32" s="132"/>
      <c r="L32" s="132"/>
      <c r="M32" s="132"/>
      <c r="N32" s="132"/>
      <c r="O32" s="132"/>
      <c r="P32" s="132"/>
      <c r="Q32" s="132"/>
      <c r="R32" s="132"/>
      <c r="S32" s="132"/>
      <c r="T32" s="132"/>
      <c r="U32" s="132"/>
      <c r="V32" s="132"/>
      <c r="W32" s="132"/>
      <c r="X32" s="132"/>
      <c r="Y32" s="132"/>
      <c r="Z32" s="132"/>
      <c r="AA32" s="132"/>
      <c r="AB32" s="132"/>
      <c r="AC32" s="132"/>
    </row>
    <row r="33" ht="24.75" customHeight="1">
      <c r="A33" s="510"/>
      <c r="C33" s="132"/>
      <c r="D33" s="132"/>
      <c r="E33" s="496"/>
      <c r="F33" s="132"/>
      <c r="G33" s="132"/>
      <c r="H33" s="132"/>
      <c r="I33" s="132"/>
      <c r="J33" s="175"/>
      <c r="K33" s="132"/>
      <c r="L33" s="132"/>
      <c r="M33" s="132"/>
      <c r="N33" s="132"/>
      <c r="O33" s="132"/>
      <c r="P33" s="132"/>
      <c r="Q33" s="132"/>
      <c r="R33" s="132"/>
      <c r="S33" s="132"/>
      <c r="T33" s="132"/>
      <c r="U33" s="132"/>
      <c r="V33" s="132"/>
      <c r="W33" s="132"/>
      <c r="X33" s="132"/>
      <c r="Y33" s="132"/>
      <c r="Z33" s="132"/>
      <c r="AA33" s="132"/>
      <c r="AB33" s="132"/>
      <c r="AC33" s="132"/>
    </row>
    <row r="34" ht="24.75" customHeight="1" collapsed="1">
      <c r="A34" s="497" t="s">
        <v>1219</v>
      </c>
      <c r="B34" s="498"/>
      <c r="C34" s="498"/>
      <c r="D34" s="498"/>
      <c r="E34" s="498"/>
      <c r="F34" s="132"/>
      <c r="G34" s="132"/>
      <c r="H34" s="132"/>
      <c r="I34" s="132"/>
      <c r="J34" s="175"/>
      <c r="K34" s="132"/>
      <c r="L34" s="132"/>
      <c r="M34" s="132"/>
      <c r="N34" s="132"/>
      <c r="O34" s="132"/>
      <c r="P34" s="132"/>
      <c r="Q34" s="132"/>
      <c r="R34" s="132"/>
      <c r="S34" s="132"/>
      <c r="T34" s="132"/>
      <c r="U34" s="132"/>
      <c r="V34" s="132"/>
      <c r="W34" s="132"/>
      <c r="X34" s="132"/>
      <c r="Y34" s="132"/>
      <c r="Z34" s="132"/>
      <c r="AA34" s="132"/>
      <c r="AB34" s="132"/>
      <c r="AC34" s="132"/>
    </row>
    <row r="35" ht="24.75" hidden="1" customHeight="1" outlineLevel="1">
      <c r="A35" s="499" t="s">
        <v>1166</v>
      </c>
      <c r="B35" s="499" t="s">
        <v>1117</v>
      </c>
      <c r="C35" s="499" t="s">
        <v>1167</v>
      </c>
      <c r="D35" s="499" t="s">
        <v>1168</v>
      </c>
      <c r="E35" s="499" t="s">
        <v>1169</v>
      </c>
      <c r="F35" s="132"/>
      <c r="G35" s="132"/>
      <c r="H35" s="132"/>
      <c r="I35" s="132"/>
      <c r="J35" s="175"/>
      <c r="K35" s="132"/>
      <c r="L35" s="132"/>
      <c r="M35" s="132"/>
      <c r="N35" s="132"/>
      <c r="O35" s="132"/>
      <c r="P35" s="132"/>
      <c r="Q35" s="132"/>
      <c r="R35" s="132"/>
      <c r="S35" s="132"/>
      <c r="T35" s="132"/>
      <c r="U35" s="132"/>
      <c r="V35" s="132"/>
      <c r="W35" s="132"/>
      <c r="X35" s="132"/>
      <c r="Y35" s="132"/>
      <c r="Z35" s="132"/>
      <c r="AA35" s="132"/>
      <c r="AB35" s="132"/>
      <c r="AC35" s="132"/>
    </row>
    <row r="36" ht="24.75" hidden="1" customHeight="1" outlineLevel="1">
      <c r="A36" s="504">
        <v>44317.0</v>
      </c>
      <c r="B36" s="507" t="s">
        <v>1189</v>
      </c>
      <c r="C36" s="511" t="s">
        <v>1220</v>
      </c>
      <c r="D36" s="506" t="s">
        <v>1180</v>
      </c>
      <c r="E36" s="36" t="s">
        <v>1221</v>
      </c>
      <c r="F36" s="132"/>
      <c r="G36" s="132"/>
      <c r="H36" s="132"/>
      <c r="I36" s="132"/>
      <c r="J36" s="132"/>
      <c r="K36" s="132"/>
      <c r="L36" s="132"/>
      <c r="M36" s="132"/>
      <c r="N36" s="132"/>
      <c r="O36" s="132"/>
      <c r="P36" s="132"/>
      <c r="Q36" s="132"/>
      <c r="R36" s="132"/>
      <c r="S36" s="132"/>
      <c r="T36" s="132"/>
      <c r="U36" s="132"/>
      <c r="V36" s="132"/>
      <c r="W36" s="132"/>
      <c r="X36" s="132"/>
      <c r="Y36" s="132"/>
      <c r="Z36" s="132"/>
      <c r="AA36" s="132"/>
      <c r="AB36" s="132"/>
      <c r="AC36" s="132"/>
    </row>
    <row r="37" ht="24.75" hidden="1" customHeight="1" outlineLevel="1">
      <c r="A37" s="504">
        <v>44317.0</v>
      </c>
      <c r="B37" s="508" t="s">
        <v>1213</v>
      </c>
      <c r="C37" s="512" t="s">
        <v>1222</v>
      </c>
      <c r="D37" s="506" t="s">
        <v>1223</v>
      </c>
      <c r="E37" s="36" t="s">
        <v>1224</v>
      </c>
      <c r="F37" s="132"/>
      <c r="G37" s="132"/>
      <c r="H37" s="132"/>
      <c r="I37" s="132"/>
      <c r="J37" s="132"/>
      <c r="K37" s="132"/>
      <c r="L37" s="132"/>
      <c r="M37" s="132"/>
      <c r="N37" s="132"/>
      <c r="O37" s="132"/>
      <c r="P37" s="132"/>
      <c r="Q37" s="132"/>
      <c r="R37" s="132"/>
      <c r="S37" s="132"/>
      <c r="T37" s="132"/>
      <c r="U37" s="132"/>
      <c r="V37" s="132"/>
      <c r="W37" s="132"/>
      <c r="X37" s="132"/>
      <c r="Y37" s="132"/>
      <c r="Z37" s="132"/>
      <c r="AA37" s="132"/>
      <c r="AB37" s="132"/>
      <c r="AC37" s="132"/>
    </row>
    <row r="38" ht="24.75" hidden="1" customHeight="1" outlineLevel="1">
      <c r="A38" s="504">
        <v>44317.0</v>
      </c>
      <c r="B38" s="507" t="s">
        <v>1185</v>
      </c>
      <c r="C38" s="507" t="s">
        <v>1186</v>
      </c>
      <c r="D38" s="506" t="s">
        <v>1180</v>
      </c>
      <c r="E38" s="36" t="s">
        <v>1221</v>
      </c>
      <c r="F38" s="132"/>
      <c r="G38" s="132"/>
      <c r="H38" s="132"/>
      <c r="I38" s="132"/>
      <c r="J38" s="132"/>
      <c r="K38" s="132"/>
      <c r="L38" s="132"/>
      <c r="M38" s="132"/>
      <c r="N38" s="132"/>
      <c r="O38" s="132"/>
      <c r="P38" s="132"/>
      <c r="Q38" s="132"/>
      <c r="R38" s="132"/>
      <c r="S38" s="132"/>
      <c r="T38" s="132"/>
      <c r="U38" s="132"/>
      <c r="V38" s="132"/>
      <c r="W38" s="132"/>
      <c r="X38" s="132"/>
      <c r="Y38" s="132"/>
      <c r="Z38" s="132"/>
      <c r="AA38" s="132"/>
      <c r="AB38" s="132"/>
      <c r="AC38" s="132"/>
    </row>
    <row r="39" ht="24.75" hidden="1" customHeight="1" outlineLevel="1">
      <c r="A39" s="504">
        <v>44318.0</v>
      </c>
      <c r="B39" s="507" t="s">
        <v>1187</v>
      </c>
      <c r="C39" s="511" t="s">
        <v>1188</v>
      </c>
      <c r="D39" s="506" t="s">
        <v>1180</v>
      </c>
      <c r="E39" s="36" t="s">
        <v>1221</v>
      </c>
      <c r="F39" s="132"/>
      <c r="G39" s="132"/>
      <c r="H39" s="132"/>
      <c r="I39" s="132"/>
      <c r="J39" s="132"/>
      <c r="K39" s="132"/>
      <c r="L39" s="132"/>
      <c r="M39" s="132"/>
      <c r="N39" s="132"/>
      <c r="O39" s="132"/>
      <c r="P39" s="132"/>
      <c r="Q39" s="132"/>
      <c r="R39" s="132"/>
      <c r="S39" s="132"/>
      <c r="T39" s="132"/>
      <c r="U39" s="132"/>
      <c r="V39" s="132"/>
      <c r="W39" s="132"/>
      <c r="X39" s="132"/>
      <c r="Y39" s="132"/>
      <c r="Z39" s="132"/>
      <c r="AA39" s="132"/>
      <c r="AB39" s="132"/>
      <c r="AC39" s="132"/>
    </row>
    <row r="40" ht="24.75" hidden="1" customHeight="1" outlineLevel="1">
      <c r="A40" s="504">
        <v>44319.0</v>
      </c>
      <c r="B40" s="507" t="s">
        <v>1190</v>
      </c>
      <c r="C40" s="507" t="s">
        <v>1191</v>
      </c>
      <c r="D40" s="506" t="s">
        <v>1175</v>
      </c>
      <c r="E40" s="36" t="s">
        <v>1224</v>
      </c>
      <c r="F40" s="132"/>
      <c r="G40" s="132"/>
      <c r="H40" s="132"/>
      <c r="I40" s="132"/>
      <c r="J40" s="132"/>
      <c r="K40" s="132"/>
      <c r="L40" s="132"/>
      <c r="M40" s="132"/>
      <c r="N40" s="132"/>
      <c r="O40" s="132"/>
      <c r="P40" s="132"/>
      <c r="Q40" s="132"/>
      <c r="R40" s="132"/>
      <c r="S40" s="132"/>
      <c r="T40" s="132"/>
      <c r="U40" s="132"/>
      <c r="V40" s="132"/>
      <c r="W40" s="132"/>
      <c r="X40" s="132"/>
      <c r="Y40" s="132"/>
      <c r="Z40" s="132"/>
      <c r="AA40" s="132"/>
      <c r="AB40" s="132"/>
      <c r="AC40" s="132"/>
    </row>
    <row r="41" ht="24.75" hidden="1" customHeight="1" outlineLevel="1">
      <c r="A41" s="504">
        <v>44319.0</v>
      </c>
      <c r="B41" s="507" t="s">
        <v>1192</v>
      </c>
      <c r="C41" s="507" t="s">
        <v>1191</v>
      </c>
      <c r="D41" s="506" t="s">
        <v>1175</v>
      </c>
      <c r="E41" s="36" t="s">
        <v>1224</v>
      </c>
      <c r="F41" s="132"/>
      <c r="G41" s="132"/>
      <c r="H41" s="132"/>
      <c r="I41" s="132"/>
      <c r="J41" s="132"/>
      <c r="K41" s="132"/>
      <c r="L41" s="132"/>
      <c r="M41" s="132"/>
      <c r="N41" s="132"/>
      <c r="O41" s="132"/>
      <c r="P41" s="132"/>
      <c r="Q41" s="132"/>
      <c r="R41" s="132"/>
      <c r="S41" s="132"/>
      <c r="T41" s="132"/>
      <c r="U41" s="132"/>
      <c r="V41" s="132"/>
      <c r="W41" s="132"/>
      <c r="X41" s="132"/>
      <c r="Y41" s="132"/>
      <c r="Z41" s="132"/>
      <c r="AA41" s="132"/>
      <c r="AB41" s="132"/>
      <c r="AC41" s="132"/>
    </row>
    <row r="42" ht="24.75" hidden="1" customHeight="1" outlineLevel="1">
      <c r="A42" s="500">
        <v>44320.0</v>
      </c>
      <c r="B42" s="507" t="s">
        <v>1225</v>
      </c>
      <c r="C42" s="502"/>
      <c r="D42" s="502" t="s">
        <v>1197</v>
      </c>
      <c r="E42" s="36" t="s">
        <v>1221</v>
      </c>
      <c r="F42" s="132"/>
      <c r="G42" s="132"/>
      <c r="H42" s="132"/>
      <c r="I42" s="132"/>
      <c r="J42" s="132"/>
      <c r="K42" s="132"/>
      <c r="L42" s="132"/>
      <c r="M42" s="132"/>
      <c r="N42" s="132"/>
      <c r="O42" s="132"/>
      <c r="P42" s="132"/>
      <c r="Q42" s="132"/>
      <c r="R42" s="132"/>
      <c r="S42" s="132"/>
      <c r="T42" s="132"/>
      <c r="U42" s="132"/>
      <c r="V42" s="132"/>
      <c r="W42" s="132"/>
      <c r="X42" s="132"/>
      <c r="Y42" s="132"/>
      <c r="Z42" s="132"/>
      <c r="AA42" s="132"/>
      <c r="AB42" s="132"/>
      <c r="AC42" s="132"/>
    </row>
    <row r="43" ht="24.75" hidden="1" customHeight="1" outlineLevel="1">
      <c r="A43" s="500">
        <v>44321.0</v>
      </c>
      <c r="B43" s="507" t="s">
        <v>1226</v>
      </c>
      <c r="C43" s="512" t="s">
        <v>1222</v>
      </c>
      <c r="D43" s="502" t="s">
        <v>1227</v>
      </c>
      <c r="E43" s="513" t="s">
        <v>1228</v>
      </c>
      <c r="F43" s="132"/>
      <c r="G43" s="132"/>
      <c r="H43" s="132"/>
      <c r="I43" s="132"/>
      <c r="J43" s="132"/>
      <c r="K43" s="132"/>
      <c r="L43" s="132"/>
      <c r="M43" s="132"/>
      <c r="N43" s="132"/>
      <c r="O43" s="132"/>
      <c r="P43" s="132"/>
      <c r="Q43" s="132"/>
      <c r="R43" s="132"/>
      <c r="S43" s="132"/>
      <c r="T43" s="132"/>
      <c r="U43" s="132"/>
      <c r="V43" s="132"/>
      <c r="W43" s="132"/>
      <c r="X43" s="132"/>
      <c r="Y43" s="132"/>
      <c r="Z43" s="132"/>
      <c r="AA43" s="132"/>
      <c r="AB43" s="132"/>
      <c r="AC43" s="132"/>
    </row>
    <row r="44" ht="24.75" hidden="1" customHeight="1" outlineLevel="1">
      <c r="A44" s="504">
        <v>44321.0</v>
      </c>
      <c r="B44" s="507" t="s">
        <v>1198</v>
      </c>
      <c r="C44" s="506"/>
      <c r="D44" s="506" t="s">
        <v>1229</v>
      </c>
      <c r="E44" s="36" t="s">
        <v>1221</v>
      </c>
      <c r="F44" s="132"/>
      <c r="G44" s="132"/>
      <c r="H44" s="132"/>
      <c r="I44" s="132"/>
      <c r="J44" s="132"/>
      <c r="K44" s="132"/>
      <c r="L44" s="132"/>
      <c r="M44" s="132"/>
      <c r="N44" s="132"/>
      <c r="O44" s="132"/>
      <c r="P44" s="132"/>
      <c r="Q44" s="132"/>
      <c r="R44" s="132"/>
      <c r="S44" s="132"/>
      <c r="T44" s="132"/>
      <c r="U44" s="132"/>
      <c r="V44" s="132"/>
      <c r="W44" s="132"/>
      <c r="X44" s="132"/>
      <c r="Y44" s="132"/>
      <c r="Z44" s="132"/>
      <c r="AA44" s="132"/>
      <c r="AB44" s="132"/>
      <c r="AC44" s="132"/>
    </row>
    <row r="45" ht="24.75" hidden="1" customHeight="1" outlineLevel="1">
      <c r="A45" s="504">
        <v>44321.0</v>
      </c>
      <c r="B45" s="505" t="s">
        <v>1176</v>
      </c>
      <c r="C45" s="507" t="s">
        <v>1205</v>
      </c>
      <c r="D45" s="506" t="s">
        <v>1175</v>
      </c>
      <c r="E45" s="36" t="s">
        <v>1228</v>
      </c>
      <c r="F45" s="132"/>
      <c r="G45" s="132"/>
      <c r="H45" s="132"/>
      <c r="I45" s="132"/>
      <c r="J45" s="132"/>
      <c r="K45" s="132"/>
      <c r="L45" s="132"/>
      <c r="M45" s="132"/>
      <c r="N45" s="132"/>
      <c r="O45" s="132"/>
      <c r="P45" s="132"/>
      <c r="Q45" s="132"/>
      <c r="R45" s="132"/>
      <c r="S45" s="132"/>
      <c r="T45" s="132"/>
      <c r="U45" s="132"/>
      <c r="V45" s="132"/>
      <c r="W45" s="132"/>
      <c r="X45" s="132"/>
      <c r="Y45" s="132"/>
      <c r="Z45" s="132"/>
      <c r="AA45" s="132"/>
      <c r="AB45" s="132"/>
      <c r="AC45" s="132"/>
    </row>
    <row r="46" ht="24.75" hidden="1" customHeight="1" outlineLevel="1">
      <c r="A46" s="504">
        <v>44322.0</v>
      </c>
      <c r="B46" s="505" t="s">
        <v>1178</v>
      </c>
      <c r="C46" s="507" t="s">
        <v>1230</v>
      </c>
      <c r="D46" s="506" t="s">
        <v>1175</v>
      </c>
      <c r="E46" s="36" t="s">
        <v>1224</v>
      </c>
      <c r="F46" s="132"/>
      <c r="G46" s="132"/>
      <c r="H46" s="132"/>
      <c r="I46" s="132"/>
      <c r="J46" s="132"/>
      <c r="K46" s="132"/>
      <c r="L46" s="132"/>
      <c r="M46" s="132"/>
      <c r="N46" s="132"/>
      <c r="O46" s="132"/>
      <c r="P46" s="132"/>
      <c r="Q46" s="132"/>
      <c r="R46" s="132"/>
      <c r="S46" s="132"/>
      <c r="T46" s="132"/>
      <c r="U46" s="132"/>
      <c r="V46" s="132"/>
      <c r="W46" s="132"/>
      <c r="X46" s="132"/>
      <c r="Y46" s="132"/>
      <c r="Z46" s="132"/>
      <c r="AA46" s="132"/>
      <c r="AB46" s="132"/>
      <c r="AC46" s="132"/>
    </row>
    <row r="47" ht="24.75" hidden="1" customHeight="1" outlineLevel="1">
      <c r="A47" s="504">
        <v>44324.0</v>
      </c>
      <c r="B47" s="507" t="s">
        <v>1210</v>
      </c>
      <c r="C47" s="507" t="s">
        <v>1211</v>
      </c>
      <c r="D47" s="506" t="s">
        <v>1212</v>
      </c>
      <c r="E47" s="36"/>
      <c r="F47" s="132"/>
      <c r="G47" s="132"/>
      <c r="H47" s="132"/>
      <c r="I47" s="132"/>
      <c r="J47" s="132"/>
      <c r="K47" s="132"/>
      <c r="L47" s="132"/>
      <c r="M47" s="132"/>
      <c r="N47" s="132"/>
      <c r="O47" s="132"/>
      <c r="P47" s="132"/>
      <c r="Q47" s="132"/>
      <c r="R47" s="132"/>
      <c r="S47" s="132"/>
      <c r="T47" s="132"/>
      <c r="U47" s="132"/>
      <c r="V47" s="132"/>
      <c r="W47" s="132"/>
      <c r="X47" s="132"/>
      <c r="Y47" s="132"/>
      <c r="Z47" s="132"/>
      <c r="AA47" s="132"/>
      <c r="AB47" s="132"/>
      <c r="AC47" s="132"/>
    </row>
    <row r="48" ht="24.75" customHeight="1">
      <c r="A48" s="510"/>
      <c r="C48" s="132"/>
      <c r="D48" s="132"/>
      <c r="E48" s="496"/>
      <c r="F48" s="132"/>
      <c r="G48" s="132"/>
      <c r="H48" s="132"/>
      <c r="I48" s="132"/>
      <c r="J48" s="175"/>
      <c r="K48" s="132"/>
      <c r="L48" s="132"/>
      <c r="M48" s="132"/>
      <c r="N48" s="132"/>
      <c r="O48" s="132"/>
      <c r="P48" s="132"/>
      <c r="Q48" s="132"/>
      <c r="R48" s="132"/>
      <c r="S48" s="132"/>
      <c r="T48" s="132"/>
      <c r="U48" s="132"/>
      <c r="V48" s="132"/>
      <c r="W48" s="132"/>
      <c r="X48" s="132"/>
      <c r="Y48" s="132"/>
      <c r="Z48" s="132"/>
      <c r="AA48" s="132"/>
      <c r="AB48" s="132"/>
      <c r="AC48" s="132"/>
    </row>
    <row r="49" ht="24.75" customHeight="1" collapsed="1">
      <c r="A49" s="497" t="s">
        <v>1231</v>
      </c>
      <c r="B49" s="498"/>
      <c r="C49" s="498"/>
      <c r="D49" s="498"/>
      <c r="E49" s="498"/>
      <c r="F49" s="132"/>
      <c r="G49" s="132"/>
      <c r="H49" s="132"/>
      <c r="I49" s="132"/>
      <c r="J49" s="132"/>
      <c r="K49" s="132"/>
      <c r="L49" s="132"/>
      <c r="M49" s="132"/>
      <c r="N49" s="132"/>
      <c r="O49" s="132"/>
      <c r="P49" s="132"/>
      <c r="Q49" s="132"/>
      <c r="R49" s="132"/>
      <c r="S49" s="132"/>
      <c r="T49" s="132"/>
      <c r="U49" s="132"/>
      <c r="V49" s="132"/>
      <c r="W49" s="132"/>
      <c r="X49" s="132"/>
      <c r="Y49" s="132"/>
      <c r="Z49" s="132"/>
      <c r="AA49" s="132"/>
      <c r="AB49" s="132"/>
      <c r="AC49" s="132"/>
    </row>
    <row r="50" ht="24.75" hidden="1" customHeight="1" outlineLevel="1">
      <c r="A50" s="499" t="s">
        <v>1166</v>
      </c>
      <c r="B50" s="499" t="s">
        <v>1117</v>
      </c>
      <c r="C50" s="499" t="s">
        <v>1167</v>
      </c>
      <c r="D50" s="499" t="s">
        <v>1168</v>
      </c>
      <c r="E50" s="499" t="s">
        <v>1169</v>
      </c>
      <c r="F50" s="132"/>
      <c r="G50" s="132"/>
      <c r="H50" s="132"/>
      <c r="I50" s="132"/>
      <c r="J50" s="132"/>
      <c r="K50" s="132"/>
      <c r="L50" s="132"/>
      <c r="M50" s="132"/>
      <c r="N50" s="132"/>
      <c r="O50" s="132"/>
      <c r="P50" s="132"/>
      <c r="Q50" s="132"/>
      <c r="R50" s="132"/>
      <c r="S50" s="132"/>
      <c r="T50" s="132"/>
      <c r="U50" s="132"/>
      <c r="V50" s="132"/>
      <c r="W50" s="132"/>
      <c r="X50" s="132"/>
      <c r="Y50" s="132"/>
      <c r="Z50" s="132"/>
      <c r="AA50" s="132"/>
      <c r="AB50" s="132"/>
      <c r="AC50" s="132"/>
    </row>
    <row r="51" ht="24.75" hidden="1" customHeight="1" outlineLevel="1">
      <c r="A51" s="504">
        <v>44400.0</v>
      </c>
      <c r="B51" s="507" t="s">
        <v>1232</v>
      </c>
      <c r="C51" s="511" t="s">
        <v>1233</v>
      </c>
      <c r="D51" s="506" t="s">
        <v>1234</v>
      </c>
      <c r="E51" s="36" t="s">
        <v>1235</v>
      </c>
      <c r="F51" s="132"/>
      <c r="G51" s="132"/>
      <c r="H51" s="132"/>
      <c r="I51" s="132"/>
      <c r="J51" s="132"/>
      <c r="K51" s="132"/>
      <c r="L51" s="132"/>
      <c r="M51" s="132"/>
      <c r="N51" s="132"/>
      <c r="O51" s="132"/>
      <c r="P51" s="132"/>
      <c r="Q51" s="132"/>
      <c r="R51" s="132"/>
      <c r="S51" s="132"/>
      <c r="T51" s="132"/>
      <c r="U51" s="132"/>
      <c r="V51" s="132"/>
      <c r="W51" s="132"/>
      <c r="X51" s="132"/>
      <c r="Y51" s="132"/>
      <c r="Z51" s="132"/>
      <c r="AA51" s="132"/>
      <c r="AB51" s="132"/>
      <c r="AC51" s="132"/>
    </row>
    <row r="52" ht="24.75" hidden="1" customHeight="1" outlineLevel="1">
      <c r="A52" s="504">
        <v>44400.0</v>
      </c>
      <c r="B52" s="507" t="s">
        <v>1181</v>
      </c>
      <c r="C52" s="512" t="s">
        <v>1236</v>
      </c>
      <c r="D52" s="506" t="s">
        <v>1237</v>
      </c>
      <c r="E52" s="36" t="s">
        <v>1203</v>
      </c>
      <c r="F52" s="132"/>
      <c r="G52" s="132"/>
      <c r="H52" s="132"/>
      <c r="I52" s="132"/>
      <c r="J52" s="132"/>
      <c r="K52" s="132"/>
      <c r="L52" s="132"/>
      <c r="M52" s="132"/>
      <c r="N52" s="132"/>
      <c r="O52" s="132"/>
      <c r="P52" s="132"/>
      <c r="Q52" s="132"/>
      <c r="R52" s="132"/>
      <c r="S52" s="132"/>
      <c r="T52" s="132"/>
      <c r="U52" s="132"/>
      <c r="V52" s="132"/>
      <c r="W52" s="132"/>
      <c r="X52" s="132"/>
      <c r="Y52" s="132"/>
      <c r="Z52" s="132"/>
      <c r="AA52" s="132"/>
      <c r="AB52" s="132"/>
      <c r="AC52" s="132"/>
    </row>
    <row r="53" ht="24.75" hidden="1" customHeight="1" outlineLevel="1">
      <c r="A53" s="504">
        <v>44401.0</v>
      </c>
      <c r="B53" s="507" t="s">
        <v>1238</v>
      </c>
      <c r="C53" s="507" t="s">
        <v>1239</v>
      </c>
      <c r="D53" s="506" t="s">
        <v>1175</v>
      </c>
      <c r="E53" s="36" t="s">
        <v>1203</v>
      </c>
      <c r="F53" s="132"/>
      <c r="G53" s="132"/>
      <c r="H53" s="132"/>
      <c r="I53" s="132"/>
      <c r="J53" s="132"/>
      <c r="K53" s="132"/>
      <c r="L53" s="132"/>
      <c r="M53" s="132"/>
      <c r="N53" s="132"/>
      <c r="O53" s="132"/>
      <c r="P53" s="132"/>
      <c r="Q53" s="132"/>
      <c r="R53" s="132"/>
      <c r="S53" s="132"/>
      <c r="T53" s="132"/>
      <c r="U53" s="132"/>
      <c r="V53" s="132"/>
      <c r="W53" s="132"/>
      <c r="X53" s="132"/>
      <c r="Y53" s="132"/>
      <c r="Z53" s="132"/>
      <c r="AA53" s="132"/>
      <c r="AB53" s="132"/>
      <c r="AC53" s="132"/>
    </row>
    <row r="54" ht="24.75" hidden="1" customHeight="1" outlineLevel="1">
      <c r="A54" s="504">
        <v>44401.0</v>
      </c>
      <c r="B54" s="507" t="s">
        <v>1210</v>
      </c>
      <c r="C54" s="511" t="s">
        <v>1211</v>
      </c>
      <c r="D54" s="506" t="s">
        <v>1212</v>
      </c>
      <c r="E54" s="36" t="s">
        <v>1203</v>
      </c>
      <c r="F54" s="175"/>
      <c r="G54" s="175"/>
      <c r="H54" s="175" t="s">
        <v>1240</v>
      </c>
      <c r="I54" s="132"/>
      <c r="J54" s="132"/>
      <c r="K54" s="132"/>
      <c r="L54" s="132"/>
      <c r="M54" s="132"/>
      <c r="N54" s="132"/>
      <c r="O54" s="132"/>
      <c r="P54" s="132"/>
      <c r="Q54" s="132"/>
      <c r="R54" s="132"/>
      <c r="S54" s="132"/>
      <c r="T54" s="132"/>
      <c r="U54" s="132"/>
      <c r="V54" s="132"/>
      <c r="W54" s="132"/>
      <c r="X54" s="132"/>
      <c r="Y54" s="132"/>
      <c r="Z54" s="132"/>
      <c r="AA54" s="132"/>
      <c r="AB54" s="132"/>
      <c r="AC54" s="132"/>
    </row>
    <row r="55" ht="24.75" hidden="1" customHeight="1" outlineLevel="1">
      <c r="A55" s="504">
        <v>44401.0</v>
      </c>
      <c r="B55" s="507" t="s">
        <v>1241</v>
      </c>
      <c r="C55" s="511" t="s">
        <v>1233</v>
      </c>
      <c r="D55" s="506" t="s">
        <v>1242</v>
      </c>
      <c r="E55" s="36" t="s">
        <v>1235</v>
      </c>
      <c r="F55" s="132"/>
      <c r="G55" s="132"/>
      <c r="H55" s="132"/>
      <c r="I55" s="132"/>
      <c r="J55" s="132"/>
      <c r="K55" s="132"/>
      <c r="L55" s="132"/>
      <c r="M55" s="132"/>
      <c r="N55" s="132"/>
      <c r="O55" s="132"/>
      <c r="P55" s="132"/>
      <c r="Q55" s="132"/>
      <c r="R55" s="132"/>
      <c r="S55" s="132"/>
      <c r="T55" s="132"/>
      <c r="U55" s="132"/>
      <c r="V55" s="132"/>
      <c r="W55" s="132"/>
      <c r="X55" s="132"/>
      <c r="Y55" s="132"/>
      <c r="Z55" s="132"/>
      <c r="AA55" s="132"/>
      <c r="AB55" s="132"/>
      <c r="AC55" s="132"/>
    </row>
    <row r="56" ht="24.75" hidden="1" customHeight="1" outlineLevel="1">
      <c r="A56" s="504">
        <v>44401.0</v>
      </c>
      <c r="B56" s="507" t="s">
        <v>1213</v>
      </c>
      <c r="C56" s="511" t="s">
        <v>1201</v>
      </c>
      <c r="D56" s="506" t="s">
        <v>1243</v>
      </c>
      <c r="E56" s="36" t="s">
        <v>1203</v>
      </c>
      <c r="F56" s="132"/>
      <c r="G56" s="132"/>
      <c r="H56" s="132"/>
      <c r="I56" s="132"/>
      <c r="J56" s="132"/>
      <c r="K56" s="132"/>
      <c r="L56" s="132"/>
      <c r="M56" s="132"/>
      <c r="N56" s="132"/>
      <c r="O56" s="132"/>
      <c r="P56" s="132"/>
      <c r="Q56" s="132"/>
      <c r="R56" s="132"/>
      <c r="S56" s="132"/>
      <c r="T56" s="132"/>
      <c r="U56" s="132"/>
      <c r="V56" s="132"/>
      <c r="W56" s="132"/>
      <c r="X56" s="132"/>
      <c r="Y56" s="132"/>
      <c r="Z56" s="132"/>
      <c r="AA56" s="132"/>
      <c r="AB56" s="132"/>
      <c r="AC56" s="132"/>
    </row>
    <row r="57" ht="24.75" hidden="1" customHeight="1" outlineLevel="1">
      <c r="A57" s="504">
        <v>44402.0</v>
      </c>
      <c r="B57" s="507" t="s">
        <v>1187</v>
      </c>
      <c r="C57" s="511" t="s">
        <v>1244</v>
      </c>
      <c r="D57" s="506" t="s">
        <v>1245</v>
      </c>
      <c r="E57" s="36" t="s">
        <v>1203</v>
      </c>
      <c r="F57" s="132"/>
      <c r="G57" s="132"/>
      <c r="H57" s="132"/>
      <c r="I57" s="132"/>
      <c r="J57" s="132"/>
      <c r="K57" s="132"/>
      <c r="L57" s="132"/>
      <c r="M57" s="132"/>
      <c r="N57" s="132"/>
      <c r="O57" s="132"/>
      <c r="P57" s="132"/>
      <c r="Q57" s="132"/>
      <c r="R57" s="132"/>
      <c r="S57" s="132"/>
      <c r="T57" s="132"/>
      <c r="U57" s="132"/>
      <c r="V57" s="132"/>
      <c r="W57" s="132"/>
      <c r="X57" s="132"/>
      <c r="Y57" s="132"/>
      <c r="Z57" s="132"/>
      <c r="AA57" s="132"/>
      <c r="AB57" s="132"/>
      <c r="AC57" s="132"/>
    </row>
    <row r="58" ht="24.75" hidden="1" customHeight="1" outlineLevel="1">
      <c r="A58" s="504">
        <v>44402.0</v>
      </c>
      <c r="B58" s="507" t="s">
        <v>1246</v>
      </c>
      <c r="C58" s="511" t="s">
        <v>1247</v>
      </c>
      <c r="D58" s="506" t="s">
        <v>1237</v>
      </c>
      <c r="E58" s="36" t="s">
        <v>1203</v>
      </c>
      <c r="F58" s="175"/>
      <c r="G58" s="175"/>
      <c r="H58" s="175" t="s">
        <v>1240</v>
      </c>
      <c r="I58" s="132"/>
      <c r="J58" s="132"/>
      <c r="K58" s="132"/>
      <c r="L58" s="132"/>
      <c r="M58" s="132"/>
      <c r="N58" s="132"/>
      <c r="O58" s="132"/>
      <c r="P58" s="132"/>
      <c r="Q58" s="132"/>
      <c r="R58" s="132"/>
      <c r="S58" s="132"/>
      <c r="T58" s="132"/>
      <c r="U58" s="132"/>
      <c r="V58" s="132"/>
      <c r="W58" s="132"/>
      <c r="X58" s="132"/>
      <c r="Y58" s="132"/>
      <c r="Z58" s="132"/>
      <c r="AA58" s="132"/>
      <c r="AB58" s="132"/>
      <c r="AC58" s="132"/>
    </row>
    <row r="59" ht="24.75" hidden="1" customHeight="1" outlineLevel="1">
      <c r="A59" s="504">
        <v>44402.0</v>
      </c>
      <c r="B59" s="507" t="s">
        <v>1248</v>
      </c>
      <c r="C59" s="511" t="s">
        <v>1239</v>
      </c>
      <c r="D59" s="506" t="s">
        <v>1175</v>
      </c>
      <c r="E59" s="36" t="s">
        <v>1203</v>
      </c>
      <c r="F59" s="132"/>
      <c r="G59" s="132"/>
      <c r="H59" s="132"/>
      <c r="I59" s="132"/>
      <c r="J59" s="132"/>
      <c r="K59" s="132"/>
      <c r="L59" s="132"/>
      <c r="M59" s="132"/>
      <c r="N59" s="132"/>
      <c r="O59" s="132"/>
      <c r="P59" s="132"/>
      <c r="Q59" s="132"/>
      <c r="R59" s="132"/>
      <c r="S59" s="132"/>
      <c r="T59" s="132"/>
      <c r="U59" s="132"/>
      <c r="V59" s="132"/>
      <c r="W59" s="132"/>
      <c r="X59" s="132"/>
      <c r="Y59" s="132"/>
      <c r="Z59" s="132"/>
      <c r="AA59" s="132"/>
      <c r="AB59" s="132"/>
      <c r="AC59" s="132"/>
    </row>
    <row r="60" ht="24.75" hidden="1" customHeight="1" outlineLevel="1">
      <c r="A60" s="504">
        <v>44403.0</v>
      </c>
      <c r="B60" s="507" t="s">
        <v>1249</v>
      </c>
      <c r="C60" s="511" t="s">
        <v>1201</v>
      </c>
      <c r="D60" s="506" t="s">
        <v>1237</v>
      </c>
      <c r="E60" s="36" t="s">
        <v>1203</v>
      </c>
      <c r="F60" s="132"/>
      <c r="G60" s="132"/>
      <c r="H60" s="132"/>
      <c r="I60" s="132"/>
      <c r="J60" s="132"/>
      <c r="K60" s="132"/>
      <c r="L60" s="132"/>
      <c r="M60" s="132"/>
      <c r="N60" s="132"/>
      <c r="O60" s="132"/>
      <c r="P60" s="132"/>
      <c r="Q60" s="132"/>
      <c r="R60" s="132"/>
      <c r="S60" s="132"/>
      <c r="T60" s="132"/>
      <c r="U60" s="132"/>
      <c r="V60" s="132"/>
      <c r="W60" s="132"/>
      <c r="X60" s="132"/>
      <c r="Y60" s="132"/>
      <c r="Z60" s="132"/>
      <c r="AA60" s="132"/>
      <c r="AB60" s="132"/>
      <c r="AC60" s="132"/>
    </row>
    <row r="61" ht="24.75" hidden="1" customHeight="1" outlineLevel="1">
      <c r="A61" s="504">
        <v>44403.0</v>
      </c>
      <c r="B61" s="507" t="s">
        <v>1190</v>
      </c>
      <c r="C61" s="507" t="s">
        <v>1191</v>
      </c>
      <c r="D61" s="506" t="s">
        <v>1175</v>
      </c>
      <c r="E61" s="36" t="s">
        <v>1203</v>
      </c>
      <c r="F61" s="175"/>
      <c r="G61" s="175"/>
      <c r="H61" s="175" t="s">
        <v>1240</v>
      </c>
      <c r="I61" s="132"/>
      <c r="J61" s="132"/>
      <c r="K61" s="132"/>
      <c r="L61" s="132"/>
      <c r="M61" s="132"/>
      <c r="N61" s="132"/>
      <c r="O61" s="132"/>
      <c r="P61" s="132"/>
      <c r="Q61" s="132"/>
      <c r="R61" s="132"/>
      <c r="S61" s="132"/>
      <c r="T61" s="132"/>
      <c r="U61" s="132"/>
      <c r="V61" s="132"/>
      <c r="W61" s="132"/>
      <c r="X61" s="132"/>
      <c r="Y61" s="132"/>
      <c r="Z61" s="132"/>
      <c r="AA61" s="132"/>
      <c r="AB61" s="132"/>
      <c r="AC61" s="132"/>
    </row>
    <row r="62" ht="24.75" hidden="1" customHeight="1" outlineLevel="1">
      <c r="A62" s="504">
        <v>44403.0</v>
      </c>
      <c r="B62" s="507" t="s">
        <v>1192</v>
      </c>
      <c r="C62" s="507" t="s">
        <v>1191</v>
      </c>
      <c r="D62" s="506" t="s">
        <v>1175</v>
      </c>
      <c r="E62" s="36" t="s">
        <v>1203</v>
      </c>
      <c r="F62" s="175"/>
      <c r="G62" s="175"/>
      <c r="H62" s="175" t="s">
        <v>1240</v>
      </c>
      <c r="I62" s="132"/>
      <c r="J62" s="132"/>
      <c r="K62" s="132"/>
      <c r="L62" s="132"/>
      <c r="M62" s="132"/>
      <c r="N62" s="132"/>
      <c r="O62" s="132"/>
      <c r="P62" s="132"/>
      <c r="Q62" s="132"/>
      <c r="R62" s="132"/>
      <c r="S62" s="132"/>
      <c r="T62" s="132"/>
      <c r="U62" s="132"/>
      <c r="V62" s="132"/>
      <c r="W62" s="132"/>
      <c r="X62" s="132"/>
      <c r="Y62" s="132"/>
      <c r="Z62" s="132"/>
      <c r="AA62" s="132"/>
      <c r="AB62" s="132"/>
      <c r="AC62" s="132"/>
    </row>
    <row r="63" ht="24.75" customHeight="1">
      <c r="A63" s="132"/>
      <c r="B63" s="132"/>
      <c r="C63" s="132"/>
      <c r="D63" s="132"/>
      <c r="E63" s="496"/>
      <c r="F63" s="132"/>
      <c r="G63" s="132"/>
      <c r="H63" s="132"/>
      <c r="I63" s="132"/>
      <c r="J63" s="132"/>
      <c r="K63" s="132"/>
      <c r="L63" s="132"/>
      <c r="M63" s="132"/>
      <c r="N63" s="132"/>
      <c r="O63" s="132"/>
      <c r="P63" s="132"/>
      <c r="Q63" s="132"/>
      <c r="R63" s="132"/>
      <c r="S63" s="132"/>
      <c r="T63" s="132"/>
      <c r="U63" s="132"/>
      <c r="V63" s="132"/>
      <c r="W63" s="132"/>
      <c r="X63" s="132"/>
      <c r="Y63" s="132"/>
      <c r="Z63" s="132"/>
      <c r="AA63" s="132"/>
      <c r="AB63" s="132"/>
      <c r="AC63" s="132"/>
    </row>
    <row r="64" ht="24.75" customHeight="1" collapsed="1">
      <c r="A64" s="497" t="s">
        <v>1250</v>
      </c>
      <c r="B64" s="498"/>
      <c r="C64" s="498"/>
      <c r="D64" s="498"/>
      <c r="E64" s="498"/>
      <c r="F64" s="132"/>
      <c r="G64" s="132"/>
      <c r="H64" s="132"/>
      <c r="I64" s="132"/>
      <c r="J64" s="132"/>
      <c r="K64" s="132"/>
      <c r="L64" s="132"/>
      <c r="M64" s="132"/>
      <c r="N64" s="132"/>
      <c r="O64" s="132"/>
      <c r="P64" s="132"/>
      <c r="Q64" s="132"/>
      <c r="R64" s="132"/>
      <c r="S64" s="132"/>
      <c r="T64" s="132"/>
      <c r="U64" s="132"/>
      <c r="V64" s="132"/>
      <c r="W64" s="132"/>
      <c r="X64" s="132"/>
      <c r="Y64" s="132"/>
      <c r="Z64" s="132"/>
      <c r="AA64" s="132"/>
      <c r="AB64" s="132"/>
      <c r="AC64" s="132"/>
    </row>
    <row r="65" ht="24.75" hidden="1" customHeight="1" outlineLevel="1">
      <c r="A65" s="499" t="s">
        <v>1166</v>
      </c>
      <c r="B65" s="499" t="s">
        <v>1117</v>
      </c>
      <c r="C65" s="499" t="s">
        <v>1167</v>
      </c>
      <c r="D65" s="499" t="s">
        <v>1168</v>
      </c>
      <c r="E65" s="499" t="s">
        <v>1169</v>
      </c>
      <c r="F65" s="132"/>
      <c r="G65" s="132"/>
      <c r="H65" s="132"/>
      <c r="I65" s="175" t="s">
        <v>1251</v>
      </c>
      <c r="J65" s="132"/>
      <c r="K65" s="132"/>
      <c r="L65" s="132"/>
      <c r="M65" s="132"/>
      <c r="N65" s="132"/>
      <c r="O65" s="132"/>
      <c r="P65" s="132"/>
      <c r="Q65" s="132"/>
      <c r="R65" s="132"/>
      <c r="S65" s="132"/>
      <c r="T65" s="132"/>
      <c r="U65" s="132"/>
      <c r="V65" s="132"/>
      <c r="W65" s="132"/>
      <c r="X65" s="132"/>
      <c r="Y65" s="132"/>
      <c r="Z65" s="132"/>
      <c r="AA65" s="132"/>
      <c r="AB65" s="132"/>
      <c r="AC65" s="132"/>
    </row>
    <row r="66" ht="24.75" hidden="1" customHeight="1" outlineLevel="1">
      <c r="A66" s="504">
        <v>44418.0</v>
      </c>
      <c r="B66" s="507" t="s">
        <v>1232</v>
      </c>
      <c r="C66" s="511" t="s">
        <v>1233</v>
      </c>
      <c r="D66" s="506" t="s">
        <v>1252</v>
      </c>
      <c r="E66" s="36" t="s">
        <v>1235</v>
      </c>
      <c r="F66" s="175"/>
      <c r="G66" s="175"/>
      <c r="H66" s="175"/>
      <c r="I66" s="175" t="s">
        <v>1253</v>
      </c>
      <c r="J66" s="132"/>
      <c r="K66" s="132"/>
      <c r="L66" s="132"/>
      <c r="M66" s="132"/>
      <c r="N66" s="132"/>
      <c r="O66" s="132"/>
      <c r="P66" s="132"/>
      <c r="Q66" s="132"/>
      <c r="R66" s="132"/>
      <c r="S66" s="132"/>
      <c r="T66" s="132"/>
      <c r="U66" s="132"/>
      <c r="V66" s="132"/>
      <c r="W66" s="132"/>
      <c r="X66" s="132"/>
      <c r="Y66" s="132"/>
      <c r="Z66" s="132"/>
      <c r="AA66" s="132"/>
      <c r="AB66" s="132"/>
      <c r="AC66" s="132"/>
    </row>
    <row r="67" ht="24.75" hidden="1" customHeight="1" outlineLevel="1">
      <c r="A67" s="504">
        <v>44418.0</v>
      </c>
      <c r="B67" s="507" t="s">
        <v>1254</v>
      </c>
      <c r="C67" s="511" t="s">
        <v>1255</v>
      </c>
      <c r="D67" s="506" t="s">
        <v>1252</v>
      </c>
      <c r="E67" s="36" t="s">
        <v>1235</v>
      </c>
      <c r="F67" s="175"/>
      <c r="G67" s="175"/>
      <c r="H67" s="175" t="s">
        <v>1256</v>
      </c>
      <c r="I67" s="132"/>
      <c r="J67" s="132"/>
      <c r="K67" s="132"/>
      <c r="L67" s="132"/>
      <c r="M67" s="132"/>
      <c r="N67" s="132"/>
      <c r="O67" s="132"/>
      <c r="P67" s="132"/>
      <c r="Q67" s="132"/>
      <c r="R67" s="132"/>
      <c r="S67" s="132"/>
      <c r="T67" s="132"/>
      <c r="U67" s="132"/>
      <c r="V67" s="132"/>
      <c r="W67" s="132"/>
      <c r="X67" s="132"/>
      <c r="Y67" s="132"/>
      <c r="Z67" s="132"/>
      <c r="AA67" s="132"/>
      <c r="AB67" s="132"/>
      <c r="AC67" s="132"/>
    </row>
    <row r="68" ht="24.75" hidden="1" customHeight="1" outlineLevel="1">
      <c r="A68" s="504">
        <v>44418.0</v>
      </c>
      <c r="B68" s="507" t="s">
        <v>1198</v>
      </c>
      <c r="C68" s="511" t="s">
        <v>1233</v>
      </c>
      <c r="D68" s="506" t="s">
        <v>1257</v>
      </c>
      <c r="E68" s="36" t="s">
        <v>1235</v>
      </c>
      <c r="I68" s="132"/>
      <c r="J68" s="132"/>
      <c r="K68" s="132"/>
      <c r="L68" s="132"/>
      <c r="M68" s="132"/>
      <c r="N68" s="132"/>
      <c r="O68" s="132"/>
      <c r="P68" s="132"/>
      <c r="Q68" s="132"/>
      <c r="R68" s="132"/>
      <c r="S68" s="132"/>
      <c r="T68" s="132"/>
      <c r="U68" s="132"/>
      <c r="V68" s="132"/>
      <c r="W68" s="132"/>
      <c r="X68" s="132"/>
      <c r="Y68" s="132"/>
      <c r="Z68" s="132"/>
      <c r="AA68" s="132"/>
      <c r="AB68" s="132"/>
      <c r="AC68" s="132"/>
    </row>
    <row r="69" ht="24.75" hidden="1" customHeight="1" outlineLevel="1">
      <c r="A69" s="504">
        <v>44419.0</v>
      </c>
      <c r="B69" s="507" t="s">
        <v>1226</v>
      </c>
      <c r="C69" s="506" t="s">
        <v>1201</v>
      </c>
      <c r="D69" s="506" t="s">
        <v>1252</v>
      </c>
      <c r="E69" s="36" t="s">
        <v>1203</v>
      </c>
      <c r="F69" s="175"/>
      <c r="G69" s="175"/>
      <c r="H69" s="175"/>
      <c r="I69" s="175"/>
      <c r="J69" s="132"/>
      <c r="K69" s="132"/>
      <c r="L69" s="132"/>
      <c r="M69" s="132"/>
      <c r="N69" s="132"/>
      <c r="O69" s="132"/>
      <c r="P69" s="132"/>
      <c r="Q69" s="132"/>
      <c r="R69" s="132"/>
      <c r="S69" s="132"/>
      <c r="T69" s="132"/>
      <c r="U69" s="132"/>
      <c r="V69" s="132"/>
      <c r="W69" s="132"/>
      <c r="X69" s="132"/>
      <c r="Y69" s="132"/>
      <c r="Z69" s="132"/>
      <c r="AA69" s="132"/>
      <c r="AB69" s="132"/>
      <c r="AC69" s="132"/>
    </row>
    <row r="70" ht="24.75" hidden="1" customHeight="1" outlineLevel="1">
      <c r="A70" s="504">
        <v>44419.0</v>
      </c>
      <c r="B70" s="507" t="s">
        <v>1258</v>
      </c>
      <c r="C70" s="511" t="s">
        <v>1259</v>
      </c>
      <c r="D70" s="506" t="s">
        <v>1175</v>
      </c>
      <c r="E70" s="36" t="s">
        <v>1203</v>
      </c>
      <c r="F70" s="175"/>
      <c r="G70" s="175"/>
      <c r="H70" s="175"/>
      <c r="I70" s="175" t="s">
        <v>1260</v>
      </c>
      <c r="J70" s="132"/>
      <c r="K70" s="132"/>
      <c r="L70" s="132"/>
      <c r="M70" s="132"/>
      <c r="N70" s="132"/>
      <c r="O70" s="132"/>
      <c r="P70" s="132"/>
      <c r="Q70" s="132"/>
      <c r="R70" s="132"/>
      <c r="S70" s="132"/>
      <c r="T70" s="132"/>
      <c r="U70" s="132"/>
      <c r="V70" s="132"/>
      <c r="W70" s="132"/>
      <c r="X70" s="132"/>
      <c r="Y70" s="132"/>
      <c r="Z70" s="132"/>
      <c r="AA70" s="132"/>
      <c r="AB70" s="132"/>
      <c r="AC70" s="132"/>
    </row>
    <row r="71" ht="24.75" hidden="1" customHeight="1" outlineLevel="1">
      <c r="A71" s="504">
        <v>44419.0</v>
      </c>
      <c r="B71" s="507" t="s">
        <v>1261</v>
      </c>
      <c r="C71" s="511" t="s">
        <v>1255</v>
      </c>
      <c r="D71" s="506" t="s">
        <v>1252</v>
      </c>
      <c r="E71" s="36" t="s">
        <v>1235</v>
      </c>
      <c r="I71" s="175" t="s">
        <v>1256</v>
      </c>
      <c r="J71" s="132"/>
      <c r="K71" s="132"/>
      <c r="L71" s="132"/>
      <c r="M71" s="132"/>
      <c r="N71" s="132"/>
      <c r="O71" s="132"/>
      <c r="P71" s="132"/>
      <c r="Q71" s="132"/>
      <c r="R71" s="132"/>
      <c r="S71" s="132"/>
      <c r="T71" s="132"/>
      <c r="U71" s="132"/>
      <c r="V71" s="132"/>
      <c r="W71" s="132"/>
      <c r="X71" s="132"/>
      <c r="Y71" s="132"/>
      <c r="Z71" s="132"/>
      <c r="AA71" s="132"/>
      <c r="AB71" s="132"/>
      <c r="AC71" s="132"/>
    </row>
    <row r="72" ht="24.75" hidden="1" customHeight="1" outlineLevel="1">
      <c r="A72" s="504">
        <v>44419.0</v>
      </c>
      <c r="B72" s="507" t="s">
        <v>1204</v>
      </c>
      <c r="C72" s="507" t="s">
        <v>1205</v>
      </c>
      <c r="D72" s="506" t="s">
        <v>1175</v>
      </c>
      <c r="E72" s="36" t="s">
        <v>1203</v>
      </c>
      <c r="F72" s="175"/>
      <c r="G72" s="175"/>
      <c r="H72" s="175" t="s">
        <v>1240</v>
      </c>
      <c r="I72" s="175" t="s">
        <v>1262</v>
      </c>
      <c r="J72" s="132"/>
      <c r="K72" s="132"/>
      <c r="L72" s="132"/>
      <c r="M72" s="132"/>
      <c r="N72" s="132"/>
      <c r="O72" s="132"/>
      <c r="P72" s="132"/>
      <c r="Q72" s="132"/>
      <c r="R72" s="132"/>
      <c r="S72" s="132"/>
      <c r="T72" s="132"/>
      <c r="U72" s="132"/>
      <c r="V72" s="132"/>
      <c r="W72" s="132"/>
      <c r="X72" s="132"/>
      <c r="Y72" s="132"/>
      <c r="Z72" s="132"/>
      <c r="AA72" s="132"/>
      <c r="AB72" s="132"/>
      <c r="AC72" s="132"/>
    </row>
    <row r="73" ht="24.75" hidden="1" customHeight="1" outlineLevel="1">
      <c r="A73" s="504">
        <v>44420.0</v>
      </c>
      <c r="B73" s="507" t="s">
        <v>1263</v>
      </c>
      <c r="C73" s="511" t="s">
        <v>1255</v>
      </c>
      <c r="D73" s="506" t="s">
        <v>1252</v>
      </c>
      <c r="E73" s="36" t="s">
        <v>1235</v>
      </c>
      <c r="F73" s="175"/>
      <c r="G73" s="175"/>
      <c r="H73" s="175" t="s">
        <v>1256</v>
      </c>
      <c r="I73" s="175" t="s">
        <v>1256</v>
      </c>
      <c r="J73" s="132"/>
      <c r="K73" s="132"/>
      <c r="L73" s="132"/>
      <c r="M73" s="132"/>
      <c r="N73" s="132"/>
      <c r="O73" s="132"/>
      <c r="P73" s="132"/>
      <c r="Q73" s="132"/>
      <c r="R73" s="132"/>
      <c r="S73" s="132"/>
      <c r="T73" s="132"/>
      <c r="U73" s="132"/>
      <c r="V73" s="132"/>
      <c r="W73" s="132"/>
      <c r="X73" s="132"/>
      <c r="Y73" s="132"/>
      <c r="Z73" s="132"/>
      <c r="AA73" s="132"/>
      <c r="AB73" s="132"/>
      <c r="AC73" s="132"/>
    </row>
    <row r="74" ht="24.75" hidden="1" customHeight="1" outlineLevel="1">
      <c r="A74" s="504">
        <v>44420.0</v>
      </c>
      <c r="B74" s="507" t="s">
        <v>1178</v>
      </c>
      <c r="C74" s="511" t="s">
        <v>536</v>
      </c>
      <c r="D74" s="506" t="s">
        <v>1175</v>
      </c>
      <c r="E74" s="36" t="s">
        <v>1203</v>
      </c>
      <c r="F74" s="132"/>
      <c r="G74" s="132"/>
      <c r="H74" s="132"/>
      <c r="I74" s="175" t="s">
        <v>1264</v>
      </c>
      <c r="J74" s="132"/>
      <c r="K74" s="132"/>
      <c r="L74" s="132"/>
      <c r="M74" s="132"/>
      <c r="N74" s="132"/>
      <c r="O74" s="132"/>
      <c r="P74" s="132"/>
      <c r="Q74" s="132"/>
      <c r="R74" s="132"/>
      <c r="S74" s="132"/>
      <c r="T74" s="132"/>
      <c r="U74" s="132"/>
      <c r="V74" s="132"/>
      <c r="W74" s="132"/>
      <c r="X74" s="132"/>
      <c r="Y74" s="132"/>
      <c r="Z74" s="132"/>
      <c r="AA74" s="132"/>
      <c r="AB74" s="132"/>
      <c r="AC74" s="132"/>
    </row>
    <row r="75" ht="24.75" hidden="1" customHeight="1" outlineLevel="1">
      <c r="A75" s="504">
        <v>44421.0</v>
      </c>
      <c r="B75" s="507" t="s">
        <v>1232</v>
      </c>
      <c r="C75" s="511" t="s">
        <v>1233</v>
      </c>
      <c r="D75" s="506" t="s">
        <v>1252</v>
      </c>
      <c r="E75" s="36" t="s">
        <v>1235</v>
      </c>
      <c r="F75" s="132"/>
      <c r="G75" s="132"/>
      <c r="H75" s="132"/>
      <c r="I75" s="132"/>
      <c r="J75" s="132"/>
      <c r="K75" s="132"/>
      <c r="L75" s="132"/>
      <c r="M75" s="132"/>
      <c r="N75" s="132"/>
      <c r="O75" s="132"/>
      <c r="P75" s="132"/>
      <c r="Q75" s="132"/>
      <c r="R75" s="132"/>
      <c r="S75" s="132"/>
      <c r="T75" s="132"/>
      <c r="U75" s="132"/>
      <c r="V75" s="132"/>
      <c r="W75" s="132"/>
      <c r="X75" s="132"/>
      <c r="Y75" s="132"/>
      <c r="Z75" s="132"/>
      <c r="AA75" s="132"/>
      <c r="AB75" s="132"/>
      <c r="AC75" s="132"/>
    </row>
    <row r="76" ht="24.75" hidden="1" customHeight="1" outlineLevel="1">
      <c r="A76" s="504">
        <v>44421.0</v>
      </c>
      <c r="B76" s="507" t="s">
        <v>1181</v>
      </c>
      <c r="C76" s="511" t="s">
        <v>1265</v>
      </c>
      <c r="D76" s="506" t="s">
        <v>1175</v>
      </c>
      <c r="E76" s="36" t="s">
        <v>1203</v>
      </c>
      <c r="F76" s="175"/>
      <c r="G76" s="175"/>
      <c r="H76" s="175"/>
      <c r="I76" s="175" t="s">
        <v>1266</v>
      </c>
      <c r="J76" s="132"/>
      <c r="K76" s="132"/>
      <c r="L76" s="132"/>
      <c r="M76" s="132"/>
      <c r="N76" s="132"/>
      <c r="O76" s="132"/>
      <c r="P76" s="132"/>
      <c r="Q76" s="132"/>
      <c r="R76" s="132"/>
      <c r="S76" s="132"/>
      <c r="T76" s="132"/>
      <c r="U76" s="132"/>
      <c r="V76" s="132"/>
      <c r="W76" s="132"/>
      <c r="X76" s="132"/>
      <c r="Y76" s="132"/>
      <c r="Z76" s="132"/>
      <c r="AA76" s="132"/>
      <c r="AB76" s="132"/>
      <c r="AC76" s="132"/>
    </row>
    <row r="77" ht="24.75" hidden="1" customHeight="1" outlineLevel="1">
      <c r="A77" s="504">
        <v>44422.0</v>
      </c>
      <c r="B77" s="507" t="s">
        <v>1238</v>
      </c>
      <c r="C77" s="511" t="s">
        <v>1259</v>
      </c>
      <c r="D77" s="506" t="s">
        <v>1175</v>
      </c>
      <c r="E77" s="36" t="s">
        <v>1203</v>
      </c>
      <c r="F77" s="132"/>
      <c r="G77" s="132"/>
      <c r="H77" s="132"/>
      <c r="I77" s="132"/>
      <c r="J77" s="132"/>
      <c r="K77" s="132"/>
      <c r="L77" s="132"/>
      <c r="M77" s="132"/>
      <c r="N77" s="132"/>
      <c r="O77" s="132"/>
      <c r="P77" s="132"/>
      <c r="Q77" s="132"/>
      <c r="R77" s="132"/>
      <c r="S77" s="132"/>
      <c r="T77" s="132"/>
      <c r="U77" s="132"/>
      <c r="V77" s="132"/>
      <c r="W77" s="132"/>
      <c r="X77" s="132"/>
      <c r="Y77" s="132"/>
      <c r="Z77" s="132"/>
      <c r="AA77" s="132"/>
      <c r="AB77" s="132"/>
      <c r="AC77" s="132"/>
    </row>
    <row r="78" ht="24.75" hidden="1" customHeight="1" outlineLevel="1">
      <c r="A78" s="504">
        <v>44422.0</v>
      </c>
      <c r="B78" s="507" t="s">
        <v>1210</v>
      </c>
      <c r="C78" s="511" t="s">
        <v>1211</v>
      </c>
      <c r="D78" s="506" t="s">
        <v>1267</v>
      </c>
      <c r="E78" s="36" t="s">
        <v>1203</v>
      </c>
      <c r="F78" s="175"/>
      <c r="G78" s="175"/>
      <c r="H78" s="175" t="s">
        <v>1240</v>
      </c>
      <c r="I78" s="175" t="s">
        <v>1268</v>
      </c>
      <c r="J78" s="132"/>
      <c r="K78" s="132"/>
      <c r="L78" s="132"/>
      <c r="M78" s="132"/>
      <c r="N78" s="132"/>
      <c r="O78" s="132"/>
      <c r="P78" s="132"/>
      <c r="Q78" s="132"/>
      <c r="R78" s="132"/>
      <c r="S78" s="132"/>
      <c r="T78" s="132"/>
      <c r="U78" s="132"/>
      <c r="V78" s="132"/>
      <c r="W78" s="132"/>
      <c r="X78" s="132"/>
      <c r="Y78" s="132"/>
      <c r="Z78" s="132"/>
      <c r="AA78" s="132"/>
      <c r="AB78" s="132"/>
      <c r="AC78" s="132"/>
    </row>
    <row r="79" ht="24.75" hidden="1" customHeight="1" outlineLevel="1">
      <c r="A79" s="504">
        <v>44422.0</v>
      </c>
      <c r="B79" s="507" t="s">
        <v>1213</v>
      </c>
      <c r="C79" s="506" t="s">
        <v>1201</v>
      </c>
      <c r="D79" s="506" t="s">
        <v>1269</v>
      </c>
      <c r="E79" s="36" t="s">
        <v>1203</v>
      </c>
      <c r="F79" s="132"/>
      <c r="G79" s="132"/>
      <c r="H79" s="132"/>
      <c r="I79" s="132"/>
      <c r="J79" s="132"/>
      <c r="K79" s="132"/>
      <c r="L79" s="132"/>
      <c r="M79" s="132"/>
      <c r="N79" s="132"/>
      <c r="O79" s="132"/>
      <c r="P79" s="132"/>
      <c r="Q79" s="132"/>
      <c r="R79" s="132"/>
      <c r="S79" s="132"/>
      <c r="T79" s="132"/>
      <c r="U79" s="132"/>
      <c r="V79" s="132"/>
      <c r="W79" s="132"/>
      <c r="X79" s="132"/>
      <c r="Y79" s="132"/>
      <c r="Z79" s="132"/>
      <c r="AA79" s="132"/>
      <c r="AB79" s="132"/>
      <c r="AC79" s="132"/>
    </row>
    <row r="80" ht="24.75" hidden="1" customHeight="1" outlineLevel="1">
      <c r="A80" s="504">
        <v>44422.0</v>
      </c>
      <c r="B80" s="507" t="s">
        <v>1209</v>
      </c>
      <c r="C80" s="511" t="s">
        <v>1233</v>
      </c>
      <c r="D80" s="506" t="s">
        <v>1242</v>
      </c>
      <c r="E80" s="36" t="s">
        <v>1235</v>
      </c>
      <c r="I80" s="132"/>
      <c r="J80" s="132"/>
      <c r="K80" s="132"/>
      <c r="L80" s="132"/>
      <c r="M80" s="132"/>
      <c r="N80" s="132"/>
      <c r="O80" s="132"/>
      <c r="P80" s="132"/>
      <c r="Q80" s="132"/>
      <c r="R80" s="132"/>
      <c r="S80" s="132"/>
      <c r="T80" s="132"/>
      <c r="U80" s="132"/>
      <c r="V80" s="132"/>
      <c r="W80" s="132"/>
      <c r="X80" s="132"/>
      <c r="Y80" s="132"/>
      <c r="Z80" s="132"/>
      <c r="AA80" s="132"/>
      <c r="AB80" s="132"/>
      <c r="AC80" s="132"/>
    </row>
    <row r="81" ht="24.75" hidden="1" customHeight="1" outlineLevel="1">
      <c r="A81" s="504">
        <v>44423.0</v>
      </c>
      <c r="B81" s="507" t="s">
        <v>1187</v>
      </c>
      <c r="C81" s="511" t="s">
        <v>1255</v>
      </c>
      <c r="D81" s="506" t="s">
        <v>1175</v>
      </c>
      <c r="E81" s="36" t="s">
        <v>1235</v>
      </c>
      <c r="I81" s="175" t="s">
        <v>1256</v>
      </c>
      <c r="J81" s="132"/>
      <c r="K81" s="132"/>
      <c r="L81" s="132"/>
      <c r="M81" s="132"/>
      <c r="N81" s="132"/>
      <c r="O81" s="132"/>
      <c r="P81" s="132"/>
      <c r="Q81" s="132"/>
      <c r="R81" s="132"/>
      <c r="S81" s="132"/>
      <c r="T81" s="132"/>
      <c r="U81" s="132"/>
      <c r="V81" s="132"/>
      <c r="W81" s="132"/>
      <c r="X81" s="132"/>
      <c r="Y81" s="132"/>
      <c r="Z81" s="132"/>
      <c r="AA81" s="132"/>
      <c r="AB81" s="132"/>
      <c r="AC81" s="132"/>
    </row>
    <row r="82" ht="24.75" hidden="1" customHeight="1" outlineLevel="1">
      <c r="A82" s="504">
        <v>44423.0</v>
      </c>
      <c r="B82" s="507" t="s">
        <v>1189</v>
      </c>
      <c r="C82" s="511" t="s">
        <v>1259</v>
      </c>
      <c r="D82" s="506" t="s">
        <v>1175</v>
      </c>
      <c r="E82" s="36" t="s">
        <v>1203</v>
      </c>
      <c r="I82" s="175" t="s">
        <v>1270</v>
      </c>
      <c r="J82" s="132"/>
      <c r="K82" s="132"/>
      <c r="L82" s="132"/>
      <c r="M82" s="132"/>
      <c r="N82" s="132"/>
      <c r="O82" s="132"/>
      <c r="P82" s="132"/>
      <c r="Q82" s="132"/>
      <c r="R82" s="132"/>
      <c r="S82" s="132"/>
      <c r="T82" s="132"/>
      <c r="U82" s="132"/>
      <c r="V82" s="132"/>
      <c r="W82" s="132"/>
      <c r="X82" s="132"/>
      <c r="Y82" s="132"/>
      <c r="Z82" s="132"/>
      <c r="AA82" s="132"/>
      <c r="AB82" s="132"/>
      <c r="AC82" s="132"/>
    </row>
    <row r="83" ht="24.75" hidden="1" customHeight="1" outlineLevel="1">
      <c r="A83" s="504">
        <v>44424.0</v>
      </c>
      <c r="B83" s="507" t="s">
        <v>1249</v>
      </c>
      <c r="C83" s="506" t="s">
        <v>1201</v>
      </c>
      <c r="D83" s="506" t="s">
        <v>1252</v>
      </c>
      <c r="E83" s="36" t="s">
        <v>1203</v>
      </c>
      <c r="F83" s="175"/>
      <c r="G83" s="175"/>
      <c r="H83" s="175"/>
      <c r="I83" s="132"/>
      <c r="J83" s="132"/>
      <c r="K83" s="132"/>
      <c r="L83" s="132"/>
      <c r="M83" s="132"/>
      <c r="N83" s="132"/>
      <c r="O83" s="132"/>
      <c r="P83" s="132"/>
      <c r="Q83" s="132"/>
      <c r="R83" s="132"/>
      <c r="S83" s="132"/>
      <c r="T83" s="132"/>
      <c r="U83" s="132"/>
      <c r="V83" s="132"/>
      <c r="W83" s="132"/>
      <c r="X83" s="132"/>
      <c r="Y83" s="132"/>
      <c r="Z83" s="132"/>
      <c r="AA83" s="132"/>
      <c r="AB83" s="132"/>
      <c r="AC83" s="132"/>
    </row>
    <row r="84" ht="24.75" hidden="1" customHeight="1" outlineLevel="1">
      <c r="A84" s="504">
        <v>44424.0</v>
      </c>
      <c r="B84" s="507" t="s">
        <v>1271</v>
      </c>
      <c r="C84" s="507" t="s">
        <v>1272</v>
      </c>
      <c r="D84" s="506" t="s">
        <v>1175</v>
      </c>
      <c r="E84" s="36" t="s">
        <v>1203</v>
      </c>
      <c r="F84" s="175"/>
      <c r="G84" s="175"/>
      <c r="H84" s="175" t="s">
        <v>1240</v>
      </c>
      <c r="I84" s="175" t="s">
        <v>1273</v>
      </c>
      <c r="J84" s="132"/>
      <c r="K84" s="132"/>
      <c r="L84" s="132"/>
      <c r="M84" s="132"/>
      <c r="N84" s="132"/>
      <c r="O84" s="132"/>
      <c r="P84" s="132"/>
      <c r="Q84" s="132"/>
      <c r="R84" s="132"/>
      <c r="S84" s="132"/>
      <c r="T84" s="132"/>
      <c r="U84" s="132"/>
      <c r="V84" s="132"/>
      <c r="W84" s="132"/>
      <c r="X84" s="132"/>
      <c r="Y84" s="132"/>
      <c r="Z84" s="132"/>
      <c r="AA84" s="132"/>
      <c r="AB84" s="132"/>
      <c r="AC84" s="132"/>
    </row>
    <row r="85" ht="24.75" hidden="1" customHeight="1" outlineLevel="1">
      <c r="A85" s="504">
        <v>44424.0</v>
      </c>
      <c r="B85" s="507" t="s">
        <v>1274</v>
      </c>
      <c r="C85" s="507" t="s">
        <v>1191</v>
      </c>
      <c r="D85" s="506" t="s">
        <v>1175</v>
      </c>
      <c r="E85" s="36" t="s">
        <v>1203</v>
      </c>
      <c r="F85" s="175"/>
      <c r="G85" s="175"/>
      <c r="H85" s="175" t="s">
        <v>1240</v>
      </c>
      <c r="I85" s="175" t="s">
        <v>1273</v>
      </c>
      <c r="J85" s="132"/>
      <c r="K85" s="132"/>
      <c r="L85" s="132"/>
      <c r="M85" s="132"/>
      <c r="N85" s="132"/>
      <c r="O85" s="132"/>
      <c r="P85" s="132"/>
      <c r="Q85" s="132"/>
      <c r="R85" s="132"/>
      <c r="S85" s="132"/>
      <c r="T85" s="132"/>
      <c r="U85" s="132"/>
      <c r="V85" s="132"/>
      <c r="W85" s="132"/>
      <c r="X85" s="132"/>
      <c r="Y85" s="132"/>
      <c r="Z85" s="132"/>
      <c r="AA85" s="132"/>
      <c r="AB85" s="132"/>
      <c r="AC85" s="132"/>
    </row>
    <row r="86" ht="24.75" customHeight="1">
      <c r="F86" s="132"/>
      <c r="G86" s="132"/>
      <c r="H86" s="132"/>
      <c r="I86" s="132"/>
      <c r="J86" s="132"/>
      <c r="K86" s="132"/>
      <c r="L86" s="132"/>
      <c r="M86" s="132"/>
      <c r="N86" s="132"/>
      <c r="O86" s="132"/>
      <c r="P86" s="132"/>
      <c r="Q86" s="132"/>
      <c r="R86" s="132"/>
      <c r="S86" s="132"/>
      <c r="T86" s="132"/>
      <c r="U86" s="132"/>
      <c r="V86" s="132"/>
      <c r="W86" s="132"/>
      <c r="X86" s="132"/>
      <c r="Y86" s="132"/>
      <c r="Z86" s="132"/>
      <c r="AA86" s="132"/>
      <c r="AB86" s="132"/>
      <c r="AC86" s="132"/>
    </row>
    <row r="87" ht="24.75" customHeight="1">
      <c r="A87" s="132"/>
      <c r="B87" s="132"/>
      <c r="C87" s="132"/>
      <c r="D87" s="132"/>
      <c r="E87" s="496"/>
      <c r="F87" s="132"/>
      <c r="G87" s="132"/>
      <c r="H87" s="132"/>
      <c r="I87" s="132"/>
      <c r="J87" s="132"/>
      <c r="K87" s="132"/>
      <c r="L87" s="132"/>
      <c r="M87" s="132"/>
      <c r="N87" s="132"/>
      <c r="O87" s="132"/>
      <c r="P87" s="132"/>
      <c r="Q87" s="132"/>
      <c r="R87" s="132"/>
      <c r="S87" s="132"/>
      <c r="T87" s="132"/>
      <c r="U87" s="132"/>
      <c r="V87" s="132"/>
      <c r="W87" s="132"/>
      <c r="X87" s="132"/>
      <c r="Y87" s="132"/>
      <c r="Z87" s="132"/>
      <c r="AA87" s="132"/>
      <c r="AB87" s="132"/>
      <c r="AC87" s="132"/>
    </row>
    <row r="88" ht="24.75" customHeight="1" collapsed="1">
      <c r="A88" s="514"/>
      <c r="B88" s="515" t="s">
        <v>1275</v>
      </c>
      <c r="C88" s="514"/>
      <c r="D88" s="514"/>
      <c r="E88" s="516"/>
      <c r="F88" s="514"/>
      <c r="G88" s="514"/>
      <c r="H88" s="514"/>
      <c r="I88" s="514"/>
      <c r="J88" s="514"/>
      <c r="K88" s="514"/>
      <c r="L88" s="514"/>
      <c r="M88" s="514"/>
      <c r="N88" s="514"/>
      <c r="O88" s="514"/>
      <c r="P88" s="514"/>
      <c r="Q88" s="514"/>
      <c r="R88" s="514"/>
      <c r="S88" s="514"/>
      <c r="T88" s="514"/>
      <c r="U88" s="514"/>
      <c r="V88" s="514"/>
      <c r="W88" s="514"/>
      <c r="X88" s="514"/>
      <c r="Y88" s="514"/>
      <c r="Z88" s="514"/>
      <c r="AA88" s="514"/>
      <c r="AB88" s="514"/>
      <c r="AC88" s="514"/>
    </row>
    <row r="89" ht="24.75" hidden="1" customHeight="1" outlineLevel="1">
      <c r="A89" s="132"/>
      <c r="B89" s="175" t="s">
        <v>1276</v>
      </c>
      <c r="C89" s="132"/>
      <c r="D89" s="132"/>
      <c r="E89" s="496"/>
      <c r="F89" s="132"/>
      <c r="G89" s="132"/>
      <c r="H89" s="132"/>
      <c r="I89" s="132"/>
      <c r="J89" s="132"/>
      <c r="K89" s="132"/>
      <c r="L89" s="132"/>
      <c r="M89" s="132"/>
      <c r="N89" s="132"/>
      <c r="O89" s="132"/>
      <c r="P89" s="132"/>
      <c r="Q89" s="132"/>
      <c r="R89" s="132"/>
      <c r="S89" s="132"/>
      <c r="T89" s="132"/>
      <c r="U89" s="132"/>
      <c r="V89" s="132"/>
      <c r="W89" s="132"/>
      <c r="X89" s="132"/>
      <c r="Y89" s="132"/>
      <c r="Z89" s="132"/>
      <c r="AA89" s="132"/>
      <c r="AB89" s="132"/>
      <c r="AC89" s="132"/>
    </row>
    <row r="90" ht="24.75" hidden="1" customHeight="1" outlineLevel="1">
      <c r="A90" s="132"/>
      <c r="B90" s="175" t="s">
        <v>1277</v>
      </c>
      <c r="C90" s="132"/>
      <c r="D90" s="132"/>
      <c r="E90" s="496"/>
      <c r="F90" s="132"/>
      <c r="G90" s="132"/>
      <c r="H90" s="132"/>
      <c r="I90" s="132"/>
      <c r="J90" s="132"/>
      <c r="K90" s="132"/>
      <c r="L90" s="132"/>
      <c r="M90" s="132"/>
      <c r="N90" s="132"/>
      <c r="O90" s="132"/>
      <c r="P90" s="132"/>
      <c r="Q90" s="132"/>
      <c r="R90" s="132"/>
      <c r="S90" s="132"/>
      <c r="T90" s="132"/>
      <c r="U90" s="132"/>
      <c r="V90" s="132"/>
      <c r="W90" s="132"/>
      <c r="X90" s="132"/>
      <c r="Y90" s="132"/>
      <c r="Z90" s="132"/>
      <c r="AA90" s="132"/>
      <c r="AB90" s="132"/>
      <c r="AC90" s="132"/>
    </row>
    <row r="91" ht="24.75" hidden="1" customHeight="1" outlineLevel="1">
      <c r="A91" s="132"/>
      <c r="B91" s="175" t="s">
        <v>1278</v>
      </c>
      <c r="C91" s="132"/>
      <c r="D91" s="132"/>
      <c r="E91" s="496"/>
      <c r="F91" s="132"/>
      <c r="G91" s="132"/>
      <c r="H91" s="132"/>
      <c r="I91" s="132"/>
      <c r="J91" s="132"/>
      <c r="K91" s="132"/>
      <c r="L91" s="132"/>
      <c r="M91" s="132"/>
      <c r="N91" s="132"/>
      <c r="O91" s="132"/>
      <c r="P91" s="132"/>
      <c r="Q91" s="132"/>
      <c r="R91" s="132"/>
      <c r="S91" s="132"/>
      <c r="T91" s="132"/>
      <c r="U91" s="132"/>
      <c r="V91" s="132"/>
      <c r="W91" s="132"/>
      <c r="X91" s="132"/>
      <c r="Y91" s="132"/>
      <c r="Z91" s="132"/>
      <c r="AA91" s="132"/>
      <c r="AB91" s="132"/>
      <c r="AC91" s="132"/>
    </row>
    <row r="92" ht="24.75" hidden="1" customHeight="1" outlineLevel="1">
      <c r="A92" s="132"/>
      <c r="B92" s="175" t="s">
        <v>1279</v>
      </c>
      <c r="C92" s="132"/>
      <c r="D92" s="132"/>
      <c r="E92" s="496"/>
      <c r="F92" s="132"/>
      <c r="G92" s="132"/>
      <c r="H92" s="132"/>
      <c r="I92" s="132"/>
      <c r="J92" s="132"/>
      <c r="K92" s="132"/>
      <c r="L92" s="132"/>
      <c r="M92" s="132"/>
      <c r="N92" s="132"/>
      <c r="O92" s="132"/>
      <c r="P92" s="132"/>
      <c r="Q92" s="132"/>
      <c r="R92" s="132"/>
      <c r="S92" s="132"/>
      <c r="T92" s="132"/>
      <c r="U92" s="132"/>
      <c r="V92" s="132"/>
      <c r="W92" s="132"/>
      <c r="X92" s="132"/>
      <c r="Y92" s="132"/>
      <c r="Z92" s="132"/>
      <c r="AA92" s="132"/>
      <c r="AB92" s="132"/>
      <c r="AC92" s="132"/>
    </row>
    <row r="93" ht="24.75" hidden="1" customHeight="1" outlineLevel="1">
      <c r="A93" s="132"/>
      <c r="B93" s="132"/>
      <c r="C93" s="132"/>
      <c r="D93" s="132"/>
      <c r="E93" s="496"/>
      <c r="F93" s="132"/>
      <c r="G93" s="132"/>
      <c r="H93" s="132"/>
      <c r="I93" s="132"/>
      <c r="J93" s="132"/>
      <c r="K93" s="132"/>
      <c r="L93" s="132"/>
      <c r="M93" s="132"/>
      <c r="N93" s="132"/>
      <c r="O93" s="132"/>
      <c r="P93" s="132"/>
      <c r="Q93" s="132"/>
      <c r="R93" s="132"/>
      <c r="S93" s="132"/>
      <c r="T93" s="132"/>
      <c r="U93" s="132"/>
      <c r="V93" s="132"/>
      <c r="W93" s="132"/>
      <c r="X93" s="132"/>
      <c r="Y93" s="132"/>
      <c r="Z93" s="132"/>
      <c r="AA93" s="132"/>
      <c r="AB93" s="132"/>
      <c r="AC93" s="132"/>
    </row>
    <row r="94" ht="24.75" hidden="1" customHeight="1" outlineLevel="1">
      <c r="A94" s="132"/>
      <c r="B94" s="175" t="s">
        <v>1280</v>
      </c>
      <c r="C94" s="132"/>
      <c r="D94" s="132"/>
      <c r="E94" s="496"/>
      <c r="F94" s="132"/>
      <c r="G94" s="132"/>
      <c r="H94" s="132"/>
      <c r="I94" s="132"/>
      <c r="J94" s="132"/>
      <c r="K94" s="132"/>
      <c r="L94" s="132"/>
      <c r="M94" s="132"/>
      <c r="N94" s="132"/>
      <c r="O94" s="132"/>
      <c r="P94" s="132"/>
      <c r="Q94" s="132"/>
      <c r="R94" s="132"/>
      <c r="S94" s="132"/>
      <c r="T94" s="132"/>
      <c r="U94" s="132"/>
      <c r="V94" s="132"/>
      <c r="W94" s="132"/>
      <c r="X94" s="132"/>
      <c r="Y94" s="132"/>
      <c r="Z94" s="132"/>
      <c r="AA94" s="132"/>
      <c r="AB94" s="132"/>
      <c r="AC94" s="132"/>
    </row>
    <row r="95" ht="24.75" hidden="1" customHeight="1" outlineLevel="1">
      <c r="A95" s="132"/>
      <c r="B95" s="175" t="s">
        <v>1281</v>
      </c>
      <c r="C95" s="132"/>
      <c r="D95" s="132"/>
      <c r="E95" s="496"/>
      <c r="F95" s="132"/>
      <c r="G95" s="132"/>
      <c r="H95" s="132"/>
      <c r="I95" s="132"/>
      <c r="J95" s="132"/>
      <c r="K95" s="132"/>
      <c r="L95" s="132"/>
      <c r="M95" s="132"/>
      <c r="N95" s="132"/>
      <c r="O95" s="132"/>
      <c r="P95" s="132"/>
      <c r="Q95" s="132"/>
      <c r="R95" s="132"/>
      <c r="S95" s="132"/>
      <c r="T95" s="132"/>
      <c r="U95" s="132"/>
      <c r="V95" s="132"/>
      <c r="W95" s="132"/>
      <c r="X95" s="132"/>
      <c r="Y95" s="132"/>
      <c r="Z95" s="132"/>
      <c r="AA95" s="132"/>
      <c r="AB95" s="132"/>
      <c r="AC95" s="132"/>
    </row>
    <row r="96" ht="24.75" hidden="1" customHeight="1" outlineLevel="1">
      <c r="A96" s="132"/>
      <c r="B96" s="517" t="s">
        <v>1282</v>
      </c>
      <c r="C96" s="132"/>
      <c r="D96" s="132"/>
      <c r="E96" s="496"/>
      <c r="F96" s="132"/>
      <c r="G96" s="132"/>
      <c r="H96" s="132"/>
      <c r="I96" s="132"/>
      <c r="J96" s="132"/>
      <c r="K96" s="132"/>
      <c r="L96" s="132"/>
      <c r="M96" s="132"/>
      <c r="N96" s="132"/>
      <c r="O96" s="132"/>
      <c r="P96" s="132"/>
      <c r="Q96" s="132"/>
      <c r="R96" s="132"/>
      <c r="S96" s="132"/>
      <c r="T96" s="132"/>
      <c r="U96" s="132"/>
      <c r="V96" s="132"/>
      <c r="W96" s="132"/>
      <c r="X96" s="132"/>
      <c r="Y96" s="132"/>
      <c r="Z96" s="132"/>
      <c r="AA96" s="132"/>
      <c r="AB96" s="132"/>
      <c r="AC96" s="132"/>
    </row>
    <row r="97" ht="24.75" hidden="1" customHeight="1" outlineLevel="1">
      <c r="A97" s="132"/>
      <c r="B97" s="175" t="s">
        <v>1283</v>
      </c>
      <c r="C97" s="132"/>
      <c r="D97" s="132"/>
      <c r="E97" s="496"/>
      <c r="F97" s="132"/>
      <c r="G97" s="132"/>
      <c r="H97" s="132"/>
      <c r="I97" s="132"/>
      <c r="J97" s="132"/>
      <c r="K97" s="132"/>
      <c r="L97" s="132"/>
      <c r="M97" s="132"/>
      <c r="N97" s="132"/>
      <c r="O97" s="132"/>
      <c r="P97" s="132"/>
      <c r="Q97" s="132"/>
      <c r="R97" s="132"/>
      <c r="S97" s="132"/>
      <c r="T97" s="132"/>
      <c r="U97" s="132"/>
      <c r="V97" s="132"/>
      <c r="W97" s="132"/>
      <c r="X97" s="132"/>
      <c r="Y97" s="132"/>
      <c r="Z97" s="132"/>
      <c r="AA97" s="132"/>
      <c r="AB97" s="132"/>
      <c r="AC97" s="132"/>
    </row>
    <row r="98" ht="24.75" hidden="1" customHeight="1" outlineLevel="1">
      <c r="A98" s="132"/>
      <c r="B98" s="175" t="s">
        <v>1284</v>
      </c>
      <c r="C98" s="132"/>
      <c r="D98" s="132"/>
      <c r="E98" s="496"/>
      <c r="F98" s="132"/>
      <c r="G98" s="132"/>
      <c r="H98" s="132"/>
      <c r="I98" s="132"/>
      <c r="J98" s="132"/>
      <c r="K98" s="132"/>
      <c r="L98" s="132"/>
      <c r="M98" s="132"/>
      <c r="N98" s="132"/>
      <c r="O98" s="132"/>
      <c r="P98" s="132"/>
      <c r="Q98" s="132"/>
      <c r="R98" s="132"/>
      <c r="S98" s="132"/>
      <c r="T98" s="132"/>
      <c r="U98" s="132"/>
      <c r="V98" s="132"/>
      <c r="W98" s="132"/>
      <c r="X98" s="132"/>
      <c r="Y98" s="132"/>
      <c r="Z98" s="132"/>
      <c r="AA98" s="132"/>
      <c r="AB98" s="132"/>
      <c r="AC98" s="132"/>
    </row>
    <row r="99" ht="24.75" hidden="1" customHeight="1" outlineLevel="1">
      <c r="A99" s="132"/>
      <c r="B99" s="175" t="s">
        <v>1285</v>
      </c>
      <c r="C99" s="132"/>
      <c r="D99" s="132"/>
      <c r="E99" s="496"/>
      <c r="F99" s="132"/>
      <c r="G99" s="132"/>
      <c r="H99" s="132"/>
      <c r="I99" s="132"/>
      <c r="J99" s="132"/>
      <c r="K99" s="132"/>
      <c r="L99" s="132"/>
      <c r="M99" s="132"/>
      <c r="N99" s="132"/>
      <c r="O99" s="132"/>
      <c r="P99" s="132"/>
      <c r="Q99" s="132"/>
      <c r="R99" s="132"/>
      <c r="S99" s="132"/>
      <c r="T99" s="132"/>
      <c r="U99" s="132"/>
      <c r="V99" s="132"/>
      <c r="W99" s="132"/>
      <c r="X99" s="132"/>
      <c r="Y99" s="132"/>
      <c r="Z99" s="132"/>
      <c r="AA99" s="132"/>
      <c r="AB99" s="132"/>
      <c r="AC99" s="132"/>
    </row>
    <row r="100" ht="24.75" hidden="1" customHeight="1" outlineLevel="1">
      <c r="A100" s="132"/>
      <c r="B100" s="175" t="s">
        <v>1286</v>
      </c>
      <c r="C100" s="132"/>
      <c r="D100" s="132"/>
      <c r="E100" s="496"/>
      <c r="F100" s="132"/>
      <c r="G100" s="132"/>
      <c r="H100" s="132"/>
      <c r="I100" s="132"/>
      <c r="J100" s="132"/>
      <c r="K100" s="132"/>
      <c r="L100" s="132"/>
      <c r="M100" s="132"/>
      <c r="N100" s="132"/>
      <c r="O100" s="132"/>
      <c r="P100" s="132"/>
      <c r="Q100" s="132"/>
      <c r="R100" s="132"/>
      <c r="S100" s="132"/>
      <c r="T100" s="132"/>
      <c r="U100" s="132"/>
      <c r="V100" s="132"/>
      <c r="W100" s="132"/>
      <c r="X100" s="132"/>
      <c r="Y100" s="132"/>
      <c r="Z100" s="132"/>
      <c r="AA100" s="132"/>
      <c r="AB100" s="132"/>
      <c r="AC100" s="132"/>
    </row>
    <row r="101" ht="24.75" hidden="1" customHeight="1" outlineLevel="1">
      <c r="A101" s="132"/>
      <c r="B101" s="175" t="s">
        <v>1287</v>
      </c>
      <c r="C101" s="132"/>
      <c r="D101" s="132"/>
      <c r="E101" s="496"/>
      <c r="F101" s="132"/>
      <c r="G101" s="132"/>
      <c r="H101" s="132"/>
      <c r="I101" s="132"/>
      <c r="J101" s="132"/>
      <c r="K101" s="132"/>
      <c r="L101" s="132"/>
      <c r="M101" s="132"/>
      <c r="N101" s="132"/>
      <c r="O101" s="132"/>
      <c r="P101" s="132"/>
      <c r="Q101" s="132"/>
      <c r="R101" s="132"/>
      <c r="S101" s="132"/>
      <c r="T101" s="132"/>
      <c r="U101" s="132"/>
      <c r="V101" s="132"/>
      <c r="W101" s="132"/>
      <c r="X101" s="132"/>
      <c r="Y101" s="132"/>
      <c r="Z101" s="132"/>
      <c r="AA101" s="132"/>
      <c r="AB101" s="132"/>
      <c r="AC101" s="132"/>
    </row>
    <row r="102" ht="24.75" hidden="1" customHeight="1" outlineLevel="1">
      <c r="A102" s="132"/>
      <c r="B102" s="175" t="s">
        <v>1288</v>
      </c>
      <c r="C102" s="132"/>
      <c r="D102" s="132"/>
      <c r="E102" s="496"/>
      <c r="F102" s="132"/>
      <c r="G102" s="132"/>
      <c r="H102" s="132"/>
      <c r="I102" s="132"/>
      <c r="J102" s="132"/>
      <c r="K102" s="132"/>
      <c r="L102" s="132"/>
      <c r="M102" s="132"/>
      <c r="N102" s="132"/>
      <c r="O102" s="132"/>
      <c r="P102" s="132"/>
      <c r="Q102" s="132"/>
      <c r="R102" s="132"/>
      <c r="S102" s="132"/>
      <c r="T102" s="132"/>
      <c r="U102" s="132"/>
      <c r="V102" s="132"/>
      <c r="W102" s="132"/>
      <c r="X102" s="132"/>
      <c r="Y102" s="132"/>
      <c r="Z102" s="132"/>
      <c r="AA102" s="132"/>
      <c r="AB102" s="132"/>
      <c r="AC102" s="132"/>
    </row>
    <row r="103" ht="24.75" hidden="1" customHeight="1" outlineLevel="1">
      <c r="A103" s="132"/>
      <c r="B103" s="175" t="s">
        <v>1289</v>
      </c>
      <c r="C103" s="132"/>
      <c r="D103" s="132"/>
      <c r="E103" s="496"/>
      <c r="F103" s="132"/>
      <c r="G103" s="132"/>
      <c r="H103" s="132"/>
      <c r="I103" s="132"/>
      <c r="J103" s="132"/>
      <c r="K103" s="132"/>
      <c r="L103" s="132"/>
      <c r="M103" s="132"/>
      <c r="N103" s="132"/>
      <c r="O103" s="132"/>
      <c r="P103" s="132"/>
      <c r="Q103" s="132"/>
      <c r="R103" s="132"/>
      <c r="S103" s="132"/>
      <c r="T103" s="132"/>
      <c r="U103" s="132"/>
      <c r="V103" s="132"/>
      <c r="W103" s="132"/>
      <c r="X103" s="132"/>
      <c r="Y103" s="132"/>
      <c r="Z103" s="132"/>
      <c r="AA103" s="132"/>
      <c r="AB103" s="132"/>
      <c r="AC103" s="132"/>
    </row>
    <row r="104" ht="24.75" hidden="1" customHeight="1" outlineLevel="1">
      <c r="A104" s="132"/>
      <c r="B104" s="175" t="s">
        <v>1290</v>
      </c>
      <c r="C104" s="132"/>
      <c r="D104" s="132"/>
      <c r="E104" s="496"/>
      <c r="F104" s="132"/>
      <c r="G104" s="132"/>
      <c r="H104" s="132"/>
      <c r="I104" s="132"/>
      <c r="J104" s="132"/>
      <c r="K104" s="132"/>
      <c r="L104" s="132"/>
      <c r="M104" s="132"/>
      <c r="N104" s="132"/>
      <c r="O104" s="132"/>
      <c r="P104" s="132"/>
      <c r="Q104" s="132"/>
      <c r="R104" s="132"/>
      <c r="S104" s="132"/>
      <c r="T104" s="132"/>
      <c r="U104" s="132"/>
      <c r="V104" s="132"/>
      <c r="W104" s="132"/>
      <c r="X104" s="132"/>
      <c r="Y104" s="132"/>
      <c r="Z104" s="132"/>
      <c r="AA104" s="132"/>
      <c r="AB104" s="132"/>
      <c r="AC104" s="132"/>
    </row>
    <row r="105" ht="24.75" hidden="1" customHeight="1" outlineLevel="1">
      <c r="A105" s="132"/>
      <c r="B105" s="175" t="s">
        <v>1291</v>
      </c>
      <c r="C105" s="132"/>
      <c r="D105" s="132"/>
      <c r="E105" s="496"/>
      <c r="F105" s="132"/>
      <c r="G105" s="132"/>
      <c r="H105" s="132"/>
      <c r="I105" s="132"/>
      <c r="J105" s="132"/>
      <c r="K105" s="132"/>
      <c r="L105" s="132"/>
      <c r="M105" s="132"/>
      <c r="N105" s="132"/>
      <c r="O105" s="132"/>
      <c r="P105" s="132"/>
      <c r="Q105" s="132"/>
      <c r="R105" s="132"/>
      <c r="S105" s="132"/>
      <c r="T105" s="132"/>
      <c r="U105" s="132"/>
      <c r="V105" s="132"/>
      <c r="W105" s="132"/>
      <c r="X105" s="132"/>
      <c r="Y105" s="132"/>
      <c r="Z105" s="132"/>
      <c r="AA105" s="132"/>
      <c r="AB105" s="132"/>
      <c r="AC105" s="132"/>
    </row>
    <row r="106" ht="24.75" hidden="1" customHeight="1" outlineLevel="1">
      <c r="A106" s="132"/>
      <c r="B106" s="132"/>
      <c r="C106" s="132"/>
      <c r="D106" s="132"/>
      <c r="E106" s="496"/>
      <c r="F106" s="132"/>
      <c r="G106" s="132"/>
      <c r="H106" s="132"/>
      <c r="I106" s="132"/>
      <c r="J106" s="132"/>
      <c r="K106" s="132"/>
      <c r="L106" s="132"/>
      <c r="M106" s="132"/>
      <c r="N106" s="132"/>
      <c r="O106" s="132"/>
      <c r="P106" s="132"/>
      <c r="Q106" s="132"/>
      <c r="R106" s="132"/>
      <c r="S106" s="132"/>
      <c r="T106" s="132"/>
      <c r="U106" s="132"/>
      <c r="V106" s="132"/>
      <c r="W106" s="132"/>
      <c r="X106" s="132"/>
      <c r="Y106" s="132"/>
      <c r="Z106" s="132"/>
      <c r="AA106" s="132"/>
      <c r="AB106" s="132"/>
      <c r="AC106" s="132"/>
    </row>
    <row r="107" ht="24.75" hidden="1" customHeight="1" outlineLevel="1">
      <c r="A107" s="132"/>
      <c r="B107" s="175" t="s">
        <v>1253</v>
      </c>
      <c r="C107" s="132"/>
      <c r="D107" s="132"/>
      <c r="E107" s="496"/>
      <c r="F107" s="132"/>
      <c r="G107" s="132"/>
      <c r="H107" s="132"/>
      <c r="I107" s="132"/>
      <c r="J107" s="132"/>
      <c r="K107" s="132"/>
      <c r="L107" s="132"/>
      <c r="M107" s="132"/>
      <c r="N107" s="132"/>
      <c r="O107" s="132"/>
      <c r="P107" s="132"/>
      <c r="Q107" s="132"/>
      <c r="R107" s="132"/>
      <c r="S107" s="132"/>
      <c r="T107" s="132"/>
      <c r="U107" s="132"/>
      <c r="V107" s="132"/>
      <c r="W107" s="132"/>
      <c r="X107" s="132"/>
      <c r="Y107" s="132"/>
      <c r="Z107" s="132"/>
      <c r="AA107" s="132"/>
      <c r="AB107" s="132"/>
      <c r="AC107" s="132"/>
    </row>
    <row r="108" ht="24.75" hidden="1" customHeight="1" outlineLevel="1">
      <c r="A108" s="132"/>
      <c r="B108" s="517" t="s">
        <v>1292</v>
      </c>
      <c r="C108" s="132"/>
      <c r="D108" s="132"/>
      <c r="E108" s="496"/>
      <c r="F108" s="132"/>
      <c r="G108" s="132"/>
      <c r="H108" s="132"/>
      <c r="I108" s="132"/>
      <c r="J108" s="132"/>
      <c r="K108" s="132"/>
      <c r="L108" s="132"/>
      <c r="M108" s="132"/>
      <c r="N108" s="132"/>
      <c r="O108" s="132"/>
      <c r="P108" s="132"/>
      <c r="Q108" s="132"/>
      <c r="R108" s="132"/>
      <c r="S108" s="132"/>
      <c r="T108" s="132"/>
      <c r="U108" s="132"/>
      <c r="V108" s="132"/>
      <c r="W108" s="132"/>
      <c r="X108" s="132"/>
      <c r="Y108" s="132"/>
      <c r="Z108" s="132"/>
      <c r="AA108" s="132"/>
      <c r="AB108" s="132"/>
      <c r="AC108" s="132"/>
    </row>
    <row r="109" ht="24.75" hidden="1" customHeight="1" outlineLevel="1">
      <c r="A109" s="132"/>
      <c r="B109" s="175" t="s">
        <v>1293</v>
      </c>
      <c r="C109" s="132"/>
      <c r="D109" s="132"/>
      <c r="E109" s="496"/>
      <c r="F109" s="132"/>
      <c r="G109" s="132"/>
      <c r="H109" s="132"/>
      <c r="I109" s="132"/>
      <c r="J109" s="132"/>
      <c r="K109" s="132"/>
      <c r="L109" s="132"/>
      <c r="M109" s="132"/>
      <c r="N109" s="132"/>
      <c r="O109" s="132"/>
      <c r="P109" s="132"/>
      <c r="Q109" s="132"/>
      <c r="R109" s="132"/>
      <c r="S109" s="132"/>
      <c r="T109" s="132"/>
      <c r="U109" s="132"/>
      <c r="V109" s="132"/>
      <c r="W109" s="132"/>
      <c r="X109" s="132"/>
      <c r="Y109" s="132"/>
      <c r="Z109" s="132"/>
      <c r="AA109" s="132"/>
      <c r="AB109" s="132"/>
      <c r="AC109" s="132"/>
    </row>
    <row r="110" ht="24.75" customHeight="1">
      <c r="A110" s="132"/>
      <c r="B110" s="132"/>
      <c r="C110" s="132"/>
      <c r="D110" s="132"/>
      <c r="E110" s="496"/>
      <c r="F110" s="132"/>
      <c r="G110" s="132"/>
      <c r="H110" s="132"/>
      <c r="I110" s="132"/>
      <c r="J110" s="132"/>
      <c r="K110" s="132"/>
      <c r="L110" s="132"/>
      <c r="M110" s="132"/>
      <c r="N110" s="132"/>
      <c r="O110" s="132"/>
      <c r="P110" s="132"/>
      <c r="Q110" s="132"/>
      <c r="R110" s="132"/>
      <c r="S110" s="132"/>
      <c r="T110" s="132"/>
      <c r="U110" s="132"/>
      <c r="V110" s="132"/>
      <c r="W110" s="132"/>
      <c r="X110" s="132"/>
      <c r="Y110" s="132"/>
      <c r="Z110" s="132"/>
      <c r="AA110" s="132"/>
      <c r="AB110" s="132"/>
      <c r="AC110" s="132"/>
    </row>
    <row r="111" ht="24.75" customHeight="1" collapsed="1">
      <c r="A111" s="518" t="s">
        <v>1294</v>
      </c>
      <c r="B111" s="519"/>
      <c r="C111" s="519"/>
      <c r="D111" s="519"/>
      <c r="E111" s="519"/>
      <c r="F111" s="273"/>
      <c r="G111" s="273"/>
      <c r="H111" s="273"/>
      <c r="I111" s="273"/>
      <c r="J111" s="273"/>
      <c r="K111" s="273"/>
      <c r="L111" s="273"/>
      <c r="M111" s="273"/>
      <c r="N111" s="273"/>
      <c r="O111" s="273"/>
      <c r="P111" s="273"/>
      <c r="Q111" s="273"/>
      <c r="R111" s="273"/>
      <c r="S111" s="273"/>
      <c r="T111" s="273"/>
      <c r="U111" s="273"/>
      <c r="V111" s="273"/>
      <c r="W111" s="273"/>
      <c r="X111" s="273"/>
      <c r="Y111" s="273"/>
      <c r="Z111" s="273"/>
      <c r="AA111" s="273"/>
      <c r="AB111" s="273"/>
      <c r="AC111" s="273"/>
    </row>
    <row r="112" ht="24.75" hidden="1" customHeight="1" outlineLevel="1">
      <c r="A112" s="520" t="s">
        <v>1166</v>
      </c>
      <c r="B112" s="521" t="s">
        <v>1117</v>
      </c>
      <c r="C112" s="521" t="s">
        <v>1167</v>
      </c>
      <c r="D112" s="521" t="s">
        <v>1168</v>
      </c>
      <c r="E112" s="521" t="s">
        <v>1169</v>
      </c>
      <c r="F112" s="273"/>
      <c r="G112" s="273"/>
      <c r="H112" s="273"/>
      <c r="I112" s="273"/>
      <c r="J112" s="273"/>
      <c r="K112" s="273"/>
      <c r="L112" s="273"/>
      <c r="M112" s="273"/>
      <c r="N112" s="273"/>
      <c r="O112" s="273"/>
      <c r="P112" s="273"/>
      <c r="Q112" s="273"/>
      <c r="R112" s="273"/>
      <c r="S112" s="273"/>
      <c r="T112" s="273"/>
      <c r="U112" s="273"/>
      <c r="V112" s="273"/>
      <c r="W112" s="273"/>
      <c r="X112" s="273"/>
      <c r="Y112" s="273"/>
      <c r="Z112" s="273"/>
      <c r="AA112" s="273"/>
      <c r="AB112" s="273"/>
      <c r="AC112" s="273"/>
    </row>
    <row r="113" ht="24.75" hidden="1" customHeight="1" outlineLevel="1">
      <c r="A113" s="522">
        <v>44561.0</v>
      </c>
      <c r="B113" s="523" t="s">
        <v>1196</v>
      </c>
      <c r="C113" s="524"/>
      <c r="D113" s="524" t="s">
        <v>1197</v>
      </c>
      <c r="E113" s="525" t="s">
        <v>1235</v>
      </c>
      <c r="F113" s="273"/>
      <c r="G113" s="273"/>
      <c r="H113" s="273"/>
      <c r="I113" s="273"/>
      <c r="J113" s="273"/>
      <c r="K113" s="273"/>
      <c r="L113" s="273"/>
      <c r="M113" s="273"/>
      <c r="N113" s="273"/>
      <c r="O113" s="273"/>
      <c r="P113" s="273"/>
      <c r="Q113" s="273"/>
      <c r="R113" s="273"/>
      <c r="S113" s="273"/>
      <c r="T113" s="273"/>
      <c r="U113" s="273"/>
      <c r="V113" s="273"/>
      <c r="W113" s="273"/>
      <c r="X113" s="273"/>
      <c r="Y113" s="273"/>
      <c r="Z113" s="273"/>
      <c r="AA113" s="273"/>
      <c r="AB113" s="273"/>
      <c r="AC113" s="273"/>
    </row>
    <row r="114" ht="24.75" hidden="1" customHeight="1" outlineLevel="1">
      <c r="A114" s="522">
        <v>44561.0</v>
      </c>
      <c r="B114" s="523" t="s">
        <v>1181</v>
      </c>
      <c r="C114" s="524" t="s">
        <v>1208</v>
      </c>
      <c r="D114" s="524" t="s">
        <v>1175</v>
      </c>
      <c r="E114" s="525" t="s">
        <v>1203</v>
      </c>
      <c r="F114" s="273"/>
      <c r="G114" s="273"/>
      <c r="H114" s="273"/>
      <c r="I114" s="273"/>
      <c r="J114" s="273"/>
      <c r="K114" s="273"/>
      <c r="L114" s="273"/>
      <c r="M114" s="273"/>
      <c r="N114" s="273"/>
      <c r="O114" s="273"/>
      <c r="P114" s="273"/>
      <c r="Q114" s="273"/>
      <c r="R114" s="273"/>
      <c r="S114" s="273"/>
      <c r="T114" s="273"/>
      <c r="U114" s="273"/>
      <c r="V114" s="273"/>
      <c r="W114" s="273"/>
      <c r="X114" s="273"/>
      <c r="Y114" s="273"/>
      <c r="Z114" s="273"/>
      <c r="AA114" s="273"/>
      <c r="AB114" s="273"/>
      <c r="AC114" s="273"/>
    </row>
    <row r="115" ht="24.75" hidden="1" customHeight="1" outlineLevel="1">
      <c r="A115" s="522">
        <v>44561.0</v>
      </c>
      <c r="B115" s="523" t="s">
        <v>1206</v>
      </c>
      <c r="C115" s="524"/>
      <c r="D115" s="524" t="s">
        <v>1175</v>
      </c>
      <c r="E115" s="525" t="s">
        <v>1221</v>
      </c>
      <c r="F115" s="273"/>
      <c r="G115" s="273"/>
      <c r="H115" s="273"/>
      <c r="I115" s="273"/>
      <c r="J115" s="273"/>
      <c r="K115" s="273"/>
      <c r="L115" s="273"/>
      <c r="M115" s="273"/>
      <c r="N115" s="273"/>
      <c r="O115" s="273"/>
      <c r="P115" s="273"/>
      <c r="Q115" s="273"/>
      <c r="R115" s="273"/>
      <c r="S115" s="273"/>
      <c r="T115" s="273"/>
      <c r="U115" s="273"/>
      <c r="V115" s="273"/>
      <c r="W115" s="273"/>
      <c r="X115" s="273"/>
      <c r="Y115" s="273"/>
      <c r="Z115" s="273"/>
      <c r="AA115" s="273"/>
      <c r="AB115" s="273"/>
      <c r="AC115" s="273"/>
    </row>
    <row r="116" ht="24.75" hidden="1" customHeight="1" outlineLevel="1">
      <c r="A116" s="522">
        <v>44562.0</v>
      </c>
      <c r="B116" s="523" t="s">
        <v>1207</v>
      </c>
      <c r="C116" s="524"/>
      <c r="D116" s="524" t="s">
        <v>1175</v>
      </c>
      <c r="E116" s="525" t="s">
        <v>1221</v>
      </c>
      <c r="F116" s="273"/>
      <c r="G116" s="273"/>
      <c r="H116" s="273"/>
      <c r="I116" s="273"/>
      <c r="J116" s="273"/>
      <c r="K116" s="273"/>
      <c r="L116" s="273"/>
      <c r="M116" s="273"/>
      <c r="N116" s="273"/>
      <c r="O116" s="273"/>
      <c r="P116" s="273"/>
      <c r="Q116" s="273"/>
      <c r="R116" s="273"/>
      <c r="S116" s="273"/>
      <c r="T116" s="273"/>
      <c r="U116" s="273"/>
      <c r="V116" s="273"/>
      <c r="W116" s="273"/>
      <c r="X116" s="273"/>
      <c r="Y116" s="273"/>
      <c r="Z116" s="273"/>
      <c r="AA116" s="273"/>
      <c r="AB116" s="273"/>
      <c r="AC116" s="273"/>
    </row>
    <row r="117" ht="24.75" hidden="1" customHeight="1" outlineLevel="1">
      <c r="A117" s="522">
        <v>44562.0</v>
      </c>
      <c r="B117" s="507" t="s">
        <v>1238</v>
      </c>
      <c r="C117" s="511" t="s">
        <v>1259</v>
      </c>
      <c r="D117" s="506" t="s">
        <v>1175</v>
      </c>
      <c r="E117" s="525" t="s">
        <v>1203</v>
      </c>
      <c r="F117" s="273"/>
      <c r="G117" s="273"/>
      <c r="H117" s="273"/>
      <c r="I117" s="273"/>
      <c r="J117" s="273"/>
      <c r="K117" s="273"/>
      <c r="L117" s="273"/>
      <c r="M117" s="273"/>
      <c r="N117" s="273"/>
      <c r="O117" s="273"/>
      <c r="P117" s="273"/>
      <c r="Q117" s="273"/>
      <c r="R117" s="273"/>
      <c r="S117" s="273"/>
      <c r="T117" s="273"/>
      <c r="U117" s="273"/>
      <c r="V117" s="273"/>
      <c r="W117" s="273"/>
      <c r="X117" s="273"/>
      <c r="Y117" s="273"/>
      <c r="Z117" s="273"/>
      <c r="AA117" s="273"/>
      <c r="AB117" s="273"/>
      <c r="AC117" s="273"/>
    </row>
    <row r="118" ht="24.75" hidden="1" customHeight="1" outlineLevel="1">
      <c r="A118" s="522">
        <v>44562.0</v>
      </c>
      <c r="B118" s="507" t="s">
        <v>1210</v>
      </c>
      <c r="C118" s="511" t="s">
        <v>1211</v>
      </c>
      <c r="D118" s="506" t="s">
        <v>1175</v>
      </c>
      <c r="E118" s="525" t="s">
        <v>1203</v>
      </c>
      <c r="F118" s="175"/>
      <c r="G118" s="175"/>
      <c r="H118" s="175" t="s">
        <v>1240</v>
      </c>
      <c r="I118" s="273"/>
      <c r="J118" s="273"/>
      <c r="K118" s="273"/>
      <c r="L118" s="273"/>
      <c r="M118" s="273"/>
      <c r="N118" s="273"/>
      <c r="O118" s="273"/>
      <c r="P118" s="273"/>
      <c r="Q118" s="273"/>
      <c r="R118" s="273"/>
      <c r="S118" s="273"/>
      <c r="T118" s="273"/>
      <c r="U118" s="273"/>
      <c r="V118" s="273"/>
      <c r="W118" s="273"/>
      <c r="X118" s="273"/>
      <c r="Y118" s="273"/>
      <c r="Z118" s="273"/>
      <c r="AA118" s="273"/>
      <c r="AB118" s="273"/>
      <c r="AC118" s="273"/>
    </row>
    <row r="119" ht="24.75" hidden="1" customHeight="1" outlineLevel="1">
      <c r="A119" s="522">
        <v>44562.0</v>
      </c>
      <c r="B119" s="507" t="s">
        <v>1213</v>
      </c>
      <c r="C119" s="506" t="s">
        <v>1201</v>
      </c>
      <c r="D119" s="506" t="s">
        <v>1175</v>
      </c>
      <c r="E119" s="525" t="s">
        <v>1203</v>
      </c>
      <c r="F119" s="273"/>
      <c r="G119" s="273"/>
      <c r="H119" s="273"/>
      <c r="I119" s="273"/>
      <c r="J119" s="273"/>
      <c r="K119" s="273"/>
      <c r="L119" s="273"/>
      <c r="M119" s="273"/>
      <c r="N119" s="273"/>
      <c r="O119" s="273"/>
      <c r="P119" s="273"/>
      <c r="Q119" s="273"/>
      <c r="R119" s="273"/>
      <c r="S119" s="273"/>
      <c r="T119" s="273"/>
      <c r="U119" s="273"/>
      <c r="V119" s="273"/>
      <c r="W119" s="273"/>
      <c r="X119" s="273"/>
      <c r="Y119" s="273"/>
      <c r="Z119" s="273"/>
      <c r="AA119" s="273"/>
      <c r="AB119" s="273"/>
      <c r="AC119" s="273"/>
    </row>
    <row r="120" ht="24.75" hidden="1" customHeight="1" outlineLevel="1">
      <c r="A120" s="522">
        <v>44562.0</v>
      </c>
      <c r="B120" s="507" t="s">
        <v>1209</v>
      </c>
      <c r="C120" s="511" t="s">
        <v>1233</v>
      </c>
      <c r="D120" s="506" t="s">
        <v>1175</v>
      </c>
      <c r="E120" s="525" t="s">
        <v>1235</v>
      </c>
      <c r="F120" s="273"/>
      <c r="G120" s="273"/>
      <c r="H120" s="273"/>
      <c r="I120" s="273"/>
      <c r="J120" s="273"/>
      <c r="K120" s="273"/>
      <c r="L120" s="273"/>
      <c r="M120" s="273"/>
      <c r="N120" s="273"/>
      <c r="O120" s="273"/>
      <c r="P120" s="273"/>
      <c r="Q120" s="273"/>
      <c r="R120" s="273"/>
      <c r="S120" s="273"/>
      <c r="T120" s="273"/>
      <c r="U120" s="273"/>
      <c r="V120" s="273"/>
      <c r="W120" s="273"/>
      <c r="X120" s="273"/>
      <c r="Y120" s="273"/>
      <c r="Z120" s="273"/>
      <c r="AA120" s="273"/>
      <c r="AB120" s="273"/>
      <c r="AC120" s="273"/>
    </row>
    <row r="121" ht="24.75" hidden="1" customHeight="1" outlineLevel="1">
      <c r="A121" s="522">
        <v>44563.0</v>
      </c>
      <c r="B121" s="507" t="s">
        <v>1187</v>
      </c>
      <c r="C121" s="511" t="s">
        <v>1255</v>
      </c>
      <c r="D121" s="506" t="s">
        <v>1175</v>
      </c>
      <c r="E121" s="525" t="s">
        <v>1203</v>
      </c>
      <c r="F121" s="273"/>
      <c r="G121" s="273"/>
      <c r="H121" s="273"/>
      <c r="I121" s="273"/>
      <c r="J121" s="273"/>
      <c r="K121" s="273"/>
      <c r="L121" s="273"/>
      <c r="M121" s="273"/>
      <c r="N121" s="273"/>
      <c r="O121" s="273"/>
      <c r="P121" s="273"/>
      <c r="Q121" s="273"/>
      <c r="R121" s="273"/>
      <c r="S121" s="273"/>
      <c r="T121" s="273"/>
      <c r="U121" s="273"/>
      <c r="V121" s="273"/>
      <c r="W121" s="273"/>
      <c r="X121" s="273"/>
      <c r="Y121" s="273"/>
      <c r="Z121" s="273"/>
      <c r="AA121" s="273"/>
      <c r="AB121" s="273"/>
      <c r="AC121" s="273"/>
    </row>
    <row r="122" ht="24.75" hidden="1" customHeight="1" outlineLevel="1">
      <c r="A122" s="522">
        <v>44563.0</v>
      </c>
      <c r="B122" s="507" t="s">
        <v>1189</v>
      </c>
      <c r="C122" s="511" t="s">
        <v>1259</v>
      </c>
      <c r="D122" s="506" t="s">
        <v>1175</v>
      </c>
      <c r="E122" s="525" t="s">
        <v>1203</v>
      </c>
      <c r="F122" s="132"/>
      <c r="G122" s="132"/>
      <c r="H122" s="132"/>
      <c r="I122" s="132"/>
      <c r="J122" s="132"/>
      <c r="K122" s="132"/>
      <c r="L122" s="132"/>
      <c r="M122" s="132"/>
      <c r="N122" s="132"/>
      <c r="O122" s="132"/>
      <c r="P122" s="132"/>
      <c r="Q122" s="132"/>
      <c r="R122" s="132"/>
      <c r="S122" s="132"/>
      <c r="T122" s="132"/>
      <c r="U122" s="132"/>
      <c r="V122" s="132"/>
      <c r="W122" s="132"/>
      <c r="X122" s="132"/>
      <c r="Y122" s="132"/>
      <c r="Z122" s="132"/>
      <c r="AA122" s="132"/>
      <c r="AB122" s="132"/>
      <c r="AC122" s="132"/>
    </row>
    <row r="123" ht="24.75" hidden="1" customHeight="1" outlineLevel="1">
      <c r="A123" s="522">
        <v>44564.0</v>
      </c>
      <c r="B123" s="523" t="s">
        <v>1215</v>
      </c>
      <c r="C123" s="524" t="s">
        <v>1216</v>
      </c>
      <c r="D123" s="506" t="s">
        <v>1252</v>
      </c>
      <c r="E123" s="525" t="s">
        <v>1203</v>
      </c>
      <c r="F123" s="273"/>
      <c r="G123" s="273"/>
      <c r="H123" s="273"/>
      <c r="I123" s="273"/>
      <c r="J123" s="273"/>
      <c r="K123" s="273"/>
      <c r="L123" s="273"/>
      <c r="M123" s="273"/>
      <c r="N123" s="273"/>
      <c r="O123" s="273"/>
      <c r="P123" s="273"/>
      <c r="Q123" s="273"/>
      <c r="R123" s="273"/>
      <c r="S123" s="273"/>
      <c r="T123" s="273"/>
      <c r="U123" s="273"/>
      <c r="V123" s="273"/>
      <c r="W123" s="273"/>
      <c r="X123" s="273"/>
      <c r="Y123" s="273"/>
      <c r="Z123" s="273"/>
      <c r="AA123" s="273"/>
      <c r="AB123" s="273"/>
      <c r="AC123" s="273"/>
    </row>
    <row r="124" ht="24.75" hidden="1" customHeight="1" outlineLevel="1">
      <c r="A124" s="522">
        <v>44564.0</v>
      </c>
      <c r="B124" s="523" t="s">
        <v>1217</v>
      </c>
      <c r="C124" s="523" t="s">
        <v>1218</v>
      </c>
      <c r="D124" s="524" t="s">
        <v>1175</v>
      </c>
      <c r="E124" s="525" t="s">
        <v>1203</v>
      </c>
      <c r="F124" s="175"/>
      <c r="G124" s="175"/>
      <c r="H124" s="175" t="s">
        <v>1240</v>
      </c>
      <c r="I124" s="273"/>
      <c r="J124" s="273"/>
      <c r="K124" s="273"/>
      <c r="L124" s="273"/>
      <c r="M124" s="273"/>
      <c r="N124" s="273"/>
      <c r="O124" s="273"/>
      <c r="P124" s="273"/>
      <c r="Q124" s="273"/>
      <c r="R124" s="273"/>
      <c r="S124" s="273"/>
      <c r="T124" s="273"/>
      <c r="U124" s="273"/>
      <c r="V124" s="273"/>
      <c r="W124" s="273"/>
      <c r="X124" s="273"/>
      <c r="Y124" s="273"/>
      <c r="Z124" s="273"/>
      <c r="AA124" s="273"/>
      <c r="AB124" s="273"/>
      <c r="AC124" s="273"/>
    </row>
    <row r="125" ht="24.75" hidden="1" customHeight="1" outlineLevel="1">
      <c r="A125" s="504">
        <v>44565.0</v>
      </c>
      <c r="B125" s="507" t="s">
        <v>1232</v>
      </c>
      <c r="C125" s="511" t="s">
        <v>1233</v>
      </c>
      <c r="D125" s="506" t="s">
        <v>1252</v>
      </c>
      <c r="E125" s="36" t="s">
        <v>1235</v>
      </c>
      <c r="F125" s="132"/>
      <c r="G125" s="132"/>
      <c r="H125" s="132"/>
      <c r="I125" s="132"/>
      <c r="J125" s="132"/>
      <c r="K125" s="132"/>
      <c r="L125" s="132"/>
      <c r="M125" s="132"/>
      <c r="N125" s="132"/>
      <c r="O125" s="132"/>
      <c r="P125" s="132"/>
      <c r="Q125" s="132"/>
      <c r="R125" s="132"/>
      <c r="S125" s="132"/>
      <c r="T125" s="132"/>
      <c r="U125" s="132"/>
      <c r="V125" s="132"/>
      <c r="W125" s="132"/>
      <c r="X125" s="132"/>
      <c r="Y125" s="132"/>
      <c r="Z125" s="132"/>
      <c r="AA125" s="132"/>
      <c r="AB125" s="132"/>
      <c r="AC125" s="132"/>
    </row>
    <row r="126" ht="24.75" hidden="1" customHeight="1" outlineLevel="1">
      <c r="A126" s="504">
        <v>44565.0</v>
      </c>
      <c r="B126" s="507" t="s">
        <v>1254</v>
      </c>
      <c r="C126" s="511" t="s">
        <v>1255</v>
      </c>
      <c r="D126" s="506" t="s">
        <v>1252</v>
      </c>
      <c r="E126" s="36" t="s">
        <v>1235</v>
      </c>
      <c r="F126" s="132"/>
      <c r="G126" s="132"/>
      <c r="H126" s="132"/>
      <c r="I126" s="132"/>
      <c r="J126" s="132"/>
      <c r="K126" s="132"/>
      <c r="L126" s="132"/>
      <c r="M126" s="132"/>
      <c r="N126" s="132"/>
      <c r="O126" s="132"/>
      <c r="P126" s="132"/>
      <c r="Q126" s="132"/>
      <c r="R126" s="132"/>
      <c r="S126" s="132"/>
      <c r="T126" s="132"/>
      <c r="U126" s="132"/>
      <c r="V126" s="132"/>
      <c r="W126" s="132"/>
      <c r="X126" s="132"/>
      <c r="Y126" s="132"/>
      <c r="Z126" s="132"/>
      <c r="AA126" s="132"/>
      <c r="AB126" s="132"/>
      <c r="AC126" s="132"/>
    </row>
    <row r="127" ht="24.75" hidden="1" customHeight="1" outlineLevel="1">
      <c r="A127" s="504">
        <v>44565.0</v>
      </c>
      <c r="B127" s="507" t="s">
        <v>1198</v>
      </c>
      <c r="C127" s="511" t="s">
        <v>1233</v>
      </c>
      <c r="D127" s="506" t="s">
        <v>1257</v>
      </c>
      <c r="E127" s="36" t="s">
        <v>1235</v>
      </c>
      <c r="F127" s="132"/>
      <c r="G127" s="132"/>
      <c r="H127" s="132"/>
      <c r="I127" s="132"/>
      <c r="J127" s="132"/>
      <c r="K127" s="132"/>
      <c r="L127" s="132"/>
      <c r="M127" s="132"/>
      <c r="N127" s="132"/>
      <c r="O127" s="132"/>
      <c r="P127" s="132"/>
      <c r="Q127" s="132"/>
      <c r="R127" s="132"/>
      <c r="S127" s="132"/>
      <c r="T127" s="132"/>
      <c r="U127" s="132"/>
      <c r="V127" s="132"/>
      <c r="W127" s="132"/>
      <c r="X127" s="132"/>
      <c r="Y127" s="132"/>
      <c r="Z127" s="132"/>
      <c r="AA127" s="132"/>
      <c r="AB127" s="132"/>
      <c r="AC127" s="132"/>
    </row>
    <row r="128" ht="24.75" hidden="1" customHeight="1" outlineLevel="1">
      <c r="A128" s="504">
        <v>44566.0</v>
      </c>
      <c r="B128" s="507" t="s">
        <v>1226</v>
      </c>
      <c r="C128" s="506" t="s">
        <v>1201</v>
      </c>
      <c r="D128" s="506" t="s">
        <v>1252</v>
      </c>
      <c r="E128" s="36" t="s">
        <v>1203</v>
      </c>
      <c r="F128" s="132"/>
      <c r="G128" s="132"/>
      <c r="H128" s="132"/>
      <c r="I128" s="132"/>
      <c r="J128" s="132"/>
      <c r="K128" s="132"/>
      <c r="L128" s="132"/>
      <c r="M128" s="132"/>
      <c r="N128" s="132"/>
      <c r="O128" s="132"/>
      <c r="P128" s="132"/>
      <c r="Q128" s="132"/>
      <c r="R128" s="132"/>
      <c r="S128" s="132"/>
      <c r="T128" s="132"/>
      <c r="U128" s="132"/>
      <c r="V128" s="132"/>
      <c r="W128" s="132"/>
      <c r="X128" s="132"/>
      <c r="Y128" s="132"/>
      <c r="Z128" s="132"/>
      <c r="AA128" s="132"/>
      <c r="AB128" s="132"/>
      <c r="AC128" s="132"/>
    </row>
    <row r="129" ht="24.75" hidden="1" customHeight="1" outlineLevel="1">
      <c r="A129" s="504">
        <v>44566.0</v>
      </c>
      <c r="B129" s="507" t="s">
        <v>1261</v>
      </c>
      <c r="C129" s="511" t="s">
        <v>1255</v>
      </c>
      <c r="D129" s="506" t="s">
        <v>1252</v>
      </c>
      <c r="E129" s="36" t="s">
        <v>1203</v>
      </c>
      <c r="F129" s="132"/>
      <c r="G129" s="132"/>
      <c r="H129" s="132"/>
      <c r="I129" s="132"/>
      <c r="J129" s="132"/>
      <c r="K129" s="132"/>
      <c r="L129" s="132"/>
      <c r="M129" s="132"/>
      <c r="N129" s="132"/>
      <c r="O129" s="132"/>
      <c r="P129" s="132"/>
      <c r="Q129" s="132"/>
      <c r="R129" s="132"/>
      <c r="S129" s="132"/>
      <c r="T129" s="132"/>
      <c r="U129" s="132"/>
      <c r="V129" s="132"/>
      <c r="W129" s="132"/>
      <c r="X129" s="132"/>
      <c r="Y129" s="132"/>
      <c r="Z129" s="132"/>
      <c r="AA129" s="132"/>
      <c r="AB129" s="132"/>
      <c r="AC129" s="132"/>
    </row>
    <row r="130" ht="24.75" hidden="1" customHeight="1" outlineLevel="1">
      <c r="A130" s="504">
        <v>44567.0</v>
      </c>
      <c r="B130" s="507" t="s">
        <v>1263</v>
      </c>
      <c r="C130" s="511" t="s">
        <v>1255</v>
      </c>
      <c r="D130" s="506" t="s">
        <v>1252</v>
      </c>
      <c r="E130" s="36" t="s">
        <v>1203</v>
      </c>
      <c r="F130" s="132"/>
      <c r="G130" s="132"/>
      <c r="H130" s="132"/>
      <c r="I130" s="132"/>
      <c r="J130" s="132"/>
      <c r="K130" s="132"/>
      <c r="L130" s="132"/>
      <c r="M130" s="132"/>
      <c r="N130" s="132"/>
      <c r="O130" s="132"/>
      <c r="P130" s="132"/>
      <c r="Q130" s="132"/>
      <c r="R130" s="132"/>
      <c r="S130" s="132"/>
      <c r="T130" s="132"/>
      <c r="U130" s="132"/>
      <c r="V130" s="132"/>
      <c r="W130" s="132"/>
      <c r="X130" s="132"/>
      <c r="Y130" s="132"/>
      <c r="Z130" s="132"/>
      <c r="AA130" s="132"/>
      <c r="AB130" s="132"/>
      <c r="AC130" s="132"/>
    </row>
    <row r="131" ht="24.75" customHeight="1">
      <c r="A131" s="132"/>
      <c r="B131" s="132"/>
      <c r="C131" s="132"/>
      <c r="D131" s="132"/>
      <c r="E131" s="496"/>
      <c r="F131" s="132"/>
      <c r="G131" s="132"/>
      <c r="H131" s="132"/>
      <c r="I131" s="132"/>
      <c r="J131" s="132"/>
      <c r="K131" s="132"/>
      <c r="L131" s="132"/>
      <c r="M131" s="132"/>
      <c r="N131" s="132"/>
      <c r="O131" s="132"/>
      <c r="P131" s="132"/>
      <c r="Q131" s="132"/>
      <c r="R131" s="132"/>
      <c r="S131" s="132"/>
      <c r="T131" s="132"/>
      <c r="U131" s="132"/>
      <c r="V131" s="132"/>
      <c r="W131" s="132"/>
      <c r="X131" s="132"/>
      <c r="Y131" s="132"/>
      <c r="Z131" s="132"/>
      <c r="AA131" s="132"/>
      <c r="AB131" s="132"/>
      <c r="AC131" s="132"/>
    </row>
    <row r="132" ht="24.75" customHeight="1" collapsed="1">
      <c r="A132" s="175" t="s">
        <v>1295</v>
      </c>
      <c r="B132" s="132"/>
      <c r="C132" s="132"/>
      <c r="D132" s="132"/>
      <c r="E132" s="496"/>
      <c r="F132" s="132"/>
      <c r="G132" s="132"/>
      <c r="H132" s="132"/>
      <c r="I132" s="132"/>
      <c r="J132" s="132"/>
      <c r="K132" s="132"/>
      <c r="L132" s="132"/>
      <c r="M132" s="132"/>
      <c r="N132" s="132"/>
      <c r="O132" s="132"/>
      <c r="P132" s="132"/>
      <c r="Q132" s="132"/>
      <c r="R132" s="132"/>
      <c r="S132" s="132"/>
      <c r="T132" s="132"/>
      <c r="U132" s="132"/>
      <c r="V132" s="132"/>
      <c r="W132" s="132"/>
      <c r="X132" s="132"/>
      <c r="Y132" s="132"/>
      <c r="Z132" s="132"/>
      <c r="AA132" s="132"/>
      <c r="AB132" s="132"/>
      <c r="AC132" s="132"/>
    </row>
    <row r="133" ht="24.75" hidden="1" customHeight="1" outlineLevel="1">
      <c r="A133" s="520" t="s">
        <v>1166</v>
      </c>
      <c r="B133" s="521" t="s">
        <v>1117</v>
      </c>
      <c r="C133" s="521" t="s">
        <v>1167</v>
      </c>
      <c r="D133" s="521" t="s">
        <v>1168</v>
      </c>
      <c r="E133" s="521" t="s">
        <v>1169</v>
      </c>
      <c r="F133" s="132"/>
      <c r="G133" s="132"/>
      <c r="H133" s="132"/>
      <c r="I133" s="132"/>
      <c r="J133" s="132"/>
      <c r="K133" s="132"/>
      <c r="L133" s="132"/>
      <c r="M133" s="132"/>
      <c r="N133" s="132"/>
      <c r="O133" s="132"/>
      <c r="P133" s="132"/>
      <c r="Q133" s="132"/>
      <c r="R133" s="132"/>
      <c r="S133" s="132"/>
      <c r="T133" s="132"/>
      <c r="U133" s="132"/>
      <c r="V133" s="132"/>
      <c r="W133" s="132"/>
      <c r="X133" s="132"/>
      <c r="Y133" s="132"/>
      <c r="Z133" s="132"/>
      <c r="AA133" s="132"/>
      <c r="AB133" s="132"/>
      <c r="AC133" s="132"/>
    </row>
    <row r="134" ht="24.75" hidden="1" customHeight="1" outlineLevel="1">
      <c r="A134" s="522">
        <v>44603.0</v>
      </c>
      <c r="B134" s="523" t="s">
        <v>1196</v>
      </c>
      <c r="C134" s="524"/>
      <c r="D134" s="526" t="s">
        <v>1296</v>
      </c>
      <c r="E134" s="525" t="s">
        <v>1235</v>
      </c>
      <c r="F134" s="175"/>
      <c r="G134" s="175"/>
      <c r="H134" s="175" t="s">
        <v>1297</v>
      </c>
      <c r="I134" s="132"/>
      <c r="J134" s="132"/>
      <c r="K134" s="132"/>
      <c r="L134" s="132"/>
      <c r="M134" s="132"/>
      <c r="N134" s="132"/>
      <c r="O134" s="132"/>
      <c r="P134" s="132"/>
      <c r="Q134" s="132"/>
      <c r="R134" s="132"/>
      <c r="S134" s="132"/>
      <c r="T134" s="132"/>
      <c r="U134" s="132"/>
      <c r="V134" s="132"/>
      <c r="W134" s="132"/>
      <c r="X134" s="132"/>
      <c r="Y134" s="132"/>
      <c r="Z134" s="132"/>
      <c r="AA134" s="132"/>
      <c r="AB134" s="132"/>
      <c r="AC134" s="132"/>
    </row>
    <row r="135" ht="24.75" hidden="1" customHeight="1" outlineLevel="1">
      <c r="A135" s="522">
        <v>44603.0</v>
      </c>
      <c r="B135" s="523" t="s">
        <v>1181</v>
      </c>
      <c r="C135" s="524" t="s">
        <v>1208</v>
      </c>
      <c r="D135" s="526" t="s">
        <v>1298</v>
      </c>
      <c r="E135" s="525" t="s">
        <v>1203</v>
      </c>
      <c r="F135" s="132"/>
      <c r="G135" s="132"/>
      <c r="H135" s="132"/>
      <c r="I135" s="132"/>
      <c r="J135" s="132"/>
      <c r="K135" s="132"/>
      <c r="L135" s="132"/>
      <c r="M135" s="132"/>
      <c r="N135" s="132"/>
      <c r="O135" s="132"/>
      <c r="P135" s="132"/>
      <c r="Q135" s="132"/>
      <c r="R135" s="132"/>
      <c r="S135" s="132"/>
      <c r="T135" s="132"/>
      <c r="U135" s="132"/>
      <c r="V135" s="132"/>
      <c r="W135" s="132"/>
      <c r="X135" s="132"/>
      <c r="Y135" s="132"/>
      <c r="Z135" s="132"/>
      <c r="AA135" s="132"/>
      <c r="AB135" s="132"/>
      <c r="AC135" s="132"/>
    </row>
    <row r="136" ht="24.75" hidden="1" customHeight="1" outlineLevel="1">
      <c r="A136" s="522">
        <v>44604.0</v>
      </c>
      <c r="B136" s="507" t="s">
        <v>1238</v>
      </c>
      <c r="C136" s="511" t="s">
        <v>1259</v>
      </c>
      <c r="D136" s="506" t="s">
        <v>1175</v>
      </c>
      <c r="E136" s="525" t="s">
        <v>1203</v>
      </c>
      <c r="F136" s="132"/>
      <c r="G136" s="132"/>
      <c r="H136" s="132"/>
      <c r="I136" s="132"/>
      <c r="J136" s="132"/>
      <c r="K136" s="132"/>
      <c r="L136" s="132"/>
      <c r="M136" s="132"/>
      <c r="N136" s="132"/>
      <c r="O136" s="132"/>
      <c r="P136" s="132"/>
      <c r="Q136" s="132"/>
      <c r="R136" s="132"/>
      <c r="S136" s="132"/>
      <c r="T136" s="132"/>
      <c r="U136" s="132"/>
      <c r="V136" s="132"/>
      <c r="W136" s="132"/>
      <c r="X136" s="132"/>
      <c r="Y136" s="132"/>
      <c r="Z136" s="132"/>
      <c r="AA136" s="132"/>
      <c r="AB136" s="132"/>
      <c r="AC136" s="132"/>
    </row>
    <row r="137" ht="24.75" hidden="1" customHeight="1" outlineLevel="1">
      <c r="A137" s="522">
        <v>44604.0</v>
      </c>
      <c r="B137" s="507" t="s">
        <v>1210</v>
      </c>
      <c r="C137" s="511" t="s">
        <v>1299</v>
      </c>
      <c r="D137" s="506" t="s">
        <v>1300</v>
      </c>
      <c r="E137" s="525" t="s">
        <v>1221</v>
      </c>
      <c r="F137" s="175"/>
      <c r="G137" s="175"/>
      <c r="H137" s="175" t="s">
        <v>1301</v>
      </c>
      <c r="I137" s="132"/>
      <c r="J137" s="132"/>
      <c r="K137" s="132"/>
      <c r="L137" s="132"/>
      <c r="M137" s="132"/>
      <c r="N137" s="132"/>
      <c r="O137" s="132"/>
      <c r="P137" s="132"/>
      <c r="Q137" s="132"/>
      <c r="R137" s="132"/>
      <c r="S137" s="132"/>
      <c r="T137" s="132"/>
      <c r="U137" s="132"/>
      <c r="V137" s="132"/>
      <c r="W137" s="132"/>
      <c r="X137" s="132"/>
      <c r="Y137" s="132"/>
      <c r="Z137" s="132"/>
      <c r="AA137" s="132"/>
      <c r="AB137" s="132"/>
      <c r="AC137" s="132"/>
    </row>
    <row r="138" ht="24.75" hidden="1" customHeight="1" outlineLevel="1">
      <c r="A138" s="522">
        <v>44604.0</v>
      </c>
      <c r="B138" s="527" t="s">
        <v>1213</v>
      </c>
      <c r="C138" s="506" t="s">
        <v>1302</v>
      </c>
      <c r="D138" s="506" t="s">
        <v>1303</v>
      </c>
      <c r="E138" s="525" t="s">
        <v>1203</v>
      </c>
      <c r="F138" s="132"/>
      <c r="G138" s="132"/>
      <c r="H138" s="132"/>
      <c r="I138" s="132"/>
      <c r="J138" s="132"/>
      <c r="K138" s="132"/>
      <c r="L138" s="132"/>
      <c r="M138" s="132"/>
      <c r="N138" s="132"/>
      <c r="O138" s="132"/>
      <c r="P138" s="132"/>
      <c r="Q138" s="132"/>
      <c r="R138" s="132"/>
      <c r="S138" s="132"/>
      <c r="T138" s="132"/>
      <c r="U138" s="132"/>
      <c r="V138" s="132"/>
      <c r="W138" s="132"/>
      <c r="X138" s="132"/>
      <c r="Y138" s="132"/>
      <c r="Z138" s="132"/>
      <c r="AA138" s="132"/>
      <c r="AB138" s="132"/>
      <c r="AC138" s="132"/>
    </row>
    <row r="139" ht="24.75" hidden="1" customHeight="1" outlineLevel="1">
      <c r="A139" s="522">
        <v>44604.0</v>
      </c>
      <c r="B139" s="507" t="s">
        <v>1209</v>
      </c>
      <c r="C139" s="511" t="s">
        <v>1233</v>
      </c>
      <c r="D139" s="528" t="s">
        <v>1304</v>
      </c>
      <c r="E139" s="525" t="s">
        <v>1235</v>
      </c>
      <c r="F139" s="132"/>
      <c r="G139" s="132"/>
      <c r="H139" s="132"/>
      <c r="I139" s="132"/>
      <c r="J139" s="132"/>
      <c r="K139" s="132"/>
      <c r="L139" s="132"/>
      <c r="M139" s="132"/>
      <c r="N139" s="132"/>
      <c r="O139" s="132"/>
      <c r="P139" s="132"/>
      <c r="Q139" s="132"/>
      <c r="R139" s="132"/>
      <c r="S139" s="132"/>
      <c r="T139" s="132"/>
      <c r="U139" s="132"/>
      <c r="V139" s="132"/>
      <c r="W139" s="132"/>
      <c r="X139" s="132"/>
      <c r="Y139" s="132"/>
      <c r="Z139" s="132"/>
      <c r="AA139" s="132"/>
      <c r="AB139" s="132"/>
      <c r="AC139" s="132"/>
    </row>
    <row r="140" ht="24.75" hidden="1" customHeight="1" outlineLevel="1">
      <c r="A140" s="522">
        <v>44605.0</v>
      </c>
      <c r="B140" s="507" t="s">
        <v>1187</v>
      </c>
      <c r="C140" s="511" t="s">
        <v>1305</v>
      </c>
      <c r="D140" s="506" t="s">
        <v>1306</v>
      </c>
      <c r="E140" s="525" t="s">
        <v>1203</v>
      </c>
      <c r="F140" s="132"/>
      <c r="G140" s="132"/>
      <c r="H140" s="132"/>
      <c r="I140" s="132"/>
      <c r="J140" s="132"/>
      <c r="K140" s="132"/>
      <c r="L140" s="132"/>
      <c r="M140" s="132"/>
      <c r="N140" s="132"/>
      <c r="O140" s="132"/>
      <c r="P140" s="132"/>
      <c r="Q140" s="132"/>
      <c r="R140" s="132"/>
      <c r="S140" s="132"/>
      <c r="T140" s="132"/>
      <c r="U140" s="132"/>
      <c r="V140" s="132"/>
      <c r="W140" s="132"/>
      <c r="X140" s="132"/>
      <c r="Y140" s="132"/>
      <c r="Z140" s="132"/>
      <c r="AA140" s="132"/>
      <c r="AB140" s="132"/>
      <c r="AC140" s="132"/>
    </row>
    <row r="141" ht="24.75" hidden="1" customHeight="1" outlineLevel="1">
      <c r="A141" s="522">
        <v>44605.0</v>
      </c>
      <c r="B141" s="527" t="s">
        <v>1189</v>
      </c>
      <c r="C141" s="511" t="s">
        <v>1259</v>
      </c>
      <c r="D141" s="506" t="s">
        <v>1307</v>
      </c>
      <c r="E141" s="525" t="s">
        <v>1203</v>
      </c>
      <c r="F141" s="132"/>
      <c r="G141" s="132"/>
      <c r="H141" s="132"/>
      <c r="I141" s="132"/>
      <c r="J141" s="132"/>
      <c r="K141" s="132"/>
      <c r="L141" s="132"/>
      <c r="M141" s="132"/>
      <c r="N141" s="132"/>
      <c r="O141" s="132"/>
      <c r="P141" s="132"/>
      <c r="Q141" s="132"/>
      <c r="R141" s="132"/>
      <c r="S141" s="132"/>
      <c r="T141" s="132"/>
      <c r="U141" s="132"/>
      <c r="V141" s="132"/>
      <c r="W141" s="132"/>
      <c r="X141" s="132"/>
      <c r="Y141" s="132"/>
      <c r="Z141" s="132"/>
      <c r="AA141" s="132"/>
      <c r="AB141" s="132"/>
      <c r="AC141" s="132"/>
    </row>
    <row r="142" ht="24.75" hidden="1" customHeight="1" outlineLevel="1">
      <c r="A142" s="522">
        <v>44605.0</v>
      </c>
      <c r="B142" s="529" t="s">
        <v>1246</v>
      </c>
      <c r="C142" s="507" t="s">
        <v>1308</v>
      </c>
      <c r="D142" s="526" t="s">
        <v>1309</v>
      </c>
      <c r="E142" s="525" t="s">
        <v>1203</v>
      </c>
      <c r="F142" s="175"/>
      <c r="G142" s="175"/>
      <c r="H142" s="175" t="s">
        <v>1310</v>
      </c>
      <c r="I142" s="132"/>
      <c r="J142" s="132"/>
      <c r="K142" s="132"/>
      <c r="L142" s="132"/>
      <c r="M142" s="132"/>
      <c r="N142" s="132"/>
      <c r="O142" s="132"/>
      <c r="P142" s="132"/>
      <c r="Q142" s="132"/>
      <c r="R142" s="132"/>
      <c r="S142" s="132"/>
      <c r="T142" s="132"/>
      <c r="U142" s="132"/>
      <c r="V142" s="132"/>
      <c r="W142" s="132"/>
      <c r="X142" s="132"/>
      <c r="Y142" s="132"/>
      <c r="Z142" s="132"/>
      <c r="AA142" s="132"/>
      <c r="AB142" s="132"/>
      <c r="AC142" s="132"/>
    </row>
    <row r="143" ht="24.75" hidden="1" customHeight="1" outlineLevel="1">
      <c r="A143" s="522">
        <v>44606.0</v>
      </c>
      <c r="B143" s="530" t="s">
        <v>1215</v>
      </c>
      <c r="C143" s="526" t="s">
        <v>1311</v>
      </c>
      <c r="D143" s="506" t="s">
        <v>1307</v>
      </c>
      <c r="E143" s="525" t="s">
        <v>1203</v>
      </c>
      <c r="F143" s="132"/>
      <c r="G143" s="132"/>
      <c r="H143" s="132"/>
      <c r="I143" s="132"/>
      <c r="J143" s="132"/>
      <c r="K143" s="132"/>
      <c r="L143" s="132"/>
      <c r="M143" s="132"/>
      <c r="N143" s="132"/>
      <c r="O143" s="132"/>
      <c r="P143" s="132"/>
      <c r="Q143" s="132"/>
      <c r="R143" s="132"/>
      <c r="S143" s="132"/>
      <c r="T143" s="132"/>
      <c r="U143" s="132"/>
      <c r="V143" s="132"/>
      <c r="W143" s="132"/>
      <c r="X143" s="132"/>
      <c r="Y143" s="132"/>
      <c r="Z143" s="132"/>
      <c r="AA143" s="132"/>
      <c r="AB143" s="132"/>
      <c r="AC143" s="132"/>
    </row>
    <row r="144" ht="24.75" hidden="1" customHeight="1" outlineLevel="1">
      <c r="A144" s="522">
        <v>44606.0</v>
      </c>
      <c r="B144" s="523" t="s">
        <v>1217</v>
      </c>
      <c r="C144" s="531" t="s">
        <v>1312</v>
      </c>
      <c r="D144" s="526" t="s">
        <v>1309</v>
      </c>
      <c r="E144" s="525" t="s">
        <v>1203</v>
      </c>
      <c r="F144" s="132"/>
      <c r="G144" s="132"/>
      <c r="H144" s="132"/>
      <c r="I144" s="132"/>
      <c r="J144" s="132"/>
      <c r="K144" s="132"/>
      <c r="L144" s="132"/>
      <c r="M144" s="132"/>
      <c r="N144" s="132"/>
      <c r="O144" s="132"/>
      <c r="P144" s="132"/>
      <c r="Q144" s="132"/>
      <c r="R144" s="132"/>
      <c r="S144" s="132"/>
      <c r="T144" s="132"/>
      <c r="U144" s="132"/>
      <c r="V144" s="132"/>
      <c r="W144" s="132"/>
      <c r="X144" s="132"/>
      <c r="Y144" s="132"/>
      <c r="Z144" s="132"/>
      <c r="AA144" s="132"/>
      <c r="AB144" s="132"/>
      <c r="AC144" s="132"/>
    </row>
    <row r="145" ht="24.75" customHeight="1">
      <c r="A145" s="132"/>
      <c r="B145" s="132"/>
      <c r="C145" s="132"/>
      <c r="D145" s="132"/>
      <c r="E145" s="496"/>
      <c r="F145" s="132"/>
      <c r="G145" s="132"/>
      <c r="H145" s="132"/>
      <c r="I145" s="132"/>
      <c r="J145" s="132"/>
      <c r="K145" s="132"/>
      <c r="L145" s="132"/>
      <c r="M145" s="132"/>
      <c r="N145" s="132"/>
      <c r="O145" s="132"/>
      <c r="P145" s="132"/>
      <c r="Q145" s="132"/>
      <c r="R145" s="132"/>
      <c r="S145" s="132"/>
      <c r="T145" s="132"/>
      <c r="U145" s="132"/>
      <c r="V145" s="132"/>
      <c r="W145" s="132"/>
      <c r="X145" s="132"/>
      <c r="Y145" s="132"/>
      <c r="Z145" s="132"/>
      <c r="AA145" s="132"/>
      <c r="AB145" s="132"/>
      <c r="AC145" s="132"/>
    </row>
    <row r="146" ht="24.75" customHeight="1" collapsed="1">
      <c r="A146" s="532" t="s">
        <v>1313</v>
      </c>
      <c r="B146" s="273"/>
      <c r="C146" s="273"/>
      <c r="D146" s="273"/>
      <c r="E146" s="273"/>
      <c r="F146" s="132"/>
      <c r="G146" s="132"/>
      <c r="H146" s="132"/>
      <c r="I146" s="132"/>
      <c r="J146" s="132"/>
      <c r="K146" s="132"/>
      <c r="L146" s="132"/>
      <c r="M146" s="132"/>
      <c r="N146" s="132"/>
      <c r="O146" s="132"/>
      <c r="P146" s="132"/>
      <c r="Q146" s="132"/>
      <c r="R146" s="132"/>
      <c r="S146" s="132"/>
      <c r="T146" s="132"/>
      <c r="U146" s="132"/>
      <c r="V146" s="132"/>
      <c r="W146" s="132"/>
      <c r="X146" s="132"/>
      <c r="Y146" s="132"/>
      <c r="Z146" s="132"/>
      <c r="AA146" s="132"/>
      <c r="AB146" s="132"/>
      <c r="AC146" s="132"/>
    </row>
    <row r="147" ht="24.75" hidden="1" customHeight="1" outlineLevel="1">
      <c r="A147" s="533" t="s">
        <v>1166</v>
      </c>
      <c r="B147" s="534" t="s">
        <v>1117</v>
      </c>
      <c r="C147" s="534" t="s">
        <v>1167</v>
      </c>
      <c r="D147" s="534" t="s">
        <v>1168</v>
      </c>
      <c r="E147" s="534" t="s">
        <v>1169</v>
      </c>
      <c r="F147" s="132"/>
      <c r="G147" s="132"/>
      <c r="H147" s="132"/>
      <c r="I147" s="132"/>
      <c r="J147" s="132"/>
      <c r="K147" s="132"/>
      <c r="L147" s="132"/>
      <c r="M147" s="132"/>
      <c r="N147" s="132"/>
      <c r="O147" s="132"/>
      <c r="P147" s="132"/>
      <c r="Q147" s="132"/>
      <c r="R147" s="132"/>
      <c r="S147" s="132"/>
      <c r="T147" s="132"/>
      <c r="U147" s="132"/>
      <c r="V147" s="132"/>
      <c r="W147" s="132"/>
      <c r="X147" s="132"/>
      <c r="Y147" s="132"/>
      <c r="Z147" s="132"/>
      <c r="AA147" s="132"/>
      <c r="AB147" s="132"/>
      <c r="AC147" s="132"/>
    </row>
    <row r="148" ht="24.75" hidden="1" customHeight="1" outlineLevel="1">
      <c r="A148" s="504">
        <v>44615.0</v>
      </c>
      <c r="B148" s="507" t="s">
        <v>1226</v>
      </c>
      <c r="C148" s="526" t="s">
        <v>1311</v>
      </c>
      <c r="D148" s="506" t="s">
        <v>1314</v>
      </c>
      <c r="E148" s="36" t="s">
        <v>1203</v>
      </c>
      <c r="F148" s="132"/>
      <c r="G148" s="132"/>
      <c r="H148" s="132"/>
      <c r="I148" s="132"/>
      <c r="J148" s="132"/>
      <c r="K148" s="132"/>
      <c r="L148" s="132"/>
      <c r="M148" s="132"/>
      <c r="N148" s="132"/>
      <c r="O148" s="132"/>
      <c r="P148" s="132"/>
      <c r="Q148" s="132"/>
      <c r="R148" s="132"/>
      <c r="S148" s="132"/>
      <c r="T148" s="132"/>
      <c r="U148" s="132"/>
      <c r="V148" s="132"/>
      <c r="W148" s="132"/>
      <c r="X148" s="132"/>
      <c r="Y148" s="132"/>
      <c r="Z148" s="132"/>
      <c r="AA148" s="132"/>
      <c r="AB148" s="132"/>
      <c r="AC148" s="132"/>
    </row>
    <row r="149" ht="24.75" customHeight="1">
      <c r="A149" s="132"/>
      <c r="B149" s="132"/>
      <c r="C149" s="132"/>
      <c r="D149" s="132"/>
      <c r="E149" s="496"/>
      <c r="F149" s="132"/>
      <c r="G149" s="132"/>
      <c r="H149" s="132"/>
      <c r="I149" s="132"/>
      <c r="J149" s="132"/>
      <c r="K149" s="132"/>
      <c r="L149" s="132"/>
      <c r="M149" s="132"/>
      <c r="N149" s="132"/>
      <c r="O149" s="132"/>
      <c r="P149" s="132"/>
      <c r="Q149" s="132"/>
      <c r="R149" s="132"/>
      <c r="S149" s="132"/>
      <c r="T149" s="132"/>
      <c r="U149" s="132"/>
      <c r="V149" s="132"/>
      <c r="W149" s="132"/>
      <c r="X149" s="132"/>
      <c r="Y149" s="132"/>
      <c r="Z149" s="132"/>
      <c r="AA149" s="132"/>
      <c r="AB149" s="132"/>
      <c r="AC149" s="132"/>
    </row>
    <row r="150" ht="24.75" customHeight="1" collapsed="1">
      <c r="A150" s="532" t="s">
        <v>1315</v>
      </c>
      <c r="B150" s="273"/>
      <c r="C150" s="273"/>
      <c r="D150" s="273"/>
      <c r="E150" s="273"/>
      <c r="F150" s="132"/>
      <c r="G150" s="132"/>
      <c r="H150" s="132"/>
      <c r="I150" s="132"/>
      <c r="J150" s="132"/>
      <c r="K150" s="132"/>
      <c r="L150" s="132"/>
      <c r="M150" s="132"/>
      <c r="N150" s="132"/>
      <c r="O150" s="132"/>
      <c r="P150" s="132"/>
      <c r="Q150" s="132"/>
      <c r="R150" s="132"/>
      <c r="S150" s="132"/>
      <c r="T150" s="132"/>
      <c r="U150" s="132"/>
      <c r="V150" s="132"/>
      <c r="W150" s="132"/>
      <c r="X150" s="132"/>
      <c r="Y150" s="132"/>
      <c r="Z150" s="132"/>
      <c r="AA150" s="132"/>
      <c r="AB150" s="132"/>
      <c r="AC150" s="132"/>
    </row>
    <row r="151" ht="24.75" hidden="1" customHeight="1" outlineLevel="1">
      <c r="A151" s="535" t="s">
        <v>1166</v>
      </c>
      <c r="B151" s="536" t="s">
        <v>1117</v>
      </c>
      <c r="C151" s="536" t="s">
        <v>1167</v>
      </c>
      <c r="D151" s="536" t="s">
        <v>1168</v>
      </c>
      <c r="E151" s="536" t="s">
        <v>1169</v>
      </c>
      <c r="F151" s="132"/>
      <c r="G151" s="132"/>
      <c r="H151" s="132"/>
      <c r="I151" s="132"/>
      <c r="J151" s="132"/>
      <c r="K151" s="132"/>
      <c r="L151" s="132"/>
      <c r="M151" s="132"/>
      <c r="N151" s="132"/>
      <c r="O151" s="132"/>
      <c r="P151" s="132"/>
      <c r="Q151" s="132"/>
      <c r="R151" s="132"/>
      <c r="S151" s="132"/>
      <c r="T151" s="132"/>
      <c r="U151" s="132"/>
      <c r="V151" s="132"/>
      <c r="W151" s="132"/>
      <c r="X151" s="132"/>
      <c r="Y151" s="132"/>
      <c r="Z151" s="132"/>
      <c r="AA151" s="132"/>
      <c r="AB151" s="132"/>
      <c r="AC151" s="132"/>
    </row>
    <row r="152" ht="24.75" hidden="1" customHeight="1" outlineLevel="1">
      <c r="A152" s="504">
        <v>44640.0</v>
      </c>
      <c r="B152" s="507" t="s">
        <v>1187</v>
      </c>
      <c r="C152" s="511" t="s">
        <v>1255</v>
      </c>
      <c r="D152" s="506" t="s">
        <v>1175</v>
      </c>
      <c r="E152" s="36" t="s">
        <v>1203</v>
      </c>
      <c r="F152" s="537"/>
      <c r="G152" s="537"/>
      <c r="H152" s="538" t="s">
        <v>1316</v>
      </c>
      <c r="I152" s="132"/>
      <c r="J152" s="132"/>
      <c r="K152" s="132"/>
      <c r="L152" s="132"/>
      <c r="M152" s="132"/>
      <c r="N152" s="132"/>
      <c r="O152" s="132"/>
      <c r="P152" s="132"/>
      <c r="Q152" s="132"/>
      <c r="R152" s="132"/>
      <c r="S152" s="132"/>
      <c r="T152" s="132"/>
      <c r="U152" s="132"/>
      <c r="V152" s="132"/>
      <c r="W152" s="132"/>
      <c r="X152" s="132"/>
      <c r="Y152" s="132"/>
      <c r="Z152" s="132"/>
      <c r="AA152" s="132"/>
      <c r="AB152" s="132"/>
      <c r="AC152" s="132"/>
    </row>
    <row r="153" ht="24.75" hidden="1" customHeight="1" outlineLevel="1">
      <c r="A153" s="539">
        <v>44640.0</v>
      </c>
      <c r="B153" s="540" t="s">
        <v>1189</v>
      </c>
      <c r="C153" s="541" t="s">
        <v>1259</v>
      </c>
      <c r="D153" s="541" t="s">
        <v>1317</v>
      </c>
      <c r="E153" s="542"/>
      <c r="F153" s="175"/>
      <c r="G153" s="175"/>
      <c r="H153" s="175" t="s">
        <v>1318</v>
      </c>
      <c r="I153" s="132"/>
      <c r="J153" s="132"/>
      <c r="K153" s="132"/>
      <c r="L153" s="132"/>
      <c r="M153" s="132"/>
      <c r="N153" s="132"/>
      <c r="O153" s="132"/>
      <c r="P153" s="132"/>
      <c r="Q153" s="132"/>
      <c r="R153" s="132"/>
      <c r="S153" s="132"/>
      <c r="T153" s="132"/>
      <c r="U153" s="132"/>
      <c r="V153" s="132"/>
      <c r="W153" s="132"/>
      <c r="X153" s="132"/>
      <c r="Y153" s="132"/>
      <c r="Z153" s="132"/>
      <c r="AA153" s="132"/>
      <c r="AB153" s="132"/>
      <c r="AC153" s="132"/>
    </row>
    <row r="154" ht="24.75" hidden="1" customHeight="1" outlineLevel="1">
      <c r="A154" s="539">
        <v>44641.0</v>
      </c>
      <c r="B154" s="540" t="s">
        <v>1215</v>
      </c>
      <c r="C154" s="543" t="s">
        <v>1311</v>
      </c>
      <c r="D154" s="541" t="s">
        <v>1317</v>
      </c>
      <c r="E154" s="542"/>
      <c r="F154" s="175"/>
      <c r="G154" s="175"/>
      <c r="H154" s="175" t="s">
        <v>1318</v>
      </c>
      <c r="I154" s="132"/>
      <c r="J154" s="132"/>
      <c r="K154" s="132"/>
      <c r="L154" s="132"/>
      <c r="M154" s="132"/>
      <c r="N154" s="132"/>
      <c r="O154" s="132"/>
      <c r="P154" s="132"/>
      <c r="Q154" s="132"/>
      <c r="R154" s="132"/>
      <c r="S154" s="132"/>
      <c r="T154" s="132"/>
      <c r="U154" s="132"/>
      <c r="V154" s="132"/>
      <c r="W154" s="132"/>
      <c r="X154" s="132"/>
      <c r="Y154" s="132"/>
      <c r="Z154" s="132"/>
      <c r="AA154" s="132"/>
      <c r="AB154" s="132"/>
      <c r="AC154" s="132"/>
    </row>
    <row r="155" ht="24.75" hidden="1" customHeight="1" outlineLevel="1">
      <c r="A155" s="504">
        <v>44641.0</v>
      </c>
      <c r="B155" s="507" t="s">
        <v>629</v>
      </c>
      <c r="C155" s="507" t="s">
        <v>1233</v>
      </c>
      <c r="D155" s="507" t="s">
        <v>1319</v>
      </c>
      <c r="E155" s="36" t="s">
        <v>1235</v>
      </c>
      <c r="F155" s="175"/>
      <c r="G155" s="175"/>
      <c r="H155" s="175" t="s">
        <v>1320</v>
      </c>
      <c r="I155" s="132"/>
      <c r="J155" s="132"/>
      <c r="K155" s="132"/>
      <c r="L155" s="132"/>
      <c r="M155" s="132"/>
      <c r="N155" s="132"/>
      <c r="O155" s="132"/>
      <c r="P155" s="132"/>
      <c r="Q155" s="132"/>
      <c r="R155" s="132"/>
      <c r="S155" s="132"/>
      <c r="T155" s="132"/>
      <c r="U155" s="132"/>
      <c r="V155" s="132"/>
      <c r="W155" s="132"/>
      <c r="X155" s="132"/>
      <c r="Y155" s="132"/>
      <c r="Z155" s="132"/>
      <c r="AA155" s="132"/>
      <c r="AB155" s="132"/>
      <c r="AC155" s="132"/>
    </row>
    <row r="156" ht="24.75" hidden="1" customHeight="1" outlineLevel="1">
      <c r="A156" s="539">
        <v>44641.0</v>
      </c>
      <c r="B156" s="540" t="s">
        <v>1217</v>
      </c>
      <c r="C156" s="544" t="s">
        <v>1312</v>
      </c>
      <c r="D156" s="541" t="s">
        <v>1321</v>
      </c>
      <c r="E156" s="542"/>
      <c r="F156" s="175"/>
      <c r="G156" s="175"/>
      <c r="H156" s="175" t="s">
        <v>1318</v>
      </c>
      <c r="I156" s="132"/>
      <c r="J156" s="132"/>
      <c r="K156" s="132"/>
      <c r="L156" s="132"/>
      <c r="M156" s="132"/>
      <c r="N156" s="132"/>
      <c r="O156" s="132"/>
      <c r="P156" s="132"/>
      <c r="Q156" s="132"/>
      <c r="R156" s="132"/>
      <c r="S156" s="132"/>
      <c r="T156" s="132"/>
      <c r="U156" s="132"/>
      <c r="V156" s="132"/>
      <c r="W156" s="132"/>
      <c r="X156" s="132"/>
      <c r="Y156" s="132"/>
      <c r="Z156" s="132"/>
      <c r="AA156" s="132"/>
      <c r="AB156" s="132"/>
      <c r="AC156" s="132"/>
    </row>
    <row r="157" ht="24.75" hidden="1" customHeight="1" outlineLevel="1">
      <c r="A157" s="504">
        <v>44642.0</v>
      </c>
      <c r="B157" s="507" t="s">
        <v>1322</v>
      </c>
      <c r="C157" s="507" t="s">
        <v>1233</v>
      </c>
      <c r="D157" s="507" t="s">
        <v>1319</v>
      </c>
      <c r="E157" s="36" t="s">
        <v>1235</v>
      </c>
      <c r="F157" s="132"/>
      <c r="G157" s="132"/>
      <c r="H157" s="132"/>
      <c r="I157" s="132"/>
      <c r="J157" s="132"/>
      <c r="K157" s="132"/>
      <c r="L157" s="132"/>
      <c r="M157" s="132"/>
      <c r="N157" s="132"/>
      <c r="O157" s="132"/>
      <c r="P157" s="132"/>
      <c r="Q157" s="132"/>
      <c r="R157" s="132"/>
      <c r="S157" s="132"/>
      <c r="T157" s="132"/>
      <c r="U157" s="132"/>
      <c r="V157" s="132"/>
      <c r="W157" s="132"/>
      <c r="X157" s="132"/>
      <c r="Y157" s="132"/>
      <c r="Z157" s="132"/>
      <c r="AA157" s="132"/>
      <c r="AB157" s="132"/>
      <c r="AC157" s="132"/>
    </row>
    <row r="158" ht="24.75" hidden="1" customHeight="1" outlineLevel="1">
      <c r="A158" s="504">
        <v>44642.0</v>
      </c>
      <c r="B158" s="507" t="s">
        <v>1323</v>
      </c>
      <c r="C158" s="526" t="s">
        <v>1233</v>
      </c>
      <c r="D158" s="507" t="s">
        <v>1319</v>
      </c>
      <c r="E158" s="525" t="s">
        <v>1235</v>
      </c>
      <c r="F158" s="175"/>
      <c r="G158" s="175"/>
      <c r="H158" s="175" t="s">
        <v>1324</v>
      </c>
      <c r="I158" s="132"/>
      <c r="J158" s="132"/>
      <c r="K158" s="132"/>
      <c r="L158" s="132"/>
      <c r="M158" s="132"/>
      <c r="N158" s="132"/>
      <c r="O158" s="132"/>
      <c r="P158" s="132"/>
      <c r="Q158" s="132"/>
      <c r="R158" s="132"/>
      <c r="S158" s="132"/>
      <c r="T158" s="132"/>
      <c r="U158" s="132"/>
      <c r="V158" s="132"/>
      <c r="W158" s="132"/>
      <c r="X158" s="132"/>
      <c r="Y158" s="132"/>
      <c r="Z158" s="132"/>
      <c r="AA158" s="132"/>
      <c r="AB158" s="132"/>
      <c r="AC158" s="132"/>
    </row>
    <row r="159" ht="24.75" hidden="1" customHeight="1" outlineLevel="1">
      <c r="A159" s="504">
        <v>44642.0</v>
      </c>
      <c r="B159" s="507" t="s">
        <v>1325</v>
      </c>
      <c r="C159" s="526" t="s">
        <v>1233</v>
      </c>
      <c r="D159" s="507" t="s">
        <v>1319</v>
      </c>
      <c r="E159" s="525" t="s">
        <v>1235</v>
      </c>
      <c r="F159" s="175"/>
      <c r="G159" s="175"/>
      <c r="H159" s="175" t="s">
        <v>1326</v>
      </c>
      <c r="I159" s="132"/>
      <c r="J159" s="132"/>
      <c r="K159" s="132"/>
      <c r="L159" s="132"/>
      <c r="M159" s="132"/>
      <c r="N159" s="132"/>
      <c r="O159" s="132"/>
      <c r="P159" s="132"/>
      <c r="Q159" s="132"/>
      <c r="R159" s="132"/>
      <c r="S159" s="132"/>
      <c r="T159" s="132"/>
      <c r="U159" s="132"/>
      <c r="V159" s="132"/>
      <c r="W159" s="132"/>
      <c r="X159" s="132"/>
      <c r="Y159" s="132"/>
      <c r="Z159" s="132"/>
      <c r="AA159" s="132"/>
      <c r="AB159" s="132"/>
      <c r="AC159" s="132"/>
    </row>
    <row r="160" ht="24.75" customHeight="1">
      <c r="A160" s="132"/>
      <c r="B160" s="132"/>
      <c r="C160" s="132"/>
      <c r="D160" s="132"/>
      <c r="E160" s="496"/>
      <c r="F160" s="132"/>
      <c r="G160" s="132"/>
      <c r="H160" s="132"/>
      <c r="I160" s="132"/>
      <c r="J160" s="132"/>
      <c r="K160" s="132"/>
      <c r="L160" s="132"/>
      <c r="M160" s="132"/>
      <c r="N160" s="132"/>
      <c r="O160" s="132"/>
      <c r="P160" s="132"/>
      <c r="Q160" s="132"/>
      <c r="R160" s="132"/>
      <c r="S160" s="132"/>
      <c r="T160" s="132"/>
      <c r="U160" s="132"/>
      <c r="V160" s="132"/>
      <c r="W160" s="132"/>
      <c r="X160" s="132"/>
      <c r="Y160" s="132"/>
      <c r="Z160" s="132"/>
      <c r="AA160" s="132"/>
      <c r="AB160" s="132"/>
      <c r="AC160" s="132"/>
    </row>
    <row r="161" ht="24.75" customHeight="1" collapsed="1">
      <c r="A161" s="497" t="s">
        <v>1327</v>
      </c>
      <c r="B161" s="132"/>
      <c r="C161" s="132"/>
      <c r="D161" s="132"/>
      <c r="E161" s="496"/>
      <c r="F161" s="132"/>
      <c r="G161" s="132"/>
      <c r="H161" s="132"/>
      <c r="I161" s="132"/>
      <c r="J161" s="132"/>
      <c r="K161" s="132"/>
      <c r="L161" s="132"/>
      <c r="M161" s="132"/>
      <c r="N161" s="132"/>
      <c r="O161" s="132"/>
      <c r="P161" s="132"/>
      <c r="Q161" s="132"/>
      <c r="R161" s="132"/>
      <c r="S161" s="132"/>
      <c r="T161" s="132"/>
      <c r="U161" s="132"/>
      <c r="V161" s="132"/>
      <c r="W161" s="132"/>
      <c r="X161" s="132"/>
      <c r="Y161" s="132"/>
      <c r="Z161" s="132"/>
      <c r="AA161" s="132"/>
      <c r="AB161" s="132"/>
      <c r="AC161" s="132"/>
    </row>
    <row r="162" ht="24.75" hidden="1" customHeight="1" outlineLevel="1">
      <c r="A162" s="175" t="s">
        <v>1328</v>
      </c>
      <c r="B162" s="132"/>
      <c r="C162" s="132"/>
      <c r="D162" s="132"/>
      <c r="E162" s="496"/>
      <c r="F162" s="132"/>
      <c r="G162" s="132"/>
      <c r="H162" s="132"/>
      <c r="I162" s="132"/>
      <c r="J162" s="132"/>
      <c r="K162" s="132"/>
      <c r="L162" s="132"/>
      <c r="M162" s="132"/>
      <c r="N162" s="132"/>
      <c r="O162" s="132"/>
      <c r="P162" s="132"/>
      <c r="Q162" s="132"/>
      <c r="R162" s="132"/>
      <c r="S162" s="132"/>
      <c r="T162" s="132"/>
      <c r="U162" s="132"/>
      <c r="V162" s="132"/>
      <c r="W162" s="132"/>
      <c r="X162" s="132"/>
      <c r="Y162" s="132"/>
      <c r="Z162" s="132"/>
      <c r="AA162" s="132"/>
      <c r="AB162" s="132"/>
      <c r="AC162" s="132"/>
    </row>
    <row r="163" ht="24.75" hidden="1" customHeight="1" outlineLevel="1">
      <c r="A163" s="545" t="s">
        <v>1166</v>
      </c>
      <c r="B163" s="545" t="s">
        <v>1117</v>
      </c>
      <c r="C163" s="545" t="s">
        <v>1167</v>
      </c>
      <c r="D163" s="545" t="s">
        <v>1168</v>
      </c>
      <c r="E163" s="545" t="s">
        <v>1169</v>
      </c>
      <c r="F163" s="132"/>
      <c r="G163" s="132"/>
      <c r="H163" s="132"/>
      <c r="I163" s="132"/>
      <c r="J163" s="132"/>
      <c r="K163" s="132"/>
      <c r="L163" s="132"/>
      <c r="M163" s="132"/>
      <c r="N163" s="132"/>
      <c r="O163" s="132"/>
      <c r="P163" s="132"/>
      <c r="Q163" s="132"/>
      <c r="R163" s="132"/>
      <c r="S163" s="132"/>
      <c r="T163" s="132"/>
      <c r="U163" s="132"/>
      <c r="V163" s="132"/>
      <c r="W163" s="132"/>
      <c r="X163" s="132"/>
      <c r="Y163" s="132"/>
      <c r="Z163" s="132"/>
      <c r="AA163" s="132"/>
      <c r="AB163" s="132"/>
      <c r="AC163" s="132"/>
    </row>
    <row r="164" ht="24.75" hidden="1" customHeight="1" outlineLevel="1">
      <c r="A164" s="546">
        <v>44680.0</v>
      </c>
      <c r="B164" s="507" t="s">
        <v>1232</v>
      </c>
      <c r="C164" s="547"/>
      <c r="D164" s="548" t="s">
        <v>1296</v>
      </c>
      <c r="E164" s="169" t="s">
        <v>1235</v>
      </c>
      <c r="F164" s="175"/>
      <c r="G164" s="175"/>
      <c r="H164" s="175"/>
      <c r="I164" s="132"/>
      <c r="J164" s="132"/>
      <c r="K164" s="132"/>
      <c r="L164" s="132"/>
      <c r="M164" s="132"/>
      <c r="N164" s="132"/>
      <c r="O164" s="132"/>
      <c r="P164" s="132"/>
      <c r="Q164" s="132"/>
      <c r="R164" s="132"/>
      <c r="S164" s="132"/>
      <c r="T164" s="132"/>
      <c r="U164" s="132"/>
      <c r="V164" s="132"/>
      <c r="W164" s="132"/>
      <c r="X164" s="132"/>
      <c r="Y164" s="132"/>
      <c r="Z164" s="132"/>
      <c r="AA164" s="132"/>
      <c r="AB164" s="132"/>
      <c r="AC164" s="132"/>
    </row>
    <row r="165" ht="24.75" hidden="1" customHeight="1" outlineLevel="1">
      <c r="A165" s="546">
        <v>44680.0</v>
      </c>
      <c r="B165" s="547" t="s">
        <v>1181</v>
      </c>
      <c r="C165" s="548" t="s">
        <v>1329</v>
      </c>
      <c r="D165" s="548" t="s">
        <v>1330</v>
      </c>
      <c r="E165" s="36" t="s">
        <v>1203</v>
      </c>
      <c r="F165" s="132"/>
      <c r="G165" s="132"/>
      <c r="H165" s="132"/>
      <c r="I165" s="132"/>
      <c r="J165" s="132"/>
      <c r="K165" s="132"/>
      <c r="L165" s="132"/>
      <c r="M165" s="132"/>
      <c r="N165" s="132"/>
      <c r="O165" s="132"/>
      <c r="P165" s="132"/>
      <c r="Q165" s="132"/>
      <c r="R165" s="132"/>
      <c r="S165" s="132"/>
      <c r="T165" s="132"/>
      <c r="U165" s="132"/>
      <c r="V165" s="132"/>
      <c r="W165" s="132"/>
      <c r="X165" s="132"/>
      <c r="Y165" s="132"/>
      <c r="Z165" s="132"/>
      <c r="AA165" s="132"/>
      <c r="AB165" s="132"/>
      <c r="AC165" s="132"/>
    </row>
    <row r="166" ht="24.75" hidden="1" customHeight="1" outlineLevel="1">
      <c r="A166" s="549">
        <v>44681.0</v>
      </c>
      <c r="B166" s="507" t="s">
        <v>1238</v>
      </c>
      <c r="C166" s="511" t="s">
        <v>1259</v>
      </c>
      <c r="D166" s="511" t="s">
        <v>1331</v>
      </c>
      <c r="E166" s="36" t="s">
        <v>1203</v>
      </c>
      <c r="F166" s="132"/>
      <c r="G166" s="132"/>
      <c r="H166" s="132"/>
      <c r="I166" s="132"/>
      <c r="J166" s="132"/>
      <c r="K166" s="132"/>
      <c r="L166" s="132"/>
      <c r="M166" s="132"/>
      <c r="N166" s="132"/>
      <c r="O166" s="132"/>
      <c r="P166" s="132"/>
      <c r="Q166" s="132"/>
      <c r="R166" s="132"/>
      <c r="S166" s="132"/>
      <c r="T166" s="132"/>
      <c r="U166" s="132"/>
      <c r="V166" s="132"/>
      <c r="W166" s="132"/>
      <c r="X166" s="132"/>
      <c r="Y166" s="132"/>
      <c r="Z166" s="132"/>
      <c r="AA166" s="132"/>
      <c r="AB166" s="132"/>
      <c r="AC166" s="132"/>
    </row>
    <row r="167" ht="24.75" hidden="1" customHeight="1" outlineLevel="1">
      <c r="A167" s="549">
        <v>44681.0</v>
      </c>
      <c r="B167" s="527" t="s">
        <v>1210</v>
      </c>
      <c r="C167" s="511" t="s">
        <v>1299</v>
      </c>
      <c r="D167" s="511" t="s">
        <v>1300</v>
      </c>
      <c r="E167" s="525" t="s">
        <v>1203</v>
      </c>
      <c r="F167" s="175"/>
      <c r="G167" s="175"/>
      <c r="H167" s="175" t="s">
        <v>1240</v>
      </c>
      <c r="I167" s="132"/>
      <c r="J167" s="132"/>
      <c r="K167" s="132"/>
      <c r="L167" s="132"/>
      <c r="M167" s="132"/>
      <c r="N167" s="132"/>
      <c r="O167" s="132"/>
      <c r="P167" s="132"/>
      <c r="Q167" s="132"/>
      <c r="R167" s="132"/>
      <c r="S167" s="132"/>
      <c r="T167" s="132"/>
      <c r="U167" s="132"/>
      <c r="V167" s="132"/>
      <c r="W167" s="132"/>
      <c r="X167" s="132"/>
      <c r="Y167" s="132"/>
      <c r="Z167" s="132"/>
      <c r="AA167" s="132"/>
      <c r="AB167" s="132"/>
      <c r="AC167" s="132"/>
    </row>
    <row r="168" ht="24.75" hidden="1" customHeight="1" outlineLevel="1">
      <c r="A168" s="549">
        <v>44681.0</v>
      </c>
      <c r="B168" s="527" t="s">
        <v>1213</v>
      </c>
      <c r="C168" s="511" t="s">
        <v>1302</v>
      </c>
      <c r="D168" s="511" t="s">
        <v>1303</v>
      </c>
      <c r="E168" s="36" t="s">
        <v>1203</v>
      </c>
      <c r="F168" s="132"/>
      <c r="G168" s="132"/>
      <c r="H168" s="132"/>
      <c r="I168" s="132"/>
      <c r="J168" s="132"/>
      <c r="K168" s="132"/>
      <c r="L168" s="132"/>
      <c r="M168" s="132"/>
      <c r="N168" s="132"/>
      <c r="O168" s="132"/>
      <c r="P168" s="132"/>
      <c r="Q168" s="132"/>
      <c r="R168" s="132"/>
      <c r="S168" s="132"/>
      <c r="T168" s="132"/>
      <c r="U168" s="132"/>
      <c r="V168" s="132"/>
      <c r="W168" s="132"/>
      <c r="X168" s="132"/>
      <c r="Y168" s="132"/>
      <c r="Z168" s="132"/>
      <c r="AA168" s="132"/>
      <c r="AB168" s="132"/>
      <c r="AC168" s="132"/>
    </row>
    <row r="169" ht="24.75" hidden="1" customHeight="1" outlineLevel="1">
      <c r="A169" s="549">
        <v>44681.0</v>
      </c>
      <c r="B169" s="507" t="s">
        <v>1209</v>
      </c>
      <c r="C169" s="511" t="s">
        <v>1233</v>
      </c>
      <c r="D169" s="550" t="s">
        <v>1332</v>
      </c>
      <c r="E169" s="525" t="s">
        <v>1235</v>
      </c>
      <c r="F169" s="132"/>
      <c r="G169" s="132"/>
      <c r="H169" s="132"/>
      <c r="I169" s="132"/>
      <c r="J169" s="132"/>
      <c r="K169" s="132"/>
      <c r="L169" s="132"/>
      <c r="M169" s="132"/>
      <c r="N169" s="132"/>
      <c r="O169" s="132"/>
      <c r="P169" s="132"/>
      <c r="Q169" s="132"/>
      <c r="R169" s="132"/>
      <c r="S169" s="132"/>
      <c r="T169" s="132"/>
      <c r="U169" s="132"/>
      <c r="V169" s="132"/>
      <c r="W169" s="132"/>
      <c r="X169" s="132"/>
      <c r="Y169" s="132"/>
      <c r="Z169" s="132"/>
      <c r="AA169" s="132"/>
      <c r="AB169" s="132"/>
      <c r="AC169" s="132"/>
    </row>
    <row r="170" ht="24.75" hidden="1" customHeight="1" outlineLevel="1">
      <c r="A170" s="549">
        <v>44682.0</v>
      </c>
      <c r="B170" s="527" t="s">
        <v>1187</v>
      </c>
      <c r="C170" s="511" t="s">
        <v>1305</v>
      </c>
      <c r="D170" s="511" t="s">
        <v>1333</v>
      </c>
      <c r="E170" s="36" t="s">
        <v>1203</v>
      </c>
      <c r="F170" s="132"/>
      <c r="G170" s="132"/>
      <c r="H170" s="132"/>
      <c r="I170" s="132"/>
      <c r="J170" s="132"/>
      <c r="K170" s="132"/>
      <c r="L170" s="132"/>
      <c r="M170" s="132"/>
      <c r="N170" s="132"/>
      <c r="O170" s="132"/>
      <c r="P170" s="132"/>
      <c r="Q170" s="132"/>
      <c r="R170" s="132"/>
      <c r="S170" s="132"/>
      <c r="T170" s="132"/>
      <c r="U170" s="132"/>
      <c r="V170" s="132"/>
      <c r="W170" s="132"/>
      <c r="X170" s="132"/>
      <c r="Y170" s="132"/>
      <c r="Z170" s="132"/>
      <c r="AA170" s="132"/>
      <c r="AB170" s="132"/>
      <c r="AC170" s="132"/>
    </row>
    <row r="171" ht="24.75" hidden="1" customHeight="1" outlineLevel="1">
      <c r="A171" s="549">
        <v>44682.0</v>
      </c>
      <c r="B171" s="527" t="s">
        <v>1189</v>
      </c>
      <c r="C171" s="511" t="s">
        <v>1259</v>
      </c>
      <c r="D171" s="511" t="s">
        <v>1334</v>
      </c>
      <c r="E171" s="36" t="s">
        <v>1203</v>
      </c>
      <c r="F171" s="132"/>
      <c r="G171" s="132"/>
      <c r="H171" s="132"/>
      <c r="I171" s="132"/>
      <c r="J171" s="132"/>
      <c r="K171" s="132"/>
      <c r="L171" s="132"/>
      <c r="M171" s="132"/>
      <c r="N171" s="132"/>
      <c r="O171" s="132"/>
      <c r="P171" s="132"/>
      <c r="Q171" s="132"/>
      <c r="R171" s="132"/>
      <c r="S171" s="132"/>
      <c r="T171" s="132"/>
      <c r="U171" s="132"/>
      <c r="V171" s="132"/>
      <c r="W171" s="132"/>
      <c r="X171" s="132"/>
      <c r="Y171" s="132"/>
      <c r="Z171" s="132"/>
      <c r="AA171" s="132"/>
      <c r="AB171" s="132"/>
      <c r="AC171" s="132"/>
    </row>
    <row r="172" ht="24.75" hidden="1" customHeight="1" outlineLevel="1">
      <c r="A172" s="549">
        <v>44683.0</v>
      </c>
      <c r="B172" s="530" t="s">
        <v>1215</v>
      </c>
      <c r="C172" s="531" t="s">
        <v>1311</v>
      </c>
      <c r="D172" s="511" t="s">
        <v>1334</v>
      </c>
      <c r="E172" s="36" t="s">
        <v>1203</v>
      </c>
      <c r="F172" s="132"/>
      <c r="G172" s="132"/>
      <c r="H172" s="132"/>
      <c r="I172" s="132"/>
      <c r="J172" s="132"/>
      <c r="K172" s="132"/>
      <c r="L172" s="132"/>
      <c r="M172" s="132"/>
      <c r="N172" s="132"/>
      <c r="O172" s="132"/>
      <c r="P172" s="132"/>
      <c r="Q172" s="132"/>
      <c r="R172" s="132"/>
      <c r="S172" s="132"/>
      <c r="T172" s="132"/>
      <c r="U172" s="132"/>
      <c r="V172" s="132"/>
      <c r="W172" s="132"/>
      <c r="X172" s="132"/>
      <c r="Y172" s="132"/>
      <c r="Z172" s="132"/>
      <c r="AA172" s="132"/>
      <c r="AB172" s="132"/>
      <c r="AC172" s="132"/>
    </row>
    <row r="173" ht="39.75" hidden="1" customHeight="1" outlineLevel="1">
      <c r="A173" s="549">
        <v>44683.0</v>
      </c>
      <c r="B173" s="523" t="s">
        <v>1217</v>
      </c>
      <c r="C173" s="531" t="s">
        <v>1312</v>
      </c>
      <c r="D173" s="531" t="s">
        <v>1335</v>
      </c>
      <c r="E173" s="36" t="s">
        <v>1203</v>
      </c>
      <c r="F173" s="175"/>
      <c r="G173" s="175"/>
      <c r="H173" s="175" t="s">
        <v>1240</v>
      </c>
      <c r="I173" s="132"/>
      <c r="J173" s="132"/>
      <c r="K173" s="132"/>
      <c r="L173" s="132"/>
      <c r="M173" s="132"/>
      <c r="N173" s="132"/>
      <c r="O173" s="132"/>
      <c r="P173" s="132"/>
      <c r="Q173" s="132"/>
      <c r="R173" s="132"/>
      <c r="S173" s="132"/>
      <c r="T173" s="132"/>
      <c r="U173" s="132"/>
      <c r="V173" s="132"/>
      <c r="W173" s="132"/>
      <c r="X173" s="132"/>
      <c r="Y173" s="132"/>
      <c r="Z173" s="132"/>
      <c r="AA173" s="132"/>
      <c r="AB173" s="132"/>
      <c r="AC173" s="132"/>
    </row>
    <row r="174" ht="24.75" hidden="1" customHeight="1" outlineLevel="1">
      <c r="A174" s="551">
        <v>44684.0</v>
      </c>
      <c r="B174" s="507" t="s">
        <v>1232</v>
      </c>
      <c r="C174" s="511" t="s">
        <v>1233</v>
      </c>
      <c r="D174" s="531" t="s">
        <v>1296</v>
      </c>
      <c r="E174" s="36" t="s">
        <v>1235</v>
      </c>
      <c r="F174" s="175"/>
      <c r="G174" s="175"/>
      <c r="H174" s="175"/>
      <c r="I174" s="132"/>
      <c r="J174" s="132"/>
      <c r="K174" s="132"/>
      <c r="L174" s="132"/>
      <c r="M174" s="132"/>
      <c r="N174" s="132"/>
      <c r="O174" s="132"/>
      <c r="P174" s="132"/>
      <c r="Q174" s="132"/>
      <c r="R174" s="132"/>
      <c r="S174" s="132"/>
      <c r="T174" s="132"/>
      <c r="U174" s="132"/>
      <c r="V174" s="132"/>
      <c r="W174" s="132"/>
      <c r="X174" s="132"/>
      <c r="Y174" s="132"/>
      <c r="Z174" s="132"/>
      <c r="AA174" s="132"/>
      <c r="AB174" s="132"/>
      <c r="AC174" s="132"/>
    </row>
    <row r="175" ht="24.75" hidden="1" customHeight="1" outlineLevel="1">
      <c r="A175" s="551">
        <v>44685.0</v>
      </c>
      <c r="B175" s="507" t="s">
        <v>1198</v>
      </c>
      <c r="C175" s="511" t="s">
        <v>1233</v>
      </c>
      <c r="D175" s="511" t="s">
        <v>1257</v>
      </c>
      <c r="E175" s="36" t="s">
        <v>1235</v>
      </c>
      <c r="F175" s="132"/>
      <c r="G175" s="132"/>
      <c r="H175" s="132"/>
      <c r="I175" s="132"/>
      <c r="J175" s="132"/>
      <c r="K175" s="132"/>
      <c r="L175" s="132"/>
      <c r="M175" s="132"/>
      <c r="N175" s="132"/>
      <c r="O175" s="132"/>
      <c r="P175" s="132"/>
      <c r="Q175" s="132"/>
      <c r="R175" s="132"/>
      <c r="S175" s="132"/>
      <c r="T175" s="132"/>
      <c r="U175" s="132"/>
      <c r="V175" s="132"/>
      <c r="W175" s="132"/>
      <c r="X175" s="132"/>
      <c r="Y175" s="132"/>
      <c r="Z175" s="132"/>
      <c r="AA175" s="132"/>
      <c r="AB175" s="132"/>
      <c r="AC175" s="132"/>
    </row>
    <row r="176" ht="24.75" hidden="1" customHeight="1" outlineLevel="1">
      <c r="A176" s="551">
        <v>44685.0</v>
      </c>
      <c r="B176" s="507" t="s">
        <v>1258</v>
      </c>
      <c r="C176" s="511" t="s">
        <v>1259</v>
      </c>
      <c r="D176" s="511" t="s">
        <v>1336</v>
      </c>
      <c r="E176" s="36" t="s">
        <v>1203</v>
      </c>
      <c r="F176" s="132"/>
      <c r="G176" s="132"/>
      <c r="H176" s="132"/>
      <c r="I176" s="132"/>
      <c r="J176" s="132"/>
      <c r="K176" s="132"/>
      <c r="L176" s="132"/>
      <c r="M176" s="132"/>
      <c r="N176" s="132"/>
      <c r="O176" s="132"/>
      <c r="P176" s="132"/>
      <c r="Q176" s="132"/>
      <c r="R176" s="132"/>
      <c r="S176" s="132"/>
      <c r="T176" s="132"/>
      <c r="U176" s="132"/>
      <c r="V176" s="132"/>
      <c r="W176" s="132"/>
      <c r="X176" s="132"/>
      <c r="Y176" s="132"/>
      <c r="Z176" s="132"/>
      <c r="AA176" s="132"/>
      <c r="AB176" s="132"/>
      <c r="AC176" s="132"/>
    </row>
    <row r="177" ht="24.75" hidden="1" customHeight="1" outlineLevel="1">
      <c r="A177" s="551">
        <v>44685.0</v>
      </c>
      <c r="B177" s="530" t="s">
        <v>1215</v>
      </c>
      <c r="C177" s="531" t="s">
        <v>1311</v>
      </c>
      <c r="D177" s="511" t="s">
        <v>1337</v>
      </c>
      <c r="E177" s="552" t="s">
        <v>1203</v>
      </c>
      <c r="F177" s="175"/>
      <c r="G177" s="175"/>
      <c r="H177" s="175" t="s">
        <v>1338</v>
      </c>
      <c r="I177" s="132"/>
      <c r="J177" s="132"/>
      <c r="K177" s="132"/>
      <c r="L177" s="132"/>
      <c r="M177" s="132"/>
      <c r="N177" s="132"/>
      <c r="O177" s="132"/>
      <c r="P177" s="132"/>
      <c r="Q177" s="132"/>
      <c r="R177" s="132"/>
      <c r="S177" s="132"/>
      <c r="T177" s="132"/>
      <c r="U177" s="132"/>
      <c r="V177" s="132"/>
      <c r="W177" s="132"/>
      <c r="X177" s="132"/>
      <c r="Y177" s="132"/>
      <c r="Z177" s="132"/>
      <c r="AA177" s="132"/>
      <c r="AB177" s="132"/>
      <c r="AC177" s="132"/>
    </row>
    <row r="178" ht="24.75" hidden="1" customHeight="1" outlineLevel="1">
      <c r="A178" s="551">
        <v>44685.0</v>
      </c>
      <c r="B178" s="553" t="s">
        <v>1339</v>
      </c>
      <c r="C178" s="507" t="s">
        <v>1340</v>
      </c>
      <c r="D178" s="554" t="s">
        <v>1175</v>
      </c>
      <c r="E178" s="36" t="s">
        <v>1203</v>
      </c>
      <c r="F178" s="175"/>
      <c r="G178" s="175"/>
      <c r="H178" s="175" t="s">
        <v>1341</v>
      </c>
      <c r="I178" s="132"/>
      <c r="J178" s="132"/>
      <c r="K178" s="132"/>
      <c r="L178" s="132"/>
      <c r="M178" s="132"/>
      <c r="N178" s="132"/>
      <c r="O178" s="132"/>
      <c r="P178" s="132"/>
      <c r="Q178" s="132"/>
      <c r="R178" s="132"/>
      <c r="S178" s="132"/>
      <c r="T178" s="132"/>
      <c r="U178" s="132"/>
      <c r="V178" s="132"/>
      <c r="W178" s="132"/>
      <c r="X178" s="132"/>
      <c r="Y178" s="132"/>
      <c r="Z178" s="132"/>
      <c r="AA178" s="132"/>
      <c r="AB178" s="132"/>
      <c r="AC178" s="132"/>
    </row>
    <row r="179" ht="24.75" hidden="1" customHeight="1" outlineLevel="1">
      <c r="A179" s="551">
        <v>44686.0</v>
      </c>
      <c r="B179" s="555" t="s">
        <v>1178</v>
      </c>
      <c r="C179" s="556" t="s">
        <v>536</v>
      </c>
      <c r="D179" s="556" t="s">
        <v>1175</v>
      </c>
      <c r="E179" s="557" t="s">
        <v>1203</v>
      </c>
      <c r="F179" s="558"/>
      <c r="G179" s="558"/>
      <c r="H179" s="559" t="s">
        <v>1264</v>
      </c>
      <c r="I179" s="559"/>
      <c r="J179" s="560"/>
      <c r="K179" s="273"/>
      <c r="L179" s="273"/>
      <c r="M179" s="273"/>
      <c r="N179" s="273"/>
      <c r="O179" s="273"/>
      <c r="P179" s="273"/>
      <c r="Q179" s="273"/>
      <c r="R179" s="273"/>
      <c r="S179" s="273"/>
      <c r="T179" s="273"/>
      <c r="U179" s="273"/>
      <c r="V179" s="273"/>
      <c r="W179" s="273"/>
      <c r="X179" s="273"/>
      <c r="Y179" s="273"/>
      <c r="Z179" s="273"/>
      <c r="AA179" s="273"/>
      <c r="AB179" s="273"/>
      <c r="AC179" s="273"/>
    </row>
    <row r="180" ht="24.75" hidden="1" customHeight="1" outlineLevel="1">
      <c r="A180" s="546">
        <v>44687.0</v>
      </c>
      <c r="B180" s="547" t="s">
        <v>1181</v>
      </c>
      <c r="C180" s="548" t="s">
        <v>1329</v>
      </c>
      <c r="D180" s="548" t="s">
        <v>1330</v>
      </c>
      <c r="E180" s="36" t="s">
        <v>1203</v>
      </c>
      <c r="F180" s="175"/>
      <c r="G180" s="175"/>
      <c r="H180" s="175"/>
      <c r="I180" s="132"/>
      <c r="J180" s="132"/>
      <c r="K180" s="132"/>
      <c r="L180" s="132"/>
      <c r="M180" s="132"/>
      <c r="N180" s="132"/>
      <c r="O180" s="132"/>
      <c r="P180" s="132"/>
      <c r="Q180" s="132"/>
      <c r="R180" s="132"/>
      <c r="S180" s="132"/>
      <c r="T180" s="132"/>
      <c r="U180" s="132"/>
      <c r="V180" s="132"/>
      <c r="W180" s="132"/>
      <c r="X180" s="132"/>
      <c r="Y180" s="132"/>
      <c r="Z180" s="132"/>
      <c r="AA180" s="132"/>
      <c r="AB180" s="132"/>
      <c r="AC180" s="132"/>
    </row>
    <row r="181" ht="24.75" hidden="1" customHeight="1" outlineLevel="1">
      <c r="A181" s="549">
        <v>44688.0</v>
      </c>
      <c r="B181" s="527" t="s">
        <v>1210</v>
      </c>
      <c r="C181" s="511" t="s">
        <v>1299</v>
      </c>
      <c r="D181" s="511" t="s">
        <v>1342</v>
      </c>
      <c r="E181" s="36" t="s">
        <v>1203</v>
      </c>
      <c r="F181" s="175"/>
      <c r="G181" s="175"/>
      <c r="H181" s="175" t="s">
        <v>1343</v>
      </c>
      <c r="I181" s="132"/>
      <c r="J181" s="132"/>
      <c r="K181" s="132"/>
      <c r="L181" s="132"/>
      <c r="M181" s="132"/>
      <c r="N181" s="132"/>
      <c r="O181" s="132"/>
      <c r="P181" s="132"/>
      <c r="Q181" s="132"/>
      <c r="R181" s="132"/>
      <c r="S181" s="132"/>
      <c r="T181" s="132"/>
      <c r="U181" s="132"/>
      <c r="V181" s="132"/>
      <c r="W181" s="132"/>
      <c r="X181" s="132"/>
      <c r="Y181" s="132"/>
      <c r="Z181" s="132"/>
      <c r="AA181" s="132"/>
      <c r="AB181" s="132"/>
      <c r="AC181" s="132"/>
    </row>
    <row r="182" ht="24.75" hidden="1" customHeight="1" outlineLevel="1">
      <c r="A182" s="549">
        <v>44688.0</v>
      </c>
      <c r="B182" s="527" t="s">
        <v>1213</v>
      </c>
      <c r="C182" s="511" t="s">
        <v>1302</v>
      </c>
      <c r="D182" s="511" t="s">
        <v>1344</v>
      </c>
      <c r="E182" s="36" t="s">
        <v>1203</v>
      </c>
      <c r="F182" s="132"/>
      <c r="G182" s="132"/>
      <c r="H182" s="132"/>
      <c r="I182" s="132"/>
      <c r="J182" s="132"/>
      <c r="K182" s="132"/>
      <c r="L182" s="132"/>
      <c r="M182" s="132"/>
      <c r="N182" s="132"/>
      <c r="O182" s="132"/>
      <c r="P182" s="132"/>
      <c r="Q182" s="132"/>
      <c r="R182" s="132"/>
      <c r="S182" s="132"/>
      <c r="T182" s="132"/>
      <c r="U182" s="132"/>
      <c r="V182" s="132"/>
      <c r="W182" s="132"/>
      <c r="X182" s="132"/>
      <c r="Y182" s="132"/>
      <c r="Z182" s="132"/>
      <c r="AA182" s="132"/>
      <c r="AB182" s="132"/>
      <c r="AC182" s="132"/>
    </row>
    <row r="183" ht="24.75" hidden="1" customHeight="1" outlineLevel="1">
      <c r="A183" s="549">
        <v>44688.0</v>
      </c>
      <c r="B183" s="507" t="s">
        <v>1209</v>
      </c>
      <c r="C183" s="511" t="s">
        <v>1233</v>
      </c>
      <c r="D183" s="550" t="s">
        <v>1345</v>
      </c>
      <c r="E183" s="525" t="s">
        <v>1235</v>
      </c>
      <c r="F183" s="132"/>
      <c r="G183" s="132"/>
      <c r="H183" s="132"/>
      <c r="I183" s="132"/>
      <c r="J183" s="132"/>
      <c r="K183" s="132"/>
      <c r="L183" s="132"/>
      <c r="M183" s="132"/>
      <c r="N183" s="132"/>
      <c r="O183" s="132"/>
      <c r="P183" s="132"/>
      <c r="Q183" s="132"/>
      <c r="R183" s="132"/>
      <c r="S183" s="132"/>
      <c r="T183" s="132"/>
      <c r="U183" s="132"/>
      <c r="V183" s="132"/>
      <c r="W183" s="132"/>
      <c r="X183" s="132"/>
      <c r="Y183" s="132"/>
      <c r="Z183" s="132"/>
      <c r="AA183" s="132"/>
      <c r="AB183" s="132"/>
      <c r="AC183" s="132"/>
    </row>
    <row r="184" ht="24.75" hidden="1" customHeight="1" outlineLevel="1">
      <c r="A184" s="549">
        <v>44689.0</v>
      </c>
      <c r="B184" s="527" t="s">
        <v>1187</v>
      </c>
      <c r="C184" s="511" t="s">
        <v>1305</v>
      </c>
      <c r="D184" s="511" t="s">
        <v>1346</v>
      </c>
      <c r="E184" s="36" t="s">
        <v>1203</v>
      </c>
      <c r="F184" s="132"/>
      <c r="G184" s="132"/>
      <c r="H184" s="132"/>
      <c r="I184" s="132"/>
      <c r="J184" s="132"/>
      <c r="K184" s="132"/>
      <c r="L184" s="132"/>
      <c r="M184" s="132"/>
      <c r="N184" s="132"/>
      <c r="O184" s="132"/>
      <c r="P184" s="132"/>
      <c r="Q184" s="132"/>
      <c r="R184" s="132"/>
      <c r="S184" s="132"/>
      <c r="T184" s="132"/>
      <c r="U184" s="132"/>
      <c r="V184" s="132"/>
      <c r="W184" s="132"/>
      <c r="X184" s="132"/>
      <c r="Y184" s="132"/>
      <c r="Z184" s="132"/>
      <c r="AA184" s="132"/>
      <c r="AB184" s="132"/>
      <c r="AC184" s="132"/>
    </row>
    <row r="185" ht="24.75" hidden="1" customHeight="1" outlineLevel="1">
      <c r="A185" s="549">
        <v>44689.0</v>
      </c>
      <c r="B185" s="527" t="s">
        <v>1189</v>
      </c>
      <c r="C185" s="511" t="s">
        <v>1259</v>
      </c>
      <c r="D185" s="511" t="s">
        <v>1347</v>
      </c>
      <c r="E185" s="36" t="s">
        <v>1203</v>
      </c>
      <c r="F185" s="175"/>
      <c r="G185" s="175"/>
      <c r="H185" s="175"/>
      <c r="I185" s="132"/>
      <c r="J185" s="132"/>
      <c r="K185" s="132"/>
      <c r="L185" s="132"/>
      <c r="M185" s="132"/>
      <c r="N185" s="132"/>
      <c r="O185" s="132"/>
      <c r="P185" s="132"/>
      <c r="Q185" s="132"/>
      <c r="R185" s="132"/>
      <c r="S185" s="132"/>
      <c r="T185" s="132"/>
      <c r="U185" s="132"/>
      <c r="V185" s="132"/>
      <c r="W185" s="132"/>
      <c r="X185" s="132"/>
      <c r="Y185" s="132"/>
      <c r="Z185" s="132"/>
      <c r="AA185" s="132"/>
      <c r="AB185" s="132"/>
      <c r="AC185" s="132"/>
    </row>
    <row r="186" ht="24.75" hidden="1" customHeight="1" outlineLevel="1">
      <c r="A186" s="549">
        <v>44689.0</v>
      </c>
      <c r="B186" s="529" t="s">
        <v>1246</v>
      </c>
      <c r="C186" s="507" t="s">
        <v>1348</v>
      </c>
      <c r="D186" s="531" t="s">
        <v>1349</v>
      </c>
      <c r="E186" s="36" t="s">
        <v>1203</v>
      </c>
      <c r="F186" s="175"/>
      <c r="G186" s="175"/>
      <c r="H186" s="175" t="s">
        <v>1350</v>
      </c>
      <c r="I186" s="175"/>
      <c r="J186" s="132"/>
      <c r="K186" s="132"/>
      <c r="L186" s="132"/>
      <c r="M186" s="132"/>
      <c r="N186" s="132"/>
      <c r="O186" s="132"/>
      <c r="P186" s="132"/>
      <c r="Q186" s="132"/>
      <c r="R186" s="132"/>
      <c r="S186" s="132"/>
      <c r="T186" s="132"/>
      <c r="U186" s="132"/>
      <c r="V186" s="132"/>
      <c r="W186" s="132"/>
      <c r="X186" s="132"/>
      <c r="Y186" s="132"/>
      <c r="Z186" s="132"/>
      <c r="AA186" s="132"/>
      <c r="AB186" s="132"/>
      <c r="AC186" s="132"/>
    </row>
    <row r="187" ht="24.75" hidden="1" customHeight="1" outlineLevel="1">
      <c r="A187" s="549">
        <v>44690.0</v>
      </c>
      <c r="B187" s="530" t="s">
        <v>1215</v>
      </c>
      <c r="C187" s="531" t="s">
        <v>1311</v>
      </c>
      <c r="D187" s="511" t="s">
        <v>1347</v>
      </c>
      <c r="E187" s="36" t="s">
        <v>1203</v>
      </c>
      <c r="F187" s="132"/>
      <c r="G187" s="132"/>
      <c r="H187" s="132"/>
      <c r="I187" s="132"/>
      <c r="J187" s="132"/>
      <c r="K187" s="132"/>
      <c r="L187" s="132"/>
      <c r="M187" s="132"/>
      <c r="N187" s="132"/>
      <c r="O187" s="132"/>
      <c r="P187" s="132"/>
      <c r="Q187" s="132"/>
      <c r="R187" s="132"/>
      <c r="S187" s="132"/>
      <c r="T187" s="132"/>
      <c r="U187" s="132"/>
      <c r="V187" s="132"/>
      <c r="W187" s="132"/>
      <c r="X187" s="132"/>
      <c r="Y187" s="132"/>
      <c r="Z187" s="132"/>
      <c r="AA187" s="132"/>
      <c r="AB187" s="132"/>
      <c r="AC187" s="132"/>
    </row>
    <row r="188" ht="39.75" hidden="1" customHeight="1" outlineLevel="1">
      <c r="A188" s="549">
        <v>44690.0</v>
      </c>
      <c r="B188" s="523" t="s">
        <v>1217</v>
      </c>
      <c r="C188" s="531" t="s">
        <v>1312</v>
      </c>
      <c r="D188" s="531" t="s">
        <v>1351</v>
      </c>
      <c r="E188" s="36" t="s">
        <v>1203</v>
      </c>
      <c r="F188" s="175"/>
      <c r="G188" s="175"/>
      <c r="H188" s="175" t="s">
        <v>1240</v>
      </c>
      <c r="I188" s="132"/>
      <c r="J188" s="132"/>
      <c r="K188" s="132"/>
      <c r="L188" s="132"/>
      <c r="M188" s="132"/>
      <c r="N188" s="132"/>
      <c r="O188" s="132"/>
      <c r="P188" s="132"/>
      <c r="Q188" s="132"/>
      <c r="R188" s="132"/>
      <c r="S188" s="132"/>
      <c r="T188" s="132"/>
      <c r="U188" s="132"/>
      <c r="V188" s="132"/>
      <c r="W188" s="132"/>
      <c r="X188" s="132"/>
      <c r="Y188" s="132"/>
      <c r="Z188" s="132"/>
      <c r="AA188" s="132"/>
      <c r="AB188" s="132"/>
      <c r="AC188" s="132"/>
    </row>
    <row r="189" ht="24.75" hidden="1" customHeight="1" outlineLevel="1">
      <c r="A189" s="551">
        <v>44691.0</v>
      </c>
      <c r="B189" s="507" t="s">
        <v>1254</v>
      </c>
      <c r="C189" s="511" t="s">
        <v>1305</v>
      </c>
      <c r="D189" s="511" t="s">
        <v>1352</v>
      </c>
      <c r="E189" s="36" t="s">
        <v>1203</v>
      </c>
      <c r="F189" s="175"/>
      <c r="G189" s="175"/>
      <c r="H189" s="175" t="s">
        <v>1338</v>
      </c>
      <c r="I189" s="132"/>
      <c r="J189" s="132"/>
      <c r="K189" s="132"/>
      <c r="L189" s="132"/>
      <c r="M189" s="132"/>
      <c r="N189" s="132"/>
      <c r="O189" s="132"/>
      <c r="P189" s="132"/>
      <c r="Q189" s="132"/>
      <c r="R189" s="132"/>
      <c r="S189" s="132"/>
      <c r="T189" s="132"/>
      <c r="U189" s="132"/>
      <c r="V189" s="132"/>
      <c r="W189" s="132"/>
      <c r="X189" s="132"/>
      <c r="Y189" s="132"/>
      <c r="Z189" s="132"/>
      <c r="AA189" s="132"/>
      <c r="AB189" s="132"/>
      <c r="AC189" s="132"/>
    </row>
    <row r="190" ht="24.75" hidden="1" customHeight="1" outlineLevel="1">
      <c r="A190" s="551">
        <v>44692.0</v>
      </c>
      <c r="B190" s="507" t="s">
        <v>1261</v>
      </c>
      <c r="C190" s="511" t="s">
        <v>1305</v>
      </c>
      <c r="D190" s="511" t="s">
        <v>1352</v>
      </c>
      <c r="E190" s="36" t="s">
        <v>1203</v>
      </c>
      <c r="F190" s="175"/>
      <c r="G190" s="175"/>
      <c r="H190" s="175" t="s">
        <v>1338</v>
      </c>
      <c r="I190" s="132"/>
      <c r="J190" s="132"/>
      <c r="K190" s="132"/>
      <c r="L190" s="132"/>
      <c r="M190" s="132"/>
      <c r="N190" s="132"/>
      <c r="O190" s="132"/>
      <c r="P190" s="132"/>
      <c r="Q190" s="132"/>
      <c r="R190" s="132"/>
      <c r="S190" s="132"/>
      <c r="T190" s="132"/>
      <c r="U190" s="132"/>
      <c r="V190" s="132"/>
      <c r="W190" s="132"/>
      <c r="X190" s="132"/>
      <c r="Y190" s="132"/>
      <c r="Z190" s="132"/>
      <c r="AA190" s="132"/>
      <c r="AB190" s="132"/>
      <c r="AC190" s="132"/>
    </row>
    <row r="191" ht="24.75" hidden="1" customHeight="1" outlineLevel="1">
      <c r="A191" s="551">
        <v>44693.0</v>
      </c>
      <c r="B191" s="507" t="s">
        <v>1263</v>
      </c>
      <c r="C191" s="511" t="s">
        <v>1305</v>
      </c>
      <c r="D191" s="511" t="s">
        <v>1352</v>
      </c>
      <c r="E191" s="36" t="s">
        <v>1203</v>
      </c>
      <c r="F191" s="175"/>
      <c r="G191" s="175"/>
      <c r="H191" s="175" t="s">
        <v>1338</v>
      </c>
      <c r="I191" s="132"/>
      <c r="J191" s="132"/>
      <c r="K191" s="132"/>
      <c r="L191" s="132"/>
      <c r="M191" s="132"/>
      <c r="N191" s="132"/>
      <c r="O191" s="132"/>
      <c r="P191" s="132"/>
      <c r="Q191" s="132"/>
      <c r="R191" s="132"/>
      <c r="S191" s="132"/>
      <c r="T191" s="132"/>
      <c r="U191" s="132"/>
      <c r="V191" s="132"/>
      <c r="W191" s="132"/>
      <c r="X191" s="132"/>
      <c r="Y191" s="132"/>
      <c r="Z191" s="132"/>
      <c r="AA191" s="132"/>
      <c r="AB191" s="132"/>
      <c r="AC191" s="132"/>
    </row>
    <row r="192" ht="24.75" customHeight="1">
      <c r="A192" s="132"/>
      <c r="B192" s="132"/>
      <c r="C192" s="132"/>
      <c r="D192" s="132"/>
      <c r="E192" s="496"/>
      <c r="F192" s="132"/>
      <c r="G192" s="132"/>
      <c r="H192" s="132"/>
      <c r="I192" s="132"/>
      <c r="J192" s="132"/>
      <c r="K192" s="132"/>
      <c r="L192" s="132"/>
      <c r="M192" s="132"/>
      <c r="N192" s="132"/>
      <c r="O192" s="132"/>
      <c r="P192" s="132"/>
      <c r="Q192" s="132"/>
      <c r="R192" s="132"/>
      <c r="S192" s="132"/>
      <c r="T192" s="132"/>
      <c r="U192" s="132"/>
      <c r="V192" s="132"/>
      <c r="W192" s="132"/>
      <c r="X192" s="132"/>
      <c r="Y192" s="132"/>
      <c r="Z192" s="132"/>
      <c r="AA192" s="132"/>
      <c r="AB192" s="132"/>
      <c r="AC192" s="132"/>
    </row>
    <row r="193" ht="24.75" customHeight="1" collapsed="1">
      <c r="A193" s="532" t="s">
        <v>1353</v>
      </c>
      <c r="B193" s="273"/>
      <c r="C193" s="273"/>
      <c r="D193" s="273"/>
      <c r="E193" s="273"/>
      <c r="F193" s="132"/>
      <c r="G193" s="132"/>
      <c r="H193" s="132"/>
      <c r="I193" s="132"/>
      <c r="J193" s="132"/>
      <c r="K193" s="132"/>
      <c r="L193" s="132"/>
      <c r="M193" s="132"/>
      <c r="N193" s="132"/>
      <c r="O193" s="132"/>
      <c r="P193" s="132"/>
      <c r="Q193" s="132"/>
      <c r="R193" s="132"/>
      <c r="S193" s="132"/>
      <c r="T193" s="132"/>
      <c r="U193" s="132"/>
      <c r="V193" s="132"/>
      <c r="W193" s="132"/>
      <c r="X193" s="132"/>
      <c r="Y193" s="132"/>
      <c r="Z193" s="132"/>
      <c r="AA193" s="132"/>
      <c r="AB193" s="132"/>
      <c r="AC193" s="132"/>
    </row>
    <row r="194" ht="24.75" hidden="1" customHeight="1" outlineLevel="1">
      <c r="A194" s="533" t="s">
        <v>1166</v>
      </c>
      <c r="B194" s="534" t="s">
        <v>1117</v>
      </c>
      <c r="C194" s="534" t="s">
        <v>1167</v>
      </c>
      <c r="D194" s="534" t="s">
        <v>1168</v>
      </c>
      <c r="E194" s="534" t="s">
        <v>1169</v>
      </c>
      <c r="F194" s="132"/>
      <c r="G194" s="132"/>
      <c r="H194" s="132"/>
      <c r="I194" s="132"/>
      <c r="J194" s="132"/>
      <c r="K194" s="132"/>
      <c r="L194" s="132"/>
      <c r="M194" s="132"/>
      <c r="N194" s="132"/>
      <c r="O194" s="132"/>
      <c r="P194" s="132"/>
      <c r="Q194" s="132"/>
      <c r="R194" s="132"/>
      <c r="S194" s="132"/>
      <c r="T194" s="132"/>
      <c r="U194" s="132"/>
      <c r="V194" s="132"/>
      <c r="W194" s="132"/>
      <c r="X194" s="132"/>
      <c r="Y194" s="132"/>
      <c r="Z194" s="132"/>
      <c r="AA194" s="132"/>
      <c r="AB194" s="132"/>
      <c r="AC194" s="132"/>
    </row>
    <row r="195" ht="24.75" hidden="1" customHeight="1" outlineLevel="1">
      <c r="A195" s="504">
        <v>44760.0</v>
      </c>
      <c r="B195" s="507" t="s">
        <v>1249</v>
      </c>
      <c r="C195" s="526" t="s">
        <v>1311</v>
      </c>
      <c r="D195" s="506" t="s">
        <v>1354</v>
      </c>
      <c r="E195" s="36" t="s">
        <v>1235</v>
      </c>
      <c r="F195" s="175"/>
      <c r="G195" s="175"/>
      <c r="H195" s="175" t="s">
        <v>1355</v>
      </c>
      <c r="I195" s="132"/>
      <c r="J195" s="132"/>
      <c r="K195" s="132"/>
      <c r="L195" s="132"/>
      <c r="M195" s="132"/>
      <c r="N195" s="132"/>
      <c r="O195" s="132"/>
      <c r="P195" s="132"/>
      <c r="Q195" s="132"/>
      <c r="R195" s="132"/>
      <c r="S195" s="132"/>
      <c r="T195" s="132"/>
      <c r="U195" s="132"/>
      <c r="V195" s="132"/>
      <c r="W195" s="132"/>
      <c r="X195" s="132"/>
      <c r="Y195" s="132"/>
      <c r="Z195" s="132"/>
      <c r="AA195" s="132"/>
      <c r="AB195" s="132"/>
      <c r="AC195" s="132"/>
    </row>
    <row r="196" ht="24.75" hidden="1" customHeight="1" outlineLevel="1">
      <c r="A196" s="504">
        <v>44760.0</v>
      </c>
      <c r="B196" s="507" t="s">
        <v>629</v>
      </c>
      <c r="C196" s="507" t="s">
        <v>1233</v>
      </c>
      <c r="D196" s="507" t="s">
        <v>1319</v>
      </c>
      <c r="E196" s="36" t="s">
        <v>1235</v>
      </c>
      <c r="F196" s="175"/>
      <c r="G196" s="175"/>
      <c r="H196" s="175" t="s">
        <v>1320</v>
      </c>
      <c r="I196" s="132"/>
      <c r="J196" s="132"/>
      <c r="K196" s="132"/>
      <c r="L196" s="132"/>
      <c r="M196" s="132"/>
      <c r="N196" s="132"/>
      <c r="O196" s="132"/>
      <c r="P196" s="132"/>
      <c r="Q196" s="132"/>
      <c r="R196" s="132"/>
      <c r="S196" s="132"/>
      <c r="T196" s="132"/>
      <c r="U196" s="132"/>
      <c r="V196" s="132"/>
      <c r="W196" s="132"/>
      <c r="X196" s="132"/>
      <c r="Y196" s="132"/>
      <c r="Z196" s="132"/>
      <c r="AA196" s="132"/>
      <c r="AB196" s="132"/>
      <c r="AC196" s="132"/>
    </row>
    <row r="197" ht="24.75" hidden="1" customHeight="1" outlineLevel="1">
      <c r="A197" s="504">
        <v>44760.0</v>
      </c>
      <c r="B197" s="523" t="s">
        <v>1217</v>
      </c>
      <c r="C197" s="531" t="s">
        <v>1312</v>
      </c>
      <c r="D197" s="506" t="s">
        <v>1354</v>
      </c>
      <c r="E197" s="36" t="s">
        <v>1235</v>
      </c>
      <c r="F197" s="175"/>
      <c r="G197" s="175"/>
      <c r="H197" s="175" t="s">
        <v>1240</v>
      </c>
      <c r="I197" s="132"/>
      <c r="J197" s="132"/>
      <c r="K197" s="132"/>
      <c r="L197" s="132"/>
      <c r="M197" s="132"/>
      <c r="N197" s="132"/>
      <c r="O197" s="132"/>
      <c r="P197" s="132"/>
      <c r="Q197" s="132"/>
      <c r="R197" s="132"/>
      <c r="S197" s="132"/>
      <c r="T197" s="132"/>
      <c r="U197" s="132"/>
      <c r="V197" s="132"/>
      <c r="W197" s="132"/>
      <c r="X197" s="132"/>
      <c r="Y197" s="132"/>
      <c r="Z197" s="132"/>
      <c r="AA197" s="132"/>
      <c r="AB197" s="132"/>
      <c r="AC197" s="132"/>
    </row>
    <row r="198" ht="24.75" hidden="1" customHeight="1" outlineLevel="1">
      <c r="A198" s="504">
        <v>44761.0</v>
      </c>
      <c r="B198" s="507" t="s">
        <v>1356</v>
      </c>
      <c r="C198" s="507" t="s">
        <v>1233</v>
      </c>
      <c r="D198" s="507" t="s">
        <v>1319</v>
      </c>
      <c r="E198" s="36" t="s">
        <v>1235</v>
      </c>
      <c r="F198" s="132"/>
      <c r="G198" s="132"/>
      <c r="H198" s="132"/>
      <c r="I198" s="132"/>
      <c r="J198" s="132"/>
      <c r="K198" s="132"/>
      <c r="L198" s="132"/>
      <c r="M198" s="132"/>
      <c r="N198" s="132"/>
      <c r="O198" s="132"/>
      <c r="P198" s="132"/>
      <c r="Q198" s="132"/>
      <c r="R198" s="132"/>
      <c r="S198" s="132"/>
      <c r="T198" s="132"/>
      <c r="U198" s="132"/>
      <c r="V198" s="132"/>
      <c r="W198" s="132"/>
      <c r="X198" s="132"/>
      <c r="Y198" s="132"/>
      <c r="Z198" s="132"/>
      <c r="AA198" s="132"/>
      <c r="AB198" s="132"/>
      <c r="AC198" s="132"/>
    </row>
    <row r="199" ht="24.75" hidden="1" customHeight="1" outlineLevel="1">
      <c r="A199" s="561">
        <v>44761.0</v>
      </c>
      <c r="B199" s="562" t="s">
        <v>1323</v>
      </c>
      <c r="C199" s="563" t="s">
        <v>1233</v>
      </c>
      <c r="D199" s="562" t="s">
        <v>1319</v>
      </c>
      <c r="E199" s="564" t="s">
        <v>1235</v>
      </c>
      <c r="F199" s="175"/>
      <c r="G199" s="175"/>
      <c r="H199" s="175" t="s">
        <v>1324</v>
      </c>
      <c r="I199" s="132"/>
      <c r="J199" s="132"/>
      <c r="K199" s="132"/>
      <c r="L199" s="132"/>
      <c r="M199" s="132"/>
      <c r="N199" s="132"/>
      <c r="O199" s="132"/>
      <c r="P199" s="132"/>
      <c r="Q199" s="132"/>
      <c r="R199" s="132"/>
      <c r="S199" s="132"/>
      <c r="T199" s="132"/>
      <c r="U199" s="132"/>
      <c r="V199" s="132"/>
      <c r="W199" s="132"/>
      <c r="X199" s="132"/>
      <c r="Y199" s="132"/>
      <c r="Z199" s="132"/>
      <c r="AA199" s="132"/>
      <c r="AB199" s="132"/>
      <c r="AC199" s="132"/>
    </row>
    <row r="200" ht="24.75" hidden="1" customHeight="1" outlineLevel="1">
      <c r="A200" s="504">
        <v>44761.0</v>
      </c>
      <c r="B200" s="527" t="s">
        <v>1187</v>
      </c>
      <c r="C200" s="511" t="s">
        <v>1305</v>
      </c>
      <c r="D200" s="507" t="s">
        <v>1319</v>
      </c>
      <c r="E200" s="525" t="s">
        <v>1235</v>
      </c>
      <c r="F200" s="132"/>
      <c r="G200" s="132"/>
      <c r="H200" s="132"/>
      <c r="I200" s="132"/>
      <c r="J200" s="132"/>
      <c r="K200" s="132"/>
      <c r="L200" s="132"/>
      <c r="M200" s="132"/>
      <c r="N200" s="132"/>
      <c r="O200" s="132"/>
      <c r="P200" s="132"/>
      <c r="Q200" s="132"/>
      <c r="R200" s="132"/>
      <c r="S200" s="132"/>
      <c r="T200" s="132"/>
      <c r="U200" s="132"/>
      <c r="V200" s="132"/>
      <c r="W200" s="132"/>
      <c r="X200" s="132"/>
      <c r="Y200" s="132"/>
      <c r="Z200" s="132"/>
      <c r="AA200" s="132"/>
      <c r="AB200" s="132"/>
      <c r="AC200" s="132"/>
    </row>
    <row r="201" ht="24.75" hidden="1" customHeight="1" outlineLevel="1">
      <c r="A201" s="561">
        <v>44761.0</v>
      </c>
      <c r="B201" s="562" t="s">
        <v>1325</v>
      </c>
      <c r="C201" s="563" t="s">
        <v>1233</v>
      </c>
      <c r="D201" s="562" t="s">
        <v>1319</v>
      </c>
      <c r="E201" s="564" t="s">
        <v>1235</v>
      </c>
      <c r="F201" s="175"/>
      <c r="G201" s="175"/>
      <c r="H201" s="175" t="s">
        <v>1326</v>
      </c>
      <c r="I201" s="132"/>
      <c r="J201" s="132"/>
      <c r="K201" s="132"/>
      <c r="L201" s="132"/>
      <c r="M201" s="132"/>
      <c r="N201" s="132"/>
      <c r="O201" s="132"/>
      <c r="P201" s="132"/>
      <c r="Q201" s="132"/>
      <c r="R201" s="132"/>
      <c r="S201" s="132"/>
      <c r="T201" s="132"/>
      <c r="U201" s="132"/>
      <c r="V201" s="132"/>
      <c r="W201" s="132"/>
      <c r="X201" s="132"/>
      <c r="Y201" s="132"/>
      <c r="Z201" s="132"/>
      <c r="AA201" s="132"/>
      <c r="AB201" s="132"/>
      <c r="AC201" s="132"/>
    </row>
    <row r="202" ht="24.75" customHeight="1">
      <c r="A202" s="132"/>
      <c r="B202" s="132"/>
      <c r="C202" s="132"/>
      <c r="D202" s="132"/>
      <c r="E202" s="496"/>
      <c r="F202" s="132"/>
      <c r="G202" s="132"/>
      <c r="H202" s="132"/>
      <c r="I202" s="132"/>
      <c r="J202" s="132"/>
      <c r="K202" s="132"/>
      <c r="L202" s="132"/>
      <c r="M202" s="132"/>
      <c r="N202" s="132"/>
      <c r="O202" s="132"/>
      <c r="P202" s="132"/>
      <c r="Q202" s="132"/>
      <c r="R202" s="132"/>
      <c r="S202" s="132"/>
      <c r="T202" s="132"/>
      <c r="U202" s="132"/>
      <c r="V202" s="132"/>
      <c r="W202" s="132"/>
      <c r="X202" s="132"/>
      <c r="Y202" s="132"/>
      <c r="Z202" s="132"/>
      <c r="AA202" s="132"/>
      <c r="AB202" s="132"/>
      <c r="AC202" s="132"/>
    </row>
    <row r="203" ht="24.75" customHeight="1" collapsed="1">
      <c r="A203" s="497" t="s">
        <v>1357</v>
      </c>
      <c r="B203" s="498"/>
      <c r="C203" s="498"/>
      <c r="D203" s="498"/>
      <c r="E203" s="498"/>
      <c r="F203" s="132"/>
      <c r="G203" s="132"/>
      <c r="H203" s="132"/>
      <c r="I203" s="132"/>
      <c r="J203" s="132"/>
      <c r="K203" s="132"/>
      <c r="L203" s="132"/>
      <c r="M203" s="132"/>
      <c r="N203" s="132"/>
      <c r="O203" s="132"/>
      <c r="P203" s="132"/>
      <c r="Q203" s="132"/>
      <c r="R203" s="132"/>
      <c r="S203" s="132"/>
      <c r="T203" s="132"/>
      <c r="U203" s="132"/>
      <c r="V203" s="132"/>
      <c r="W203" s="132"/>
      <c r="X203" s="132"/>
      <c r="Y203" s="132"/>
      <c r="Z203" s="132"/>
      <c r="AA203" s="132"/>
      <c r="AB203" s="132"/>
      <c r="AC203" s="132"/>
    </row>
    <row r="204" ht="24.75" hidden="1" customHeight="1" outlineLevel="1">
      <c r="A204" s="499" t="s">
        <v>1166</v>
      </c>
      <c r="B204" s="499" t="s">
        <v>1117</v>
      </c>
      <c r="C204" s="499" t="s">
        <v>1167</v>
      </c>
      <c r="D204" s="499" t="s">
        <v>1168</v>
      </c>
      <c r="E204" s="499" t="s">
        <v>1169</v>
      </c>
      <c r="F204" s="132"/>
      <c r="G204" s="132"/>
      <c r="H204" s="132"/>
      <c r="I204" s="175"/>
      <c r="J204" s="132"/>
      <c r="K204" s="132"/>
      <c r="L204" s="132"/>
      <c r="M204" s="132"/>
      <c r="N204" s="132"/>
      <c r="O204" s="132"/>
      <c r="P204" s="132"/>
      <c r="Q204" s="132"/>
      <c r="R204" s="132"/>
      <c r="S204" s="132"/>
      <c r="T204" s="132"/>
      <c r="U204" s="132"/>
      <c r="V204" s="132"/>
      <c r="W204" s="132"/>
      <c r="X204" s="132"/>
      <c r="Y204" s="132"/>
      <c r="Z204" s="132"/>
      <c r="AA204" s="132"/>
      <c r="AB204" s="132"/>
      <c r="AC204" s="132"/>
    </row>
    <row r="205" ht="24.75" hidden="1" customHeight="1" outlineLevel="1">
      <c r="A205" s="565">
        <v>44784.0</v>
      </c>
      <c r="B205" s="507" t="s">
        <v>1263</v>
      </c>
      <c r="C205" s="511" t="s">
        <v>1358</v>
      </c>
      <c r="D205" s="507" t="s">
        <v>1319</v>
      </c>
      <c r="E205" s="36" t="s">
        <v>1235</v>
      </c>
      <c r="F205" s="175"/>
      <c r="G205" s="175"/>
      <c r="H205" s="175"/>
      <c r="I205" s="175"/>
      <c r="J205" s="132"/>
      <c r="K205" s="132"/>
      <c r="L205" s="132"/>
      <c r="M205" s="132"/>
      <c r="N205" s="132"/>
      <c r="O205" s="132"/>
      <c r="P205" s="132"/>
      <c r="Q205" s="132"/>
      <c r="R205" s="132"/>
      <c r="S205" s="132"/>
      <c r="T205" s="132"/>
      <c r="U205" s="132"/>
      <c r="V205" s="132"/>
      <c r="W205" s="132"/>
      <c r="X205" s="132"/>
      <c r="Y205" s="132"/>
      <c r="Z205" s="132"/>
      <c r="AA205" s="132"/>
      <c r="AB205" s="132"/>
      <c r="AC205" s="132"/>
    </row>
    <row r="206" ht="24.75" hidden="1" customHeight="1" outlineLevel="1">
      <c r="A206" s="565">
        <v>44784.0</v>
      </c>
      <c r="B206" s="507" t="s">
        <v>1178</v>
      </c>
      <c r="C206" s="511" t="s">
        <v>536</v>
      </c>
      <c r="D206" s="507" t="s">
        <v>1319</v>
      </c>
      <c r="E206" s="36" t="s">
        <v>1235</v>
      </c>
      <c r="F206" s="132"/>
      <c r="G206" s="132"/>
      <c r="H206" s="132"/>
      <c r="I206" s="175" t="s">
        <v>1264</v>
      </c>
      <c r="J206" s="132"/>
      <c r="K206" s="132"/>
      <c r="L206" s="132"/>
      <c r="M206" s="132"/>
      <c r="N206" s="132"/>
      <c r="O206" s="132"/>
      <c r="P206" s="132"/>
      <c r="Q206" s="132"/>
      <c r="R206" s="132"/>
      <c r="S206" s="132"/>
      <c r="T206" s="132"/>
      <c r="U206" s="132"/>
      <c r="V206" s="132"/>
      <c r="W206" s="132"/>
      <c r="X206" s="132"/>
      <c r="Y206" s="132"/>
      <c r="Z206" s="132"/>
      <c r="AA206" s="132"/>
      <c r="AB206" s="132"/>
      <c r="AC206" s="132"/>
    </row>
    <row r="207" ht="39.0" hidden="1" customHeight="1" outlineLevel="1">
      <c r="A207" s="565">
        <v>44785.0</v>
      </c>
      <c r="B207" s="507" t="s">
        <v>1232</v>
      </c>
      <c r="C207" s="511" t="s">
        <v>1233</v>
      </c>
      <c r="D207" s="245" t="s">
        <v>1296</v>
      </c>
      <c r="E207" s="36" t="s">
        <v>1235</v>
      </c>
      <c r="F207" s="132"/>
      <c r="G207" s="132"/>
      <c r="H207" s="132"/>
      <c r="I207" s="132"/>
      <c r="J207" s="132"/>
      <c r="K207" s="132"/>
      <c r="L207" s="132"/>
      <c r="M207" s="132"/>
      <c r="N207" s="132"/>
      <c r="O207" s="132"/>
      <c r="P207" s="132"/>
      <c r="Q207" s="132"/>
      <c r="R207" s="132"/>
      <c r="S207" s="132"/>
      <c r="T207" s="132"/>
      <c r="U207" s="132"/>
      <c r="V207" s="132"/>
      <c r="W207" s="132"/>
      <c r="X207" s="132"/>
      <c r="Y207" s="132"/>
      <c r="Z207" s="132"/>
      <c r="AA207" s="132"/>
      <c r="AB207" s="132"/>
      <c r="AC207" s="132"/>
    </row>
    <row r="208" ht="24.75" hidden="1" customHeight="1" outlineLevel="1">
      <c r="A208" s="565">
        <v>44785.0</v>
      </c>
      <c r="B208" s="507" t="s">
        <v>1181</v>
      </c>
      <c r="C208" s="511" t="s">
        <v>1359</v>
      </c>
      <c r="D208" s="511" t="s">
        <v>1175</v>
      </c>
      <c r="E208" s="36" t="s">
        <v>1203</v>
      </c>
      <c r="F208" s="175"/>
      <c r="G208" s="175"/>
      <c r="H208" s="175"/>
      <c r="I208" s="175" t="s">
        <v>1360</v>
      </c>
      <c r="J208" s="132"/>
      <c r="K208" s="132"/>
      <c r="L208" s="132"/>
      <c r="M208" s="132"/>
      <c r="N208" s="132"/>
      <c r="O208" s="132"/>
      <c r="P208" s="132"/>
      <c r="Q208" s="132"/>
      <c r="R208" s="132"/>
      <c r="S208" s="132"/>
      <c r="T208" s="132"/>
      <c r="U208" s="132"/>
      <c r="V208" s="132"/>
      <c r="W208" s="132"/>
      <c r="X208" s="132"/>
      <c r="Y208" s="132"/>
      <c r="Z208" s="132"/>
      <c r="AA208" s="132"/>
      <c r="AB208" s="132"/>
      <c r="AC208" s="132"/>
    </row>
    <row r="209" ht="24.75" hidden="1" customHeight="1" outlineLevel="1">
      <c r="A209" s="565">
        <v>44786.0</v>
      </c>
      <c r="B209" s="566" t="s">
        <v>1238</v>
      </c>
      <c r="C209" s="567" t="s">
        <v>1259</v>
      </c>
      <c r="D209" s="567" t="s">
        <v>1175</v>
      </c>
      <c r="E209" s="36" t="s">
        <v>1203</v>
      </c>
      <c r="F209" s="132"/>
      <c r="G209" s="132"/>
      <c r="H209" s="132"/>
      <c r="I209" s="132"/>
      <c r="J209" s="132"/>
      <c r="K209" s="132"/>
      <c r="L209" s="132"/>
      <c r="M209" s="132"/>
      <c r="N209" s="132"/>
      <c r="O209" s="132"/>
      <c r="P209" s="132"/>
      <c r="Q209" s="132"/>
      <c r="R209" s="132"/>
      <c r="S209" s="132"/>
      <c r="T209" s="132"/>
      <c r="U209" s="132"/>
      <c r="V209" s="132"/>
      <c r="W209" s="132"/>
      <c r="X209" s="132"/>
      <c r="Y209" s="132"/>
      <c r="Z209" s="132"/>
      <c r="AA209" s="132"/>
      <c r="AB209" s="132"/>
      <c r="AC209" s="132"/>
    </row>
    <row r="210" ht="24.75" hidden="1" customHeight="1" outlineLevel="1">
      <c r="A210" s="565">
        <v>44786.0</v>
      </c>
      <c r="B210" s="566" t="s">
        <v>1210</v>
      </c>
      <c r="C210" s="567" t="s">
        <v>1361</v>
      </c>
      <c r="D210" s="567" t="s">
        <v>1362</v>
      </c>
      <c r="E210" s="36" t="s">
        <v>1203</v>
      </c>
      <c r="F210" s="175"/>
      <c r="G210" s="175"/>
      <c r="H210" s="175" t="s">
        <v>1363</v>
      </c>
      <c r="I210" s="175"/>
      <c r="J210" s="132"/>
      <c r="K210" s="132"/>
      <c r="L210" s="132"/>
      <c r="M210" s="132"/>
      <c r="N210" s="132"/>
      <c r="O210" s="132"/>
      <c r="P210" s="132"/>
      <c r="Q210" s="132"/>
      <c r="R210" s="132"/>
      <c r="S210" s="132"/>
      <c r="T210" s="132"/>
      <c r="U210" s="132"/>
      <c r="V210" s="132"/>
      <c r="W210" s="132"/>
      <c r="X210" s="132"/>
      <c r="Y210" s="132"/>
      <c r="Z210" s="132"/>
      <c r="AA210" s="132"/>
      <c r="AB210" s="132"/>
      <c r="AC210" s="132"/>
    </row>
    <row r="211" ht="24.75" hidden="1" customHeight="1" outlineLevel="1">
      <c r="A211" s="565">
        <v>44786.0</v>
      </c>
      <c r="B211" s="566" t="s">
        <v>1213</v>
      </c>
      <c r="C211" s="567" t="s">
        <v>1302</v>
      </c>
      <c r="D211" s="567" t="s">
        <v>1175</v>
      </c>
      <c r="E211" s="36" t="s">
        <v>1203</v>
      </c>
      <c r="F211" s="132"/>
      <c r="G211" s="132"/>
      <c r="H211" s="132"/>
      <c r="I211" s="132"/>
      <c r="J211" s="132"/>
      <c r="K211" s="132"/>
      <c r="L211" s="132"/>
      <c r="M211" s="132"/>
      <c r="N211" s="132"/>
      <c r="O211" s="132"/>
      <c r="P211" s="132"/>
      <c r="Q211" s="132"/>
      <c r="R211" s="132"/>
      <c r="S211" s="132"/>
      <c r="T211" s="132"/>
      <c r="U211" s="132"/>
      <c r="V211" s="132"/>
      <c r="W211" s="132"/>
      <c r="X211" s="132"/>
      <c r="Y211" s="132"/>
      <c r="Z211" s="132"/>
      <c r="AA211" s="132"/>
      <c r="AB211" s="132"/>
      <c r="AC211" s="132"/>
    </row>
    <row r="212" ht="24.75" hidden="1" customHeight="1" outlineLevel="1">
      <c r="A212" s="565">
        <v>44786.0</v>
      </c>
      <c r="B212" s="507" t="s">
        <v>1209</v>
      </c>
      <c r="C212" s="511" t="s">
        <v>1233</v>
      </c>
      <c r="D212" s="511" t="s">
        <v>1242</v>
      </c>
      <c r="E212" s="36" t="s">
        <v>1235</v>
      </c>
      <c r="I212" s="132"/>
      <c r="J212" s="132"/>
      <c r="K212" s="132"/>
      <c r="L212" s="132"/>
      <c r="M212" s="132"/>
      <c r="N212" s="132"/>
      <c r="O212" s="132"/>
      <c r="P212" s="132"/>
      <c r="Q212" s="132"/>
      <c r="R212" s="132"/>
      <c r="S212" s="132"/>
      <c r="T212" s="132"/>
      <c r="U212" s="132"/>
      <c r="V212" s="132"/>
      <c r="W212" s="132"/>
      <c r="X212" s="132"/>
      <c r="Y212" s="132"/>
      <c r="Z212" s="132"/>
      <c r="AA212" s="132"/>
      <c r="AB212" s="132"/>
      <c r="AC212" s="132"/>
    </row>
    <row r="213" ht="24.75" hidden="1" customHeight="1" outlineLevel="1">
      <c r="A213" s="565">
        <v>44787.0</v>
      </c>
      <c r="B213" s="566" t="s">
        <v>1187</v>
      </c>
      <c r="C213" s="567" t="s">
        <v>1364</v>
      </c>
      <c r="D213" s="567" t="s">
        <v>1365</v>
      </c>
      <c r="E213" s="36" t="s">
        <v>1203</v>
      </c>
      <c r="I213" s="175" t="s">
        <v>1256</v>
      </c>
      <c r="J213" s="132"/>
      <c r="K213" s="132"/>
      <c r="L213" s="132"/>
      <c r="M213" s="132"/>
      <c r="N213" s="132"/>
      <c r="O213" s="132"/>
      <c r="P213" s="132"/>
      <c r="Q213" s="132"/>
      <c r="R213" s="132"/>
      <c r="S213" s="132"/>
      <c r="T213" s="132"/>
      <c r="U213" s="132"/>
      <c r="V213" s="132"/>
      <c r="W213" s="132"/>
      <c r="X213" s="132"/>
      <c r="Y213" s="132"/>
      <c r="Z213" s="132"/>
      <c r="AA213" s="132"/>
      <c r="AB213" s="132"/>
      <c r="AC213" s="132"/>
    </row>
    <row r="214" ht="24.75" hidden="1" customHeight="1" outlineLevel="1">
      <c r="A214" s="565">
        <v>44787.0</v>
      </c>
      <c r="B214" s="566" t="s">
        <v>1189</v>
      </c>
      <c r="C214" s="567" t="s">
        <v>1259</v>
      </c>
      <c r="D214" s="567" t="s">
        <v>1175</v>
      </c>
      <c r="E214" s="36" t="s">
        <v>1203</v>
      </c>
      <c r="I214" s="175" t="s">
        <v>1270</v>
      </c>
      <c r="J214" s="132"/>
      <c r="K214" s="132"/>
      <c r="L214" s="132"/>
      <c r="M214" s="132"/>
      <c r="N214" s="132"/>
      <c r="O214" s="132"/>
      <c r="P214" s="132"/>
      <c r="Q214" s="132"/>
      <c r="R214" s="132"/>
      <c r="S214" s="132"/>
      <c r="T214" s="132"/>
      <c r="U214" s="132"/>
      <c r="V214" s="132"/>
      <c r="W214" s="132"/>
      <c r="X214" s="132"/>
      <c r="Y214" s="132"/>
      <c r="Z214" s="132"/>
      <c r="AA214" s="132"/>
      <c r="AB214" s="132"/>
      <c r="AC214" s="132"/>
    </row>
    <row r="215" ht="24.75" hidden="1" customHeight="1" outlineLevel="1">
      <c r="A215" s="565">
        <v>44787.0</v>
      </c>
      <c r="B215" s="566" t="s">
        <v>1246</v>
      </c>
      <c r="C215" s="567" t="s">
        <v>1348</v>
      </c>
      <c r="D215" s="567" t="s">
        <v>1366</v>
      </c>
      <c r="E215" s="36" t="s">
        <v>1203</v>
      </c>
      <c r="F215" s="175"/>
      <c r="G215" s="175"/>
      <c r="H215" s="175"/>
      <c r="I215" s="132"/>
      <c r="J215" s="132"/>
      <c r="K215" s="132"/>
      <c r="L215" s="132"/>
      <c r="M215" s="132"/>
      <c r="N215" s="132"/>
      <c r="O215" s="132"/>
      <c r="P215" s="132"/>
      <c r="Q215" s="132"/>
      <c r="R215" s="132"/>
      <c r="S215" s="132"/>
      <c r="T215" s="132"/>
      <c r="U215" s="132"/>
      <c r="V215" s="132"/>
      <c r="W215" s="132"/>
      <c r="X215" s="132"/>
      <c r="Y215" s="132"/>
      <c r="Z215" s="132"/>
      <c r="AA215" s="132"/>
      <c r="AB215" s="132"/>
      <c r="AC215" s="132"/>
    </row>
    <row r="216" ht="24.75" hidden="1" customHeight="1" outlineLevel="1">
      <c r="A216" s="565">
        <v>44788.0</v>
      </c>
      <c r="B216" s="566" t="s">
        <v>1249</v>
      </c>
      <c r="C216" s="567" t="s">
        <v>1302</v>
      </c>
      <c r="D216" s="567" t="s">
        <v>1252</v>
      </c>
      <c r="E216" s="36" t="s">
        <v>1203</v>
      </c>
      <c r="F216" s="175"/>
      <c r="G216" s="175"/>
      <c r="H216" s="175"/>
      <c r="I216" s="132"/>
      <c r="J216" s="132"/>
      <c r="K216" s="132"/>
      <c r="L216" s="132"/>
      <c r="M216" s="132"/>
      <c r="N216" s="132"/>
      <c r="O216" s="132"/>
      <c r="P216" s="132"/>
      <c r="Q216" s="132"/>
      <c r="R216" s="132"/>
      <c r="S216" s="132"/>
      <c r="T216" s="132"/>
      <c r="U216" s="132"/>
      <c r="V216" s="132"/>
      <c r="W216" s="132"/>
      <c r="X216" s="132"/>
      <c r="Y216" s="132"/>
      <c r="Z216" s="132"/>
      <c r="AA216" s="132"/>
      <c r="AB216" s="132"/>
      <c r="AC216" s="132"/>
    </row>
    <row r="217" ht="24.75" hidden="1" customHeight="1" outlineLevel="1">
      <c r="A217" s="565">
        <v>44788.0</v>
      </c>
      <c r="B217" s="507" t="s">
        <v>1271</v>
      </c>
      <c r="C217" s="531" t="s">
        <v>1367</v>
      </c>
      <c r="D217" s="511" t="s">
        <v>1175</v>
      </c>
      <c r="E217" s="36" t="s">
        <v>1203</v>
      </c>
      <c r="F217" s="175"/>
      <c r="G217" s="175"/>
      <c r="H217" s="175" t="s">
        <v>1368</v>
      </c>
      <c r="I217" s="175" t="s">
        <v>1273</v>
      </c>
      <c r="J217" s="132"/>
      <c r="K217" s="132"/>
      <c r="L217" s="132"/>
      <c r="M217" s="132"/>
      <c r="N217" s="132"/>
      <c r="O217" s="132"/>
      <c r="P217" s="132"/>
      <c r="Q217" s="132"/>
      <c r="R217" s="132"/>
      <c r="S217" s="132"/>
      <c r="T217" s="132"/>
      <c r="U217" s="132"/>
      <c r="V217" s="132"/>
      <c r="W217" s="132"/>
      <c r="X217" s="132"/>
      <c r="Y217" s="132"/>
      <c r="Z217" s="132"/>
      <c r="AA217" s="132"/>
      <c r="AB217" s="132"/>
      <c r="AC217" s="132"/>
    </row>
    <row r="218" ht="24.75" hidden="1" customHeight="1" outlineLevel="1">
      <c r="A218" s="565">
        <v>44788.0</v>
      </c>
      <c r="B218" s="507" t="s">
        <v>1274</v>
      </c>
      <c r="C218" s="531" t="s">
        <v>1367</v>
      </c>
      <c r="D218" s="511" t="s">
        <v>1175</v>
      </c>
      <c r="E218" s="36" t="s">
        <v>1203</v>
      </c>
      <c r="F218" s="175"/>
      <c r="G218" s="175"/>
      <c r="H218" s="175" t="s">
        <v>1368</v>
      </c>
      <c r="I218" s="175" t="s">
        <v>1273</v>
      </c>
      <c r="J218" s="132"/>
      <c r="K218" s="132"/>
      <c r="L218" s="132"/>
      <c r="M218" s="132"/>
      <c r="N218" s="132"/>
      <c r="O218" s="132"/>
      <c r="P218" s="132"/>
      <c r="Q218" s="132"/>
      <c r="R218" s="132"/>
      <c r="S218" s="132"/>
      <c r="T218" s="132"/>
      <c r="U218" s="132"/>
      <c r="V218" s="132"/>
      <c r="W218" s="132"/>
      <c r="X218" s="132"/>
      <c r="Y218" s="132"/>
      <c r="Z218" s="132"/>
      <c r="AA218" s="132"/>
      <c r="AB218" s="132"/>
      <c r="AC218" s="132"/>
    </row>
    <row r="219" ht="24.75" hidden="1" customHeight="1" outlineLevel="1">
      <c r="A219" s="565">
        <v>44788.0</v>
      </c>
      <c r="B219" s="507" t="s">
        <v>629</v>
      </c>
      <c r="C219" s="507" t="s">
        <v>1233</v>
      </c>
      <c r="D219" s="507" t="s">
        <v>1175</v>
      </c>
      <c r="E219" s="36" t="s">
        <v>1235</v>
      </c>
      <c r="F219" s="175"/>
      <c r="G219" s="175"/>
      <c r="H219" s="175" t="s">
        <v>1369</v>
      </c>
      <c r="I219" s="132"/>
      <c r="J219" s="132"/>
      <c r="K219" s="132"/>
      <c r="L219" s="132"/>
      <c r="M219" s="132"/>
      <c r="N219" s="132"/>
      <c r="O219" s="132"/>
      <c r="P219" s="132"/>
      <c r="Q219" s="132"/>
      <c r="R219" s="132"/>
      <c r="S219" s="132"/>
      <c r="T219" s="132"/>
      <c r="U219" s="132"/>
      <c r="V219" s="132"/>
      <c r="W219" s="132"/>
      <c r="X219" s="132"/>
      <c r="Y219" s="132"/>
      <c r="Z219" s="132"/>
      <c r="AA219" s="132"/>
      <c r="AB219" s="132"/>
      <c r="AC219" s="132"/>
    </row>
    <row r="220" ht="39.0" hidden="1" customHeight="1" outlineLevel="1">
      <c r="A220" s="565">
        <v>44789.0</v>
      </c>
      <c r="B220" s="507" t="s">
        <v>1232</v>
      </c>
      <c r="C220" s="511" t="s">
        <v>1233</v>
      </c>
      <c r="D220" s="245" t="s">
        <v>1296</v>
      </c>
      <c r="E220" s="36" t="s">
        <v>1235</v>
      </c>
      <c r="F220" s="132"/>
      <c r="G220" s="132"/>
      <c r="H220" s="132"/>
      <c r="I220" s="132"/>
      <c r="J220" s="132"/>
      <c r="K220" s="132"/>
      <c r="L220" s="132"/>
      <c r="M220" s="132"/>
      <c r="N220" s="132"/>
      <c r="O220" s="132"/>
      <c r="P220" s="132"/>
      <c r="Q220" s="132"/>
      <c r="R220" s="132"/>
      <c r="S220" s="132"/>
      <c r="T220" s="132"/>
      <c r="U220" s="132"/>
      <c r="V220" s="132"/>
      <c r="W220" s="132"/>
      <c r="X220" s="132"/>
      <c r="Y220" s="132"/>
      <c r="Z220" s="132"/>
      <c r="AA220" s="132"/>
      <c r="AB220" s="132"/>
      <c r="AC220" s="132"/>
    </row>
    <row r="221" ht="24.75" hidden="1" customHeight="1" outlineLevel="1">
      <c r="A221" s="565">
        <v>44789.0</v>
      </c>
      <c r="B221" s="566" t="s">
        <v>1254</v>
      </c>
      <c r="C221" s="567" t="s">
        <v>1370</v>
      </c>
      <c r="D221" s="567" t="s">
        <v>1371</v>
      </c>
      <c r="E221" s="36" t="s">
        <v>1203</v>
      </c>
      <c r="F221" s="132"/>
      <c r="G221" s="132"/>
      <c r="H221" s="132"/>
      <c r="I221" s="132"/>
      <c r="J221" s="132"/>
      <c r="K221" s="132"/>
      <c r="L221" s="132"/>
      <c r="M221" s="132"/>
      <c r="N221" s="132"/>
      <c r="O221" s="132"/>
      <c r="P221" s="132"/>
      <c r="Q221" s="132"/>
      <c r="R221" s="132"/>
      <c r="S221" s="132"/>
      <c r="T221" s="132"/>
      <c r="U221" s="132"/>
      <c r="V221" s="132"/>
      <c r="W221" s="132"/>
      <c r="X221" s="132"/>
      <c r="Y221" s="132"/>
      <c r="Z221" s="132"/>
      <c r="AA221" s="132"/>
      <c r="AB221" s="132"/>
      <c r="AC221" s="132"/>
    </row>
    <row r="222" ht="24.75" hidden="1" customHeight="1" outlineLevel="1">
      <c r="A222" s="565">
        <v>44789.0</v>
      </c>
      <c r="B222" s="507" t="s">
        <v>1325</v>
      </c>
      <c r="C222" s="531" t="s">
        <v>1233</v>
      </c>
      <c r="D222" s="507" t="s">
        <v>1319</v>
      </c>
      <c r="E222" s="36" t="s">
        <v>1235</v>
      </c>
      <c r="F222" s="175"/>
      <c r="G222" s="175"/>
      <c r="H222" s="175" t="s">
        <v>1326</v>
      </c>
      <c r="I222" s="132"/>
      <c r="J222" s="132"/>
      <c r="K222" s="132"/>
      <c r="L222" s="132"/>
      <c r="M222" s="132"/>
      <c r="N222" s="132"/>
      <c r="O222" s="132"/>
      <c r="P222" s="132"/>
      <c r="Q222" s="132"/>
      <c r="R222" s="132"/>
      <c r="S222" s="132"/>
      <c r="T222" s="132"/>
      <c r="U222" s="132"/>
      <c r="V222" s="132"/>
      <c r="W222" s="132"/>
      <c r="X222" s="132"/>
      <c r="Y222" s="132"/>
      <c r="Z222" s="132"/>
      <c r="AA222" s="132"/>
      <c r="AB222" s="132"/>
      <c r="AC222" s="132"/>
    </row>
    <row r="223" ht="24.75" hidden="1" customHeight="1" outlineLevel="1">
      <c r="A223" s="565">
        <v>44790.0</v>
      </c>
      <c r="B223" s="507" t="s">
        <v>1198</v>
      </c>
      <c r="C223" s="511" t="s">
        <v>1233</v>
      </c>
      <c r="D223" s="511" t="s">
        <v>1257</v>
      </c>
      <c r="E223" s="36" t="s">
        <v>1235</v>
      </c>
      <c r="F223" s="132"/>
      <c r="G223" s="132"/>
      <c r="H223" s="132"/>
      <c r="I223" s="132"/>
      <c r="J223" s="132"/>
      <c r="K223" s="132"/>
      <c r="L223" s="132"/>
      <c r="M223" s="132"/>
      <c r="N223" s="132"/>
      <c r="O223" s="132"/>
      <c r="P223" s="132"/>
      <c r="Q223" s="132"/>
      <c r="R223" s="132"/>
      <c r="S223" s="132"/>
      <c r="T223" s="132"/>
      <c r="U223" s="132"/>
      <c r="V223" s="132"/>
      <c r="W223" s="132"/>
      <c r="X223" s="132"/>
      <c r="Y223" s="132"/>
      <c r="Z223" s="132"/>
      <c r="AA223" s="132"/>
      <c r="AB223" s="132"/>
      <c r="AC223" s="132"/>
    </row>
    <row r="224" ht="24.75" hidden="1" customHeight="1" outlineLevel="1">
      <c r="A224" s="565">
        <v>44790.0</v>
      </c>
      <c r="B224" s="566" t="s">
        <v>1226</v>
      </c>
      <c r="C224" s="567" t="s">
        <v>1302</v>
      </c>
      <c r="D224" s="567" t="s">
        <v>1252</v>
      </c>
      <c r="E224" s="36" t="s">
        <v>1203</v>
      </c>
      <c r="F224" s="132"/>
      <c r="G224" s="132"/>
      <c r="H224" s="132"/>
      <c r="I224" s="132"/>
      <c r="J224" s="132"/>
      <c r="K224" s="132"/>
      <c r="L224" s="132"/>
      <c r="M224" s="132"/>
      <c r="N224" s="132"/>
      <c r="O224" s="132"/>
      <c r="P224" s="132"/>
      <c r="Q224" s="132"/>
      <c r="R224" s="132"/>
      <c r="S224" s="132"/>
      <c r="T224" s="132"/>
      <c r="U224" s="132"/>
      <c r="V224" s="132"/>
      <c r="W224" s="132"/>
      <c r="X224" s="132"/>
      <c r="Y224" s="132"/>
      <c r="Z224" s="132"/>
      <c r="AA224" s="132"/>
      <c r="AB224" s="132"/>
      <c r="AC224" s="132"/>
    </row>
    <row r="225" ht="24.75" hidden="1" customHeight="1" outlineLevel="1">
      <c r="A225" s="565">
        <v>44790.0</v>
      </c>
      <c r="B225" s="566" t="s">
        <v>1258</v>
      </c>
      <c r="C225" s="567" t="s">
        <v>1259</v>
      </c>
      <c r="D225" s="567" t="s">
        <v>1175</v>
      </c>
      <c r="E225" s="36" t="s">
        <v>1203</v>
      </c>
      <c r="F225" s="132"/>
      <c r="G225" s="132"/>
      <c r="H225" s="132"/>
      <c r="I225" s="132"/>
      <c r="J225" s="132"/>
      <c r="K225" s="132"/>
      <c r="L225" s="132"/>
      <c r="M225" s="132"/>
      <c r="N225" s="132"/>
      <c r="O225" s="132"/>
      <c r="P225" s="132"/>
      <c r="Q225" s="132"/>
      <c r="R225" s="132"/>
      <c r="S225" s="132"/>
      <c r="T225" s="132"/>
      <c r="U225" s="132"/>
      <c r="V225" s="132"/>
      <c r="W225" s="132"/>
      <c r="X225" s="132"/>
      <c r="Y225" s="132"/>
      <c r="Z225" s="132"/>
      <c r="AA225" s="132"/>
      <c r="AB225" s="132"/>
      <c r="AC225" s="132"/>
    </row>
    <row r="226" ht="24.75" hidden="1" customHeight="1" outlineLevel="1">
      <c r="A226" s="565">
        <v>44790.0</v>
      </c>
      <c r="B226" s="566" t="s">
        <v>1261</v>
      </c>
      <c r="C226" s="567" t="s">
        <v>1372</v>
      </c>
      <c r="D226" s="567" t="s">
        <v>1373</v>
      </c>
      <c r="E226" s="36" t="s">
        <v>1203</v>
      </c>
      <c r="F226" s="132"/>
      <c r="G226" s="132"/>
      <c r="H226" s="132"/>
      <c r="I226" s="132"/>
      <c r="J226" s="132"/>
      <c r="K226" s="132"/>
      <c r="L226" s="132"/>
      <c r="M226" s="132"/>
      <c r="N226" s="132"/>
      <c r="O226" s="132"/>
      <c r="P226" s="132"/>
      <c r="Q226" s="132"/>
      <c r="R226" s="132"/>
      <c r="S226" s="132"/>
      <c r="T226" s="132"/>
      <c r="U226" s="132"/>
      <c r="V226" s="132"/>
      <c r="W226" s="132"/>
      <c r="X226" s="132"/>
      <c r="Y226" s="132"/>
      <c r="Z226" s="132"/>
      <c r="AA226" s="132"/>
      <c r="AB226" s="132"/>
      <c r="AC226" s="132"/>
    </row>
    <row r="227" ht="24.75" hidden="1" customHeight="1" outlineLevel="1">
      <c r="A227" s="565">
        <v>44790.0</v>
      </c>
      <c r="B227" s="566" t="s">
        <v>1204</v>
      </c>
      <c r="C227" s="566" t="s">
        <v>1340</v>
      </c>
      <c r="D227" s="567" t="s">
        <v>1175</v>
      </c>
      <c r="E227" s="36" t="s">
        <v>1203</v>
      </c>
      <c r="F227" s="175"/>
      <c r="G227" s="175"/>
      <c r="H227" s="175" t="s">
        <v>1363</v>
      </c>
      <c r="I227" s="132"/>
      <c r="J227" s="132"/>
      <c r="K227" s="132"/>
      <c r="L227" s="132"/>
      <c r="M227" s="132"/>
      <c r="N227" s="132"/>
      <c r="O227" s="132"/>
      <c r="P227" s="132"/>
      <c r="Q227" s="132"/>
      <c r="R227" s="132"/>
      <c r="S227" s="132"/>
      <c r="T227" s="132"/>
      <c r="U227" s="132"/>
      <c r="V227" s="132"/>
      <c r="W227" s="132"/>
      <c r="X227" s="132"/>
      <c r="Y227" s="132"/>
      <c r="Z227" s="132"/>
      <c r="AA227" s="132"/>
      <c r="AB227" s="132"/>
      <c r="AC227" s="132"/>
    </row>
    <row r="228" ht="24.75" hidden="1" customHeight="1" outlineLevel="1">
      <c r="A228" s="565">
        <v>44791.0</v>
      </c>
      <c r="B228" s="566" t="s">
        <v>1263</v>
      </c>
      <c r="C228" s="567" t="s">
        <v>1374</v>
      </c>
      <c r="D228" s="567" t="s">
        <v>1375</v>
      </c>
      <c r="E228" s="36" t="s">
        <v>1203</v>
      </c>
      <c r="F228" s="132"/>
      <c r="G228" s="132"/>
      <c r="H228" s="132"/>
      <c r="I228" s="132"/>
      <c r="J228" s="132"/>
      <c r="K228" s="132"/>
      <c r="L228" s="132"/>
      <c r="M228" s="132"/>
      <c r="N228" s="132"/>
      <c r="O228" s="132"/>
      <c r="P228" s="132"/>
      <c r="Q228" s="132"/>
      <c r="R228" s="132"/>
      <c r="S228" s="132"/>
      <c r="T228" s="132"/>
      <c r="U228" s="132"/>
      <c r="V228" s="132"/>
      <c r="W228" s="132"/>
      <c r="X228" s="132"/>
      <c r="Y228" s="132"/>
      <c r="Z228" s="132"/>
      <c r="AA228" s="132"/>
      <c r="AB228" s="132"/>
      <c r="AC228" s="132"/>
    </row>
    <row r="229" ht="24.75" hidden="1" customHeight="1" outlineLevel="1">
      <c r="A229" s="565">
        <v>44791.0</v>
      </c>
      <c r="B229" s="568" t="s">
        <v>1178</v>
      </c>
      <c r="C229" s="506" t="s">
        <v>536</v>
      </c>
      <c r="D229" s="506" t="s">
        <v>1175</v>
      </c>
      <c r="E229" s="569" t="s">
        <v>1203</v>
      </c>
      <c r="F229" s="132"/>
      <c r="G229" s="132"/>
      <c r="H229" s="132"/>
      <c r="I229" s="132"/>
      <c r="J229" s="132"/>
      <c r="K229" s="132"/>
      <c r="L229" s="132"/>
      <c r="M229" s="132"/>
      <c r="N229" s="132"/>
      <c r="O229" s="132"/>
      <c r="P229" s="132"/>
      <c r="Q229" s="132"/>
      <c r="R229" s="132"/>
      <c r="S229" s="132"/>
      <c r="T229" s="132"/>
      <c r="U229" s="132"/>
      <c r="V229" s="132"/>
      <c r="W229" s="132"/>
      <c r="X229" s="132"/>
      <c r="Y229" s="132"/>
      <c r="Z229" s="132"/>
      <c r="AA229" s="132"/>
      <c r="AB229" s="132"/>
      <c r="AC229" s="132"/>
    </row>
    <row r="230" ht="24.75" hidden="1" customHeight="1" outlineLevel="1">
      <c r="A230" s="565">
        <v>44793.0</v>
      </c>
      <c r="B230" s="566" t="s">
        <v>1210</v>
      </c>
      <c r="C230" s="567" t="s">
        <v>1361</v>
      </c>
      <c r="D230" s="567" t="s">
        <v>1376</v>
      </c>
      <c r="E230" s="569" t="s">
        <v>1203</v>
      </c>
      <c r="F230" s="175"/>
      <c r="G230" s="175"/>
      <c r="H230" s="175" t="s">
        <v>1363</v>
      </c>
      <c r="I230" s="132"/>
      <c r="J230" s="132"/>
      <c r="K230" s="132"/>
      <c r="L230" s="132"/>
      <c r="M230" s="132"/>
      <c r="N230" s="132"/>
      <c r="O230" s="132"/>
      <c r="P230" s="132"/>
      <c r="Q230" s="132"/>
      <c r="R230" s="132"/>
      <c r="S230" s="132"/>
      <c r="T230" s="132"/>
      <c r="U230" s="132"/>
      <c r="V230" s="132"/>
      <c r="W230" s="132"/>
      <c r="X230" s="132"/>
      <c r="Y230" s="132"/>
      <c r="Z230" s="132"/>
      <c r="AA230" s="132"/>
      <c r="AB230" s="132"/>
      <c r="AC230" s="132"/>
    </row>
    <row r="231" ht="24.75" hidden="1" customHeight="1" outlineLevel="1">
      <c r="A231" s="565">
        <v>44794.0</v>
      </c>
      <c r="B231" s="570" t="s">
        <v>1187</v>
      </c>
      <c r="C231" s="567" t="s">
        <v>1377</v>
      </c>
      <c r="D231" s="571" t="s">
        <v>1175</v>
      </c>
      <c r="E231" s="569" t="s">
        <v>1203</v>
      </c>
      <c r="F231" s="132"/>
      <c r="G231" s="132"/>
      <c r="H231" s="132"/>
      <c r="I231" s="132"/>
      <c r="J231" s="132"/>
      <c r="K231" s="132"/>
      <c r="L231" s="132"/>
      <c r="M231" s="132"/>
      <c r="N231" s="132"/>
      <c r="O231" s="132"/>
      <c r="P231" s="132"/>
      <c r="Q231" s="132"/>
      <c r="R231" s="132"/>
      <c r="S231" s="132"/>
      <c r="T231" s="132"/>
      <c r="U231" s="132"/>
      <c r="V231" s="132"/>
      <c r="W231" s="132"/>
      <c r="X231" s="132"/>
      <c r="Y231" s="132"/>
      <c r="Z231" s="132"/>
      <c r="AA231" s="132"/>
      <c r="AB231" s="132"/>
      <c r="AC231" s="132"/>
    </row>
    <row r="232" ht="24.75" hidden="1" customHeight="1" outlineLevel="1">
      <c r="A232" s="565">
        <v>44796.0</v>
      </c>
      <c r="B232" s="570" t="s">
        <v>1254</v>
      </c>
      <c r="C232" s="567" t="s">
        <v>1378</v>
      </c>
      <c r="D232" s="571" t="s">
        <v>1252</v>
      </c>
      <c r="E232" s="569" t="s">
        <v>1203</v>
      </c>
      <c r="F232" s="132"/>
      <c r="G232" s="132"/>
      <c r="H232" s="132"/>
      <c r="I232" s="132"/>
      <c r="J232" s="132"/>
      <c r="K232" s="132"/>
      <c r="L232" s="132"/>
      <c r="M232" s="132"/>
      <c r="N232" s="132"/>
      <c r="O232" s="132"/>
      <c r="P232" s="132"/>
      <c r="Q232" s="132"/>
      <c r="R232" s="132"/>
      <c r="S232" s="132"/>
      <c r="T232" s="132"/>
      <c r="U232" s="132"/>
      <c r="V232" s="132"/>
      <c r="W232" s="132"/>
      <c r="X232" s="132"/>
      <c r="Y232" s="132"/>
      <c r="Z232" s="132"/>
      <c r="AA232" s="132"/>
      <c r="AB232" s="132"/>
      <c r="AC232" s="132"/>
    </row>
    <row r="233" ht="24.75" hidden="1" customHeight="1" outlineLevel="1">
      <c r="A233" s="565">
        <v>44797.0</v>
      </c>
      <c r="B233" s="570" t="s">
        <v>1261</v>
      </c>
      <c r="C233" s="567" t="s">
        <v>1379</v>
      </c>
      <c r="D233" s="571" t="s">
        <v>1252</v>
      </c>
      <c r="E233" s="569" t="s">
        <v>1203</v>
      </c>
      <c r="F233" s="132"/>
      <c r="G233" s="132"/>
      <c r="H233" s="132"/>
      <c r="I233" s="132"/>
      <c r="J233" s="132"/>
      <c r="K233" s="132"/>
      <c r="L233" s="132"/>
      <c r="M233" s="132"/>
      <c r="N233" s="132"/>
      <c r="O233" s="132"/>
      <c r="P233" s="132"/>
      <c r="Q233" s="132"/>
      <c r="R233" s="132"/>
      <c r="S233" s="132"/>
      <c r="T233" s="132"/>
      <c r="U233" s="132"/>
      <c r="V233" s="132"/>
      <c r="W233" s="132"/>
      <c r="X233" s="132"/>
      <c r="Y233" s="132"/>
      <c r="Z233" s="132"/>
      <c r="AA233" s="132"/>
      <c r="AB233" s="132"/>
      <c r="AC233" s="132"/>
    </row>
    <row r="234" ht="24.75" hidden="1" customHeight="1" outlineLevel="1">
      <c r="A234" s="565">
        <v>44798.0</v>
      </c>
      <c r="B234" s="570" t="s">
        <v>1263</v>
      </c>
      <c r="C234" s="567" t="s">
        <v>1380</v>
      </c>
      <c r="D234" s="571" t="s">
        <v>1252</v>
      </c>
      <c r="E234" s="569" t="s">
        <v>1203</v>
      </c>
      <c r="F234" s="132"/>
      <c r="G234" s="132"/>
      <c r="H234" s="132"/>
      <c r="I234" s="132"/>
      <c r="J234" s="132"/>
      <c r="K234" s="132"/>
      <c r="L234" s="132"/>
      <c r="M234" s="132"/>
      <c r="N234" s="132"/>
      <c r="O234" s="132"/>
      <c r="P234" s="132"/>
      <c r="Q234" s="132"/>
      <c r="R234" s="132"/>
      <c r="S234" s="132"/>
      <c r="T234" s="132"/>
      <c r="U234" s="132"/>
      <c r="V234" s="132"/>
      <c r="W234" s="132"/>
      <c r="X234" s="132"/>
      <c r="Y234" s="132"/>
      <c r="Z234" s="132"/>
      <c r="AA234" s="132"/>
      <c r="AB234" s="132"/>
      <c r="AC234" s="132"/>
    </row>
    <row r="235" ht="24.75" customHeight="1">
      <c r="A235" s="132"/>
      <c r="B235" s="132"/>
      <c r="C235" s="132"/>
      <c r="D235" s="132"/>
      <c r="E235" s="496"/>
      <c r="F235" s="132"/>
      <c r="G235" s="132"/>
      <c r="H235" s="132"/>
      <c r="I235" s="132"/>
      <c r="J235" s="132"/>
      <c r="K235" s="132"/>
      <c r="L235" s="132"/>
      <c r="M235" s="132"/>
      <c r="N235" s="132"/>
      <c r="O235" s="132"/>
      <c r="P235" s="132"/>
      <c r="Q235" s="132"/>
      <c r="R235" s="132"/>
      <c r="S235" s="132"/>
      <c r="T235" s="132"/>
      <c r="U235" s="132"/>
      <c r="V235" s="132"/>
      <c r="W235" s="132"/>
      <c r="X235" s="132"/>
      <c r="Y235" s="132"/>
      <c r="Z235" s="132"/>
      <c r="AA235" s="132"/>
      <c r="AB235" s="132"/>
      <c r="AC235" s="132"/>
    </row>
    <row r="236" ht="24.75" customHeight="1" collapsed="1">
      <c r="A236" s="175" t="s">
        <v>1381</v>
      </c>
      <c r="B236" s="132"/>
      <c r="C236" s="132"/>
      <c r="D236" s="132"/>
      <c r="E236" s="132"/>
      <c r="F236" s="132"/>
      <c r="G236" s="132"/>
      <c r="H236" s="132"/>
      <c r="I236" s="132"/>
      <c r="J236" s="132"/>
      <c r="K236" s="132"/>
      <c r="L236" s="132"/>
      <c r="M236" s="132"/>
      <c r="N236" s="132"/>
      <c r="O236" s="132"/>
      <c r="P236" s="132"/>
      <c r="Q236" s="132"/>
      <c r="R236" s="132"/>
      <c r="S236" s="132"/>
      <c r="T236" s="132"/>
      <c r="U236" s="132"/>
      <c r="V236" s="132"/>
      <c r="W236" s="132"/>
      <c r="X236" s="132"/>
      <c r="Y236" s="132"/>
      <c r="Z236" s="132"/>
      <c r="AA236" s="132"/>
      <c r="AB236" s="132"/>
      <c r="AC236" s="132"/>
    </row>
    <row r="237" ht="24.75" hidden="1" customHeight="1" outlineLevel="1">
      <c r="A237" s="565">
        <v>44826.0</v>
      </c>
      <c r="B237" s="507" t="s">
        <v>1178</v>
      </c>
      <c r="C237" s="511" t="s">
        <v>536</v>
      </c>
      <c r="D237" s="507" t="s">
        <v>1319</v>
      </c>
      <c r="E237" s="36" t="s">
        <v>1235</v>
      </c>
      <c r="F237" s="132"/>
      <c r="G237" s="132"/>
      <c r="H237" s="132"/>
      <c r="I237" s="175" t="s">
        <v>1264</v>
      </c>
      <c r="J237" s="132"/>
      <c r="K237" s="132"/>
      <c r="L237" s="132"/>
      <c r="M237" s="132"/>
      <c r="N237" s="132"/>
      <c r="O237" s="132"/>
      <c r="P237" s="132"/>
      <c r="Q237" s="132"/>
      <c r="R237" s="132"/>
      <c r="S237" s="132"/>
      <c r="T237" s="132"/>
      <c r="U237" s="132"/>
      <c r="V237" s="132"/>
      <c r="W237" s="132"/>
      <c r="X237" s="132"/>
      <c r="Y237" s="132"/>
      <c r="Z237" s="132"/>
      <c r="AA237" s="132"/>
      <c r="AB237" s="132"/>
      <c r="AC237" s="132"/>
    </row>
    <row r="238" ht="24.75" hidden="1" customHeight="1" outlineLevel="1">
      <c r="A238" s="565">
        <v>44827.0</v>
      </c>
      <c r="B238" s="507" t="s">
        <v>1232</v>
      </c>
      <c r="C238" s="511" t="s">
        <v>1233</v>
      </c>
      <c r="D238" s="245" t="s">
        <v>1296</v>
      </c>
      <c r="E238" s="36" t="s">
        <v>1235</v>
      </c>
      <c r="F238" s="132"/>
      <c r="G238" s="132"/>
      <c r="H238" s="132"/>
      <c r="I238" s="132"/>
      <c r="J238" s="132"/>
      <c r="K238" s="132"/>
      <c r="L238" s="132"/>
      <c r="M238" s="132"/>
      <c r="N238" s="132"/>
      <c r="O238" s="132"/>
      <c r="P238" s="132"/>
      <c r="Q238" s="132"/>
      <c r="R238" s="132"/>
      <c r="S238" s="132"/>
      <c r="T238" s="132"/>
      <c r="U238" s="132"/>
      <c r="V238" s="132"/>
      <c r="W238" s="132"/>
      <c r="X238" s="132"/>
      <c r="Y238" s="132"/>
      <c r="Z238" s="132"/>
      <c r="AA238" s="132"/>
      <c r="AB238" s="132"/>
      <c r="AC238" s="132"/>
    </row>
    <row r="239" ht="24.75" hidden="1" customHeight="1" outlineLevel="1">
      <c r="A239" s="565">
        <v>44827.0</v>
      </c>
      <c r="B239" s="507" t="s">
        <v>1382</v>
      </c>
      <c r="C239" s="507" t="s">
        <v>1233</v>
      </c>
      <c r="D239" s="507" t="s">
        <v>1319</v>
      </c>
      <c r="E239" s="36" t="s">
        <v>1235</v>
      </c>
      <c r="F239" s="132"/>
      <c r="G239" s="132"/>
      <c r="H239" s="132"/>
      <c r="I239" s="132"/>
      <c r="J239" s="132"/>
      <c r="K239" s="132"/>
      <c r="L239" s="132"/>
      <c r="M239" s="132"/>
      <c r="N239" s="132"/>
      <c r="O239" s="132"/>
      <c r="P239" s="132"/>
      <c r="Q239" s="132"/>
      <c r="R239" s="132"/>
      <c r="S239" s="132"/>
      <c r="T239" s="132"/>
      <c r="U239" s="132"/>
      <c r="V239" s="132"/>
      <c r="W239" s="132"/>
      <c r="X239" s="132"/>
      <c r="Y239" s="132"/>
      <c r="Z239" s="132"/>
      <c r="AA239" s="132"/>
      <c r="AB239" s="132"/>
      <c r="AC239" s="132"/>
    </row>
    <row r="240" ht="24.75" hidden="1" customHeight="1" outlineLevel="1">
      <c r="A240" s="572">
        <v>44827.0</v>
      </c>
      <c r="B240" s="547" t="s">
        <v>1181</v>
      </c>
      <c r="C240" s="548" t="s">
        <v>1329</v>
      </c>
      <c r="D240" s="548" t="s">
        <v>1383</v>
      </c>
      <c r="E240" s="573" t="s">
        <v>1203</v>
      </c>
      <c r="F240" s="132"/>
      <c r="G240" s="132"/>
      <c r="H240" s="132"/>
      <c r="I240" s="132"/>
      <c r="J240" s="132"/>
      <c r="K240" s="132"/>
      <c r="L240" s="132"/>
      <c r="M240" s="132"/>
      <c r="N240" s="132"/>
      <c r="O240" s="132"/>
      <c r="P240" s="132"/>
      <c r="Q240" s="132"/>
      <c r="R240" s="132"/>
      <c r="S240" s="132"/>
      <c r="T240" s="132"/>
      <c r="U240" s="132"/>
      <c r="V240" s="132"/>
      <c r="W240" s="132"/>
      <c r="X240" s="132"/>
      <c r="Y240" s="132"/>
      <c r="Z240" s="132"/>
      <c r="AA240" s="132"/>
      <c r="AB240" s="132"/>
      <c r="AC240" s="132"/>
    </row>
    <row r="241" ht="24.75" hidden="1" customHeight="1" outlineLevel="1">
      <c r="A241" s="565">
        <v>44828.0</v>
      </c>
      <c r="B241" s="507" t="s">
        <v>1209</v>
      </c>
      <c r="C241" s="511" t="s">
        <v>1233</v>
      </c>
      <c r="D241" s="511" t="s">
        <v>1242</v>
      </c>
      <c r="E241" s="36" t="s">
        <v>1235</v>
      </c>
      <c r="I241" s="132"/>
      <c r="J241" s="132"/>
      <c r="K241" s="132"/>
      <c r="L241" s="132"/>
      <c r="M241" s="132"/>
      <c r="N241" s="132"/>
      <c r="O241" s="132"/>
      <c r="P241" s="132"/>
      <c r="Q241" s="132"/>
      <c r="R241" s="132"/>
      <c r="S241" s="132"/>
      <c r="T241" s="132"/>
      <c r="U241" s="132"/>
      <c r="V241" s="132"/>
      <c r="W241" s="132"/>
      <c r="X241" s="132"/>
      <c r="Y241" s="132"/>
      <c r="Z241" s="132"/>
      <c r="AA241" s="132"/>
      <c r="AB241" s="132"/>
      <c r="AC241" s="132"/>
    </row>
    <row r="242" ht="24.75" hidden="1" customHeight="1" outlineLevel="1">
      <c r="A242" s="565">
        <v>44828.0</v>
      </c>
      <c r="B242" s="566" t="s">
        <v>1238</v>
      </c>
      <c r="C242" s="567" t="s">
        <v>1259</v>
      </c>
      <c r="D242" s="567" t="s">
        <v>1175</v>
      </c>
      <c r="E242" s="573" t="s">
        <v>1203</v>
      </c>
      <c r="F242" s="175"/>
      <c r="G242" s="175"/>
      <c r="H242" s="175" t="s">
        <v>1384</v>
      </c>
      <c r="I242" s="132"/>
      <c r="J242" s="132"/>
      <c r="K242" s="132"/>
      <c r="L242" s="132"/>
      <c r="M242" s="132"/>
      <c r="N242" s="132"/>
      <c r="O242" s="132"/>
      <c r="P242" s="132"/>
      <c r="Q242" s="132"/>
      <c r="R242" s="132"/>
      <c r="S242" s="132"/>
      <c r="T242" s="132"/>
      <c r="U242" s="132"/>
      <c r="V242" s="132"/>
      <c r="W242" s="132"/>
      <c r="X242" s="132"/>
      <c r="Y242" s="132"/>
      <c r="Z242" s="132"/>
      <c r="AA242" s="132"/>
      <c r="AB242" s="132"/>
      <c r="AC242" s="132"/>
    </row>
    <row r="243" ht="24.75" hidden="1" customHeight="1" outlineLevel="1">
      <c r="A243" s="565">
        <v>44828.0</v>
      </c>
      <c r="B243" s="527" t="s">
        <v>1210</v>
      </c>
      <c r="C243" s="567" t="s">
        <v>1361</v>
      </c>
      <c r="D243" s="511" t="s">
        <v>1300</v>
      </c>
      <c r="E243" s="36" t="s">
        <v>1235</v>
      </c>
      <c r="F243" s="175"/>
      <c r="G243" s="175"/>
      <c r="H243" s="175" t="s">
        <v>1240</v>
      </c>
      <c r="I243" s="132"/>
      <c r="J243" s="132"/>
      <c r="K243" s="132"/>
      <c r="L243" s="132"/>
      <c r="M243" s="132"/>
      <c r="N243" s="132"/>
      <c r="O243" s="132"/>
      <c r="P243" s="132"/>
      <c r="Q243" s="132"/>
      <c r="R243" s="132"/>
      <c r="S243" s="132"/>
      <c r="T243" s="132"/>
      <c r="U243" s="132"/>
      <c r="V243" s="132"/>
      <c r="W243" s="132"/>
      <c r="X243" s="132"/>
      <c r="Y243" s="132"/>
      <c r="Z243" s="132"/>
      <c r="AA243" s="132"/>
      <c r="AB243" s="132"/>
      <c r="AC243" s="132"/>
    </row>
    <row r="244" ht="24.75" hidden="1" customHeight="1" outlineLevel="1">
      <c r="A244" s="565">
        <v>44828.0</v>
      </c>
      <c r="B244" s="527" t="s">
        <v>1213</v>
      </c>
      <c r="C244" s="511" t="s">
        <v>1302</v>
      </c>
      <c r="D244" s="511" t="s">
        <v>1385</v>
      </c>
      <c r="E244" s="573" t="s">
        <v>1203</v>
      </c>
      <c r="F244" s="175"/>
      <c r="G244" s="175"/>
      <c r="H244" s="175" t="s">
        <v>1386</v>
      </c>
      <c r="I244" s="132"/>
      <c r="J244" s="132"/>
      <c r="K244" s="132"/>
      <c r="L244" s="132"/>
      <c r="M244" s="132"/>
      <c r="N244" s="132"/>
      <c r="O244" s="132"/>
      <c r="P244" s="132"/>
      <c r="Q244" s="132"/>
      <c r="R244" s="132"/>
      <c r="S244" s="132"/>
      <c r="T244" s="132"/>
      <c r="U244" s="132"/>
      <c r="V244" s="132"/>
      <c r="W244" s="132"/>
      <c r="X244" s="132"/>
      <c r="Y244" s="132"/>
      <c r="Z244" s="132"/>
      <c r="AA244" s="132"/>
      <c r="AB244" s="132"/>
      <c r="AC244" s="132"/>
    </row>
    <row r="245" ht="24.75" hidden="1" customHeight="1" outlineLevel="1">
      <c r="A245" s="565">
        <v>44829.0</v>
      </c>
      <c r="B245" s="566" t="s">
        <v>1246</v>
      </c>
      <c r="C245" s="567" t="s">
        <v>1348</v>
      </c>
      <c r="D245" s="567" t="s">
        <v>1387</v>
      </c>
      <c r="E245" s="573" t="s">
        <v>1203</v>
      </c>
      <c r="F245" s="175"/>
      <c r="G245" s="175"/>
      <c r="H245" s="175" t="s">
        <v>1388</v>
      </c>
      <c r="I245" s="132"/>
      <c r="J245" s="132"/>
      <c r="K245" s="132"/>
      <c r="L245" s="132"/>
      <c r="M245" s="132"/>
      <c r="N245" s="132"/>
      <c r="O245" s="132"/>
      <c r="P245" s="132"/>
      <c r="Q245" s="132"/>
      <c r="R245" s="132"/>
      <c r="S245" s="132"/>
      <c r="T245" s="132"/>
      <c r="U245" s="132"/>
      <c r="V245" s="132"/>
      <c r="W245" s="132"/>
      <c r="X245" s="132"/>
      <c r="Y245" s="132"/>
      <c r="Z245" s="132"/>
      <c r="AA245" s="132"/>
      <c r="AB245" s="132"/>
      <c r="AC245" s="132"/>
    </row>
    <row r="246" ht="24.75" hidden="1" customHeight="1" outlineLevel="1">
      <c r="A246" s="565">
        <v>44829.0</v>
      </c>
      <c r="B246" s="566" t="s">
        <v>1189</v>
      </c>
      <c r="C246" s="567" t="s">
        <v>1259</v>
      </c>
      <c r="D246" s="511" t="s">
        <v>1385</v>
      </c>
      <c r="E246" s="573" t="s">
        <v>1203</v>
      </c>
      <c r="F246" s="175"/>
      <c r="G246" s="175"/>
      <c r="H246" s="175" t="s">
        <v>1384</v>
      </c>
      <c r="I246" s="175"/>
      <c r="J246" s="132"/>
      <c r="K246" s="132"/>
      <c r="L246" s="132"/>
      <c r="M246" s="132"/>
      <c r="N246" s="132"/>
      <c r="O246" s="132"/>
      <c r="P246" s="132"/>
      <c r="Q246" s="132"/>
      <c r="R246" s="132"/>
      <c r="S246" s="132"/>
      <c r="T246" s="132"/>
      <c r="U246" s="132"/>
      <c r="V246" s="132"/>
      <c r="W246" s="132"/>
      <c r="X246" s="132"/>
      <c r="Y246" s="132"/>
      <c r="Z246" s="132"/>
      <c r="AA246" s="132"/>
      <c r="AB246" s="132"/>
      <c r="AC246" s="132"/>
    </row>
    <row r="247" ht="24.75" hidden="1" customHeight="1" outlineLevel="1">
      <c r="A247" s="565">
        <v>44830.0</v>
      </c>
      <c r="B247" s="507" t="s">
        <v>1249</v>
      </c>
      <c r="C247" s="574" t="s">
        <v>1302</v>
      </c>
      <c r="D247" s="511" t="s">
        <v>1385</v>
      </c>
      <c r="E247" s="573" t="s">
        <v>1203</v>
      </c>
      <c r="F247" s="175"/>
      <c r="G247" s="175"/>
      <c r="H247" s="175" t="s">
        <v>1386</v>
      </c>
      <c r="I247" s="132"/>
      <c r="J247" s="132"/>
      <c r="K247" s="132"/>
      <c r="L247" s="132"/>
      <c r="M247" s="132"/>
      <c r="N247" s="132"/>
      <c r="O247" s="132"/>
      <c r="P247" s="132"/>
      <c r="Q247" s="132"/>
      <c r="R247" s="132"/>
      <c r="S247" s="132"/>
      <c r="T247" s="132"/>
      <c r="U247" s="132"/>
      <c r="V247" s="132"/>
      <c r="W247" s="132"/>
      <c r="X247" s="132"/>
      <c r="Y247" s="132"/>
      <c r="Z247" s="132"/>
      <c r="AA247" s="132"/>
      <c r="AB247" s="132"/>
      <c r="AC247" s="132"/>
    </row>
    <row r="248" ht="24.75" hidden="1" customHeight="1" outlineLevel="1">
      <c r="A248" s="565">
        <v>44830.0</v>
      </c>
      <c r="B248" s="507" t="s">
        <v>629</v>
      </c>
      <c r="C248" s="507" t="s">
        <v>1233</v>
      </c>
      <c r="D248" s="507" t="s">
        <v>1319</v>
      </c>
      <c r="E248" s="36" t="s">
        <v>1235</v>
      </c>
      <c r="F248" s="175"/>
      <c r="G248" s="175"/>
      <c r="H248" s="175" t="s">
        <v>1320</v>
      </c>
      <c r="I248" s="132"/>
      <c r="J248" s="132"/>
      <c r="K248" s="132"/>
      <c r="L248" s="132"/>
      <c r="M248" s="132"/>
      <c r="N248" s="132"/>
      <c r="O248" s="132"/>
      <c r="P248" s="132"/>
      <c r="Q248" s="132"/>
      <c r="R248" s="132"/>
      <c r="S248" s="132"/>
      <c r="T248" s="132"/>
      <c r="U248" s="132"/>
      <c r="V248" s="132"/>
      <c r="W248" s="132"/>
      <c r="X248" s="132"/>
      <c r="Y248" s="132"/>
      <c r="Z248" s="132"/>
      <c r="AA248" s="132"/>
      <c r="AB248" s="132"/>
      <c r="AC248" s="132"/>
    </row>
    <row r="249" ht="24.75" customHeight="1">
      <c r="A249" s="132"/>
      <c r="B249" s="132"/>
      <c r="C249" s="132"/>
      <c r="D249" s="132"/>
      <c r="E249" s="496"/>
      <c r="F249" s="132"/>
      <c r="G249" s="132"/>
      <c r="H249" s="132"/>
      <c r="I249" s="132"/>
      <c r="J249" s="132"/>
      <c r="K249" s="132"/>
      <c r="L249" s="132"/>
      <c r="M249" s="132"/>
      <c r="N249" s="132"/>
      <c r="O249" s="132"/>
      <c r="P249" s="132"/>
      <c r="Q249" s="132"/>
      <c r="R249" s="132"/>
      <c r="S249" s="132"/>
      <c r="T249" s="132"/>
      <c r="U249" s="132"/>
      <c r="V249" s="132"/>
      <c r="W249" s="132"/>
      <c r="X249" s="132"/>
      <c r="Y249" s="132"/>
      <c r="Z249" s="132"/>
      <c r="AA249" s="132"/>
      <c r="AB249" s="132"/>
      <c r="AC249" s="132"/>
    </row>
    <row r="250" ht="24.75" customHeight="1" collapsed="1">
      <c r="A250" s="175" t="s">
        <v>1389</v>
      </c>
      <c r="B250" s="132"/>
      <c r="C250" s="132"/>
      <c r="D250" s="132"/>
      <c r="E250" s="496"/>
      <c r="F250" s="132"/>
      <c r="G250" s="132"/>
      <c r="H250" s="132"/>
      <c r="I250" s="132"/>
      <c r="J250" s="132"/>
      <c r="K250" s="132"/>
      <c r="L250" s="132"/>
      <c r="M250" s="132"/>
      <c r="N250" s="132"/>
      <c r="O250" s="132"/>
      <c r="P250" s="132"/>
      <c r="Q250" s="132"/>
      <c r="R250" s="132"/>
      <c r="S250" s="132"/>
      <c r="T250" s="132"/>
      <c r="U250" s="132"/>
      <c r="V250" s="132"/>
      <c r="W250" s="132"/>
      <c r="X250" s="132"/>
      <c r="Y250" s="132"/>
      <c r="Z250" s="132"/>
      <c r="AA250" s="132"/>
      <c r="AB250" s="132"/>
      <c r="AC250" s="132"/>
    </row>
    <row r="251" ht="24.75" hidden="1" customHeight="1" outlineLevel="1">
      <c r="A251" s="499" t="s">
        <v>1166</v>
      </c>
      <c r="B251" s="499" t="s">
        <v>1117</v>
      </c>
      <c r="C251" s="499" t="s">
        <v>1167</v>
      </c>
      <c r="D251" s="499" t="s">
        <v>1168</v>
      </c>
      <c r="E251" s="499" t="s">
        <v>1169</v>
      </c>
      <c r="F251" s="132"/>
      <c r="G251" s="132"/>
      <c r="H251" s="132"/>
      <c r="I251" s="132"/>
      <c r="J251" s="132"/>
      <c r="K251" s="132"/>
      <c r="L251" s="132"/>
      <c r="M251" s="132"/>
      <c r="N251" s="132"/>
      <c r="O251" s="132"/>
      <c r="P251" s="132"/>
      <c r="Q251" s="132"/>
      <c r="R251" s="132"/>
      <c r="S251" s="132"/>
      <c r="T251" s="132"/>
      <c r="U251" s="132"/>
      <c r="V251" s="132"/>
      <c r="W251" s="132"/>
      <c r="X251" s="132"/>
      <c r="Y251" s="132"/>
      <c r="Z251" s="132"/>
      <c r="AA251" s="132"/>
      <c r="AB251" s="132"/>
      <c r="AC251" s="132"/>
    </row>
    <row r="252" ht="24.75" hidden="1" customHeight="1" outlineLevel="1">
      <c r="A252" s="565">
        <v>44857.0</v>
      </c>
      <c r="B252" s="575" t="s">
        <v>1187</v>
      </c>
      <c r="C252" s="574" t="s">
        <v>1390</v>
      </c>
      <c r="D252" s="576" t="s">
        <v>1175</v>
      </c>
      <c r="E252" s="573" t="s">
        <v>1203</v>
      </c>
      <c r="F252" s="132"/>
      <c r="G252" s="132"/>
      <c r="H252" s="132"/>
      <c r="I252" s="132"/>
      <c r="J252" s="132"/>
      <c r="K252" s="132"/>
      <c r="L252" s="132"/>
      <c r="M252" s="132"/>
      <c r="N252" s="132"/>
      <c r="O252" s="132"/>
      <c r="P252" s="132"/>
      <c r="Q252" s="132"/>
      <c r="R252" s="132"/>
      <c r="S252" s="132"/>
      <c r="T252" s="132"/>
      <c r="U252" s="132"/>
      <c r="V252" s="132"/>
      <c r="W252" s="132"/>
      <c r="X252" s="132"/>
      <c r="Y252" s="132"/>
      <c r="Z252" s="132"/>
      <c r="AA252" s="132"/>
      <c r="AB252" s="132"/>
      <c r="AC252" s="132"/>
    </row>
    <row r="253" ht="24.75" hidden="1" customHeight="1" outlineLevel="1">
      <c r="A253" s="565">
        <v>44857.0</v>
      </c>
      <c r="B253" s="577" t="s">
        <v>1246</v>
      </c>
      <c r="C253" s="574" t="s">
        <v>1391</v>
      </c>
      <c r="D253" s="576" t="s">
        <v>1175</v>
      </c>
      <c r="E253" s="573" t="s">
        <v>1203</v>
      </c>
      <c r="F253" s="132"/>
      <c r="G253" s="132"/>
      <c r="H253" s="132"/>
      <c r="I253" s="132"/>
      <c r="J253" s="132"/>
      <c r="K253" s="132"/>
      <c r="L253" s="132"/>
      <c r="M253" s="132"/>
      <c r="N253" s="132"/>
      <c r="O253" s="132"/>
      <c r="P253" s="132"/>
      <c r="Q253" s="132"/>
      <c r="R253" s="132"/>
      <c r="S253" s="132"/>
      <c r="T253" s="132"/>
      <c r="U253" s="132"/>
      <c r="V253" s="132"/>
      <c r="W253" s="132"/>
      <c r="X253" s="132"/>
      <c r="Y253" s="132"/>
      <c r="Z253" s="132"/>
      <c r="AA253" s="132"/>
      <c r="AB253" s="132"/>
      <c r="AC253" s="132"/>
    </row>
    <row r="254" ht="24.75" hidden="1" customHeight="1" outlineLevel="1">
      <c r="A254" s="565">
        <v>44857.0</v>
      </c>
      <c r="B254" s="577" t="s">
        <v>1189</v>
      </c>
      <c r="C254" s="574" t="s">
        <v>1259</v>
      </c>
      <c r="D254" s="576" t="s">
        <v>1175</v>
      </c>
      <c r="E254" s="573" t="s">
        <v>1203</v>
      </c>
      <c r="F254" s="132"/>
      <c r="G254" s="132"/>
      <c r="H254" s="132"/>
      <c r="I254" s="132"/>
      <c r="J254" s="132"/>
      <c r="K254" s="132"/>
      <c r="L254" s="132"/>
      <c r="M254" s="132"/>
      <c r="N254" s="132"/>
      <c r="O254" s="132"/>
      <c r="P254" s="132"/>
      <c r="Q254" s="132"/>
      <c r="R254" s="132"/>
      <c r="S254" s="132"/>
      <c r="T254" s="132"/>
      <c r="U254" s="132"/>
      <c r="V254" s="132"/>
      <c r="W254" s="132"/>
      <c r="X254" s="132"/>
      <c r="Y254" s="132"/>
      <c r="Z254" s="132"/>
      <c r="AA254" s="132"/>
      <c r="AB254" s="132"/>
      <c r="AC254" s="132"/>
    </row>
    <row r="255" ht="24.75" hidden="1" customHeight="1" outlineLevel="1">
      <c r="A255" s="565">
        <v>44858.0</v>
      </c>
      <c r="B255" s="507" t="s">
        <v>1249</v>
      </c>
      <c r="C255" s="574" t="s">
        <v>1302</v>
      </c>
      <c r="D255" s="576" t="s">
        <v>1175</v>
      </c>
      <c r="E255" s="573" t="s">
        <v>1203</v>
      </c>
      <c r="F255" s="132"/>
      <c r="G255" s="132"/>
      <c r="H255" s="132"/>
      <c r="I255" s="132"/>
      <c r="J255" s="132"/>
      <c r="K255" s="132"/>
      <c r="L255" s="132"/>
      <c r="M255" s="132"/>
      <c r="N255" s="132"/>
      <c r="O255" s="132"/>
      <c r="P255" s="132"/>
      <c r="Q255" s="132"/>
      <c r="R255" s="132"/>
      <c r="S255" s="132"/>
      <c r="T255" s="132"/>
      <c r="U255" s="132"/>
      <c r="V255" s="132"/>
      <c r="W255" s="132"/>
      <c r="X255" s="132"/>
      <c r="Y255" s="132"/>
      <c r="Z255" s="132"/>
      <c r="AA255" s="132"/>
      <c r="AB255" s="132"/>
      <c r="AC255" s="132"/>
    </row>
    <row r="256" ht="24.75" hidden="1" customHeight="1" outlineLevel="1">
      <c r="A256" s="565">
        <v>44858.0</v>
      </c>
      <c r="B256" s="507" t="s">
        <v>629</v>
      </c>
      <c r="C256" s="507" t="s">
        <v>1233</v>
      </c>
      <c r="D256" s="576" t="s">
        <v>1175</v>
      </c>
      <c r="E256" s="36" t="s">
        <v>1235</v>
      </c>
      <c r="F256" s="132"/>
      <c r="G256" s="132"/>
      <c r="H256" s="132"/>
      <c r="I256" s="132"/>
      <c r="J256" s="132"/>
      <c r="K256" s="132"/>
      <c r="L256" s="132"/>
      <c r="M256" s="132"/>
      <c r="N256" s="132"/>
      <c r="O256" s="132"/>
      <c r="P256" s="132"/>
      <c r="Q256" s="132"/>
      <c r="R256" s="132"/>
      <c r="S256" s="132"/>
      <c r="T256" s="132"/>
      <c r="U256" s="132"/>
      <c r="V256" s="132"/>
      <c r="W256" s="132"/>
      <c r="X256" s="132"/>
      <c r="Y256" s="132"/>
      <c r="Z256" s="132"/>
      <c r="AA256" s="132"/>
      <c r="AB256" s="132"/>
      <c r="AC256" s="132"/>
    </row>
    <row r="257" ht="24.75" hidden="1" customHeight="1" outlineLevel="1">
      <c r="A257" s="565">
        <v>44858.0</v>
      </c>
      <c r="B257" s="507" t="s">
        <v>1271</v>
      </c>
      <c r="C257" s="531" t="s">
        <v>1367</v>
      </c>
      <c r="D257" s="576" t="s">
        <v>1175</v>
      </c>
      <c r="E257" s="573" t="s">
        <v>1203</v>
      </c>
      <c r="F257" s="132"/>
      <c r="G257" s="132"/>
      <c r="H257" s="132"/>
      <c r="I257" s="132"/>
      <c r="J257" s="132"/>
      <c r="K257" s="132"/>
      <c r="L257" s="132"/>
      <c r="M257" s="132"/>
      <c r="N257" s="132"/>
      <c r="O257" s="132"/>
      <c r="P257" s="132"/>
      <c r="Q257" s="132"/>
      <c r="R257" s="132"/>
      <c r="S257" s="132"/>
      <c r="T257" s="132"/>
      <c r="U257" s="132"/>
      <c r="V257" s="132"/>
      <c r="W257" s="132"/>
      <c r="X257" s="132"/>
      <c r="Y257" s="132"/>
      <c r="Z257" s="132"/>
      <c r="AA257" s="132"/>
      <c r="AB257" s="132"/>
      <c r="AC257" s="132"/>
    </row>
    <row r="258" ht="24.75" hidden="1" customHeight="1" outlineLevel="1">
      <c r="A258" s="565">
        <v>44858.0</v>
      </c>
      <c r="B258" s="507" t="s">
        <v>1274</v>
      </c>
      <c r="C258" s="531" t="s">
        <v>1367</v>
      </c>
      <c r="D258" s="576" t="s">
        <v>1175</v>
      </c>
      <c r="E258" s="573" t="s">
        <v>1203</v>
      </c>
      <c r="F258" s="132"/>
      <c r="G258" s="132"/>
      <c r="H258" s="132"/>
      <c r="I258" s="132"/>
      <c r="J258" s="132"/>
      <c r="K258" s="132"/>
      <c r="L258" s="132"/>
      <c r="M258" s="132"/>
      <c r="N258" s="132"/>
      <c r="O258" s="132"/>
      <c r="P258" s="132"/>
      <c r="Q258" s="132"/>
      <c r="R258" s="132"/>
      <c r="S258" s="132"/>
      <c r="T258" s="132"/>
      <c r="U258" s="132"/>
      <c r="V258" s="132"/>
      <c r="W258" s="132"/>
      <c r="X258" s="132"/>
      <c r="Y258" s="132"/>
      <c r="Z258" s="132"/>
      <c r="AA258" s="132"/>
      <c r="AB258" s="132"/>
      <c r="AC258" s="132"/>
    </row>
    <row r="259" ht="24.75" customHeight="1">
      <c r="A259" s="132"/>
      <c r="B259" s="132"/>
      <c r="C259" s="132"/>
      <c r="D259" s="132"/>
      <c r="E259" s="496"/>
      <c r="F259" s="132"/>
      <c r="G259" s="132"/>
      <c r="H259" s="132"/>
      <c r="I259" s="132"/>
      <c r="J259" s="132"/>
      <c r="K259" s="132"/>
      <c r="L259" s="132"/>
      <c r="M259" s="132"/>
      <c r="N259" s="132"/>
      <c r="O259" s="132"/>
      <c r="P259" s="132"/>
      <c r="Q259" s="132"/>
      <c r="R259" s="132"/>
      <c r="S259" s="132"/>
      <c r="T259" s="132"/>
      <c r="U259" s="132"/>
      <c r="V259" s="132"/>
      <c r="W259" s="132"/>
      <c r="X259" s="132"/>
      <c r="Y259" s="132"/>
      <c r="Z259" s="132"/>
      <c r="AA259" s="132"/>
      <c r="AB259" s="132"/>
      <c r="AC259" s="132"/>
    </row>
    <row r="260" ht="24.75" customHeight="1" collapsed="1">
      <c r="A260" s="578" t="s">
        <v>1392</v>
      </c>
      <c r="B260" s="132"/>
      <c r="C260" s="132"/>
      <c r="D260" s="132"/>
      <c r="E260" s="496"/>
      <c r="F260" s="132"/>
      <c r="G260" s="132"/>
      <c r="H260" s="132"/>
      <c r="I260" s="132"/>
      <c r="J260" s="132"/>
      <c r="K260" s="132"/>
      <c r="L260" s="132"/>
      <c r="M260" s="132"/>
      <c r="N260" s="132"/>
      <c r="O260" s="132"/>
      <c r="P260" s="132"/>
      <c r="Q260" s="132"/>
      <c r="R260" s="132"/>
      <c r="S260" s="132"/>
      <c r="T260" s="132"/>
      <c r="U260" s="132"/>
      <c r="V260" s="132"/>
      <c r="W260" s="132"/>
      <c r="X260" s="132"/>
      <c r="Y260" s="132"/>
      <c r="Z260" s="132"/>
      <c r="AA260" s="132"/>
      <c r="AB260" s="132"/>
      <c r="AC260" s="132"/>
    </row>
    <row r="261" ht="24.75" hidden="1" customHeight="1" outlineLevel="1">
      <c r="A261" s="499" t="s">
        <v>1166</v>
      </c>
      <c r="B261" s="499" t="s">
        <v>1117</v>
      </c>
      <c r="C261" s="499" t="s">
        <v>1167</v>
      </c>
      <c r="D261" s="499" t="s">
        <v>1168</v>
      </c>
      <c r="E261" s="499" t="s">
        <v>1169</v>
      </c>
      <c r="F261" s="579"/>
      <c r="G261" s="579"/>
      <c r="H261" s="579" t="s">
        <v>1393</v>
      </c>
      <c r="I261" s="580" t="s">
        <v>1394</v>
      </c>
      <c r="J261" s="132"/>
      <c r="K261" s="132"/>
      <c r="L261" s="132"/>
      <c r="M261" s="132"/>
      <c r="N261" s="132"/>
      <c r="O261" s="132"/>
      <c r="P261" s="132"/>
      <c r="Q261" s="132"/>
      <c r="R261" s="132"/>
      <c r="S261" s="132"/>
      <c r="T261" s="132"/>
      <c r="U261" s="132"/>
      <c r="V261" s="132"/>
      <c r="W261" s="132"/>
      <c r="X261" s="132"/>
      <c r="Y261" s="132"/>
      <c r="Z261" s="132"/>
      <c r="AA261" s="132"/>
      <c r="AB261" s="132"/>
      <c r="AC261" s="132"/>
    </row>
    <row r="262" ht="24.75" hidden="1" customHeight="1" outlineLevel="1">
      <c r="A262" s="565">
        <v>44867.0</v>
      </c>
      <c r="B262" s="581" t="s">
        <v>1209</v>
      </c>
      <c r="C262" s="582" t="s">
        <v>1233</v>
      </c>
      <c r="D262" s="583" t="s">
        <v>1395</v>
      </c>
      <c r="E262" s="584" t="s">
        <v>1235</v>
      </c>
      <c r="F262" s="132"/>
      <c r="G262" s="132"/>
      <c r="H262" s="132"/>
      <c r="I262" s="132"/>
      <c r="J262" s="132"/>
      <c r="K262" s="132"/>
      <c r="L262" s="132"/>
      <c r="M262" s="132"/>
      <c r="N262" s="132"/>
      <c r="O262" s="132"/>
      <c r="P262" s="132"/>
      <c r="Q262" s="132"/>
      <c r="R262" s="132"/>
      <c r="S262" s="132"/>
      <c r="T262" s="132"/>
      <c r="U262" s="132"/>
      <c r="V262" s="132"/>
      <c r="W262" s="132"/>
      <c r="X262" s="132"/>
      <c r="Y262" s="132"/>
      <c r="Z262" s="132"/>
      <c r="AA262" s="132"/>
      <c r="AB262" s="132"/>
      <c r="AC262" s="132"/>
    </row>
    <row r="263" ht="24.75" hidden="1" customHeight="1" outlineLevel="1">
      <c r="A263" s="565">
        <v>44867.0</v>
      </c>
      <c r="B263" s="585" t="s">
        <v>1226</v>
      </c>
      <c r="C263" s="586" t="s">
        <v>1302</v>
      </c>
      <c r="D263" s="587" t="s">
        <v>1396</v>
      </c>
      <c r="E263" s="584" t="s">
        <v>1235</v>
      </c>
      <c r="F263" s="132"/>
      <c r="G263" s="132"/>
      <c r="H263" s="132"/>
      <c r="I263" s="132"/>
      <c r="J263" s="132"/>
      <c r="K263" s="132"/>
      <c r="L263" s="132"/>
      <c r="M263" s="132"/>
      <c r="N263" s="132"/>
      <c r="O263" s="132"/>
      <c r="P263" s="132"/>
      <c r="Q263" s="132"/>
      <c r="R263" s="132"/>
      <c r="S263" s="132"/>
      <c r="T263" s="132"/>
      <c r="U263" s="132"/>
      <c r="V263" s="132"/>
      <c r="W263" s="132"/>
      <c r="X263" s="132"/>
      <c r="Y263" s="132"/>
      <c r="Z263" s="132"/>
      <c r="AA263" s="132"/>
      <c r="AB263" s="132"/>
      <c r="AC263" s="132"/>
    </row>
    <row r="264" ht="24.75" hidden="1" customHeight="1" outlineLevel="1">
      <c r="A264" s="565">
        <v>44867.0</v>
      </c>
      <c r="B264" s="585" t="s">
        <v>1258</v>
      </c>
      <c r="C264" s="586" t="s">
        <v>1259</v>
      </c>
      <c r="D264" s="587" t="s">
        <v>1180</v>
      </c>
      <c r="E264" s="584" t="s">
        <v>1235</v>
      </c>
      <c r="F264" s="132"/>
      <c r="G264" s="132"/>
      <c r="H264" s="132"/>
      <c r="I264" s="132"/>
      <c r="J264" s="132"/>
      <c r="K264" s="132"/>
      <c r="L264" s="132"/>
      <c r="M264" s="132"/>
      <c r="N264" s="132"/>
      <c r="O264" s="132"/>
      <c r="P264" s="132"/>
      <c r="Q264" s="132"/>
      <c r="R264" s="132"/>
      <c r="S264" s="132"/>
      <c r="T264" s="132"/>
      <c r="U264" s="132"/>
      <c r="V264" s="132"/>
      <c r="W264" s="132"/>
      <c r="X264" s="132"/>
      <c r="Y264" s="132"/>
      <c r="Z264" s="132"/>
      <c r="AA264" s="132"/>
      <c r="AB264" s="132"/>
      <c r="AC264" s="132"/>
    </row>
    <row r="265" ht="24.75" hidden="1" customHeight="1" outlineLevel="1">
      <c r="A265" s="565">
        <v>44867.0</v>
      </c>
      <c r="B265" s="585" t="s">
        <v>1204</v>
      </c>
      <c r="C265" s="586" t="s">
        <v>1340</v>
      </c>
      <c r="D265" s="587" t="s">
        <v>1180</v>
      </c>
      <c r="E265" s="584" t="s">
        <v>1235</v>
      </c>
      <c r="F265" s="132"/>
      <c r="G265" s="132"/>
      <c r="H265" s="132"/>
      <c r="I265" s="132"/>
      <c r="J265" s="132"/>
      <c r="K265" s="132"/>
      <c r="L265" s="132"/>
      <c r="M265" s="132"/>
      <c r="N265" s="132"/>
      <c r="O265" s="132"/>
      <c r="P265" s="132"/>
      <c r="Q265" s="132"/>
      <c r="R265" s="132"/>
      <c r="S265" s="132"/>
      <c r="T265" s="132"/>
      <c r="U265" s="132"/>
      <c r="V265" s="132"/>
      <c r="W265" s="132"/>
      <c r="X265" s="132"/>
      <c r="Y265" s="132"/>
      <c r="Z265" s="132"/>
      <c r="AA265" s="132"/>
      <c r="AB265" s="132"/>
      <c r="AC265" s="132"/>
    </row>
    <row r="266" ht="24.75" hidden="1" customHeight="1" outlineLevel="1">
      <c r="A266" s="565">
        <v>44868.0</v>
      </c>
      <c r="B266" s="575" t="s">
        <v>1187</v>
      </c>
      <c r="C266" s="574" t="s">
        <v>1390</v>
      </c>
      <c r="D266" s="576" t="s">
        <v>1397</v>
      </c>
      <c r="E266" s="573" t="s">
        <v>1203</v>
      </c>
      <c r="F266" s="132"/>
      <c r="G266" s="132"/>
      <c r="H266" s="132"/>
      <c r="I266" s="132"/>
      <c r="J266" s="132"/>
      <c r="K266" s="132"/>
      <c r="L266" s="132"/>
      <c r="M266" s="132"/>
      <c r="N266" s="132"/>
      <c r="O266" s="132"/>
      <c r="P266" s="132"/>
      <c r="Q266" s="132"/>
      <c r="R266" s="132"/>
      <c r="S266" s="132"/>
      <c r="T266" s="132"/>
      <c r="U266" s="132"/>
      <c r="V266" s="132"/>
      <c r="W266" s="132"/>
      <c r="X266" s="132"/>
      <c r="Y266" s="132"/>
      <c r="Z266" s="132"/>
      <c r="AA266" s="132"/>
      <c r="AB266" s="132"/>
      <c r="AC266" s="132"/>
    </row>
    <row r="267" ht="24.75" hidden="1" customHeight="1" outlineLevel="1">
      <c r="A267" s="565">
        <v>44869.0</v>
      </c>
      <c r="B267" s="507" t="s">
        <v>1232</v>
      </c>
      <c r="C267" s="511" t="s">
        <v>1233</v>
      </c>
      <c r="D267" s="587" t="s">
        <v>1180</v>
      </c>
      <c r="E267" s="584" t="s">
        <v>1235</v>
      </c>
      <c r="F267" s="132"/>
      <c r="G267" s="132"/>
      <c r="H267" s="132"/>
      <c r="I267" s="132"/>
      <c r="J267" s="132"/>
      <c r="K267" s="132"/>
      <c r="L267" s="132"/>
      <c r="M267" s="132"/>
      <c r="N267" s="132"/>
      <c r="O267" s="132"/>
      <c r="P267" s="132"/>
      <c r="Q267" s="132"/>
      <c r="R267" s="132"/>
      <c r="S267" s="132"/>
      <c r="T267" s="132"/>
      <c r="U267" s="132"/>
      <c r="V267" s="132"/>
      <c r="W267" s="132"/>
      <c r="X267" s="132"/>
      <c r="Y267" s="132"/>
      <c r="Z267" s="132"/>
      <c r="AA267" s="132"/>
      <c r="AB267" s="132"/>
      <c r="AC267" s="132"/>
    </row>
    <row r="268" ht="24.75" hidden="1" customHeight="1" outlineLevel="1">
      <c r="A268" s="565">
        <v>44869.0</v>
      </c>
      <c r="B268" s="507" t="s">
        <v>1382</v>
      </c>
      <c r="C268" s="507" t="s">
        <v>1233</v>
      </c>
      <c r="D268" s="576" t="s">
        <v>1180</v>
      </c>
      <c r="E268" s="588" t="s">
        <v>1235</v>
      </c>
      <c r="F268" s="132"/>
      <c r="G268" s="132"/>
      <c r="H268" s="132"/>
      <c r="I268" s="132"/>
      <c r="J268" s="132"/>
      <c r="K268" s="132"/>
      <c r="L268" s="132"/>
      <c r="M268" s="132"/>
      <c r="N268" s="132"/>
      <c r="O268" s="132"/>
      <c r="P268" s="132"/>
      <c r="Q268" s="132"/>
      <c r="R268" s="132"/>
      <c r="S268" s="132"/>
      <c r="T268" s="132"/>
      <c r="U268" s="132"/>
      <c r="V268" s="132"/>
      <c r="W268" s="132"/>
      <c r="X268" s="132"/>
      <c r="Y268" s="132"/>
      <c r="Z268" s="132"/>
      <c r="AA268" s="132"/>
      <c r="AB268" s="132"/>
      <c r="AC268" s="132"/>
    </row>
    <row r="269" ht="24.75" hidden="1" customHeight="1" outlineLevel="1">
      <c r="A269" s="565">
        <v>44869.0</v>
      </c>
      <c r="B269" s="547" t="s">
        <v>1181</v>
      </c>
      <c r="C269" s="548" t="s">
        <v>1398</v>
      </c>
      <c r="D269" s="548" t="s">
        <v>1399</v>
      </c>
      <c r="E269" s="573" t="s">
        <v>1203</v>
      </c>
      <c r="F269" s="132"/>
      <c r="G269" s="132"/>
      <c r="H269" s="132"/>
      <c r="I269" s="132"/>
      <c r="J269" s="132"/>
      <c r="K269" s="132"/>
      <c r="L269" s="132"/>
      <c r="M269" s="132"/>
      <c r="N269" s="132"/>
      <c r="O269" s="132"/>
      <c r="P269" s="132"/>
      <c r="Q269" s="132"/>
      <c r="R269" s="132"/>
      <c r="S269" s="132"/>
      <c r="T269" s="132"/>
      <c r="U269" s="132"/>
      <c r="V269" s="132"/>
      <c r="W269" s="132"/>
      <c r="X269" s="132"/>
      <c r="Y269" s="132"/>
      <c r="Z269" s="132"/>
      <c r="AA269" s="132"/>
      <c r="AB269" s="132"/>
      <c r="AC269" s="132"/>
    </row>
    <row r="270" ht="24.75" customHeight="1">
      <c r="A270" s="132"/>
      <c r="B270" s="132"/>
      <c r="C270" s="132"/>
      <c r="D270" s="132"/>
      <c r="E270" s="496"/>
      <c r="F270" s="132"/>
      <c r="G270" s="132"/>
      <c r="H270" s="132"/>
      <c r="I270" s="132"/>
      <c r="J270" s="132"/>
      <c r="K270" s="132"/>
      <c r="L270" s="132"/>
      <c r="M270" s="132"/>
      <c r="N270" s="132"/>
      <c r="O270" s="132"/>
      <c r="P270" s="132"/>
      <c r="Q270" s="132"/>
      <c r="R270" s="132"/>
      <c r="S270" s="132"/>
      <c r="T270" s="132"/>
      <c r="U270" s="132"/>
      <c r="V270" s="132"/>
      <c r="W270" s="132"/>
      <c r="X270" s="132"/>
      <c r="Y270" s="132"/>
      <c r="Z270" s="132"/>
      <c r="AA270" s="132"/>
      <c r="AB270" s="132"/>
      <c r="AC270" s="132"/>
    </row>
    <row r="271" ht="24.75" customHeight="1" collapsed="1">
      <c r="A271" s="175" t="s">
        <v>1400</v>
      </c>
      <c r="B271" s="132"/>
      <c r="C271" s="132"/>
      <c r="D271" s="132"/>
      <c r="E271" s="496"/>
      <c r="F271" s="132"/>
      <c r="G271" s="132"/>
      <c r="H271" s="132"/>
      <c r="I271" s="132"/>
      <c r="J271" s="132"/>
      <c r="K271" s="132"/>
      <c r="L271" s="132"/>
      <c r="M271" s="132"/>
      <c r="N271" s="132"/>
      <c r="O271" s="132"/>
      <c r="P271" s="132"/>
      <c r="Q271" s="132"/>
      <c r="R271" s="132"/>
      <c r="S271" s="132"/>
      <c r="T271" s="132"/>
      <c r="U271" s="132"/>
      <c r="V271" s="132"/>
      <c r="W271" s="132"/>
      <c r="X271" s="132"/>
      <c r="Y271" s="132"/>
      <c r="Z271" s="132"/>
      <c r="AA271" s="132"/>
      <c r="AB271" s="132"/>
      <c r="AC271" s="132"/>
    </row>
    <row r="272" ht="24.75" hidden="1" customHeight="1" outlineLevel="1">
      <c r="A272" s="499" t="s">
        <v>1166</v>
      </c>
      <c r="B272" s="499" t="s">
        <v>1117</v>
      </c>
      <c r="C272" s="499" t="s">
        <v>1167</v>
      </c>
      <c r="D272" s="499" t="s">
        <v>1168</v>
      </c>
      <c r="E272" s="499" t="s">
        <v>1169</v>
      </c>
      <c r="F272" s="579"/>
      <c r="G272" s="579"/>
      <c r="H272" s="579" t="s">
        <v>1393</v>
      </c>
      <c r="I272" s="580" t="s">
        <v>1394</v>
      </c>
      <c r="J272" s="132"/>
      <c r="K272" s="132"/>
      <c r="L272" s="132"/>
      <c r="M272" s="132"/>
      <c r="N272" s="132"/>
      <c r="O272" s="132"/>
      <c r="P272" s="132"/>
      <c r="Q272" s="132"/>
      <c r="R272" s="132"/>
      <c r="S272" s="132"/>
      <c r="T272" s="132"/>
      <c r="U272" s="132"/>
      <c r="V272" s="132"/>
      <c r="W272" s="132"/>
      <c r="X272" s="132"/>
      <c r="Y272" s="132"/>
      <c r="Z272" s="132"/>
      <c r="AA272" s="132"/>
      <c r="AB272" s="132"/>
      <c r="AC272" s="132"/>
    </row>
    <row r="273" ht="24.75" hidden="1" customHeight="1" outlineLevel="1">
      <c r="A273" s="565">
        <v>44887.0</v>
      </c>
      <c r="B273" s="507" t="s">
        <v>1322</v>
      </c>
      <c r="C273" s="507" t="s">
        <v>1233</v>
      </c>
      <c r="D273" s="507" t="s">
        <v>1319</v>
      </c>
      <c r="E273" s="573" t="s">
        <v>1235</v>
      </c>
      <c r="F273" s="132"/>
      <c r="G273" s="132"/>
      <c r="H273" s="132"/>
      <c r="I273" s="132"/>
      <c r="J273" s="132"/>
      <c r="K273" s="132"/>
      <c r="L273" s="132"/>
      <c r="M273" s="132"/>
      <c r="N273" s="132"/>
      <c r="O273" s="132"/>
      <c r="P273" s="132"/>
      <c r="Q273" s="132"/>
      <c r="R273" s="132"/>
      <c r="S273" s="132"/>
      <c r="T273" s="132"/>
      <c r="U273" s="132"/>
      <c r="V273" s="132"/>
      <c r="W273" s="132"/>
      <c r="X273" s="132"/>
      <c r="Y273" s="132"/>
      <c r="Z273" s="132"/>
      <c r="AA273" s="132"/>
      <c r="AB273" s="132"/>
      <c r="AC273" s="132"/>
    </row>
    <row r="274" ht="24.75" hidden="1" customHeight="1" outlineLevel="1">
      <c r="A274" s="565">
        <v>44887.0</v>
      </c>
      <c r="B274" s="507" t="s">
        <v>1232</v>
      </c>
      <c r="C274" s="511" t="s">
        <v>1233</v>
      </c>
      <c r="D274" s="507" t="s">
        <v>1319</v>
      </c>
      <c r="E274" s="589" t="s">
        <v>1235</v>
      </c>
      <c r="F274" s="132"/>
      <c r="G274" s="132"/>
      <c r="H274" s="132"/>
      <c r="I274" s="132"/>
      <c r="J274" s="132"/>
      <c r="K274" s="132"/>
      <c r="L274" s="132"/>
      <c r="M274" s="132"/>
      <c r="N274" s="132"/>
      <c r="O274" s="132"/>
      <c r="P274" s="132"/>
      <c r="Q274" s="132"/>
      <c r="R274" s="132"/>
      <c r="S274" s="132"/>
      <c r="T274" s="132"/>
      <c r="U274" s="132"/>
      <c r="V274" s="132"/>
      <c r="W274" s="132"/>
      <c r="X274" s="132"/>
      <c r="Y274" s="132"/>
      <c r="Z274" s="132"/>
      <c r="AA274" s="132"/>
      <c r="AB274" s="132"/>
      <c r="AC274" s="132"/>
    </row>
    <row r="275" ht="24.75" hidden="1" customHeight="1" outlineLevel="1">
      <c r="A275" s="565">
        <v>44887.0</v>
      </c>
      <c r="B275" s="507" t="s">
        <v>1325</v>
      </c>
      <c r="C275" s="531" t="s">
        <v>1233</v>
      </c>
      <c r="D275" s="507" t="s">
        <v>1319</v>
      </c>
      <c r="E275" s="589" t="s">
        <v>1235</v>
      </c>
      <c r="F275" s="132"/>
      <c r="G275" s="132"/>
      <c r="H275" s="132"/>
      <c r="I275" s="132"/>
      <c r="J275" s="132"/>
      <c r="K275" s="132"/>
      <c r="L275" s="132"/>
      <c r="M275" s="132"/>
      <c r="N275" s="132"/>
      <c r="O275" s="132"/>
      <c r="P275" s="132"/>
      <c r="Q275" s="132"/>
      <c r="R275" s="132"/>
      <c r="S275" s="132"/>
      <c r="T275" s="132"/>
      <c r="U275" s="132"/>
      <c r="V275" s="132"/>
      <c r="W275" s="132"/>
      <c r="X275" s="132"/>
      <c r="Y275" s="132"/>
      <c r="Z275" s="132"/>
      <c r="AA275" s="132"/>
      <c r="AB275" s="132"/>
      <c r="AC275" s="132"/>
    </row>
    <row r="276" ht="24.75" hidden="1" customHeight="1" outlineLevel="1">
      <c r="A276" s="565">
        <v>44888.0</v>
      </c>
      <c r="B276" s="507" t="s">
        <v>1198</v>
      </c>
      <c r="C276" s="511" t="s">
        <v>1233</v>
      </c>
      <c r="D276" s="507" t="s">
        <v>1319</v>
      </c>
      <c r="E276" s="589" t="s">
        <v>1235</v>
      </c>
      <c r="F276" s="132"/>
      <c r="G276" s="132"/>
      <c r="H276" s="132"/>
      <c r="I276" s="132"/>
      <c r="J276" s="132"/>
      <c r="K276" s="132"/>
      <c r="L276" s="132"/>
      <c r="M276" s="132"/>
      <c r="N276" s="132"/>
      <c r="O276" s="132"/>
      <c r="P276" s="132"/>
      <c r="Q276" s="132"/>
      <c r="R276" s="132"/>
      <c r="S276" s="132"/>
      <c r="T276" s="132"/>
      <c r="U276" s="132"/>
      <c r="V276" s="132"/>
      <c r="W276" s="132"/>
      <c r="X276" s="132"/>
      <c r="Y276" s="132"/>
      <c r="Z276" s="132"/>
      <c r="AA276" s="132"/>
      <c r="AB276" s="132"/>
      <c r="AC276" s="132"/>
    </row>
    <row r="277" ht="24.75" hidden="1" customHeight="1" outlineLevel="1">
      <c r="A277" s="565">
        <v>44888.0</v>
      </c>
      <c r="B277" s="507" t="s">
        <v>1226</v>
      </c>
      <c r="C277" s="586" t="s">
        <v>1302</v>
      </c>
      <c r="D277" s="507" t="s">
        <v>1319</v>
      </c>
      <c r="E277" s="589" t="s">
        <v>1235</v>
      </c>
      <c r="F277" s="132"/>
      <c r="G277" s="132"/>
      <c r="H277" s="132"/>
      <c r="I277" s="132"/>
      <c r="J277" s="132"/>
      <c r="K277" s="132"/>
      <c r="L277" s="132"/>
      <c r="M277" s="132"/>
      <c r="N277" s="132"/>
      <c r="O277" s="132"/>
      <c r="P277" s="132"/>
      <c r="Q277" s="132"/>
      <c r="R277" s="132"/>
      <c r="S277" s="132"/>
      <c r="T277" s="132"/>
      <c r="U277" s="132"/>
      <c r="V277" s="132"/>
      <c r="W277" s="132"/>
      <c r="X277" s="132"/>
      <c r="Y277" s="132"/>
      <c r="Z277" s="132"/>
      <c r="AA277" s="132"/>
      <c r="AB277" s="132"/>
      <c r="AC277" s="132"/>
    </row>
    <row r="278" ht="24.75" hidden="1" customHeight="1" outlineLevel="1">
      <c r="A278" s="565">
        <v>44888.0</v>
      </c>
      <c r="B278" s="590" t="s">
        <v>1258</v>
      </c>
      <c r="C278" s="586" t="s">
        <v>1259</v>
      </c>
      <c r="D278" s="507" t="s">
        <v>1319</v>
      </c>
      <c r="E278" s="589" t="s">
        <v>1235</v>
      </c>
      <c r="F278" s="132"/>
      <c r="G278" s="132"/>
      <c r="H278" s="132"/>
      <c r="I278" s="132"/>
      <c r="J278" s="132"/>
      <c r="K278" s="132"/>
      <c r="L278" s="132"/>
      <c r="M278" s="132"/>
      <c r="N278" s="132"/>
      <c r="O278" s="132"/>
      <c r="P278" s="132"/>
      <c r="Q278" s="132"/>
      <c r="R278" s="132"/>
      <c r="S278" s="132"/>
      <c r="T278" s="132"/>
      <c r="U278" s="132"/>
      <c r="V278" s="132"/>
      <c r="W278" s="132"/>
      <c r="X278" s="132"/>
      <c r="Y278" s="132"/>
      <c r="Z278" s="132"/>
      <c r="AA278" s="132"/>
      <c r="AB278" s="132"/>
      <c r="AC278" s="132"/>
    </row>
    <row r="279" ht="24.75" hidden="1" customHeight="1" outlineLevel="1">
      <c r="A279" s="565">
        <v>44888.0</v>
      </c>
      <c r="B279" s="590" t="s">
        <v>1204</v>
      </c>
      <c r="C279" s="586" t="s">
        <v>1401</v>
      </c>
      <c r="D279" s="507" t="s">
        <v>1319</v>
      </c>
      <c r="E279" s="589" t="s">
        <v>1235</v>
      </c>
      <c r="F279" s="175"/>
      <c r="G279" s="175"/>
      <c r="H279" s="175" t="s">
        <v>1402</v>
      </c>
      <c r="I279" s="132"/>
      <c r="J279" s="132"/>
      <c r="K279" s="132"/>
      <c r="L279" s="132"/>
      <c r="M279" s="132"/>
      <c r="N279" s="132"/>
      <c r="O279" s="132"/>
      <c r="P279" s="132"/>
      <c r="Q279" s="132"/>
      <c r="R279" s="132"/>
      <c r="S279" s="132"/>
      <c r="T279" s="132"/>
      <c r="U279" s="132"/>
      <c r="V279" s="132"/>
      <c r="W279" s="132"/>
      <c r="X279" s="132"/>
      <c r="Y279" s="132"/>
      <c r="Z279" s="132"/>
      <c r="AA279" s="132"/>
      <c r="AB279" s="132"/>
      <c r="AC279" s="132"/>
    </row>
    <row r="280" ht="24.75" hidden="1" customHeight="1" outlineLevel="1">
      <c r="A280" s="565">
        <v>44889.0</v>
      </c>
      <c r="B280" s="507" t="s">
        <v>1178</v>
      </c>
      <c r="C280" s="511" t="s">
        <v>536</v>
      </c>
      <c r="D280" s="507" t="s">
        <v>1319</v>
      </c>
      <c r="E280" s="591" t="s">
        <v>1235</v>
      </c>
      <c r="F280" s="132"/>
      <c r="G280" s="132"/>
      <c r="H280" s="132"/>
      <c r="I280" s="132"/>
      <c r="J280" s="132"/>
      <c r="K280" s="132"/>
      <c r="L280" s="132"/>
      <c r="M280" s="132"/>
      <c r="N280" s="132"/>
      <c r="O280" s="132"/>
      <c r="P280" s="132"/>
      <c r="Q280" s="132"/>
      <c r="R280" s="132"/>
      <c r="S280" s="132"/>
      <c r="T280" s="132"/>
      <c r="U280" s="132"/>
      <c r="V280" s="132"/>
      <c r="W280" s="132"/>
      <c r="X280" s="132"/>
      <c r="Y280" s="132"/>
      <c r="Z280" s="132"/>
      <c r="AA280" s="132"/>
      <c r="AB280" s="132"/>
      <c r="AC280" s="132"/>
    </row>
    <row r="281" ht="24.75" customHeight="1">
      <c r="A281" s="132"/>
      <c r="B281" s="132"/>
      <c r="C281" s="132"/>
      <c r="D281" s="132"/>
      <c r="E281" s="496"/>
      <c r="F281" s="132"/>
      <c r="G281" s="132"/>
      <c r="H281" s="132"/>
      <c r="I281" s="132"/>
      <c r="J281" s="132"/>
      <c r="K281" s="132"/>
      <c r="L281" s="132"/>
      <c r="M281" s="132"/>
      <c r="N281" s="132"/>
      <c r="O281" s="132"/>
      <c r="P281" s="132"/>
      <c r="Q281" s="132"/>
      <c r="R281" s="132"/>
      <c r="S281" s="132"/>
      <c r="T281" s="132"/>
      <c r="U281" s="132"/>
      <c r="V281" s="132"/>
      <c r="W281" s="132"/>
      <c r="X281" s="132"/>
      <c r="Y281" s="132"/>
      <c r="Z281" s="132"/>
      <c r="AA281" s="132"/>
      <c r="AB281" s="132"/>
      <c r="AC281" s="132"/>
    </row>
    <row r="282" ht="24.75" customHeight="1" collapsed="1">
      <c r="A282" s="592" t="s">
        <v>1403</v>
      </c>
      <c r="B282" s="593"/>
      <c r="C282" s="593"/>
      <c r="D282" s="593"/>
      <c r="E282" s="594"/>
      <c r="F282" s="132"/>
      <c r="G282" s="132"/>
      <c r="H282" s="132"/>
      <c r="I282" s="132"/>
      <c r="J282" s="132"/>
      <c r="K282" s="132"/>
      <c r="L282" s="132"/>
      <c r="M282" s="132"/>
      <c r="N282" s="132"/>
      <c r="O282" s="132"/>
      <c r="P282" s="132"/>
      <c r="Q282" s="132"/>
      <c r="R282" s="132"/>
      <c r="S282" s="132"/>
      <c r="T282" s="132"/>
      <c r="U282" s="132"/>
      <c r="V282" s="132"/>
      <c r="W282" s="132"/>
      <c r="X282" s="132"/>
      <c r="Y282" s="132"/>
      <c r="Z282" s="132"/>
      <c r="AA282" s="132"/>
      <c r="AB282" s="132"/>
      <c r="AC282" s="132"/>
    </row>
    <row r="283" ht="24.75" hidden="1" customHeight="1" outlineLevel="1">
      <c r="A283" s="595" t="s">
        <v>1166</v>
      </c>
      <c r="B283" s="595" t="s">
        <v>1117</v>
      </c>
      <c r="C283" s="595" t="s">
        <v>1167</v>
      </c>
      <c r="D283" s="595" t="s">
        <v>1168</v>
      </c>
      <c r="E283" s="595" t="s">
        <v>1169</v>
      </c>
      <c r="F283" s="579"/>
      <c r="G283" s="579"/>
      <c r="H283" s="579" t="s">
        <v>1393</v>
      </c>
      <c r="I283" s="580" t="s">
        <v>1394</v>
      </c>
      <c r="J283" s="132"/>
      <c r="K283" s="132"/>
      <c r="L283" s="175" t="s">
        <v>1404</v>
      </c>
      <c r="M283" s="132"/>
      <c r="N283" s="132"/>
      <c r="O283" s="132"/>
      <c r="P283" s="132"/>
      <c r="Q283" s="132"/>
      <c r="R283" s="132"/>
      <c r="S283" s="132"/>
      <c r="T283" s="132"/>
      <c r="U283" s="132"/>
      <c r="V283" s="132"/>
      <c r="W283" s="132"/>
      <c r="X283" s="132"/>
      <c r="Y283" s="132"/>
      <c r="Z283" s="132"/>
      <c r="AA283" s="132"/>
      <c r="AB283" s="132"/>
      <c r="AC283" s="132"/>
    </row>
    <row r="284" ht="24.75" hidden="1" customHeight="1" outlineLevel="1">
      <c r="A284" s="551">
        <v>44924.0</v>
      </c>
      <c r="B284" s="507" t="s">
        <v>1178</v>
      </c>
      <c r="C284" s="511" t="s">
        <v>536</v>
      </c>
      <c r="D284" s="507" t="s">
        <v>1319</v>
      </c>
      <c r="E284" s="573" t="s">
        <v>1235</v>
      </c>
      <c r="F284" s="132"/>
      <c r="G284" s="132"/>
      <c r="H284" s="132"/>
      <c r="J284" s="132"/>
      <c r="K284" s="132"/>
      <c r="L284" s="132"/>
      <c r="M284" s="132"/>
      <c r="N284" s="132"/>
      <c r="O284" s="132"/>
      <c r="P284" s="132"/>
      <c r="Q284" s="132"/>
      <c r="R284" s="132"/>
      <c r="S284" s="132"/>
      <c r="T284" s="132"/>
      <c r="U284" s="132"/>
      <c r="V284" s="132"/>
      <c r="W284" s="132"/>
      <c r="X284" s="132"/>
      <c r="Y284" s="132"/>
      <c r="Z284" s="132"/>
      <c r="AA284" s="132"/>
      <c r="AB284" s="132"/>
      <c r="AC284" s="132"/>
    </row>
    <row r="285" ht="24.75" hidden="1" customHeight="1" outlineLevel="1">
      <c r="A285" s="551">
        <v>44925.0</v>
      </c>
      <c r="B285" s="507" t="s">
        <v>1232</v>
      </c>
      <c r="C285" s="511" t="s">
        <v>1233</v>
      </c>
      <c r="D285" s="507" t="s">
        <v>1405</v>
      </c>
      <c r="E285" s="591" t="s">
        <v>1235</v>
      </c>
      <c r="I285" s="175"/>
      <c r="J285" s="132"/>
      <c r="K285" s="132"/>
      <c r="L285" s="596" t="s">
        <v>1406</v>
      </c>
      <c r="M285" s="132"/>
      <c r="N285" s="132"/>
      <c r="O285" s="132"/>
      <c r="P285" s="132"/>
      <c r="Q285" s="132"/>
      <c r="R285" s="132"/>
      <c r="S285" s="132"/>
      <c r="T285" s="132"/>
      <c r="U285" s="132"/>
      <c r="V285" s="132"/>
      <c r="W285" s="132"/>
      <c r="X285" s="132"/>
      <c r="Y285" s="132"/>
      <c r="Z285" s="132"/>
      <c r="AA285" s="132"/>
      <c r="AB285" s="132"/>
      <c r="AC285" s="132"/>
    </row>
    <row r="286" ht="24.75" hidden="1" customHeight="1" outlineLevel="1">
      <c r="A286" s="551">
        <v>44925.0</v>
      </c>
      <c r="B286" s="507" t="s">
        <v>1407</v>
      </c>
      <c r="C286" s="507" t="s">
        <v>1233</v>
      </c>
      <c r="D286" s="507" t="s">
        <v>1319</v>
      </c>
      <c r="E286" s="573" t="s">
        <v>1235</v>
      </c>
      <c r="I286" s="132"/>
      <c r="J286" s="132"/>
      <c r="K286" s="132"/>
      <c r="L286" s="596" t="s">
        <v>1408</v>
      </c>
      <c r="M286" s="132"/>
      <c r="N286" s="132"/>
      <c r="O286" s="132"/>
      <c r="P286" s="132"/>
      <c r="Q286" s="132"/>
      <c r="R286" s="132"/>
      <c r="S286" s="132"/>
      <c r="T286" s="132"/>
      <c r="U286" s="132"/>
      <c r="V286" s="132"/>
      <c r="W286" s="132"/>
      <c r="X286" s="132"/>
      <c r="Y286" s="132"/>
      <c r="Z286" s="132"/>
      <c r="AA286" s="132"/>
      <c r="AB286" s="132"/>
      <c r="AC286" s="132"/>
    </row>
    <row r="287" ht="24.75" hidden="1" customHeight="1" outlineLevel="1">
      <c r="A287" s="551">
        <v>44926.0</v>
      </c>
      <c r="B287" s="507" t="s">
        <v>1209</v>
      </c>
      <c r="C287" s="507" t="s">
        <v>1233</v>
      </c>
      <c r="D287" s="507" t="s">
        <v>144</v>
      </c>
      <c r="E287" s="573" t="s">
        <v>1235</v>
      </c>
      <c r="I287" s="175"/>
      <c r="J287" s="132"/>
      <c r="K287" s="132"/>
      <c r="L287" s="596" t="s">
        <v>1409</v>
      </c>
      <c r="M287" s="132"/>
      <c r="N287" s="132"/>
      <c r="O287" s="132"/>
      <c r="P287" s="132"/>
      <c r="Q287" s="132"/>
      <c r="R287" s="132"/>
      <c r="S287" s="132"/>
      <c r="T287" s="132"/>
      <c r="U287" s="132"/>
      <c r="V287" s="132"/>
      <c r="W287" s="132"/>
      <c r="X287" s="132"/>
      <c r="Y287" s="132"/>
      <c r="Z287" s="132"/>
      <c r="AA287" s="132"/>
      <c r="AB287" s="132"/>
      <c r="AC287" s="132"/>
    </row>
    <row r="288" ht="24.75" hidden="1" customHeight="1" outlineLevel="1">
      <c r="A288" s="551">
        <v>44926.0</v>
      </c>
      <c r="B288" s="507" t="s">
        <v>1238</v>
      </c>
      <c r="C288" s="511" t="s">
        <v>1259</v>
      </c>
      <c r="D288" s="507" t="s">
        <v>1175</v>
      </c>
      <c r="E288" s="573" t="s">
        <v>1203</v>
      </c>
      <c r="I288" s="175"/>
      <c r="J288" s="132"/>
      <c r="K288" s="132"/>
      <c r="L288" s="132"/>
      <c r="M288" s="132"/>
      <c r="N288" s="132"/>
      <c r="O288" s="132"/>
      <c r="P288" s="132"/>
      <c r="Q288" s="132"/>
      <c r="R288" s="132"/>
      <c r="S288" s="132"/>
      <c r="T288" s="132"/>
      <c r="U288" s="132"/>
      <c r="V288" s="132"/>
      <c r="W288" s="132"/>
      <c r="X288" s="132"/>
      <c r="Y288" s="132"/>
      <c r="Z288" s="132"/>
      <c r="AA288" s="132"/>
      <c r="AB288" s="132"/>
      <c r="AC288" s="132"/>
    </row>
    <row r="289" ht="24.75" hidden="1" customHeight="1" outlineLevel="1">
      <c r="A289" s="551">
        <v>44926.0</v>
      </c>
      <c r="B289" s="527" t="s">
        <v>1210</v>
      </c>
      <c r="C289" s="574" t="s">
        <v>1410</v>
      </c>
      <c r="D289" s="507" t="s">
        <v>1175</v>
      </c>
      <c r="E289" s="573" t="s">
        <v>1203</v>
      </c>
      <c r="F289" s="175"/>
      <c r="G289" s="175"/>
      <c r="H289" s="175" t="s">
        <v>1240</v>
      </c>
      <c r="I289" s="175"/>
      <c r="J289" s="132"/>
      <c r="K289" s="132"/>
      <c r="L289" s="175" t="s">
        <v>1411</v>
      </c>
      <c r="M289" s="132"/>
      <c r="N289" s="132"/>
      <c r="O289" s="132"/>
      <c r="P289" s="132"/>
      <c r="Q289" s="132"/>
      <c r="R289" s="132"/>
      <c r="S289" s="132"/>
      <c r="T289" s="132"/>
      <c r="U289" s="132"/>
      <c r="V289" s="132"/>
      <c r="W289" s="132"/>
      <c r="X289" s="132"/>
      <c r="Y289" s="132"/>
      <c r="Z289" s="132"/>
      <c r="AA289" s="132"/>
      <c r="AB289" s="132"/>
      <c r="AC289" s="132"/>
    </row>
    <row r="290" ht="24.75" hidden="1" customHeight="1" outlineLevel="1">
      <c r="A290" s="551">
        <v>44926.0</v>
      </c>
      <c r="B290" s="527" t="s">
        <v>1213</v>
      </c>
      <c r="C290" s="511" t="s">
        <v>1302</v>
      </c>
      <c r="D290" s="507" t="s">
        <v>1175</v>
      </c>
      <c r="E290" s="573" t="s">
        <v>1203</v>
      </c>
      <c r="F290" s="175"/>
      <c r="G290" s="175"/>
      <c r="H290" s="175" t="s">
        <v>1386</v>
      </c>
      <c r="I290" s="132"/>
      <c r="J290" s="132"/>
      <c r="K290" s="132"/>
      <c r="L290" s="132"/>
      <c r="M290" s="132"/>
      <c r="N290" s="132"/>
      <c r="O290" s="132"/>
      <c r="P290" s="132"/>
      <c r="Q290" s="132"/>
      <c r="R290" s="132"/>
      <c r="S290" s="132"/>
      <c r="T290" s="132"/>
      <c r="U290" s="132"/>
      <c r="V290" s="132"/>
      <c r="W290" s="132"/>
      <c r="X290" s="132"/>
      <c r="Y290" s="132"/>
      <c r="Z290" s="132"/>
      <c r="AA290" s="132"/>
      <c r="AB290" s="132"/>
      <c r="AC290" s="132"/>
    </row>
    <row r="291" ht="24.75" hidden="1" customHeight="1" outlineLevel="1">
      <c r="A291" s="551">
        <v>44927.0</v>
      </c>
      <c r="B291" s="507" t="s">
        <v>1187</v>
      </c>
      <c r="C291" s="511" t="s">
        <v>1412</v>
      </c>
      <c r="D291" s="507" t="s">
        <v>1175</v>
      </c>
      <c r="E291" s="573" t="s">
        <v>1203</v>
      </c>
      <c r="I291" s="175"/>
      <c r="J291" s="132"/>
      <c r="K291" s="132"/>
      <c r="L291" s="132"/>
      <c r="M291" s="132"/>
      <c r="N291" s="132"/>
      <c r="O291" s="132"/>
      <c r="P291" s="132"/>
      <c r="Q291" s="132"/>
      <c r="R291" s="132"/>
      <c r="S291" s="132"/>
      <c r="T291" s="132"/>
      <c r="U291" s="132"/>
      <c r="V291" s="132"/>
      <c r="W291" s="132"/>
      <c r="X291" s="132"/>
      <c r="Y291" s="132"/>
      <c r="Z291" s="132"/>
      <c r="AA291" s="132"/>
      <c r="AB291" s="132"/>
      <c r="AC291" s="132"/>
    </row>
    <row r="292" ht="24.75" hidden="1" customHeight="1" outlineLevel="1">
      <c r="A292" s="551">
        <v>44927.0</v>
      </c>
      <c r="B292" s="507" t="s">
        <v>1189</v>
      </c>
      <c r="C292" s="511" t="s">
        <v>1259</v>
      </c>
      <c r="D292" s="507" t="s">
        <v>1175</v>
      </c>
      <c r="E292" s="573" t="s">
        <v>1203</v>
      </c>
      <c r="F292" s="132"/>
      <c r="G292" s="132"/>
      <c r="H292" s="132"/>
      <c r="I292" s="132"/>
      <c r="J292" s="132"/>
      <c r="K292" s="132"/>
      <c r="L292" s="132"/>
      <c r="M292" s="132"/>
      <c r="N292" s="132"/>
      <c r="O292" s="132"/>
      <c r="P292" s="132"/>
      <c r="Q292" s="132"/>
      <c r="R292" s="132"/>
      <c r="S292" s="132"/>
      <c r="T292" s="132"/>
      <c r="U292" s="132"/>
      <c r="V292" s="132"/>
      <c r="W292" s="132"/>
      <c r="X292" s="132"/>
      <c r="Y292" s="132"/>
      <c r="Z292" s="132"/>
      <c r="AA292" s="132"/>
      <c r="AB292" s="132"/>
      <c r="AC292" s="132"/>
    </row>
    <row r="293" ht="24.75" hidden="1" customHeight="1" outlineLevel="1">
      <c r="A293" s="551">
        <v>44928.0</v>
      </c>
      <c r="B293" s="507" t="s">
        <v>1249</v>
      </c>
      <c r="C293" s="511" t="s">
        <v>1302</v>
      </c>
      <c r="D293" s="507" t="s">
        <v>1175</v>
      </c>
      <c r="E293" s="573" t="s">
        <v>1203</v>
      </c>
      <c r="F293" s="132"/>
      <c r="G293" s="132"/>
      <c r="H293" s="132"/>
      <c r="I293" s="132"/>
      <c r="J293" s="132"/>
      <c r="K293" s="132"/>
      <c r="L293" s="132"/>
      <c r="M293" s="132"/>
      <c r="N293" s="132"/>
      <c r="O293" s="132"/>
      <c r="P293" s="132"/>
      <c r="Q293" s="132"/>
      <c r="R293" s="132"/>
      <c r="S293" s="132"/>
      <c r="T293" s="132"/>
      <c r="U293" s="132"/>
      <c r="V293" s="132"/>
      <c r="W293" s="132"/>
      <c r="X293" s="132"/>
      <c r="Y293" s="132"/>
      <c r="Z293" s="132"/>
      <c r="AA293" s="132"/>
      <c r="AB293" s="132"/>
      <c r="AC293" s="132"/>
    </row>
    <row r="294" ht="24.75" hidden="1" customHeight="1" outlineLevel="1">
      <c r="A294" s="551">
        <v>44928.0</v>
      </c>
      <c r="B294" s="507" t="s">
        <v>629</v>
      </c>
      <c r="C294" s="511" t="s">
        <v>1233</v>
      </c>
      <c r="D294" s="507" t="s">
        <v>1175</v>
      </c>
      <c r="E294" s="573" t="s">
        <v>1235</v>
      </c>
      <c r="F294" s="132"/>
      <c r="G294" s="132"/>
      <c r="H294" s="132"/>
      <c r="I294" s="132"/>
      <c r="J294" s="132"/>
      <c r="K294" s="132"/>
      <c r="L294" s="132"/>
      <c r="M294" s="132"/>
      <c r="N294" s="132"/>
      <c r="O294" s="132"/>
      <c r="P294" s="132"/>
      <c r="Q294" s="132"/>
      <c r="R294" s="132"/>
      <c r="S294" s="132"/>
      <c r="T294" s="132"/>
      <c r="U294" s="132"/>
      <c r="V294" s="132"/>
      <c r="W294" s="132"/>
      <c r="X294" s="132"/>
      <c r="Y294" s="132"/>
      <c r="Z294" s="132"/>
      <c r="AA294" s="132"/>
      <c r="AB294" s="132"/>
      <c r="AC294" s="132"/>
    </row>
    <row r="295" ht="24.75" hidden="1" customHeight="1" outlineLevel="1">
      <c r="A295" s="551">
        <v>44928.0</v>
      </c>
      <c r="B295" s="507" t="s">
        <v>1217</v>
      </c>
      <c r="C295" s="511" t="s">
        <v>1367</v>
      </c>
      <c r="D295" s="507" t="s">
        <v>1175</v>
      </c>
      <c r="E295" s="573" t="s">
        <v>1203</v>
      </c>
      <c r="F295" s="175"/>
      <c r="G295" s="175"/>
      <c r="H295" s="175" t="s">
        <v>1240</v>
      </c>
      <c r="I295" s="132"/>
      <c r="J295" s="132"/>
      <c r="K295" s="132"/>
      <c r="L295" s="132"/>
      <c r="M295" s="132"/>
      <c r="N295" s="132"/>
      <c r="O295" s="132"/>
      <c r="P295" s="132"/>
      <c r="Q295" s="132"/>
      <c r="R295" s="132"/>
      <c r="S295" s="132"/>
      <c r="T295" s="132"/>
      <c r="U295" s="132"/>
      <c r="V295" s="132"/>
      <c r="W295" s="132"/>
      <c r="X295" s="132"/>
      <c r="Y295" s="132"/>
      <c r="Z295" s="132"/>
      <c r="AA295" s="132"/>
      <c r="AB295" s="132"/>
      <c r="AC295" s="132"/>
    </row>
    <row r="296" ht="24.75" hidden="1" customHeight="1" outlineLevel="1">
      <c r="A296" s="565">
        <v>44929.0</v>
      </c>
      <c r="B296" s="507" t="s">
        <v>1413</v>
      </c>
      <c r="C296" s="511" t="s">
        <v>1233</v>
      </c>
      <c r="D296" s="507" t="s">
        <v>1319</v>
      </c>
      <c r="E296" s="573" t="s">
        <v>1235</v>
      </c>
      <c r="F296" s="132"/>
      <c r="G296" s="132"/>
      <c r="H296" s="132"/>
      <c r="I296" s="132"/>
      <c r="J296" s="132"/>
      <c r="K296" s="132"/>
      <c r="L296" s="132"/>
      <c r="M296" s="132"/>
      <c r="N296" s="132"/>
      <c r="O296" s="132"/>
      <c r="P296" s="132"/>
      <c r="Q296" s="132"/>
      <c r="R296" s="132"/>
      <c r="S296" s="132"/>
      <c r="T296" s="132"/>
      <c r="U296" s="132"/>
      <c r="V296" s="132"/>
      <c r="W296" s="132"/>
      <c r="X296" s="132"/>
      <c r="Y296" s="132"/>
      <c r="Z296" s="132"/>
      <c r="AA296" s="132"/>
      <c r="AB296" s="132"/>
      <c r="AC296" s="132"/>
    </row>
    <row r="297" ht="30.0" hidden="1" customHeight="1" outlineLevel="1">
      <c r="A297" s="565">
        <v>44929.0</v>
      </c>
      <c r="B297" s="507" t="s">
        <v>1232</v>
      </c>
      <c r="C297" s="511" t="s">
        <v>1233</v>
      </c>
      <c r="D297" s="579" t="s">
        <v>1414</v>
      </c>
      <c r="E297" s="573" t="s">
        <v>1235</v>
      </c>
      <c r="F297" s="132"/>
      <c r="G297" s="132"/>
      <c r="H297" s="132"/>
      <c r="I297" s="132"/>
      <c r="J297" s="132"/>
      <c r="K297" s="132"/>
      <c r="L297" s="132"/>
      <c r="M297" s="132"/>
      <c r="N297" s="132"/>
      <c r="O297" s="132"/>
      <c r="P297" s="132"/>
      <c r="Q297" s="132"/>
      <c r="R297" s="132"/>
      <c r="S297" s="132"/>
      <c r="T297" s="132"/>
      <c r="U297" s="132"/>
      <c r="V297" s="132"/>
      <c r="W297" s="132"/>
      <c r="X297" s="132"/>
      <c r="Y297" s="132"/>
      <c r="Z297" s="132"/>
      <c r="AA297" s="132"/>
      <c r="AB297" s="132"/>
      <c r="AC297" s="132"/>
    </row>
    <row r="298" ht="24.75" hidden="1" customHeight="1" outlineLevel="1">
      <c r="A298" s="565">
        <v>44929.0</v>
      </c>
      <c r="B298" s="507" t="s">
        <v>1415</v>
      </c>
      <c r="C298" s="511" t="s">
        <v>1233</v>
      </c>
      <c r="D298" s="507" t="s">
        <v>1180</v>
      </c>
      <c r="E298" s="573" t="s">
        <v>1235</v>
      </c>
      <c r="F298" s="132"/>
      <c r="G298" s="132"/>
      <c r="H298" s="132"/>
      <c r="I298" s="132"/>
      <c r="J298" s="132"/>
      <c r="K298" s="132"/>
      <c r="L298" s="132"/>
      <c r="M298" s="132"/>
      <c r="N298" s="132"/>
      <c r="O298" s="132"/>
      <c r="P298" s="132"/>
      <c r="Q298" s="132"/>
      <c r="R298" s="132"/>
      <c r="S298" s="132"/>
      <c r="T298" s="132"/>
      <c r="U298" s="132"/>
      <c r="V298" s="132"/>
      <c r="W298" s="132"/>
      <c r="X298" s="132"/>
      <c r="Y298" s="132"/>
      <c r="Z298" s="132"/>
      <c r="AA298" s="132"/>
      <c r="AB298" s="132"/>
      <c r="AC298" s="132"/>
    </row>
    <row r="299" ht="24.75" hidden="1" customHeight="1" outlineLevel="1">
      <c r="A299" s="565">
        <v>44929.0</v>
      </c>
      <c r="B299" s="507" t="s">
        <v>1254</v>
      </c>
      <c r="C299" s="511" t="s">
        <v>1412</v>
      </c>
      <c r="D299" s="507" t="s">
        <v>1319</v>
      </c>
      <c r="E299" s="573" t="s">
        <v>1235</v>
      </c>
      <c r="F299" s="132"/>
      <c r="G299" s="132"/>
      <c r="H299" s="132"/>
      <c r="I299" s="132"/>
      <c r="J299" s="132"/>
      <c r="K299" s="132"/>
      <c r="L299" s="132"/>
      <c r="M299" s="132"/>
      <c r="N299" s="132"/>
      <c r="O299" s="132"/>
      <c r="P299" s="132"/>
      <c r="Q299" s="132"/>
      <c r="R299" s="132"/>
      <c r="S299" s="132"/>
      <c r="T299" s="132"/>
      <c r="U299" s="132"/>
      <c r="V299" s="132"/>
      <c r="W299" s="132"/>
      <c r="X299" s="132"/>
      <c r="Y299" s="132"/>
      <c r="Z299" s="132"/>
      <c r="AA299" s="132"/>
      <c r="AB299" s="132"/>
      <c r="AC299" s="132"/>
    </row>
    <row r="300" ht="24.75" hidden="1" customHeight="1" outlineLevel="1">
      <c r="A300" s="565">
        <v>44930.0</v>
      </c>
      <c r="B300" s="507" t="s">
        <v>1198</v>
      </c>
      <c r="C300" s="507" t="s">
        <v>1233</v>
      </c>
      <c r="D300" s="507" t="s">
        <v>144</v>
      </c>
      <c r="E300" s="573" t="s">
        <v>1235</v>
      </c>
      <c r="F300" s="175"/>
      <c r="G300" s="175"/>
      <c r="H300" s="175"/>
      <c r="I300" s="132"/>
      <c r="J300" s="132"/>
      <c r="K300" s="132"/>
      <c r="L300" s="132"/>
      <c r="M300" s="132"/>
      <c r="N300" s="132"/>
      <c r="O300" s="132"/>
      <c r="P300" s="132"/>
      <c r="Q300" s="132"/>
      <c r="R300" s="132"/>
      <c r="S300" s="132"/>
      <c r="T300" s="132"/>
      <c r="U300" s="132"/>
      <c r="V300" s="132"/>
      <c r="W300" s="132"/>
      <c r="X300" s="132"/>
      <c r="Y300" s="132"/>
      <c r="Z300" s="132"/>
      <c r="AA300" s="132"/>
      <c r="AB300" s="132"/>
      <c r="AC300" s="132"/>
    </row>
    <row r="301" ht="24.75" hidden="1" customHeight="1" outlineLevel="1">
      <c r="A301" s="565">
        <v>44930.0</v>
      </c>
      <c r="B301" s="507" t="s">
        <v>1226</v>
      </c>
      <c r="C301" s="511" t="s">
        <v>1302</v>
      </c>
      <c r="D301" s="507" t="s">
        <v>144</v>
      </c>
      <c r="E301" s="573" t="s">
        <v>1203</v>
      </c>
      <c r="F301" s="175"/>
      <c r="G301" s="175"/>
      <c r="H301" s="175"/>
      <c r="I301" s="132"/>
      <c r="J301" s="132"/>
      <c r="K301" s="132"/>
      <c r="L301" s="132"/>
      <c r="M301" s="132"/>
      <c r="N301" s="132"/>
      <c r="O301" s="132"/>
      <c r="P301" s="132"/>
      <c r="Q301" s="132"/>
      <c r="R301" s="132"/>
      <c r="S301" s="132"/>
      <c r="T301" s="132"/>
      <c r="U301" s="132"/>
      <c r="V301" s="132"/>
      <c r="W301" s="132"/>
      <c r="X301" s="132"/>
      <c r="Y301" s="132"/>
      <c r="Z301" s="132"/>
      <c r="AA301" s="132"/>
      <c r="AB301" s="132"/>
      <c r="AC301" s="132"/>
    </row>
    <row r="302" ht="24.75" hidden="1" customHeight="1" outlineLevel="1">
      <c r="A302" s="565">
        <v>44930.0</v>
      </c>
      <c r="B302" s="507" t="s">
        <v>1258</v>
      </c>
      <c r="C302" s="511" t="s">
        <v>1259</v>
      </c>
      <c r="D302" s="507" t="s">
        <v>144</v>
      </c>
      <c r="E302" s="573" t="s">
        <v>1203</v>
      </c>
      <c r="F302" s="175"/>
      <c r="G302" s="175"/>
      <c r="H302" s="175"/>
      <c r="I302" s="132"/>
      <c r="J302" s="132"/>
      <c r="K302" s="132"/>
      <c r="L302" s="132"/>
      <c r="M302" s="132"/>
      <c r="N302" s="132"/>
      <c r="O302" s="132"/>
      <c r="P302" s="132"/>
      <c r="Q302" s="132"/>
      <c r="R302" s="132"/>
      <c r="S302" s="132"/>
      <c r="T302" s="132"/>
      <c r="U302" s="132"/>
      <c r="V302" s="132"/>
      <c r="W302" s="132"/>
      <c r="X302" s="132"/>
      <c r="Y302" s="132"/>
      <c r="Z302" s="132"/>
      <c r="AA302" s="132"/>
      <c r="AB302" s="132"/>
      <c r="AC302" s="132"/>
    </row>
    <row r="303" ht="24.75" hidden="1" customHeight="1" outlineLevel="1">
      <c r="A303" s="565">
        <v>44930.0</v>
      </c>
      <c r="B303" s="507" t="s">
        <v>1204</v>
      </c>
      <c r="C303" s="511" t="s">
        <v>1401</v>
      </c>
      <c r="D303" s="507" t="s">
        <v>1416</v>
      </c>
      <c r="E303" s="573" t="s">
        <v>1203</v>
      </c>
      <c r="F303" s="175"/>
      <c r="G303" s="175"/>
      <c r="H303" s="175" t="s">
        <v>1240</v>
      </c>
      <c r="I303" s="132"/>
      <c r="J303" s="132"/>
      <c r="K303" s="132"/>
      <c r="L303" s="132"/>
      <c r="M303" s="132"/>
      <c r="N303" s="132"/>
      <c r="O303" s="132"/>
      <c r="P303" s="132"/>
      <c r="Q303" s="132"/>
      <c r="R303" s="132"/>
      <c r="S303" s="132"/>
      <c r="T303" s="132"/>
      <c r="U303" s="132"/>
      <c r="V303" s="132"/>
      <c r="W303" s="132"/>
      <c r="X303" s="132"/>
      <c r="Y303" s="132"/>
      <c r="Z303" s="132"/>
      <c r="AA303" s="132"/>
      <c r="AB303" s="132"/>
      <c r="AC303" s="132"/>
    </row>
    <row r="304" ht="24.75" hidden="1" customHeight="1" outlineLevel="1">
      <c r="A304" s="565">
        <v>44930.0</v>
      </c>
      <c r="B304" s="507" t="s">
        <v>1261</v>
      </c>
      <c r="C304" s="511" t="s">
        <v>1412</v>
      </c>
      <c r="D304" s="507" t="s">
        <v>1319</v>
      </c>
      <c r="E304" s="573" t="s">
        <v>1235</v>
      </c>
      <c r="F304" s="132"/>
      <c r="G304" s="132"/>
      <c r="H304" s="132"/>
      <c r="I304" s="132"/>
      <c r="J304" s="132"/>
      <c r="K304" s="132"/>
      <c r="L304" s="132"/>
      <c r="M304" s="132"/>
      <c r="N304" s="132"/>
      <c r="O304" s="132"/>
      <c r="P304" s="132"/>
      <c r="Q304" s="132"/>
      <c r="R304" s="132"/>
      <c r="S304" s="132"/>
      <c r="T304" s="132"/>
      <c r="U304" s="132"/>
      <c r="V304" s="132"/>
      <c r="W304" s="132"/>
      <c r="X304" s="132"/>
      <c r="Y304" s="132"/>
      <c r="Z304" s="132"/>
      <c r="AA304" s="132"/>
      <c r="AB304" s="132"/>
      <c r="AC304" s="132"/>
    </row>
    <row r="305" ht="24.75" customHeight="1">
      <c r="A305" s="132"/>
      <c r="B305" s="132"/>
      <c r="C305" s="132"/>
      <c r="D305" s="132"/>
      <c r="E305" s="496"/>
      <c r="F305" s="132"/>
      <c r="G305" s="132"/>
      <c r="H305" s="132"/>
      <c r="I305" s="132"/>
      <c r="J305" s="132"/>
      <c r="K305" s="132"/>
      <c r="L305" s="132"/>
      <c r="M305" s="132"/>
      <c r="N305" s="132"/>
      <c r="O305" s="132"/>
      <c r="P305" s="132"/>
      <c r="Q305" s="132"/>
      <c r="R305" s="132"/>
      <c r="S305" s="132"/>
      <c r="T305" s="132"/>
      <c r="U305" s="132"/>
      <c r="V305" s="132"/>
      <c r="W305" s="132"/>
      <c r="X305" s="132"/>
      <c r="Y305" s="132"/>
      <c r="Z305" s="132"/>
      <c r="AA305" s="132"/>
      <c r="AB305" s="132"/>
      <c r="AC305" s="132"/>
    </row>
    <row r="306" ht="24.75" customHeight="1" collapsed="1">
      <c r="A306" s="532" t="s">
        <v>1417</v>
      </c>
      <c r="B306" s="273"/>
      <c r="C306" s="273"/>
      <c r="D306" s="273"/>
      <c r="E306" s="273"/>
      <c r="F306" s="132"/>
      <c r="G306" s="132"/>
      <c r="H306" s="132"/>
      <c r="I306" s="132"/>
      <c r="J306" s="132"/>
      <c r="K306" s="132"/>
      <c r="L306" s="132"/>
      <c r="M306" s="132"/>
      <c r="N306" s="132"/>
      <c r="O306" s="132"/>
      <c r="P306" s="132"/>
      <c r="Q306" s="132"/>
      <c r="R306" s="132"/>
      <c r="S306" s="132"/>
      <c r="T306" s="132"/>
      <c r="U306" s="132"/>
      <c r="V306" s="132"/>
      <c r="W306" s="132"/>
      <c r="X306" s="132"/>
      <c r="Y306" s="132"/>
      <c r="Z306" s="132"/>
      <c r="AA306" s="132"/>
      <c r="AB306" s="132"/>
      <c r="AC306" s="132"/>
    </row>
    <row r="307" ht="24.75" hidden="1" customHeight="1" outlineLevel="1">
      <c r="A307" s="533" t="s">
        <v>1166</v>
      </c>
      <c r="B307" s="534" t="s">
        <v>1117</v>
      </c>
      <c r="C307" s="534" t="s">
        <v>1167</v>
      </c>
      <c r="D307" s="534" t="s">
        <v>1168</v>
      </c>
      <c r="E307" s="534" t="s">
        <v>1169</v>
      </c>
      <c r="F307" s="132"/>
      <c r="G307" s="132"/>
      <c r="H307" s="132"/>
      <c r="I307" s="132"/>
      <c r="J307" s="132"/>
      <c r="K307" s="132"/>
      <c r="L307" s="132"/>
      <c r="M307" s="132"/>
      <c r="N307" s="132"/>
      <c r="O307" s="132"/>
      <c r="P307" s="132"/>
      <c r="Q307" s="132"/>
      <c r="R307" s="132"/>
      <c r="S307" s="132"/>
      <c r="T307" s="132"/>
      <c r="U307" s="132"/>
      <c r="V307" s="132"/>
      <c r="W307" s="132"/>
      <c r="X307" s="132"/>
      <c r="Y307" s="132"/>
      <c r="Z307" s="132"/>
      <c r="AA307" s="132"/>
      <c r="AB307" s="132"/>
      <c r="AC307" s="132"/>
    </row>
    <row r="308" ht="24.75" hidden="1" customHeight="1" outlineLevel="1">
      <c r="A308" s="565">
        <v>44981.0</v>
      </c>
      <c r="B308" s="507" t="s">
        <v>1232</v>
      </c>
      <c r="C308" s="511" t="s">
        <v>1233</v>
      </c>
      <c r="D308" s="587" t="s">
        <v>1180</v>
      </c>
      <c r="E308" s="589" t="s">
        <v>1235</v>
      </c>
      <c r="F308" s="132"/>
      <c r="G308" s="132"/>
      <c r="H308" s="132"/>
      <c r="I308" s="132"/>
      <c r="J308" s="132"/>
      <c r="K308" s="132"/>
      <c r="L308" s="132"/>
      <c r="M308" s="132"/>
      <c r="N308" s="132"/>
      <c r="O308" s="132"/>
      <c r="P308" s="132"/>
      <c r="Q308" s="132"/>
      <c r="R308" s="132"/>
      <c r="S308" s="132"/>
      <c r="T308" s="132"/>
      <c r="U308" s="132"/>
      <c r="V308" s="132"/>
      <c r="W308" s="132"/>
      <c r="X308" s="132"/>
      <c r="Y308" s="132"/>
      <c r="Z308" s="132"/>
      <c r="AA308" s="132"/>
      <c r="AB308" s="132"/>
      <c r="AC308" s="132"/>
    </row>
    <row r="309" ht="24.75" hidden="1" customHeight="1" outlineLevel="1">
      <c r="A309" s="565">
        <v>44981.0</v>
      </c>
      <c r="B309" s="507" t="s">
        <v>38</v>
      </c>
      <c r="C309" s="507" t="s">
        <v>1233</v>
      </c>
      <c r="D309" s="576" t="s">
        <v>1180</v>
      </c>
      <c r="E309" s="591" t="s">
        <v>1235</v>
      </c>
      <c r="F309" s="132"/>
      <c r="G309" s="132"/>
      <c r="H309" s="132"/>
      <c r="I309" s="132"/>
      <c r="J309" s="132"/>
      <c r="K309" s="132"/>
      <c r="L309" s="132"/>
      <c r="M309" s="132"/>
      <c r="N309" s="132"/>
      <c r="O309" s="132"/>
      <c r="P309" s="132"/>
      <c r="Q309" s="132"/>
      <c r="R309" s="132"/>
      <c r="S309" s="132"/>
      <c r="T309" s="132"/>
      <c r="U309" s="132"/>
      <c r="V309" s="132"/>
      <c r="W309" s="132"/>
      <c r="X309" s="132"/>
      <c r="Y309" s="132"/>
      <c r="Z309" s="132"/>
      <c r="AA309" s="132"/>
      <c r="AB309" s="132"/>
      <c r="AC309" s="132"/>
    </row>
    <row r="310" ht="24.75" hidden="1" customHeight="1" outlineLevel="1">
      <c r="A310" s="551">
        <v>44981.0</v>
      </c>
      <c r="B310" s="547" t="s">
        <v>1181</v>
      </c>
      <c r="C310" s="548" t="s">
        <v>1418</v>
      </c>
      <c r="D310" s="548" t="s">
        <v>1419</v>
      </c>
      <c r="E310" s="573" t="s">
        <v>1203</v>
      </c>
      <c r="F310" s="580"/>
      <c r="G310" s="580"/>
      <c r="H310" s="580" t="s">
        <v>1394</v>
      </c>
      <c r="I310" s="132"/>
      <c r="J310" s="132"/>
      <c r="K310" s="132"/>
      <c r="L310" s="132"/>
      <c r="M310" s="132"/>
      <c r="N310" s="132"/>
      <c r="O310" s="132"/>
      <c r="P310" s="132"/>
      <c r="Q310" s="132"/>
      <c r="R310" s="132"/>
      <c r="S310" s="132"/>
      <c r="T310" s="132"/>
      <c r="U310" s="132"/>
      <c r="V310" s="132"/>
      <c r="W310" s="132"/>
      <c r="X310" s="132"/>
      <c r="Y310" s="132"/>
      <c r="Z310" s="132"/>
      <c r="AA310" s="132"/>
      <c r="AB310" s="132"/>
      <c r="AC310" s="132"/>
    </row>
    <row r="311" ht="24.75" customHeight="1">
      <c r="A311" s="132"/>
      <c r="B311" s="132"/>
      <c r="C311" s="132"/>
      <c r="D311" s="132"/>
      <c r="E311" s="496"/>
      <c r="F311" s="132"/>
      <c r="G311" s="132"/>
      <c r="H311" s="132"/>
      <c r="I311" s="132"/>
      <c r="J311" s="132"/>
      <c r="K311" s="132"/>
      <c r="L311" s="132"/>
      <c r="M311" s="132"/>
      <c r="N311" s="132"/>
      <c r="O311" s="132"/>
      <c r="P311" s="132"/>
      <c r="Q311" s="132"/>
      <c r="R311" s="132"/>
      <c r="S311" s="132"/>
      <c r="T311" s="132"/>
      <c r="U311" s="132"/>
      <c r="V311" s="132"/>
      <c r="W311" s="132"/>
      <c r="X311" s="132"/>
      <c r="Y311" s="132"/>
      <c r="Z311" s="132"/>
      <c r="AA311" s="132"/>
      <c r="AB311" s="132"/>
      <c r="AC311" s="132"/>
    </row>
    <row r="312" ht="24.75" customHeight="1">
      <c r="A312" s="532" t="s">
        <v>1420</v>
      </c>
      <c r="B312" s="273"/>
      <c r="C312" s="273"/>
      <c r="D312" s="273"/>
      <c r="E312" s="273"/>
      <c r="F312" s="132"/>
      <c r="G312" s="132"/>
      <c r="H312" s="132"/>
      <c r="I312" s="132"/>
      <c r="J312" s="132"/>
      <c r="K312" s="132"/>
      <c r="L312" s="132"/>
      <c r="M312" s="132"/>
      <c r="N312" s="132"/>
      <c r="O312" s="132"/>
      <c r="P312" s="132"/>
      <c r="Q312" s="132"/>
      <c r="R312" s="132"/>
      <c r="S312" s="132"/>
      <c r="T312" s="132"/>
      <c r="U312" s="132"/>
      <c r="V312" s="132"/>
      <c r="W312" s="132"/>
      <c r="X312" s="132"/>
      <c r="Y312" s="132"/>
      <c r="Z312" s="132"/>
      <c r="AA312" s="132"/>
      <c r="AB312" s="132"/>
      <c r="AC312" s="132"/>
    </row>
    <row r="313" ht="24.75" customHeight="1" collapsed="1">
      <c r="A313" s="597" t="s">
        <v>1166</v>
      </c>
      <c r="B313" s="598" t="s">
        <v>1117</v>
      </c>
      <c r="C313" s="598" t="s">
        <v>1167</v>
      </c>
      <c r="D313" s="598" t="s">
        <v>1168</v>
      </c>
      <c r="E313" s="598" t="s">
        <v>1169</v>
      </c>
      <c r="F313" s="132"/>
      <c r="G313" s="132"/>
      <c r="H313" s="132"/>
      <c r="I313" s="132"/>
      <c r="J313" s="132"/>
      <c r="K313" s="132"/>
      <c r="L313" s="132"/>
      <c r="M313" s="132"/>
      <c r="N313" s="132"/>
      <c r="O313" s="132"/>
      <c r="P313" s="132"/>
      <c r="Q313" s="132"/>
      <c r="R313" s="132"/>
      <c r="S313" s="132"/>
      <c r="T313" s="132"/>
      <c r="U313" s="132"/>
      <c r="V313" s="132"/>
      <c r="W313" s="132"/>
      <c r="X313" s="132"/>
      <c r="Y313" s="132"/>
      <c r="Z313" s="132"/>
      <c r="AA313" s="132"/>
      <c r="AB313" s="132"/>
      <c r="AC313" s="132"/>
    </row>
    <row r="314" ht="27.75" hidden="1" customHeight="1" outlineLevel="1">
      <c r="A314" s="565">
        <v>45006.0</v>
      </c>
      <c r="B314" s="507" t="s">
        <v>1232</v>
      </c>
      <c r="C314" s="511" t="s">
        <v>1233</v>
      </c>
      <c r="D314" s="579" t="s">
        <v>1414</v>
      </c>
      <c r="E314" s="584" t="s">
        <v>1235</v>
      </c>
      <c r="F314" s="132"/>
      <c r="G314" s="132"/>
      <c r="H314" s="132"/>
      <c r="I314" s="132"/>
      <c r="J314" s="132"/>
      <c r="K314" s="132"/>
      <c r="L314" s="132"/>
      <c r="M314" s="132"/>
      <c r="N314" s="132"/>
      <c r="O314" s="132"/>
      <c r="P314" s="132"/>
      <c r="Q314" s="132"/>
      <c r="R314" s="132"/>
      <c r="S314" s="132"/>
      <c r="T314" s="132"/>
      <c r="U314" s="132"/>
      <c r="V314" s="132"/>
      <c r="W314" s="132"/>
      <c r="X314" s="132"/>
      <c r="Y314" s="132"/>
      <c r="Z314" s="132"/>
      <c r="AA314" s="132"/>
      <c r="AB314" s="132"/>
      <c r="AC314" s="132"/>
    </row>
    <row r="315" ht="27.75" hidden="1" customHeight="1" outlineLevel="1">
      <c r="A315" s="565">
        <v>45006.0</v>
      </c>
      <c r="B315" s="507" t="s">
        <v>38</v>
      </c>
      <c r="C315" s="507" t="s">
        <v>1233</v>
      </c>
      <c r="D315" s="576" t="s">
        <v>1180</v>
      </c>
      <c r="E315" s="588" t="s">
        <v>1235</v>
      </c>
      <c r="F315" s="132"/>
      <c r="G315" s="132"/>
      <c r="H315" s="132"/>
      <c r="I315" s="132"/>
      <c r="J315" s="132"/>
      <c r="K315" s="132"/>
      <c r="L315" s="132"/>
      <c r="M315" s="132"/>
      <c r="N315" s="132"/>
      <c r="O315" s="132"/>
      <c r="P315" s="132"/>
      <c r="Q315" s="132"/>
      <c r="R315" s="132"/>
      <c r="S315" s="132"/>
      <c r="T315" s="132"/>
      <c r="U315" s="132"/>
      <c r="V315" s="132"/>
      <c r="W315" s="132"/>
      <c r="X315" s="132"/>
      <c r="Y315" s="132"/>
      <c r="Z315" s="132"/>
      <c r="AA315" s="132"/>
      <c r="AB315" s="132"/>
      <c r="AC315" s="132"/>
    </row>
    <row r="316" ht="27.75" hidden="1" customHeight="1" outlineLevel="1">
      <c r="A316" s="565">
        <v>45006.0</v>
      </c>
      <c r="B316" s="507" t="s">
        <v>1415</v>
      </c>
      <c r="C316" s="511" t="s">
        <v>1233</v>
      </c>
      <c r="D316" s="576" t="s">
        <v>1180</v>
      </c>
      <c r="E316" s="36" t="s">
        <v>1235</v>
      </c>
      <c r="F316" s="132"/>
      <c r="G316" s="132"/>
      <c r="H316" s="132"/>
      <c r="I316" s="132"/>
      <c r="J316" s="132"/>
      <c r="K316" s="132"/>
      <c r="L316" s="132"/>
      <c r="M316" s="132"/>
      <c r="N316" s="132"/>
      <c r="O316" s="132"/>
      <c r="P316" s="132"/>
      <c r="Q316" s="132"/>
      <c r="R316" s="132"/>
      <c r="S316" s="132"/>
      <c r="T316" s="132"/>
      <c r="U316" s="132"/>
      <c r="V316" s="132"/>
      <c r="W316" s="132"/>
      <c r="X316" s="132"/>
      <c r="Y316" s="132"/>
      <c r="Z316" s="132"/>
      <c r="AA316" s="132"/>
      <c r="AB316" s="132"/>
      <c r="AC316" s="132"/>
    </row>
    <row r="317" ht="27.75" hidden="1" customHeight="1" outlineLevel="1">
      <c r="A317" s="565">
        <v>45006.0</v>
      </c>
      <c r="B317" s="507" t="s">
        <v>1254</v>
      </c>
      <c r="C317" s="511" t="s">
        <v>1412</v>
      </c>
      <c r="D317" s="576" t="s">
        <v>1180</v>
      </c>
      <c r="E317" s="36" t="s">
        <v>1235</v>
      </c>
      <c r="F317" s="132"/>
      <c r="G317" s="132"/>
      <c r="H317" s="132"/>
      <c r="I317" s="132"/>
      <c r="J317" s="132"/>
      <c r="K317" s="132"/>
      <c r="L317" s="132"/>
      <c r="M317" s="132"/>
      <c r="N317" s="132"/>
      <c r="O317" s="132"/>
      <c r="P317" s="132"/>
      <c r="Q317" s="132"/>
      <c r="R317" s="132"/>
      <c r="S317" s="132"/>
      <c r="T317" s="132"/>
      <c r="U317" s="132"/>
      <c r="V317" s="132"/>
      <c r="W317" s="132"/>
      <c r="X317" s="132"/>
      <c r="Y317" s="132"/>
      <c r="Z317" s="132"/>
      <c r="AA317" s="132"/>
      <c r="AB317" s="132"/>
      <c r="AC317" s="132"/>
    </row>
    <row r="318" ht="27.75" hidden="1" customHeight="1" outlineLevel="1">
      <c r="A318" s="565">
        <v>45007.0</v>
      </c>
      <c r="B318" s="507" t="s">
        <v>1226</v>
      </c>
      <c r="C318" s="511" t="s">
        <v>1302</v>
      </c>
      <c r="D318" s="548" t="s">
        <v>1421</v>
      </c>
      <c r="E318" s="573" t="s">
        <v>1203</v>
      </c>
      <c r="F318" s="175"/>
      <c r="G318" s="175"/>
      <c r="H318" s="175"/>
      <c r="I318" s="132"/>
      <c r="J318" s="132"/>
      <c r="K318" s="132"/>
      <c r="L318" s="132"/>
      <c r="M318" s="132"/>
      <c r="N318" s="132"/>
      <c r="O318" s="132"/>
      <c r="P318" s="132"/>
      <c r="Q318" s="132"/>
      <c r="R318" s="132"/>
      <c r="S318" s="132"/>
      <c r="T318" s="132"/>
      <c r="U318" s="132"/>
      <c r="V318" s="132"/>
      <c r="W318" s="132"/>
      <c r="X318" s="132"/>
      <c r="Y318" s="132"/>
      <c r="Z318" s="132"/>
      <c r="AA318" s="132"/>
      <c r="AB318" s="132"/>
      <c r="AC318" s="132"/>
    </row>
    <row r="319" ht="27.75" hidden="1" customHeight="1" outlineLevel="1">
      <c r="A319" s="565">
        <v>45007.0</v>
      </c>
      <c r="B319" s="507" t="s">
        <v>1258</v>
      </c>
      <c r="C319" s="511" t="s">
        <v>1259</v>
      </c>
      <c r="D319" s="507" t="s">
        <v>144</v>
      </c>
      <c r="E319" s="573" t="s">
        <v>1203</v>
      </c>
      <c r="F319" s="175"/>
      <c r="G319" s="175"/>
      <c r="H319" s="175"/>
      <c r="I319" s="132"/>
      <c r="J319" s="132"/>
      <c r="K319" s="132"/>
      <c r="L319" s="132"/>
      <c r="M319" s="132"/>
      <c r="N319" s="132"/>
      <c r="O319" s="132"/>
      <c r="P319" s="132"/>
      <c r="Q319" s="132"/>
      <c r="R319" s="132"/>
      <c r="S319" s="132"/>
      <c r="T319" s="132"/>
      <c r="U319" s="132"/>
      <c r="V319" s="132"/>
      <c r="W319" s="132"/>
      <c r="X319" s="132"/>
      <c r="Y319" s="132"/>
      <c r="Z319" s="132"/>
      <c r="AA319" s="132"/>
      <c r="AB319" s="132"/>
      <c r="AC319" s="132"/>
    </row>
    <row r="320" ht="27.75" hidden="1" customHeight="1" outlineLevel="1">
      <c r="A320" s="565">
        <v>45007.0</v>
      </c>
      <c r="B320" s="507" t="s">
        <v>1204</v>
      </c>
      <c r="C320" s="511" t="s">
        <v>1401</v>
      </c>
      <c r="D320" s="548" t="s">
        <v>1421</v>
      </c>
      <c r="E320" s="573" t="s">
        <v>1203</v>
      </c>
      <c r="F320" s="175"/>
      <c r="G320" s="175"/>
      <c r="H320" s="175" t="s">
        <v>1422</v>
      </c>
      <c r="I320" s="132"/>
      <c r="J320" s="132"/>
      <c r="K320" s="132"/>
      <c r="L320" s="132"/>
      <c r="M320" s="132"/>
      <c r="N320" s="132"/>
      <c r="O320" s="132"/>
      <c r="P320" s="132"/>
      <c r="Q320" s="132"/>
      <c r="R320" s="132"/>
      <c r="S320" s="132"/>
      <c r="T320" s="132"/>
      <c r="U320" s="132"/>
      <c r="V320" s="132"/>
      <c r="W320" s="132"/>
      <c r="X320" s="132"/>
      <c r="Y320" s="132"/>
      <c r="Z320" s="132"/>
      <c r="AA320" s="132"/>
      <c r="AB320" s="132"/>
      <c r="AC320" s="132"/>
    </row>
    <row r="321" ht="27.75" hidden="1" customHeight="1" outlineLevel="1">
      <c r="A321" s="565">
        <v>45007.0</v>
      </c>
      <c r="B321" s="507" t="s">
        <v>1261</v>
      </c>
      <c r="C321" s="511" t="s">
        <v>1412</v>
      </c>
      <c r="D321" s="576" t="s">
        <v>1180</v>
      </c>
      <c r="E321" s="36" t="s">
        <v>1235</v>
      </c>
      <c r="F321" s="132"/>
      <c r="G321" s="132"/>
      <c r="H321" s="132"/>
      <c r="I321" s="132"/>
      <c r="J321" s="132"/>
      <c r="K321" s="132"/>
      <c r="L321" s="132"/>
      <c r="M321" s="132"/>
      <c r="N321" s="132"/>
      <c r="O321" s="132"/>
      <c r="P321" s="132"/>
      <c r="Q321" s="132"/>
      <c r="R321" s="132"/>
      <c r="S321" s="132"/>
      <c r="T321" s="132"/>
      <c r="U321" s="132"/>
      <c r="V321" s="132"/>
      <c r="W321" s="132"/>
      <c r="X321" s="132"/>
      <c r="Y321" s="132"/>
      <c r="Z321" s="132"/>
      <c r="AA321" s="132"/>
      <c r="AB321" s="132"/>
      <c r="AC321" s="132"/>
    </row>
    <row r="322" ht="27.75" hidden="1" customHeight="1" outlineLevel="1">
      <c r="A322" s="565">
        <v>45008.0</v>
      </c>
      <c r="B322" s="507" t="s">
        <v>1178</v>
      </c>
      <c r="C322" s="511" t="s">
        <v>536</v>
      </c>
      <c r="D322" s="576" t="s">
        <v>1180</v>
      </c>
      <c r="E322" s="36" t="s">
        <v>1235</v>
      </c>
      <c r="F322" s="132"/>
      <c r="G322" s="132"/>
      <c r="H322" s="132"/>
      <c r="J322" s="132"/>
      <c r="K322" s="132"/>
      <c r="L322" s="132"/>
      <c r="M322" s="132"/>
      <c r="N322" s="132"/>
      <c r="O322" s="132"/>
      <c r="P322" s="132"/>
      <c r="Q322" s="132"/>
      <c r="R322" s="132"/>
      <c r="S322" s="132"/>
      <c r="T322" s="132"/>
      <c r="U322" s="132"/>
      <c r="V322" s="132"/>
      <c r="W322" s="132"/>
      <c r="X322" s="132"/>
      <c r="Y322" s="132"/>
      <c r="Z322" s="132"/>
      <c r="AA322" s="132"/>
      <c r="AB322" s="132"/>
      <c r="AC322" s="132"/>
    </row>
    <row r="323" ht="24.75" hidden="1" customHeight="1" outlineLevel="1">
      <c r="A323" s="565">
        <v>45007.0</v>
      </c>
      <c r="B323" s="507" t="s">
        <v>1198</v>
      </c>
      <c r="C323" s="511" t="s">
        <v>1233</v>
      </c>
      <c r="D323" s="506" t="s">
        <v>1257</v>
      </c>
      <c r="E323" s="36" t="s">
        <v>1235</v>
      </c>
      <c r="I323" s="132"/>
      <c r="J323" s="132"/>
      <c r="K323" s="132"/>
      <c r="L323" s="132"/>
      <c r="M323" s="132"/>
      <c r="N323" s="132"/>
      <c r="O323" s="132"/>
      <c r="P323" s="132"/>
      <c r="Q323" s="132"/>
      <c r="R323" s="132"/>
      <c r="S323" s="132"/>
      <c r="T323" s="132"/>
      <c r="U323" s="132"/>
      <c r="V323" s="132"/>
      <c r="W323" s="132"/>
      <c r="X323" s="132"/>
      <c r="Y323" s="132"/>
      <c r="Z323" s="132"/>
      <c r="AA323" s="132"/>
      <c r="AB323" s="132"/>
      <c r="AC323" s="132"/>
    </row>
    <row r="324" ht="24.75" customHeight="1">
      <c r="A324" s="132"/>
      <c r="B324" s="132"/>
      <c r="C324" s="132"/>
      <c r="D324" s="132"/>
      <c r="E324" s="496"/>
      <c r="F324" s="132"/>
      <c r="G324" s="132"/>
      <c r="H324" s="132"/>
      <c r="I324" s="132"/>
      <c r="J324" s="132"/>
      <c r="K324" s="132"/>
      <c r="L324" s="132"/>
      <c r="M324" s="132"/>
      <c r="N324" s="132"/>
      <c r="O324" s="132"/>
      <c r="P324" s="132"/>
      <c r="Q324" s="132"/>
      <c r="R324" s="132"/>
      <c r="S324" s="132"/>
      <c r="T324" s="132"/>
      <c r="U324" s="132"/>
      <c r="V324" s="132"/>
      <c r="W324" s="132"/>
      <c r="X324" s="132"/>
      <c r="Y324" s="132"/>
      <c r="Z324" s="132"/>
      <c r="AA324" s="132"/>
      <c r="AB324" s="132"/>
      <c r="AC324" s="132"/>
    </row>
    <row r="325" ht="24.75" customHeight="1" collapsed="1">
      <c r="A325" s="532" t="s">
        <v>1423</v>
      </c>
      <c r="B325" s="273"/>
      <c r="C325" s="599" t="s">
        <v>1424</v>
      </c>
      <c r="D325" s="273"/>
      <c r="E325" s="273"/>
      <c r="F325" s="132"/>
      <c r="G325" s="132"/>
      <c r="H325" s="132"/>
      <c r="I325" s="132"/>
      <c r="J325" s="132"/>
      <c r="K325" s="132"/>
      <c r="L325" s="132"/>
      <c r="M325" s="132"/>
      <c r="N325" s="132"/>
      <c r="O325" s="132"/>
      <c r="P325" s="132"/>
      <c r="Q325" s="132"/>
      <c r="R325" s="132"/>
      <c r="S325" s="132"/>
      <c r="T325" s="132"/>
      <c r="U325" s="132"/>
      <c r="V325" s="132"/>
      <c r="W325" s="132"/>
      <c r="X325" s="132"/>
      <c r="Y325" s="132"/>
      <c r="Z325" s="132"/>
      <c r="AA325" s="132"/>
      <c r="AB325" s="132"/>
      <c r="AC325" s="132"/>
    </row>
    <row r="326" ht="24.75" hidden="1" customHeight="1" outlineLevel="1">
      <c r="A326" s="545" t="s">
        <v>1166</v>
      </c>
      <c r="B326" s="545" t="s">
        <v>1117</v>
      </c>
      <c r="C326" s="545" t="s">
        <v>1167</v>
      </c>
      <c r="D326" s="545" t="s">
        <v>1168</v>
      </c>
      <c r="E326" s="545" t="s">
        <v>1169</v>
      </c>
      <c r="F326" s="132"/>
      <c r="G326" s="132"/>
      <c r="H326" s="132"/>
      <c r="I326" s="132"/>
      <c r="J326" s="132"/>
      <c r="K326" s="132"/>
      <c r="L326" s="132"/>
      <c r="M326" s="132"/>
      <c r="N326" s="132"/>
      <c r="O326" s="132"/>
      <c r="P326" s="132"/>
      <c r="Q326" s="132"/>
      <c r="R326" s="132"/>
      <c r="S326" s="132"/>
      <c r="T326" s="132"/>
      <c r="U326" s="132"/>
      <c r="V326" s="132"/>
      <c r="W326" s="132"/>
      <c r="X326" s="132"/>
      <c r="Y326" s="132"/>
      <c r="Z326" s="132"/>
      <c r="AA326" s="132"/>
      <c r="AB326" s="132"/>
      <c r="AC326" s="132"/>
    </row>
    <row r="327" ht="24.75" hidden="1" customHeight="1" outlineLevel="1">
      <c r="A327" s="600">
        <v>45048.0</v>
      </c>
      <c r="B327" s="507" t="s">
        <v>38</v>
      </c>
      <c r="C327" s="507" t="s">
        <v>1233</v>
      </c>
      <c r="D327" s="601" t="s">
        <v>1180</v>
      </c>
      <c r="E327" s="591" t="s">
        <v>1235</v>
      </c>
      <c r="F327" s="175"/>
      <c r="G327" s="175"/>
      <c r="H327" s="175"/>
      <c r="I327" s="132"/>
      <c r="J327" s="132"/>
      <c r="K327" s="132"/>
      <c r="L327" s="132"/>
      <c r="M327" s="132"/>
      <c r="N327" s="132"/>
      <c r="O327" s="132"/>
      <c r="P327" s="132"/>
      <c r="Q327" s="132"/>
      <c r="R327" s="132"/>
      <c r="S327" s="132"/>
      <c r="T327" s="132"/>
      <c r="U327" s="132"/>
      <c r="V327" s="132"/>
      <c r="W327" s="132"/>
      <c r="X327" s="132"/>
      <c r="Y327" s="132"/>
      <c r="Z327" s="132"/>
      <c r="AA327" s="132"/>
      <c r="AB327" s="132"/>
      <c r="AC327" s="132"/>
    </row>
    <row r="328" ht="24.75" hidden="1" customHeight="1" outlineLevel="1">
      <c r="A328" s="600">
        <v>45048.0</v>
      </c>
      <c r="B328" s="507" t="s">
        <v>1232</v>
      </c>
      <c r="C328" s="511" t="s">
        <v>1233</v>
      </c>
      <c r="D328" s="531" t="s">
        <v>1296</v>
      </c>
      <c r="E328" s="573" t="s">
        <v>1235</v>
      </c>
      <c r="F328" s="175"/>
      <c r="G328" s="175"/>
      <c r="H328" s="175"/>
      <c r="I328" s="132"/>
      <c r="J328" s="132"/>
      <c r="K328" s="132"/>
      <c r="L328" s="132"/>
      <c r="M328" s="132"/>
      <c r="N328" s="132"/>
      <c r="O328" s="132"/>
      <c r="P328" s="132"/>
      <c r="Q328" s="132"/>
      <c r="R328" s="132"/>
      <c r="S328" s="132"/>
      <c r="T328" s="132"/>
      <c r="U328" s="132"/>
      <c r="V328" s="132"/>
      <c r="W328" s="132"/>
      <c r="X328" s="132"/>
      <c r="Y328" s="132"/>
      <c r="Z328" s="132"/>
      <c r="AA328" s="132"/>
      <c r="AB328" s="132"/>
      <c r="AC328" s="132"/>
    </row>
    <row r="329" ht="24.75" hidden="1" customHeight="1" outlineLevel="1">
      <c r="A329" s="600">
        <v>45048.0</v>
      </c>
      <c r="B329" s="507" t="s">
        <v>1415</v>
      </c>
      <c r="C329" s="511" t="s">
        <v>1233</v>
      </c>
      <c r="D329" s="601" t="s">
        <v>1180</v>
      </c>
      <c r="E329" s="573" t="s">
        <v>1235</v>
      </c>
      <c r="F329" s="175"/>
      <c r="G329" s="175"/>
      <c r="H329" s="175"/>
      <c r="I329" s="132"/>
      <c r="J329" s="132"/>
      <c r="K329" s="132"/>
      <c r="L329" s="132"/>
      <c r="M329" s="132"/>
      <c r="N329" s="132"/>
      <c r="O329" s="132"/>
      <c r="P329" s="132"/>
      <c r="Q329" s="132"/>
      <c r="R329" s="132"/>
      <c r="S329" s="132"/>
      <c r="T329" s="132"/>
      <c r="U329" s="132"/>
      <c r="V329" s="132"/>
      <c r="W329" s="132"/>
      <c r="X329" s="132"/>
      <c r="Y329" s="132"/>
      <c r="Z329" s="132"/>
      <c r="AA329" s="132"/>
      <c r="AB329" s="132"/>
      <c r="AC329" s="132"/>
    </row>
    <row r="330" ht="24.75" hidden="1" customHeight="1" outlineLevel="1">
      <c r="A330" s="600">
        <v>45048.0</v>
      </c>
      <c r="B330" s="507" t="s">
        <v>1254</v>
      </c>
      <c r="C330" s="511" t="s">
        <v>1412</v>
      </c>
      <c r="D330" s="601" t="s">
        <v>1180</v>
      </c>
      <c r="E330" s="573" t="s">
        <v>1235</v>
      </c>
      <c r="F330" s="175"/>
      <c r="G330" s="175"/>
      <c r="H330" s="175"/>
      <c r="I330" s="132"/>
      <c r="J330" s="132"/>
      <c r="K330" s="132"/>
      <c r="L330" s="132"/>
      <c r="M330" s="132"/>
      <c r="N330" s="132"/>
      <c r="O330" s="132"/>
      <c r="P330" s="132"/>
      <c r="Q330" s="132"/>
      <c r="R330" s="132"/>
      <c r="S330" s="132"/>
      <c r="T330" s="132"/>
      <c r="U330" s="132"/>
      <c r="V330" s="132"/>
      <c r="W330" s="132"/>
      <c r="X330" s="132"/>
      <c r="Y330" s="132"/>
      <c r="Z330" s="132"/>
      <c r="AA330" s="132"/>
      <c r="AB330" s="132"/>
      <c r="AC330" s="132"/>
    </row>
    <row r="331" ht="24.75" hidden="1" customHeight="1" outlineLevel="1">
      <c r="A331" s="561">
        <v>45049.0</v>
      </c>
      <c r="B331" s="507" t="s">
        <v>1198</v>
      </c>
      <c r="C331" s="511" t="s">
        <v>1233</v>
      </c>
      <c r="D331" s="601" t="s">
        <v>1180</v>
      </c>
      <c r="E331" s="573" t="s">
        <v>1235</v>
      </c>
      <c r="F331" s="132"/>
      <c r="G331" s="132"/>
      <c r="H331" s="132"/>
      <c r="I331" s="132"/>
      <c r="J331" s="132"/>
      <c r="K331" s="132"/>
      <c r="L331" s="132"/>
      <c r="M331" s="132"/>
      <c r="N331" s="132"/>
      <c r="O331" s="132"/>
      <c r="P331" s="132"/>
      <c r="Q331" s="132"/>
      <c r="R331" s="132"/>
      <c r="S331" s="132"/>
      <c r="T331" s="132"/>
      <c r="U331" s="132"/>
      <c r="V331" s="132"/>
      <c r="W331" s="132"/>
      <c r="X331" s="132"/>
      <c r="Y331" s="132"/>
      <c r="Z331" s="132"/>
      <c r="AA331" s="132"/>
      <c r="AB331" s="132"/>
      <c r="AC331" s="132"/>
    </row>
    <row r="332" ht="24.75" hidden="1" customHeight="1" outlineLevel="1">
      <c r="A332" s="561">
        <v>45049.0</v>
      </c>
      <c r="B332" s="507" t="s">
        <v>1226</v>
      </c>
      <c r="C332" s="511" t="s">
        <v>1302</v>
      </c>
      <c r="D332" s="601" t="s">
        <v>1180</v>
      </c>
      <c r="E332" s="573" t="s">
        <v>1203</v>
      </c>
      <c r="F332" s="175"/>
      <c r="G332" s="175"/>
      <c r="H332" s="175" t="s">
        <v>1425</v>
      </c>
      <c r="I332" s="132"/>
      <c r="J332" s="132"/>
      <c r="K332" s="132"/>
      <c r="L332" s="132"/>
      <c r="M332" s="132"/>
      <c r="N332" s="132"/>
      <c r="O332" s="132"/>
      <c r="P332" s="132"/>
      <c r="Q332" s="132"/>
      <c r="R332" s="132"/>
      <c r="S332" s="132"/>
      <c r="T332" s="132"/>
      <c r="U332" s="132"/>
      <c r="V332" s="132"/>
      <c r="W332" s="132"/>
      <c r="X332" s="132"/>
      <c r="Y332" s="132"/>
      <c r="Z332" s="132"/>
      <c r="AA332" s="132"/>
      <c r="AB332" s="132"/>
      <c r="AC332" s="132"/>
    </row>
    <row r="333" ht="24.75" hidden="1" customHeight="1" outlineLevel="1">
      <c r="A333" s="561">
        <v>45049.0</v>
      </c>
      <c r="B333" s="507" t="s">
        <v>1258</v>
      </c>
      <c r="C333" s="511" t="s">
        <v>1259</v>
      </c>
      <c r="D333" s="601" t="s">
        <v>1180</v>
      </c>
      <c r="E333" s="573" t="s">
        <v>1203</v>
      </c>
      <c r="F333" s="579"/>
      <c r="G333" s="579"/>
      <c r="H333" s="579" t="s">
        <v>1169</v>
      </c>
      <c r="I333" s="132"/>
      <c r="J333" s="132"/>
      <c r="K333" s="132"/>
      <c r="L333" s="132"/>
      <c r="M333" s="132"/>
      <c r="N333" s="132"/>
      <c r="O333" s="132"/>
      <c r="P333" s="132"/>
      <c r="Q333" s="132"/>
      <c r="R333" s="132"/>
      <c r="S333" s="132"/>
      <c r="T333" s="132"/>
      <c r="U333" s="132"/>
      <c r="V333" s="132"/>
      <c r="W333" s="132"/>
      <c r="X333" s="132"/>
      <c r="Y333" s="132"/>
      <c r="Z333" s="132"/>
      <c r="AA333" s="132"/>
      <c r="AB333" s="132"/>
      <c r="AC333" s="132"/>
    </row>
    <row r="334" ht="24.75" hidden="1" customHeight="1" outlineLevel="1">
      <c r="A334" s="561">
        <v>45049.0</v>
      </c>
      <c r="B334" s="507" t="s">
        <v>1204</v>
      </c>
      <c r="C334" s="511" t="s">
        <v>1401</v>
      </c>
      <c r="D334" s="601" t="s">
        <v>1180</v>
      </c>
      <c r="E334" s="573" t="s">
        <v>1235</v>
      </c>
      <c r="F334" s="175"/>
      <c r="G334" s="175"/>
      <c r="H334" s="175" t="s">
        <v>1341</v>
      </c>
      <c r="I334" s="132"/>
      <c r="J334" s="132"/>
      <c r="K334" s="132"/>
      <c r="L334" s="132"/>
      <c r="M334" s="132"/>
      <c r="N334" s="132"/>
      <c r="O334" s="132"/>
      <c r="P334" s="132"/>
      <c r="Q334" s="132"/>
      <c r="R334" s="132"/>
      <c r="S334" s="132"/>
      <c r="T334" s="132"/>
      <c r="U334" s="132"/>
      <c r="V334" s="132"/>
      <c r="W334" s="132"/>
      <c r="X334" s="132"/>
      <c r="Y334" s="132"/>
      <c r="Z334" s="132"/>
      <c r="AA334" s="132"/>
      <c r="AB334" s="132"/>
      <c r="AC334" s="132"/>
    </row>
    <row r="335" ht="24.75" hidden="1" customHeight="1" outlineLevel="1">
      <c r="A335" s="561">
        <v>45049.0</v>
      </c>
      <c r="B335" s="507" t="s">
        <v>1261</v>
      </c>
      <c r="C335" s="511" t="s">
        <v>1412</v>
      </c>
      <c r="D335" s="601" t="s">
        <v>1180</v>
      </c>
      <c r="E335" s="573" t="s">
        <v>1235</v>
      </c>
      <c r="F335" s="558"/>
      <c r="G335" s="558"/>
      <c r="H335" s="558"/>
      <c r="I335" s="132"/>
      <c r="J335" s="132"/>
      <c r="K335" s="132"/>
      <c r="L335" s="132"/>
      <c r="M335" s="132"/>
      <c r="N335" s="132"/>
      <c r="O335" s="132"/>
      <c r="P335" s="132"/>
      <c r="Q335" s="132"/>
      <c r="R335" s="132"/>
      <c r="S335" s="132"/>
      <c r="T335" s="132"/>
      <c r="U335" s="132"/>
      <c r="V335" s="132"/>
      <c r="W335" s="132"/>
      <c r="X335" s="132"/>
      <c r="Y335" s="132"/>
      <c r="Z335" s="132"/>
      <c r="AA335" s="132"/>
      <c r="AB335" s="132"/>
      <c r="AC335" s="132"/>
    </row>
    <row r="336" hidden="1" outlineLevel="1">
      <c r="A336" s="602">
        <v>45050.0</v>
      </c>
      <c r="B336" s="507" t="s">
        <v>1178</v>
      </c>
      <c r="C336" s="511" t="s">
        <v>536</v>
      </c>
      <c r="D336" s="601" t="s">
        <v>1426</v>
      </c>
      <c r="E336" s="573" t="s">
        <v>1235</v>
      </c>
      <c r="F336" s="175"/>
      <c r="G336" s="175"/>
      <c r="H336" s="175" t="s">
        <v>1427</v>
      </c>
    </row>
    <row r="337" ht="24.75" hidden="1" customHeight="1" outlineLevel="1">
      <c r="A337" s="602">
        <v>45050.0</v>
      </c>
      <c r="B337" s="507" t="s">
        <v>1263</v>
      </c>
      <c r="C337" s="511" t="s">
        <v>1412</v>
      </c>
      <c r="D337" s="601" t="s">
        <v>1180</v>
      </c>
      <c r="E337" s="573" t="s">
        <v>1235</v>
      </c>
      <c r="F337" s="558"/>
      <c r="G337" s="558"/>
      <c r="H337" s="558"/>
      <c r="I337" s="132"/>
      <c r="J337" s="132"/>
      <c r="K337" s="132"/>
      <c r="L337" s="132"/>
      <c r="M337" s="132"/>
      <c r="N337" s="132"/>
      <c r="O337" s="132"/>
      <c r="P337" s="132"/>
      <c r="Q337" s="132"/>
      <c r="R337" s="132"/>
      <c r="S337" s="132"/>
      <c r="T337" s="132"/>
      <c r="U337" s="132"/>
      <c r="V337" s="132"/>
      <c r="W337" s="132"/>
      <c r="X337" s="132"/>
      <c r="Y337" s="132"/>
      <c r="Z337" s="132"/>
      <c r="AA337" s="132"/>
      <c r="AB337" s="132"/>
      <c r="AC337" s="132"/>
    </row>
    <row r="338" ht="24.75" hidden="1" customHeight="1" outlineLevel="1">
      <c r="A338" s="603">
        <v>45051.0</v>
      </c>
      <c r="B338" s="507" t="s">
        <v>1232</v>
      </c>
      <c r="C338" s="511" t="s">
        <v>1233</v>
      </c>
      <c r="D338" s="579" t="s">
        <v>1414</v>
      </c>
      <c r="E338" s="573" t="s">
        <v>1235</v>
      </c>
      <c r="F338" s="175"/>
      <c r="G338" s="175"/>
      <c r="H338" s="175"/>
      <c r="I338" s="132"/>
      <c r="J338" s="132"/>
      <c r="K338" s="132"/>
      <c r="L338" s="132"/>
      <c r="M338" s="132"/>
      <c r="N338" s="132"/>
      <c r="O338" s="132"/>
      <c r="P338" s="132"/>
      <c r="Q338" s="132"/>
      <c r="R338" s="132"/>
      <c r="S338" s="132"/>
      <c r="T338" s="132"/>
      <c r="U338" s="132"/>
      <c r="V338" s="132"/>
      <c r="W338" s="132"/>
      <c r="X338" s="132"/>
      <c r="Y338" s="132"/>
      <c r="Z338" s="132"/>
      <c r="AA338" s="132"/>
      <c r="AB338" s="132"/>
      <c r="AC338" s="132"/>
    </row>
    <row r="339" ht="24.75" hidden="1" customHeight="1" outlineLevel="1">
      <c r="A339" s="603">
        <v>45051.0</v>
      </c>
      <c r="B339" s="507" t="s">
        <v>38</v>
      </c>
      <c r="C339" s="507" t="s">
        <v>1233</v>
      </c>
      <c r="D339" s="601" t="s">
        <v>1180</v>
      </c>
      <c r="E339" s="573" t="s">
        <v>1235</v>
      </c>
      <c r="F339" s="175"/>
      <c r="G339" s="175"/>
      <c r="H339" s="175"/>
      <c r="I339" s="132"/>
      <c r="J339" s="132"/>
      <c r="K339" s="132"/>
      <c r="L339" s="132"/>
      <c r="M339" s="132"/>
      <c r="N339" s="132"/>
      <c r="O339" s="132"/>
      <c r="P339" s="132"/>
      <c r="Q339" s="132"/>
      <c r="R339" s="132"/>
      <c r="S339" s="132"/>
      <c r="T339" s="132"/>
      <c r="U339" s="132"/>
      <c r="V339" s="132"/>
      <c r="W339" s="132"/>
      <c r="X339" s="132"/>
      <c r="Y339" s="132"/>
      <c r="Z339" s="132"/>
      <c r="AA339" s="132"/>
      <c r="AB339" s="132"/>
      <c r="AC339" s="132"/>
    </row>
    <row r="340" ht="24.75" hidden="1" customHeight="1" outlineLevel="1">
      <c r="A340" s="603">
        <v>45051.0</v>
      </c>
      <c r="B340" s="547" t="s">
        <v>1181</v>
      </c>
      <c r="C340" s="548" t="s">
        <v>1428</v>
      </c>
      <c r="D340" s="548" t="s">
        <v>1429</v>
      </c>
      <c r="E340" s="573" t="s">
        <v>1203</v>
      </c>
      <c r="F340" s="580"/>
      <c r="G340" s="580"/>
      <c r="H340" s="580" t="s">
        <v>1394</v>
      </c>
      <c r="I340" s="132"/>
      <c r="J340" s="132"/>
      <c r="K340" s="132"/>
      <c r="L340" s="132"/>
      <c r="M340" s="132"/>
      <c r="N340" s="132"/>
      <c r="O340" s="132"/>
      <c r="P340" s="132"/>
      <c r="Q340" s="132"/>
      <c r="R340" s="132"/>
      <c r="S340" s="132"/>
      <c r="T340" s="132"/>
      <c r="U340" s="132"/>
      <c r="V340" s="132"/>
      <c r="W340" s="132"/>
      <c r="X340" s="132"/>
      <c r="Y340" s="132"/>
      <c r="Z340" s="132"/>
      <c r="AA340" s="132"/>
      <c r="AB340" s="132"/>
      <c r="AC340" s="132"/>
    </row>
    <row r="341" ht="24.75" hidden="1" customHeight="1" outlineLevel="1">
      <c r="A341" s="604">
        <v>45052.0</v>
      </c>
      <c r="B341" s="507" t="s">
        <v>1209</v>
      </c>
      <c r="C341" s="507" t="s">
        <v>1233</v>
      </c>
      <c r="D341" s="605" t="s">
        <v>144</v>
      </c>
      <c r="E341" s="573" t="s">
        <v>1235</v>
      </c>
      <c r="F341" s="175"/>
      <c r="G341" s="175"/>
      <c r="H341" s="175"/>
      <c r="I341" s="132"/>
      <c r="J341" s="132"/>
      <c r="K341" s="132"/>
      <c r="L341" s="132"/>
      <c r="M341" s="132"/>
      <c r="N341" s="132"/>
      <c r="O341" s="132"/>
      <c r="P341" s="132"/>
      <c r="Q341" s="132"/>
      <c r="R341" s="132"/>
      <c r="S341" s="132"/>
      <c r="T341" s="132"/>
      <c r="U341" s="132"/>
      <c r="V341" s="132"/>
      <c r="W341" s="132"/>
      <c r="X341" s="132"/>
      <c r="Y341" s="132"/>
      <c r="Z341" s="132"/>
      <c r="AA341" s="132"/>
      <c r="AB341" s="132"/>
      <c r="AC341" s="132"/>
    </row>
    <row r="342" ht="24.75" hidden="1" customHeight="1" outlineLevel="1">
      <c r="A342" s="604">
        <v>45052.0</v>
      </c>
      <c r="B342" s="507" t="s">
        <v>1238</v>
      </c>
      <c r="C342" s="511" t="s">
        <v>1259</v>
      </c>
      <c r="D342" s="605" t="s">
        <v>144</v>
      </c>
      <c r="E342" s="573" t="s">
        <v>1203</v>
      </c>
      <c r="F342" s="175"/>
      <c r="G342" s="175"/>
      <c r="H342" s="175" t="s">
        <v>1425</v>
      </c>
      <c r="I342" s="132"/>
      <c r="J342" s="132"/>
      <c r="K342" s="132"/>
      <c r="L342" s="132"/>
      <c r="M342" s="132"/>
      <c r="N342" s="132"/>
      <c r="O342" s="132"/>
      <c r="P342" s="132"/>
      <c r="Q342" s="132"/>
      <c r="R342" s="132"/>
      <c r="S342" s="132"/>
      <c r="T342" s="132"/>
      <c r="U342" s="132"/>
      <c r="V342" s="132"/>
      <c r="W342" s="132"/>
      <c r="X342" s="132"/>
      <c r="Y342" s="132"/>
      <c r="Z342" s="132"/>
      <c r="AA342" s="132"/>
      <c r="AB342" s="132"/>
      <c r="AC342" s="132"/>
    </row>
    <row r="343" ht="24.75" hidden="1" customHeight="1" outlineLevel="1">
      <c r="A343" s="604">
        <v>45052.0</v>
      </c>
      <c r="B343" s="606" t="s">
        <v>1210</v>
      </c>
      <c r="C343" s="574" t="s">
        <v>1430</v>
      </c>
      <c r="D343" s="605" t="s">
        <v>144</v>
      </c>
      <c r="E343" s="573" t="s">
        <v>1203</v>
      </c>
      <c r="F343" s="175"/>
      <c r="G343" s="175"/>
      <c r="H343" s="175" t="s">
        <v>1169</v>
      </c>
      <c r="I343" s="132"/>
      <c r="J343" s="132"/>
      <c r="K343" s="132"/>
      <c r="L343" s="132"/>
      <c r="M343" s="132"/>
      <c r="N343" s="132"/>
      <c r="O343" s="132"/>
      <c r="P343" s="132"/>
      <c r="Q343" s="132"/>
      <c r="R343" s="132"/>
      <c r="S343" s="132"/>
      <c r="T343" s="132"/>
      <c r="U343" s="132"/>
      <c r="V343" s="132"/>
      <c r="W343" s="132"/>
      <c r="X343" s="132"/>
      <c r="Y343" s="132"/>
      <c r="Z343" s="132"/>
      <c r="AA343" s="132"/>
      <c r="AB343" s="132"/>
      <c r="AC343" s="132"/>
    </row>
    <row r="344" ht="24.75" hidden="1" customHeight="1" outlineLevel="1">
      <c r="A344" s="604">
        <v>45052.0</v>
      </c>
      <c r="B344" s="527" t="s">
        <v>1213</v>
      </c>
      <c r="C344" s="511" t="s">
        <v>1302</v>
      </c>
      <c r="D344" s="605" t="s">
        <v>144</v>
      </c>
      <c r="E344" s="573" t="s">
        <v>1203</v>
      </c>
      <c r="F344" s="175"/>
      <c r="G344" s="175"/>
      <c r="H344" s="175" t="s">
        <v>1425</v>
      </c>
      <c r="I344" s="132"/>
      <c r="J344" s="132"/>
      <c r="K344" s="132"/>
      <c r="L344" s="132"/>
      <c r="M344" s="132"/>
      <c r="N344" s="132"/>
      <c r="O344" s="132"/>
      <c r="P344" s="132"/>
      <c r="Q344" s="132"/>
      <c r="R344" s="132"/>
      <c r="S344" s="132"/>
      <c r="T344" s="132"/>
      <c r="U344" s="132"/>
      <c r="V344" s="132"/>
      <c r="W344" s="132"/>
      <c r="X344" s="132"/>
      <c r="Y344" s="132"/>
      <c r="Z344" s="132"/>
      <c r="AA344" s="132"/>
      <c r="AB344" s="132"/>
      <c r="AC344" s="132"/>
    </row>
    <row r="345" ht="24.75" hidden="1" customHeight="1" outlineLevel="1">
      <c r="A345" s="607">
        <v>45053.0</v>
      </c>
      <c r="B345" s="507" t="s">
        <v>1187</v>
      </c>
      <c r="C345" s="511" t="s">
        <v>1412</v>
      </c>
      <c r="D345" s="601" t="s">
        <v>1180</v>
      </c>
      <c r="E345" s="573" t="s">
        <v>1235</v>
      </c>
      <c r="F345" s="175"/>
      <c r="G345" s="175"/>
      <c r="H345" s="175"/>
      <c r="I345" s="132"/>
      <c r="J345" s="132"/>
      <c r="K345" s="132"/>
      <c r="L345" s="132"/>
      <c r="M345" s="132"/>
      <c r="N345" s="132"/>
      <c r="O345" s="132"/>
      <c r="P345" s="132"/>
      <c r="Q345" s="132"/>
      <c r="R345" s="132"/>
      <c r="S345" s="132"/>
      <c r="T345" s="132"/>
      <c r="U345" s="132"/>
      <c r="V345" s="132"/>
      <c r="W345" s="132"/>
      <c r="X345" s="132"/>
      <c r="Y345" s="132"/>
      <c r="Z345" s="132"/>
      <c r="AA345" s="132"/>
      <c r="AB345" s="132"/>
      <c r="AC345" s="132"/>
    </row>
    <row r="346" ht="24.75" hidden="1" customHeight="1" outlineLevel="1">
      <c r="A346" s="607">
        <v>45053.0</v>
      </c>
      <c r="B346" s="507" t="s">
        <v>1189</v>
      </c>
      <c r="C346" s="511" t="s">
        <v>1259</v>
      </c>
      <c r="D346" s="605" t="s">
        <v>144</v>
      </c>
      <c r="E346" s="573" t="s">
        <v>1203</v>
      </c>
      <c r="F346" s="175"/>
      <c r="G346" s="175"/>
      <c r="H346" s="175" t="s">
        <v>1425</v>
      </c>
      <c r="I346" s="132"/>
      <c r="J346" s="132"/>
      <c r="K346" s="132"/>
      <c r="L346" s="132"/>
      <c r="M346" s="132"/>
      <c r="N346" s="132"/>
      <c r="O346" s="132"/>
      <c r="P346" s="132"/>
      <c r="Q346" s="132"/>
      <c r="R346" s="132"/>
      <c r="S346" s="132"/>
      <c r="T346" s="132"/>
      <c r="U346" s="132"/>
      <c r="V346" s="132"/>
      <c r="W346" s="132"/>
      <c r="X346" s="132"/>
      <c r="Y346" s="132"/>
      <c r="Z346" s="132"/>
      <c r="AA346" s="132"/>
      <c r="AB346" s="132"/>
      <c r="AC346" s="132"/>
    </row>
    <row r="347" ht="24.75" hidden="1" customHeight="1" outlineLevel="1">
      <c r="A347" s="608">
        <v>45054.0</v>
      </c>
      <c r="B347" s="507" t="s">
        <v>1249</v>
      </c>
      <c r="C347" s="511" t="s">
        <v>1302</v>
      </c>
      <c r="D347" s="605" t="s">
        <v>144</v>
      </c>
      <c r="E347" s="573" t="s">
        <v>1203</v>
      </c>
      <c r="F347" s="175"/>
      <c r="G347" s="175"/>
      <c r="H347" s="175" t="s">
        <v>1425</v>
      </c>
      <c r="I347" s="132"/>
      <c r="J347" s="132"/>
      <c r="K347" s="132"/>
      <c r="L347" s="132"/>
      <c r="M347" s="132"/>
      <c r="N347" s="132"/>
      <c r="O347" s="132"/>
      <c r="P347" s="132"/>
      <c r="Q347" s="132"/>
      <c r="R347" s="132"/>
      <c r="S347" s="132"/>
      <c r="T347" s="132"/>
      <c r="U347" s="132"/>
      <c r="V347" s="132"/>
      <c r="W347" s="132"/>
      <c r="X347" s="132"/>
      <c r="Y347" s="132"/>
      <c r="Z347" s="132"/>
      <c r="AA347" s="132"/>
      <c r="AB347" s="132"/>
      <c r="AC347" s="132"/>
    </row>
    <row r="348" ht="24.75" hidden="1" customHeight="1" outlineLevel="1">
      <c r="A348" s="608">
        <v>45054.0</v>
      </c>
      <c r="B348" s="507" t="s">
        <v>629</v>
      </c>
      <c r="C348" s="507" t="s">
        <v>1233</v>
      </c>
      <c r="D348" s="601" t="s">
        <v>1426</v>
      </c>
      <c r="E348" s="573" t="s">
        <v>1203</v>
      </c>
      <c r="F348" s="175"/>
      <c r="G348" s="175"/>
      <c r="H348" s="175" t="s">
        <v>1431</v>
      </c>
      <c r="I348" s="132"/>
      <c r="J348" s="132"/>
      <c r="K348" s="132"/>
      <c r="L348" s="132"/>
      <c r="M348" s="132"/>
      <c r="N348" s="132"/>
      <c r="O348" s="132"/>
      <c r="P348" s="132"/>
      <c r="Q348" s="132"/>
      <c r="R348" s="132"/>
      <c r="S348" s="132"/>
      <c r="T348" s="132"/>
      <c r="U348" s="132"/>
      <c r="V348" s="132"/>
      <c r="W348" s="132"/>
      <c r="X348" s="132"/>
      <c r="Y348" s="132"/>
      <c r="Z348" s="132"/>
      <c r="AA348" s="132"/>
      <c r="AB348" s="132"/>
      <c r="AC348" s="132"/>
    </row>
    <row r="349" ht="24.75" hidden="1" customHeight="1" outlineLevel="1">
      <c r="A349" s="608">
        <v>45054.0</v>
      </c>
      <c r="B349" s="507" t="s">
        <v>1271</v>
      </c>
      <c r="C349" s="531" t="s">
        <v>1367</v>
      </c>
      <c r="D349" s="605" t="s">
        <v>144</v>
      </c>
      <c r="E349" s="573" t="s">
        <v>1203</v>
      </c>
      <c r="F349" s="175"/>
      <c r="G349" s="175"/>
      <c r="H349" s="175" t="s">
        <v>1432</v>
      </c>
      <c r="I349" s="132"/>
      <c r="J349" s="132"/>
      <c r="K349" s="132"/>
      <c r="L349" s="132"/>
      <c r="M349" s="132"/>
      <c r="N349" s="132"/>
      <c r="O349" s="132"/>
      <c r="P349" s="132"/>
      <c r="Q349" s="132"/>
      <c r="R349" s="132"/>
      <c r="S349" s="132"/>
      <c r="T349" s="132"/>
      <c r="U349" s="132"/>
      <c r="V349" s="132"/>
      <c r="W349" s="132"/>
      <c r="X349" s="132"/>
      <c r="Y349" s="132"/>
      <c r="Z349" s="132"/>
      <c r="AA349" s="132"/>
      <c r="AB349" s="132"/>
      <c r="AC349" s="132"/>
    </row>
    <row r="350" ht="24.75" hidden="1" customHeight="1" outlineLevel="1">
      <c r="A350" s="608">
        <v>45054.0</v>
      </c>
      <c r="B350" s="507" t="s">
        <v>1274</v>
      </c>
      <c r="C350" s="531" t="s">
        <v>1367</v>
      </c>
      <c r="D350" s="605" t="s">
        <v>144</v>
      </c>
      <c r="E350" s="573" t="s">
        <v>1203</v>
      </c>
      <c r="F350" s="175"/>
      <c r="G350" s="175"/>
      <c r="H350" s="175" t="s">
        <v>1432</v>
      </c>
      <c r="I350" s="132"/>
      <c r="J350" s="132"/>
      <c r="K350" s="132"/>
      <c r="L350" s="132"/>
      <c r="M350" s="132"/>
      <c r="N350" s="132"/>
      <c r="O350" s="132"/>
      <c r="P350" s="132"/>
      <c r="Q350" s="132"/>
      <c r="R350" s="132"/>
      <c r="S350" s="132"/>
      <c r="T350" s="132"/>
      <c r="U350" s="132"/>
      <c r="V350" s="132"/>
      <c r="W350" s="132"/>
      <c r="X350" s="132"/>
      <c r="Y350" s="132"/>
      <c r="Z350" s="132"/>
      <c r="AA350" s="132"/>
      <c r="AB350" s="132"/>
      <c r="AC350" s="132"/>
    </row>
    <row r="351" ht="24.75" customHeight="1">
      <c r="A351" s="132"/>
      <c r="B351" s="132"/>
      <c r="C351" s="132"/>
      <c r="D351" s="132"/>
      <c r="E351" s="496"/>
      <c r="F351" s="175"/>
      <c r="G351" s="175"/>
      <c r="H351" s="175" t="s">
        <v>1433</v>
      </c>
      <c r="I351" s="132"/>
      <c r="J351" s="132"/>
      <c r="K351" s="132"/>
      <c r="L351" s="132"/>
      <c r="M351" s="132"/>
      <c r="N351" s="132"/>
      <c r="O351" s="132"/>
      <c r="P351" s="132"/>
      <c r="Q351" s="132"/>
      <c r="R351" s="132"/>
      <c r="S351" s="132"/>
      <c r="T351" s="132"/>
      <c r="U351" s="132"/>
      <c r="V351" s="132"/>
      <c r="W351" s="132"/>
      <c r="X351" s="132"/>
      <c r="Y351" s="132"/>
      <c r="Z351" s="132"/>
      <c r="AA351" s="132"/>
      <c r="AB351" s="132"/>
      <c r="AC351" s="132"/>
    </row>
    <row r="352" ht="24.75" customHeight="1" collapsed="1">
      <c r="A352" s="532" t="s">
        <v>1434</v>
      </c>
      <c r="B352" s="132"/>
      <c r="C352" s="132"/>
      <c r="D352" s="132"/>
      <c r="E352" s="496"/>
      <c r="F352" s="132"/>
      <c r="G352" s="132"/>
      <c r="H352" s="132"/>
      <c r="I352" s="132"/>
      <c r="J352" s="132"/>
      <c r="K352" s="132"/>
      <c r="L352" s="132"/>
      <c r="M352" s="132"/>
      <c r="N352" s="132"/>
      <c r="O352" s="132"/>
      <c r="P352" s="132"/>
      <c r="Q352" s="132"/>
      <c r="R352" s="132"/>
      <c r="S352" s="132"/>
      <c r="T352" s="132"/>
      <c r="U352" s="132"/>
      <c r="V352" s="132"/>
      <c r="W352" s="132"/>
      <c r="X352" s="132"/>
      <c r="Y352" s="132"/>
      <c r="Z352" s="132"/>
      <c r="AA352" s="132"/>
      <c r="AB352" s="132"/>
      <c r="AC352" s="132"/>
    </row>
    <row r="353" ht="24.75" hidden="1" customHeight="1" outlineLevel="1">
      <c r="A353" s="607">
        <v>45081.0</v>
      </c>
      <c r="B353" s="507" t="s">
        <v>1187</v>
      </c>
      <c r="C353" s="511" t="s">
        <v>1412</v>
      </c>
      <c r="D353" s="601" t="s">
        <v>1435</v>
      </c>
      <c r="E353" s="573" t="s">
        <v>1203</v>
      </c>
      <c r="F353" s="175"/>
      <c r="G353" s="175"/>
      <c r="H353" s="175"/>
      <c r="I353" s="132"/>
      <c r="J353" s="132"/>
      <c r="K353" s="132"/>
      <c r="L353" s="132"/>
      <c r="M353" s="132"/>
      <c r="N353" s="132"/>
      <c r="O353" s="132"/>
      <c r="P353" s="132"/>
      <c r="Q353" s="132"/>
      <c r="R353" s="132"/>
      <c r="S353" s="132"/>
      <c r="T353" s="132"/>
      <c r="U353" s="132"/>
      <c r="V353" s="132"/>
      <c r="W353" s="132"/>
      <c r="X353" s="132"/>
      <c r="Y353" s="132"/>
      <c r="Z353" s="132"/>
      <c r="AA353" s="132"/>
      <c r="AB353" s="132"/>
      <c r="AC353" s="132"/>
    </row>
    <row r="354" ht="24.75" hidden="1" customHeight="1" outlineLevel="1">
      <c r="A354" s="607">
        <v>45081.0</v>
      </c>
      <c r="B354" s="507" t="s">
        <v>1189</v>
      </c>
      <c r="C354" s="511" t="s">
        <v>1259</v>
      </c>
      <c r="D354" s="601" t="s">
        <v>1436</v>
      </c>
      <c r="E354" s="573" t="s">
        <v>1203</v>
      </c>
      <c r="F354" s="175"/>
      <c r="G354" s="175"/>
      <c r="H354" s="175"/>
      <c r="I354" s="132"/>
      <c r="J354" s="132"/>
      <c r="K354" s="132"/>
      <c r="L354" s="132"/>
      <c r="M354" s="132"/>
      <c r="N354" s="132"/>
      <c r="O354" s="132"/>
      <c r="P354" s="132"/>
      <c r="Q354" s="132"/>
      <c r="R354" s="132"/>
      <c r="S354" s="132"/>
      <c r="T354" s="132"/>
      <c r="U354" s="132"/>
      <c r="V354" s="132"/>
      <c r="W354" s="132"/>
      <c r="X354" s="132"/>
      <c r="Y354" s="132"/>
      <c r="Z354" s="132"/>
      <c r="AA354" s="132"/>
      <c r="AB354" s="132"/>
      <c r="AC354" s="132"/>
    </row>
    <row r="355" ht="24.75" customHeight="1">
      <c r="A355" s="132"/>
      <c r="B355" s="132"/>
      <c r="C355" s="132"/>
      <c r="D355" s="132"/>
      <c r="E355" s="496"/>
      <c r="F355" s="132"/>
      <c r="G355" s="132"/>
      <c r="H355" s="132"/>
      <c r="I355" s="132"/>
      <c r="J355" s="132"/>
      <c r="K355" s="132"/>
      <c r="L355" s="132"/>
      <c r="M355" s="132"/>
      <c r="N355" s="132"/>
      <c r="O355" s="132"/>
      <c r="P355" s="132"/>
      <c r="Q355" s="132"/>
      <c r="R355" s="132"/>
      <c r="S355" s="132"/>
      <c r="T355" s="132"/>
      <c r="U355" s="132"/>
      <c r="V355" s="132"/>
      <c r="W355" s="132"/>
      <c r="X355" s="132"/>
      <c r="Y355" s="132"/>
      <c r="Z355" s="132"/>
      <c r="AA355" s="132"/>
      <c r="AB355" s="132"/>
      <c r="AC355" s="132"/>
    </row>
    <row r="356" ht="24.75" customHeight="1" collapsed="1">
      <c r="A356" s="532" t="s">
        <v>1437</v>
      </c>
      <c r="B356" s="132"/>
      <c r="C356" s="132"/>
      <c r="D356" s="132"/>
      <c r="E356" s="496"/>
      <c r="F356" s="132"/>
      <c r="G356" s="132"/>
      <c r="H356" s="132"/>
      <c r="I356" s="132"/>
      <c r="J356" s="132"/>
      <c r="K356" s="132"/>
      <c r="L356" s="132"/>
      <c r="M356" s="132"/>
      <c r="N356" s="132"/>
      <c r="O356" s="132"/>
      <c r="P356" s="132"/>
      <c r="Q356" s="132"/>
      <c r="R356" s="132"/>
      <c r="S356" s="132"/>
      <c r="T356" s="132"/>
      <c r="U356" s="132"/>
      <c r="V356" s="132"/>
      <c r="W356" s="132"/>
      <c r="X356" s="132"/>
      <c r="Y356" s="132"/>
      <c r="Z356" s="132"/>
      <c r="AA356" s="132"/>
      <c r="AB356" s="132"/>
      <c r="AC356" s="132"/>
    </row>
    <row r="357" ht="24.75" hidden="1" customHeight="1" outlineLevel="1">
      <c r="A357" s="533" t="s">
        <v>1166</v>
      </c>
      <c r="B357" s="534" t="s">
        <v>1117</v>
      </c>
      <c r="C357" s="534" t="s">
        <v>1167</v>
      </c>
      <c r="D357" s="534" t="s">
        <v>1168</v>
      </c>
      <c r="E357" s="534" t="s">
        <v>1169</v>
      </c>
      <c r="F357" s="132"/>
      <c r="G357" s="132"/>
      <c r="H357" s="132"/>
      <c r="I357" s="132"/>
      <c r="J357" s="132"/>
      <c r="K357" s="132"/>
      <c r="L357" s="132"/>
      <c r="M357" s="132"/>
      <c r="N357" s="132"/>
      <c r="O357" s="132"/>
      <c r="P357" s="132"/>
      <c r="Q357" s="132"/>
      <c r="R357" s="132"/>
      <c r="S357" s="132"/>
      <c r="T357" s="132"/>
      <c r="U357" s="132"/>
      <c r="V357" s="132"/>
      <c r="W357" s="132"/>
      <c r="X357" s="132"/>
      <c r="Y357" s="132"/>
      <c r="Z357" s="132"/>
      <c r="AA357" s="132"/>
      <c r="AB357" s="132"/>
      <c r="AC357" s="132"/>
    </row>
    <row r="358" ht="24.75" hidden="1" customHeight="1" outlineLevel="1">
      <c r="A358" s="607">
        <v>45125.0</v>
      </c>
      <c r="B358" s="507" t="s">
        <v>38</v>
      </c>
      <c r="C358" s="507" t="s">
        <v>1233</v>
      </c>
      <c r="D358" s="601" t="s">
        <v>1180</v>
      </c>
      <c r="E358" s="573" t="s">
        <v>1235</v>
      </c>
      <c r="F358" s="175"/>
      <c r="G358" s="175"/>
      <c r="H358" s="175"/>
      <c r="I358" s="132"/>
      <c r="J358" s="132"/>
      <c r="K358" s="132"/>
      <c r="L358" s="132"/>
      <c r="M358" s="132"/>
      <c r="N358" s="132"/>
      <c r="O358" s="132"/>
      <c r="P358" s="132"/>
      <c r="Q358" s="132"/>
      <c r="R358" s="132"/>
      <c r="S358" s="132"/>
      <c r="T358" s="132"/>
      <c r="U358" s="132"/>
      <c r="V358" s="132"/>
      <c r="W358" s="132"/>
      <c r="X358" s="132"/>
      <c r="Y358" s="132"/>
      <c r="Z358" s="132"/>
      <c r="AA358" s="132"/>
      <c r="AB358" s="132"/>
      <c r="AC358" s="132"/>
    </row>
    <row r="359" ht="24.75" hidden="1" customHeight="1" outlineLevel="1">
      <c r="A359" s="607">
        <v>45125.0</v>
      </c>
      <c r="B359" s="507" t="s">
        <v>1232</v>
      </c>
      <c r="C359" s="511" t="s">
        <v>1233</v>
      </c>
      <c r="D359" s="601" t="s">
        <v>1180</v>
      </c>
      <c r="E359" s="573" t="s">
        <v>1235</v>
      </c>
      <c r="F359" s="132"/>
      <c r="G359" s="132"/>
      <c r="H359" s="132"/>
      <c r="I359" s="132"/>
      <c r="J359" s="132"/>
      <c r="K359" s="132"/>
      <c r="L359" s="132"/>
      <c r="M359" s="132"/>
      <c r="N359" s="132"/>
      <c r="O359" s="132"/>
      <c r="P359" s="132"/>
      <c r="Q359" s="132"/>
      <c r="R359" s="132"/>
      <c r="S359" s="132"/>
      <c r="T359" s="132"/>
      <c r="U359" s="132"/>
      <c r="V359" s="132"/>
      <c r="W359" s="132"/>
      <c r="X359" s="132"/>
      <c r="Y359" s="132"/>
      <c r="Z359" s="132"/>
      <c r="AA359" s="132"/>
      <c r="AB359" s="132"/>
      <c r="AC359" s="132"/>
    </row>
    <row r="360" ht="24.75" hidden="1" customHeight="1" outlineLevel="1">
      <c r="A360" s="607">
        <v>45125.0</v>
      </c>
      <c r="B360" s="507" t="s">
        <v>1254</v>
      </c>
      <c r="C360" s="511" t="s">
        <v>1412</v>
      </c>
      <c r="D360" s="601" t="s">
        <v>1180</v>
      </c>
      <c r="E360" s="573" t="s">
        <v>1235</v>
      </c>
      <c r="F360" s="132"/>
      <c r="G360" s="132"/>
      <c r="H360" s="132"/>
      <c r="I360" s="132"/>
      <c r="J360" s="132"/>
      <c r="K360" s="132"/>
      <c r="L360" s="132"/>
      <c r="M360" s="132"/>
      <c r="N360" s="132"/>
      <c r="O360" s="132"/>
      <c r="P360" s="132"/>
      <c r="Q360" s="132"/>
      <c r="R360" s="132"/>
      <c r="S360" s="132"/>
      <c r="T360" s="132"/>
      <c r="U360" s="132"/>
      <c r="V360" s="132"/>
      <c r="W360" s="132"/>
      <c r="X360" s="132"/>
      <c r="Y360" s="132"/>
      <c r="Z360" s="132"/>
      <c r="AA360" s="132"/>
      <c r="AB360" s="132"/>
      <c r="AC360" s="132"/>
    </row>
    <row r="361" ht="24.75" hidden="1" customHeight="1" outlineLevel="1">
      <c r="A361" s="607">
        <v>45125.0</v>
      </c>
      <c r="B361" s="507" t="s">
        <v>1325</v>
      </c>
      <c r="C361" s="531" t="s">
        <v>1233</v>
      </c>
      <c r="D361" s="507" t="s">
        <v>1319</v>
      </c>
      <c r="E361" s="589" t="s">
        <v>1235</v>
      </c>
      <c r="F361" s="132"/>
      <c r="G361" s="132"/>
      <c r="H361" s="132"/>
      <c r="I361" s="132"/>
      <c r="J361" s="132"/>
      <c r="K361" s="132"/>
      <c r="L361" s="132"/>
      <c r="M361" s="132"/>
      <c r="N361" s="132"/>
      <c r="O361" s="132"/>
      <c r="P361" s="132"/>
      <c r="Q361" s="132"/>
      <c r="R361" s="132"/>
      <c r="S361" s="132"/>
      <c r="T361" s="132"/>
      <c r="U361" s="132"/>
      <c r="V361" s="132"/>
      <c r="W361" s="132"/>
      <c r="X361" s="132"/>
      <c r="Y361" s="132"/>
      <c r="Z361" s="132"/>
      <c r="AA361" s="132"/>
      <c r="AB361" s="132"/>
      <c r="AC361" s="132"/>
    </row>
    <row r="362" ht="24.75" customHeight="1">
      <c r="A362" s="132"/>
      <c r="B362" s="132"/>
      <c r="C362" s="132"/>
      <c r="D362" s="132"/>
      <c r="E362" s="496"/>
      <c r="F362" s="132"/>
      <c r="G362" s="132"/>
      <c r="H362" s="132"/>
      <c r="I362" s="132"/>
      <c r="J362" s="132"/>
      <c r="K362" s="132"/>
      <c r="L362" s="132"/>
      <c r="M362" s="132"/>
      <c r="N362" s="132"/>
      <c r="O362" s="132"/>
      <c r="P362" s="132"/>
      <c r="Q362" s="132"/>
      <c r="R362" s="132"/>
      <c r="S362" s="132"/>
      <c r="T362" s="132"/>
      <c r="U362" s="132"/>
      <c r="V362" s="132"/>
      <c r="W362" s="132"/>
      <c r="X362" s="132"/>
      <c r="Y362" s="132"/>
      <c r="Z362" s="132"/>
      <c r="AA362" s="132"/>
      <c r="AB362" s="132"/>
      <c r="AC362" s="132"/>
    </row>
    <row r="363" ht="24.75" customHeight="1" collapsed="1">
      <c r="A363" s="497" t="s">
        <v>1438</v>
      </c>
      <c r="B363" s="498"/>
      <c r="C363" s="498"/>
      <c r="D363" s="498"/>
      <c r="E363" s="498"/>
      <c r="F363" s="132"/>
      <c r="G363" s="132"/>
      <c r="H363" s="132"/>
      <c r="I363" s="132"/>
      <c r="J363" s="132"/>
      <c r="K363" s="132"/>
      <c r="L363" s="132"/>
      <c r="M363" s="132"/>
      <c r="N363" s="132"/>
      <c r="O363" s="132"/>
      <c r="P363" s="132"/>
      <c r="Q363" s="132"/>
      <c r="R363" s="132"/>
      <c r="S363" s="132"/>
      <c r="T363" s="132"/>
      <c r="U363" s="132"/>
      <c r="V363" s="132"/>
      <c r="W363" s="132"/>
      <c r="X363" s="132"/>
      <c r="Y363" s="132"/>
      <c r="Z363" s="132"/>
      <c r="AA363" s="132"/>
      <c r="AB363" s="132"/>
      <c r="AC363" s="132"/>
    </row>
    <row r="364" ht="24.75" hidden="1" customHeight="1" outlineLevel="1">
      <c r="A364" s="499" t="s">
        <v>1166</v>
      </c>
      <c r="B364" s="499" t="s">
        <v>1117</v>
      </c>
      <c r="C364" s="499" t="s">
        <v>1167</v>
      </c>
      <c r="D364" s="499" t="s">
        <v>1168</v>
      </c>
      <c r="E364" s="499" t="s">
        <v>1169</v>
      </c>
      <c r="F364" s="132"/>
      <c r="G364" s="132"/>
      <c r="H364" s="132"/>
      <c r="I364" s="175"/>
      <c r="J364" s="132"/>
      <c r="K364" s="132"/>
      <c r="L364" s="132"/>
      <c r="M364" s="132"/>
      <c r="N364" s="132"/>
      <c r="O364" s="132"/>
      <c r="P364" s="132"/>
      <c r="Q364" s="132"/>
      <c r="R364" s="132"/>
      <c r="S364" s="132"/>
      <c r="T364" s="132"/>
      <c r="U364" s="132"/>
      <c r="V364" s="132"/>
      <c r="W364" s="132"/>
      <c r="X364" s="132"/>
      <c r="Y364" s="132"/>
      <c r="Z364" s="132"/>
      <c r="AA364" s="132"/>
      <c r="AB364" s="132"/>
      <c r="AC364" s="132"/>
    </row>
    <row r="365" ht="39.0" hidden="1" customHeight="1" outlineLevel="1">
      <c r="A365" s="561">
        <v>45149.0</v>
      </c>
      <c r="B365" s="609" t="s">
        <v>1232</v>
      </c>
      <c r="C365" s="610" t="s">
        <v>1233</v>
      </c>
      <c r="D365" s="611" t="s">
        <v>1296</v>
      </c>
      <c r="E365" s="573" t="s">
        <v>1235</v>
      </c>
      <c r="F365" s="132"/>
      <c r="G365" s="132"/>
      <c r="H365" s="132"/>
      <c r="I365" s="175" t="s">
        <v>1439</v>
      </c>
      <c r="J365" s="132"/>
      <c r="K365" s="132"/>
      <c r="L365" s="132"/>
      <c r="M365" s="132"/>
      <c r="N365" s="132"/>
      <c r="O365" s="132"/>
      <c r="P365" s="132"/>
      <c r="Q365" s="132"/>
      <c r="R365" s="132"/>
      <c r="S365" s="132"/>
      <c r="T365" s="132"/>
      <c r="U365" s="132"/>
      <c r="V365" s="132"/>
      <c r="W365" s="132"/>
      <c r="X365" s="132"/>
      <c r="Y365" s="132"/>
      <c r="Z365" s="132"/>
      <c r="AA365" s="132"/>
      <c r="AB365" s="132"/>
      <c r="AC365" s="132"/>
    </row>
    <row r="366" ht="24.75" hidden="1" customHeight="1" outlineLevel="1">
      <c r="A366" s="561">
        <v>45149.0</v>
      </c>
      <c r="B366" s="609" t="s">
        <v>1181</v>
      </c>
      <c r="C366" s="610" t="s">
        <v>1418</v>
      </c>
      <c r="D366" s="610" t="s">
        <v>1180</v>
      </c>
      <c r="E366" s="573" t="s">
        <v>1235</v>
      </c>
      <c r="F366" s="175"/>
      <c r="G366" s="175"/>
      <c r="H366" s="175"/>
      <c r="I366" s="175"/>
      <c r="J366" s="132"/>
      <c r="K366" s="132"/>
      <c r="L366" s="132"/>
      <c r="M366" s="132"/>
      <c r="N366" s="132"/>
      <c r="O366" s="132"/>
      <c r="P366" s="132"/>
      <c r="Q366" s="132"/>
      <c r="R366" s="132"/>
      <c r="S366" s="132"/>
      <c r="T366" s="132"/>
      <c r="U366" s="132"/>
      <c r="V366" s="132"/>
      <c r="W366" s="132"/>
      <c r="X366" s="132"/>
      <c r="Y366" s="132"/>
      <c r="Z366" s="132"/>
      <c r="AA366" s="132"/>
      <c r="AB366" s="132"/>
      <c r="AC366" s="132"/>
    </row>
    <row r="367" ht="24.75" hidden="1" customHeight="1" outlineLevel="1">
      <c r="A367" s="561">
        <v>45149.0</v>
      </c>
      <c r="B367" s="609" t="s">
        <v>38</v>
      </c>
      <c r="C367" s="612" t="s">
        <v>1233</v>
      </c>
      <c r="D367" s="610" t="s">
        <v>1180</v>
      </c>
      <c r="E367" s="573" t="s">
        <v>1235</v>
      </c>
      <c r="F367" s="175"/>
      <c r="G367" s="175"/>
      <c r="H367" s="175"/>
      <c r="I367" s="132"/>
      <c r="J367" s="132"/>
      <c r="K367" s="132"/>
      <c r="L367" s="132"/>
      <c r="M367" s="132"/>
      <c r="N367" s="132"/>
      <c r="O367" s="132"/>
      <c r="P367" s="132"/>
      <c r="Q367" s="132"/>
      <c r="R367" s="132"/>
      <c r="S367" s="132"/>
      <c r="T367" s="132"/>
      <c r="U367" s="132"/>
      <c r="V367" s="132"/>
      <c r="W367" s="132"/>
      <c r="X367" s="132"/>
      <c r="Y367" s="132"/>
      <c r="Z367" s="132"/>
      <c r="AA367" s="132"/>
      <c r="AB367" s="132"/>
      <c r="AC367" s="132"/>
    </row>
    <row r="368" ht="24.75" hidden="1" customHeight="1" outlineLevel="1">
      <c r="A368" s="561">
        <v>45150.0</v>
      </c>
      <c r="B368" s="612" t="s">
        <v>1238</v>
      </c>
      <c r="C368" s="610" t="s">
        <v>1259</v>
      </c>
      <c r="D368" s="610" t="s">
        <v>1175</v>
      </c>
      <c r="E368" s="573" t="s">
        <v>1203</v>
      </c>
      <c r="F368" s="132"/>
      <c r="G368" s="132"/>
      <c r="H368" s="132"/>
      <c r="I368" s="132"/>
      <c r="J368" s="132"/>
      <c r="K368" s="132"/>
      <c r="L368" s="132"/>
      <c r="M368" s="132"/>
      <c r="N368" s="132"/>
      <c r="O368" s="132"/>
      <c r="P368" s="132"/>
      <c r="Q368" s="132"/>
      <c r="R368" s="132"/>
      <c r="S368" s="132"/>
      <c r="T368" s="132"/>
      <c r="U368" s="132"/>
      <c r="V368" s="132"/>
      <c r="W368" s="132"/>
      <c r="X368" s="132"/>
      <c r="Y368" s="132"/>
      <c r="Z368" s="132"/>
      <c r="AA368" s="132"/>
      <c r="AB368" s="132"/>
      <c r="AC368" s="132"/>
    </row>
    <row r="369" ht="24.75" hidden="1" customHeight="1" outlineLevel="1">
      <c r="A369" s="561">
        <v>45150.0</v>
      </c>
      <c r="B369" s="613" t="s">
        <v>1210</v>
      </c>
      <c r="C369" s="610" t="s">
        <v>1440</v>
      </c>
      <c r="D369" s="610" t="s">
        <v>1441</v>
      </c>
      <c r="E369" s="573" t="s">
        <v>1203</v>
      </c>
      <c r="F369" s="175"/>
      <c r="G369" s="175"/>
      <c r="H369" s="175" t="s">
        <v>1442</v>
      </c>
      <c r="I369" s="175"/>
      <c r="J369" s="132"/>
      <c r="K369" s="132"/>
      <c r="L369" s="132"/>
      <c r="M369" s="132"/>
      <c r="N369" s="132"/>
      <c r="O369" s="132"/>
      <c r="P369" s="132"/>
      <c r="Q369" s="132"/>
      <c r="R369" s="132"/>
      <c r="S369" s="132"/>
      <c r="T369" s="132"/>
      <c r="U369" s="132"/>
      <c r="V369" s="132"/>
      <c r="W369" s="132"/>
      <c r="X369" s="132"/>
      <c r="Y369" s="132"/>
      <c r="Z369" s="132"/>
      <c r="AA369" s="132"/>
      <c r="AB369" s="132"/>
      <c r="AC369" s="132"/>
    </row>
    <row r="370" ht="24.75" hidden="1" customHeight="1" outlineLevel="1">
      <c r="A370" s="561">
        <v>45150.0</v>
      </c>
      <c r="B370" s="613" t="s">
        <v>1213</v>
      </c>
      <c r="C370" s="610" t="s">
        <v>1302</v>
      </c>
      <c r="D370" s="511" t="s">
        <v>1443</v>
      </c>
      <c r="E370" s="573" t="s">
        <v>1203</v>
      </c>
      <c r="F370" s="132"/>
      <c r="G370" s="132"/>
      <c r="H370" s="132"/>
      <c r="I370" s="132"/>
      <c r="J370" s="132"/>
      <c r="K370" s="132"/>
      <c r="L370" s="132"/>
      <c r="M370" s="132"/>
      <c r="N370" s="132"/>
      <c r="O370" s="132"/>
      <c r="P370" s="132"/>
      <c r="Q370" s="132"/>
      <c r="R370" s="132"/>
      <c r="S370" s="132"/>
      <c r="T370" s="132"/>
      <c r="U370" s="132"/>
      <c r="V370" s="132"/>
      <c r="W370" s="132"/>
      <c r="X370" s="132"/>
      <c r="Y370" s="132"/>
      <c r="Z370" s="132"/>
      <c r="AA370" s="132"/>
      <c r="AB370" s="132"/>
      <c r="AC370" s="132"/>
    </row>
    <row r="371" ht="24.75" hidden="1" customHeight="1" outlineLevel="1">
      <c r="A371" s="561">
        <v>45150.0</v>
      </c>
      <c r="B371" s="612" t="s">
        <v>1209</v>
      </c>
      <c r="C371" s="610" t="s">
        <v>1233</v>
      </c>
      <c r="D371" s="610" t="s">
        <v>1242</v>
      </c>
      <c r="E371" s="573" t="s">
        <v>1235</v>
      </c>
      <c r="I371" s="132"/>
      <c r="J371" s="132"/>
      <c r="K371" s="132"/>
      <c r="L371" s="132"/>
      <c r="M371" s="132"/>
      <c r="N371" s="132"/>
      <c r="O371" s="132"/>
      <c r="P371" s="132"/>
      <c r="Q371" s="132"/>
      <c r="R371" s="132"/>
      <c r="S371" s="132"/>
      <c r="T371" s="132"/>
      <c r="U371" s="132"/>
      <c r="V371" s="132"/>
      <c r="W371" s="132"/>
      <c r="X371" s="132"/>
      <c r="Y371" s="132"/>
      <c r="Z371" s="132"/>
      <c r="AA371" s="132"/>
      <c r="AB371" s="132"/>
      <c r="AC371" s="132"/>
    </row>
    <row r="372" ht="24.75" hidden="1" customHeight="1" outlineLevel="1">
      <c r="A372" s="561">
        <v>45151.0</v>
      </c>
      <c r="B372" s="612" t="s">
        <v>1187</v>
      </c>
      <c r="C372" s="511" t="s">
        <v>1444</v>
      </c>
      <c r="D372" s="511" t="s">
        <v>1445</v>
      </c>
      <c r="E372" s="573" t="s">
        <v>1203</v>
      </c>
      <c r="I372" s="175" t="s">
        <v>1256</v>
      </c>
      <c r="J372" s="132"/>
      <c r="K372" s="132"/>
      <c r="L372" s="132"/>
      <c r="M372" s="132"/>
      <c r="N372" s="132"/>
      <c r="O372" s="132"/>
      <c r="P372" s="132"/>
      <c r="Q372" s="132"/>
      <c r="R372" s="132"/>
      <c r="S372" s="132"/>
      <c r="T372" s="132"/>
      <c r="U372" s="132"/>
      <c r="V372" s="132"/>
      <c r="W372" s="132"/>
      <c r="X372" s="132"/>
      <c r="Y372" s="132"/>
      <c r="Z372" s="132"/>
      <c r="AA372" s="132"/>
      <c r="AB372" s="132"/>
      <c r="AC372" s="132"/>
    </row>
    <row r="373" ht="24.75" hidden="1" customHeight="1" outlineLevel="1">
      <c r="A373" s="561">
        <v>45151.0</v>
      </c>
      <c r="B373" s="612" t="s">
        <v>1189</v>
      </c>
      <c r="C373" s="610" t="s">
        <v>1259</v>
      </c>
      <c r="D373" s="511" t="s">
        <v>1446</v>
      </c>
      <c r="E373" s="573" t="s">
        <v>1203</v>
      </c>
      <c r="I373" s="175" t="s">
        <v>1270</v>
      </c>
      <c r="J373" s="132"/>
      <c r="K373" s="132"/>
      <c r="L373" s="132"/>
      <c r="M373" s="132"/>
      <c r="N373" s="132"/>
      <c r="O373" s="132"/>
      <c r="P373" s="132"/>
      <c r="Q373" s="132"/>
      <c r="R373" s="132"/>
      <c r="S373" s="132"/>
      <c r="T373" s="132"/>
      <c r="U373" s="132"/>
      <c r="V373" s="132"/>
      <c r="W373" s="132"/>
      <c r="X373" s="132"/>
      <c r="Y373" s="132"/>
      <c r="Z373" s="132"/>
      <c r="AA373" s="132"/>
      <c r="AB373" s="132"/>
      <c r="AC373" s="132"/>
    </row>
    <row r="374" ht="24.75" hidden="1" customHeight="1" outlineLevel="1">
      <c r="A374" s="561">
        <v>45151.0</v>
      </c>
      <c r="B374" s="612" t="s">
        <v>1246</v>
      </c>
      <c r="C374" s="610" t="s">
        <v>1447</v>
      </c>
      <c r="D374" s="610" t="s">
        <v>1448</v>
      </c>
      <c r="E374" s="573" t="s">
        <v>1203</v>
      </c>
      <c r="F374" s="175"/>
      <c r="G374" s="175"/>
      <c r="H374" s="175" t="s">
        <v>1449</v>
      </c>
      <c r="I374" s="132"/>
      <c r="J374" s="132"/>
      <c r="K374" s="132"/>
      <c r="L374" s="132"/>
      <c r="M374" s="132"/>
      <c r="N374" s="132"/>
      <c r="O374" s="132"/>
      <c r="P374" s="132"/>
      <c r="Q374" s="132"/>
      <c r="R374" s="132"/>
      <c r="S374" s="132"/>
      <c r="T374" s="132"/>
      <c r="U374" s="132"/>
      <c r="V374" s="132"/>
      <c r="W374" s="132"/>
      <c r="X374" s="132"/>
      <c r="Y374" s="132"/>
      <c r="Z374" s="132"/>
      <c r="AA374" s="132"/>
      <c r="AB374" s="132"/>
      <c r="AC374" s="132"/>
    </row>
    <row r="375" ht="24.75" hidden="1" customHeight="1" outlineLevel="1">
      <c r="A375" s="561">
        <v>45152.0</v>
      </c>
      <c r="B375" s="612" t="s">
        <v>1249</v>
      </c>
      <c r="C375" s="610" t="s">
        <v>1302</v>
      </c>
      <c r="D375" s="511" t="s">
        <v>1450</v>
      </c>
      <c r="E375" s="573" t="s">
        <v>1203</v>
      </c>
      <c r="F375" s="175"/>
      <c r="G375" s="175"/>
      <c r="H375" s="175"/>
      <c r="I375" s="132"/>
      <c r="J375" s="132"/>
      <c r="K375" s="132"/>
      <c r="L375" s="132"/>
      <c r="M375" s="132"/>
      <c r="N375" s="132"/>
      <c r="O375" s="132"/>
      <c r="P375" s="132"/>
      <c r="Q375" s="132"/>
      <c r="R375" s="132"/>
      <c r="S375" s="132"/>
      <c r="T375" s="132"/>
      <c r="U375" s="132"/>
      <c r="V375" s="132"/>
      <c r="W375" s="132"/>
      <c r="X375" s="132"/>
      <c r="Y375" s="132"/>
      <c r="Z375" s="132"/>
      <c r="AA375" s="132"/>
      <c r="AB375" s="132"/>
      <c r="AC375" s="132"/>
    </row>
    <row r="376" ht="24.75" hidden="1" customHeight="1" outlineLevel="1">
      <c r="A376" s="561">
        <v>45152.0</v>
      </c>
      <c r="B376" s="612" t="s">
        <v>1271</v>
      </c>
      <c r="C376" s="614" t="s">
        <v>1451</v>
      </c>
      <c r="D376" s="610" t="s">
        <v>1441</v>
      </c>
      <c r="E376" s="573" t="s">
        <v>1203</v>
      </c>
      <c r="F376" s="175"/>
      <c r="G376" s="175"/>
      <c r="H376" s="175" t="s">
        <v>1442</v>
      </c>
      <c r="I376" s="175"/>
      <c r="J376" s="132"/>
      <c r="K376" s="132"/>
      <c r="L376" s="132"/>
      <c r="M376" s="132"/>
      <c r="N376" s="132"/>
      <c r="O376" s="132"/>
      <c r="P376" s="132"/>
      <c r="Q376" s="132"/>
      <c r="R376" s="132"/>
      <c r="S376" s="132"/>
      <c r="T376" s="132"/>
      <c r="U376" s="132"/>
      <c r="V376" s="132"/>
      <c r="W376" s="132"/>
      <c r="X376" s="132"/>
      <c r="Y376" s="132"/>
      <c r="Z376" s="132"/>
      <c r="AA376" s="132"/>
      <c r="AB376" s="132"/>
      <c r="AC376" s="132"/>
    </row>
    <row r="377" ht="24.75" hidden="1" customHeight="1" outlineLevel="1">
      <c r="A377" s="561">
        <v>45152.0</v>
      </c>
      <c r="B377" s="612" t="s">
        <v>1274</v>
      </c>
      <c r="C377" s="614" t="s">
        <v>1451</v>
      </c>
      <c r="D377" s="610" t="s">
        <v>1441</v>
      </c>
      <c r="E377" s="573" t="s">
        <v>1203</v>
      </c>
      <c r="F377" s="175"/>
      <c r="G377" s="175"/>
      <c r="H377" s="175" t="s">
        <v>1442</v>
      </c>
      <c r="I377" s="175"/>
      <c r="J377" s="132"/>
      <c r="K377" s="132"/>
      <c r="L377" s="132"/>
      <c r="M377" s="132"/>
      <c r="N377" s="132"/>
      <c r="O377" s="132"/>
      <c r="P377" s="132"/>
      <c r="Q377" s="132"/>
      <c r="R377" s="132"/>
      <c r="S377" s="132"/>
      <c r="T377" s="132"/>
      <c r="U377" s="132"/>
      <c r="V377" s="132"/>
      <c r="W377" s="132"/>
      <c r="X377" s="132"/>
      <c r="Y377" s="132"/>
      <c r="Z377" s="132"/>
      <c r="AA377" s="132"/>
      <c r="AB377" s="132"/>
      <c r="AC377" s="132"/>
    </row>
    <row r="378" ht="24.75" hidden="1" customHeight="1" outlineLevel="1">
      <c r="A378" s="561">
        <v>45152.0</v>
      </c>
      <c r="B378" s="612" t="s">
        <v>629</v>
      </c>
      <c r="C378" s="612" t="s">
        <v>1233</v>
      </c>
      <c r="D378" s="612" t="s">
        <v>1319</v>
      </c>
      <c r="E378" s="573" t="s">
        <v>1235</v>
      </c>
      <c r="F378" s="175"/>
      <c r="G378" s="175"/>
      <c r="H378" s="175" t="s">
        <v>1452</v>
      </c>
      <c r="I378" s="132"/>
      <c r="J378" s="132"/>
      <c r="K378" s="132"/>
      <c r="L378" s="132"/>
      <c r="M378" s="132"/>
      <c r="N378" s="132"/>
      <c r="O378" s="132"/>
      <c r="P378" s="132"/>
      <c r="Q378" s="132"/>
      <c r="R378" s="132"/>
      <c r="S378" s="132"/>
      <c r="T378" s="132"/>
      <c r="U378" s="132"/>
      <c r="V378" s="132"/>
      <c r="W378" s="132"/>
      <c r="X378" s="132"/>
      <c r="Y378" s="132"/>
      <c r="Z378" s="132"/>
      <c r="AA378" s="132"/>
      <c r="AB378" s="132"/>
      <c r="AC378" s="132"/>
    </row>
    <row r="379" ht="24.75" hidden="1" customHeight="1" outlineLevel="1">
      <c r="A379" s="615">
        <v>45153.0</v>
      </c>
      <c r="B379" s="612" t="s">
        <v>38</v>
      </c>
      <c r="C379" s="612" t="s">
        <v>1233</v>
      </c>
      <c r="D379" s="610" t="s">
        <v>1180</v>
      </c>
      <c r="E379" s="573" t="s">
        <v>1235</v>
      </c>
      <c r="F379" s="175"/>
      <c r="G379" s="175"/>
      <c r="H379" s="175"/>
      <c r="I379" s="132"/>
      <c r="J379" s="132"/>
      <c r="K379" s="132"/>
      <c r="L379" s="132"/>
      <c r="M379" s="132"/>
      <c r="N379" s="132"/>
      <c r="O379" s="132"/>
      <c r="P379" s="132"/>
      <c r="Q379" s="132"/>
      <c r="R379" s="132"/>
      <c r="S379" s="132"/>
      <c r="T379" s="132"/>
      <c r="U379" s="132"/>
      <c r="V379" s="132"/>
      <c r="W379" s="132"/>
      <c r="X379" s="132"/>
      <c r="Y379" s="132"/>
      <c r="Z379" s="132"/>
      <c r="AA379" s="132"/>
      <c r="AB379" s="132"/>
      <c r="AC379" s="132"/>
    </row>
    <row r="380" ht="39.0" hidden="1" customHeight="1" outlineLevel="1">
      <c r="A380" s="615">
        <v>45153.0</v>
      </c>
      <c r="B380" s="612" t="s">
        <v>1232</v>
      </c>
      <c r="C380" s="610" t="s">
        <v>1233</v>
      </c>
      <c r="D380" s="611" t="s">
        <v>1296</v>
      </c>
      <c r="E380" s="573" t="s">
        <v>1235</v>
      </c>
      <c r="F380" s="132"/>
      <c r="G380" s="132"/>
      <c r="H380" s="132"/>
      <c r="I380" s="175" t="s">
        <v>1439</v>
      </c>
      <c r="J380" s="132"/>
      <c r="K380" s="132"/>
      <c r="L380" s="132"/>
      <c r="M380" s="132"/>
      <c r="N380" s="132"/>
      <c r="O380" s="132"/>
      <c r="P380" s="132"/>
      <c r="Q380" s="132"/>
      <c r="R380" s="132"/>
      <c r="S380" s="132"/>
      <c r="T380" s="132"/>
      <c r="U380" s="132"/>
      <c r="V380" s="132"/>
      <c r="W380" s="132"/>
      <c r="X380" s="132"/>
      <c r="Y380" s="132"/>
      <c r="Z380" s="132"/>
      <c r="AA380" s="132"/>
      <c r="AB380" s="132"/>
      <c r="AC380" s="132"/>
    </row>
    <row r="381" ht="24.75" hidden="1" customHeight="1" outlineLevel="1">
      <c r="A381" s="615">
        <v>45153.0</v>
      </c>
      <c r="B381" s="612" t="s">
        <v>1254</v>
      </c>
      <c r="C381" s="610" t="s">
        <v>1444</v>
      </c>
      <c r="D381" s="511" t="s">
        <v>1453</v>
      </c>
      <c r="E381" s="573" t="s">
        <v>1203</v>
      </c>
      <c r="F381" s="132"/>
      <c r="G381" s="132"/>
      <c r="H381" s="132"/>
      <c r="I381" s="132"/>
      <c r="J381" s="132"/>
      <c r="K381" s="132"/>
      <c r="L381" s="132"/>
      <c r="M381" s="132"/>
      <c r="N381" s="132"/>
      <c r="O381" s="132"/>
      <c r="P381" s="132"/>
      <c r="Q381" s="132"/>
      <c r="R381" s="132"/>
      <c r="S381" s="132"/>
      <c r="T381" s="132"/>
      <c r="U381" s="132"/>
      <c r="V381" s="132"/>
      <c r="W381" s="132"/>
      <c r="X381" s="132"/>
      <c r="Y381" s="132"/>
      <c r="Z381" s="132"/>
      <c r="AA381" s="132"/>
      <c r="AB381" s="132"/>
      <c r="AC381" s="132"/>
    </row>
    <row r="382" ht="24.75" hidden="1" customHeight="1" outlineLevel="1">
      <c r="A382" s="615">
        <v>45153.0</v>
      </c>
      <c r="B382" s="612" t="s">
        <v>1325</v>
      </c>
      <c r="C382" s="614" t="s">
        <v>1233</v>
      </c>
      <c r="D382" s="612" t="s">
        <v>1319</v>
      </c>
      <c r="E382" s="573" t="s">
        <v>1235</v>
      </c>
      <c r="F382" s="175"/>
      <c r="G382" s="175"/>
      <c r="H382" s="175" t="s">
        <v>1326</v>
      </c>
      <c r="I382" s="132"/>
      <c r="J382" s="132"/>
      <c r="K382" s="132"/>
      <c r="L382" s="132"/>
      <c r="M382" s="132"/>
      <c r="N382" s="132"/>
      <c r="O382" s="132"/>
      <c r="P382" s="132"/>
      <c r="Q382" s="132"/>
      <c r="R382" s="132"/>
      <c r="S382" s="132"/>
      <c r="T382" s="132"/>
      <c r="U382" s="132"/>
      <c r="V382" s="132"/>
      <c r="W382" s="132"/>
      <c r="X382" s="132"/>
      <c r="Y382" s="132"/>
      <c r="Z382" s="132"/>
      <c r="AA382" s="132"/>
      <c r="AB382" s="132"/>
      <c r="AC382" s="132"/>
    </row>
    <row r="383" ht="24.75" hidden="1" customHeight="1" outlineLevel="1">
      <c r="A383" s="615">
        <v>45154.0</v>
      </c>
      <c r="B383" s="612" t="s">
        <v>1198</v>
      </c>
      <c r="C383" s="610" t="s">
        <v>1233</v>
      </c>
      <c r="D383" s="511" t="s">
        <v>1454</v>
      </c>
      <c r="E383" s="573" t="s">
        <v>1235</v>
      </c>
      <c r="F383" s="132"/>
      <c r="G383" s="132"/>
      <c r="H383" s="132"/>
      <c r="I383" s="132"/>
      <c r="J383" s="132"/>
      <c r="K383" s="132"/>
      <c r="L383" s="132"/>
      <c r="M383" s="132"/>
      <c r="N383" s="132"/>
      <c r="O383" s="132"/>
      <c r="P383" s="132"/>
      <c r="Q383" s="132"/>
      <c r="R383" s="132"/>
      <c r="S383" s="132"/>
      <c r="T383" s="132"/>
      <c r="U383" s="132"/>
      <c r="V383" s="132"/>
      <c r="W383" s="132"/>
      <c r="X383" s="132"/>
      <c r="Y383" s="132"/>
      <c r="Z383" s="132"/>
      <c r="AA383" s="132"/>
      <c r="AB383" s="132"/>
      <c r="AC383" s="132"/>
    </row>
    <row r="384" ht="24.75" hidden="1" customHeight="1" outlineLevel="1">
      <c r="A384" s="615">
        <v>45154.0</v>
      </c>
      <c r="B384" s="612" t="s">
        <v>1226</v>
      </c>
      <c r="C384" s="610" t="s">
        <v>1302</v>
      </c>
      <c r="D384" s="605" t="s">
        <v>144</v>
      </c>
      <c r="E384" s="573" t="s">
        <v>1203</v>
      </c>
      <c r="F384" s="132"/>
      <c r="G384" s="132"/>
      <c r="H384" s="132"/>
      <c r="I384" s="132"/>
      <c r="J384" s="132"/>
      <c r="K384" s="132"/>
      <c r="L384" s="132"/>
      <c r="M384" s="132"/>
      <c r="N384" s="132"/>
      <c r="O384" s="132"/>
      <c r="P384" s="132"/>
      <c r="Q384" s="132"/>
      <c r="R384" s="132"/>
      <c r="S384" s="132"/>
      <c r="T384" s="132"/>
      <c r="U384" s="132"/>
      <c r="V384" s="132"/>
      <c r="W384" s="132"/>
      <c r="X384" s="132"/>
      <c r="Y384" s="132"/>
      <c r="Z384" s="132"/>
      <c r="AA384" s="132"/>
      <c r="AB384" s="132"/>
      <c r="AC384" s="132"/>
    </row>
    <row r="385" ht="24.75" hidden="1" customHeight="1" outlineLevel="1">
      <c r="A385" s="615">
        <v>45154.0</v>
      </c>
      <c r="B385" s="612" t="s">
        <v>1258</v>
      </c>
      <c r="C385" s="610" t="s">
        <v>1259</v>
      </c>
      <c r="D385" s="605" t="s">
        <v>144</v>
      </c>
      <c r="E385" s="573" t="s">
        <v>1203</v>
      </c>
      <c r="F385" s="132"/>
      <c r="G385" s="132"/>
      <c r="H385" s="132"/>
      <c r="I385" s="132"/>
      <c r="J385" s="132"/>
      <c r="K385" s="132"/>
      <c r="L385" s="132"/>
      <c r="M385" s="132"/>
      <c r="N385" s="132"/>
      <c r="O385" s="132"/>
      <c r="P385" s="132"/>
      <c r="Q385" s="132"/>
      <c r="R385" s="132"/>
      <c r="S385" s="132"/>
      <c r="T385" s="132"/>
      <c r="U385" s="132"/>
      <c r="V385" s="132"/>
      <c r="W385" s="132"/>
      <c r="X385" s="132"/>
      <c r="Y385" s="132"/>
      <c r="Z385" s="132"/>
      <c r="AA385" s="132"/>
      <c r="AB385" s="132"/>
      <c r="AC385" s="132"/>
    </row>
    <row r="386" ht="24.75" hidden="1" customHeight="1" outlineLevel="1">
      <c r="A386" s="615">
        <v>45154.0</v>
      </c>
      <c r="B386" s="612" t="s">
        <v>1261</v>
      </c>
      <c r="C386" s="610" t="s">
        <v>1444</v>
      </c>
      <c r="D386" s="511" t="s">
        <v>1455</v>
      </c>
      <c r="E386" s="573" t="s">
        <v>1203</v>
      </c>
      <c r="F386" s="616"/>
      <c r="G386" s="616"/>
      <c r="H386" s="616"/>
      <c r="I386" s="132"/>
      <c r="J386" s="132"/>
      <c r="K386" s="132"/>
      <c r="L386" s="132"/>
      <c r="M386" s="132"/>
      <c r="N386" s="132"/>
      <c r="O386" s="132"/>
      <c r="P386" s="132"/>
      <c r="Q386" s="132"/>
      <c r="R386" s="132"/>
      <c r="S386" s="132"/>
      <c r="T386" s="132"/>
      <c r="U386" s="132"/>
      <c r="V386" s="132"/>
      <c r="W386" s="132"/>
      <c r="X386" s="132"/>
      <c r="Y386" s="132"/>
      <c r="Z386" s="132"/>
      <c r="AA386" s="132"/>
      <c r="AB386" s="132"/>
      <c r="AC386" s="132"/>
    </row>
    <row r="387" ht="24.75" hidden="1" customHeight="1" outlineLevel="1">
      <c r="A387" s="615">
        <v>45154.0</v>
      </c>
      <c r="B387" s="612" t="s">
        <v>1204</v>
      </c>
      <c r="C387" s="612" t="s">
        <v>1456</v>
      </c>
      <c r="D387" s="610" t="s">
        <v>1457</v>
      </c>
      <c r="E387" s="573" t="s">
        <v>1203</v>
      </c>
      <c r="F387" s="175"/>
      <c r="G387" s="175"/>
      <c r="H387" s="175" t="s">
        <v>1458</v>
      </c>
      <c r="I387" s="132"/>
      <c r="J387" s="132"/>
      <c r="K387" s="132"/>
      <c r="L387" s="132"/>
      <c r="M387" s="132"/>
      <c r="N387" s="132"/>
      <c r="O387" s="132"/>
      <c r="P387" s="132"/>
      <c r="Q387" s="132"/>
      <c r="R387" s="132"/>
      <c r="S387" s="132"/>
      <c r="T387" s="132"/>
      <c r="U387" s="132"/>
      <c r="V387" s="132"/>
      <c r="W387" s="132"/>
      <c r="X387" s="132"/>
      <c r="Y387" s="132"/>
      <c r="Z387" s="132"/>
      <c r="AA387" s="132"/>
      <c r="AB387" s="132"/>
      <c r="AC387" s="132"/>
    </row>
    <row r="388" ht="24.75" hidden="1" customHeight="1" outlineLevel="1">
      <c r="A388" s="615">
        <v>45155.0</v>
      </c>
      <c r="B388" s="612" t="s">
        <v>1263</v>
      </c>
      <c r="C388" s="610" t="s">
        <v>1444</v>
      </c>
      <c r="D388" s="511" t="s">
        <v>1459</v>
      </c>
      <c r="E388" s="573" t="s">
        <v>1203</v>
      </c>
      <c r="F388" s="132"/>
      <c r="G388" s="132"/>
      <c r="H388" s="132"/>
      <c r="I388" s="132"/>
      <c r="J388" s="132"/>
      <c r="K388" s="132"/>
      <c r="L388" s="132"/>
      <c r="M388" s="132"/>
      <c r="N388" s="132"/>
      <c r="O388" s="132"/>
      <c r="P388" s="132"/>
      <c r="Q388" s="132"/>
      <c r="R388" s="132"/>
      <c r="S388" s="132"/>
      <c r="T388" s="132"/>
      <c r="U388" s="132"/>
      <c r="V388" s="132"/>
      <c r="W388" s="132"/>
      <c r="X388" s="132"/>
      <c r="Y388" s="132"/>
      <c r="Z388" s="132"/>
      <c r="AA388" s="132"/>
      <c r="AB388" s="132"/>
      <c r="AC388" s="132"/>
    </row>
    <row r="389" ht="24.75" hidden="1" customHeight="1" outlineLevel="1">
      <c r="A389" s="615">
        <v>45155.0</v>
      </c>
      <c r="B389" s="612" t="s">
        <v>1178</v>
      </c>
      <c r="C389" s="610" t="s">
        <v>536</v>
      </c>
      <c r="D389" s="605" t="s">
        <v>144</v>
      </c>
      <c r="E389" s="573" t="s">
        <v>1203</v>
      </c>
      <c r="F389" s="132"/>
      <c r="G389" s="132"/>
      <c r="H389" s="132"/>
      <c r="I389" s="132"/>
      <c r="J389" s="132"/>
      <c r="K389" s="132"/>
      <c r="L389" s="132"/>
      <c r="M389" s="132"/>
      <c r="N389" s="132"/>
      <c r="O389" s="132"/>
      <c r="P389" s="132"/>
      <c r="Q389" s="132"/>
      <c r="R389" s="132"/>
      <c r="S389" s="132"/>
      <c r="T389" s="132"/>
      <c r="U389" s="132"/>
      <c r="V389" s="132"/>
      <c r="W389" s="132"/>
      <c r="X389" s="132"/>
      <c r="Y389" s="132"/>
      <c r="Z389" s="132"/>
      <c r="AA389" s="132"/>
      <c r="AB389" s="132"/>
      <c r="AC389" s="132"/>
    </row>
    <row r="390" ht="39.0" hidden="1" customHeight="1" outlineLevel="1">
      <c r="A390" s="615">
        <v>45156.0</v>
      </c>
      <c r="B390" s="612" t="s">
        <v>1232</v>
      </c>
      <c r="C390" s="610" t="s">
        <v>1233</v>
      </c>
      <c r="D390" s="245" t="s">
        <v>1296</v>
      </c>
      <c r="E390" s="573" t="s">
        <v>1235</v>
      </c>
      <c r="F390" s="132"/>
      <c r="G390" s="132"/>
      <c r="H390" s="132"/>
      <c r="I390" s="175" t="s">
        <v>1439</v>
      </c>
      <c r="J390" s="132"/>
      <c r="K390" s="132"/>
      <c r="L390" s="132"/>
      <c r="M390" s="132"/>
      <c r="N390" s="132"/>
      <c r="O390" s="132"/>
      <c r="P390" s="132"/>
      <c r="Q390" s="132"/>
      <c r="R390" s="132"/>
      <c r="S390" s="132"/>
      <c r="T390" s="132"/>
      <c r="U390" s="132"/>
      <c r="V390" s="132"/>
      <c r="W390" s="132"/>
      <c r="X390" s="132"/>
      <c r="Y390" s="132"/>
      <c r="Z390" s="132"/>
      <c r="AA390" s="132"/>
      <c r="AB390" s="132"/>
      <c r="AC390" s="132"/>
    </row>
    <row r="391" ht="24.75" hidden="1" customHeight="1" outlineLevel="1">
      <c r="A391" s="615">
        <v>45156.0</v>
      </c>
      <c r="B391" s="617" t="s">
        <v>1181</v>
      </c>
      <c r="C391" s="618" t="s">
        <v>1418</v>
      </c>
      <c r="D391" s="605" t="s">
        <v>144</v>
      </c>
      <c r="E391" s="573" t="s">
        <v>1203</v>
      </c>
      <c r="F391" s="580"/>
      <c r="G391" s="580"/>
      <c r="H391" s="580" t="s">
        <v>1394</v>
      </c>
      <c r="I391" s="175" t="s">
        <v>1360</v>
      </c>
      <c r="J391" s="132"/>
      <c r="K391" s="132"/>
      <c r="L391" s="132"/>
      <c r="M391" s="132"/>
      <c r="N391" s="132"/>
      <c r="O391" s="132"/>
      <c r="P391" s="132"/>
      <c r="Q391" s="132"/>
      <c r="R391" s="132"/>
      <c r="S391" s="132"/>
      <c r="T391" s="132"/>
      <c r="U391" s="132"/>
      <c r="V391" s="132"/>
      <c r="W391" s="132"/>
      <c r="X391" s="132"/>
      <c r="Y391" s="132"/>
      <c r="Z391" s="132"/>
      <c r="AA391" s="132"/>
      <c r="AB391" s="132"/>
      <c r="AC391" s="132"/>
    </row>
    <row r="392" ht="24.75" hidden="1" customHeight="1" outlineLevel="1">
      <c r="A392" s="615">
        <v>45156.0</v>
      </c>
      <c r="B392" s="612" t="s">
        <v>38</v>
      </c>
      <c r="C392" s="612" t="s">
        <v>1233</v>
      </c>
      <c r="D392" s="610" t="s">
        <v>1180</v>
      </c>
      <c r="E392" s="573" t="s">
        <v>1235</v>
      </c>
      <c r="F392" s="175"/>
      <c r="G392" s="175"/>
      <c r="H392" s="175"/>
      <c r="I392" s="132"/>
      <c r="J392" s="132"/>
      <c r="K392" s="132"/>
      <c r="L392" s="132"/>
      <c r="M392" s="132"/>
      <c r="N392" s="132"/>
      <c r="O392" s="132"/>
      <c r="P392" s="132"/>
      <c r="Q392" s="132"/>
      <c r="R392" s="132"/>
      <c r="S392" s="132"/>
      <c r="T392" s="132"/>
      <c r="U392" s="132"/>
      <c r="V392" s="132"/>
      <c r="W392" s="132"/>
      <c r="X392" s="132"/>
      <c r="Y392" s="132"/>
      <c r="Z392" s="132"/>
      <c r="AA392" s="132"/>
      <c r="AB392" s="132"/>
      <c r="AC392" s="132"/>
    </row>
    <row r="393" ht="24.75" hidden="1" customHeight="1" outlineLevel="1">
      <c r="A393" s="615">
        <v>45157.0</v>
      </c>
      <c r="B393" s="612" t="s">
        <v>1209</v>
      </c>
      <c r="C393" s="610" t="s">
        <v>1233</v>
      </c>
      <c r="D393" s="610" t="s">
        <v>1242</v>
      </c>
      <c r="E393" s="573" t="s">
        <v>1235</v>
      </c>
      <c r="F393" s="175"/>
      <c r="G393" s="175"/>
      <c r="H393" s="175"/>
      <c r="I393" s="132"/>
      <c r="J393" s="132"/>
      <c r="K393" s="132"/>
      <c r="L393" s="132"/>
      <c r="M393" s="132"/>
      <c r="N393" s="132"/>
      <c r="O393" s="132"/>
      <c r="P393" s="132"/>
      <c r="Q393" s="132"/>
      <c r="R393" s="132"/>
      <c r="S393" s="132"/>
      <c r="T393" s="132"/>
      <c r="U393" s="132"/>
      <c r="V393" s="132"/>
      <c r="W393" s="132"/>
      <c r="X393" s="132"/>
      <c r="Y393" s="132"/>
      <c r="Z393" s="132"/>
      <c r="AA393" s="132"/>
      <c r="AB393" s="132"/>
      <c r="AC393" s="132"/>
    </row>
    <row r="394" ht="24.75" hidden="1" customHeight="1" outlineLevel="1">
      <c r="A394" s="615">
        <v>45157.0</v>
      </c>
      <c r="B394" s="612" t="s">
        <v>1238</v>
      </c>
      <c r="C394" s="610" t="s">
        <v>1259</v>
      </c>
      <c r="D394" s="605" t="s">
        <v>144</v>
      </c>
      <c r="E394" s="573" t="s">
        <v>1203</v>
      </c>
      <c r="F394" s="175"/>
      <c r="G394" s="175"/>
      <c r="H394" s="175"/>
      <c r="I394" s="132"/>
      <c r="J394" s="132"/>
      <c r="K394" s="132"/>
      <c r="L394" s="132"/>
      <c r="M394" s="132"/>
      <c r="N394" s="132"/>
      <c r="O394" s="132"/>
      <c r="P394" s="132"/>
      <c r="Q394" s="132"/>
      <c r="R394" s="132"/>
      <c r="S394" s="132"/>
      <c r="T394" s="132"/>
      <c r="U394" s="132"/>
      <c r="V394" s="132"/>
      <c r="W394" s="132"/>
      <c r="X394" s="132"/>
      <c r="Y394" s="132"/>
      <c r="Z394" s="132"/>
      <c r="AA394" s="132"/>
      <c r="AB394" s="132"/>
      <c r="AC394" s="132"/>
    </row>
    <row r="395" ht="24.75" hidden="1" customHeight="1" outlineLevel="1">
      <c r="A395" s="615">
        <v>45157.0</v>
      </c>
      <c r="B395" s="613" t="s">
        <v>1210</v>
      </c>
      <c r="C395" s="610" t="s">
        <v>1460</v>
      </c>
      <c r="D395" s="605" t="s">
        <v>144</v>
      </c>
      <c r="E395" s="573" t="s">
        <v>1203</v>
      </c>
      <c r="F395" s="175"/>
      <c r="G395" s="175"/>
      <c r="H395" s="175" t="s">
        <v>1442</v>
      </c>
      <c r="I395" s="175"/>
      <c r="J395" s="132"/>
      <c r="K395" s="132"/>
      <c r="L395" s="132"/>
      <c r="M395" s="132"/>
      <c r="N395" s="132"/>
      <c r="O395" s="132"/>
      <c r="P395" s="132"/>
      <c r="Q395" s="132"/>
      <c r="R395" s="132"/>
      <c r="S395" s="132"/>
      <c r="T395" s="132"/>
      <c r="U395" s="132"/>
      <c r="V395" s="132"/>
      <c r="W395" s="132"/>
      <c r="X395" s="132"/>
      <c r="Y395" s="132"/>
      <c r="Z395" s="132"/>
      <c r="AA395" s="132"/>
      <c r="AB395" s="132"/>
      <c r="AC395" s="132"/>
    </row>
    <row r="396" ht="24.75" hidden="1" customHeight="1" outlineLevel="1">
      <c r="A396" s="615">
        <v>45157.0</v>
      </c>
      <c r="B396" s="613" t="s">
        <v>1213</v>
      </c>
      <c r="C396" s="610" t="s">
        <v>1302</v>
      </c>
      <c r="D396" s="605" t="s">
        <v>144</v>
      </c>
      <c r="E396" s="573" t="s">
        <v>1203</v>
      </c>
      <c r="F396" s="132"/>
      <c r="G396" s="132"/>
      <c r="H396" s="132"/>
      <c r="I396" s="132"/>
      <c r="J396" s="132"/>
      <c r="K396" s="132"/>
      <c r="L396" s="132"/>
      <c r="M396" s="132"/>
      <c r="N396" s="132"/>
      <c r="O396" s="132"/>
      <c r="P396" s="132"/>
      <c r="Q396" s="132"/>
      <c r="R396" s="132"/>
      <c r="S396" s="132"/>
      <c r="T396" s="132"/>
      <c r="U396" s="132"/>
      <c r="V396" s="132"/>
      <c r="W396" s="132"/>
      <c r="X396" s="132"/>
      <c r="Y396" s="132"/>
      <c r="Z396" s="132"/>
      <c r="AA396" s="132"/>
      <c r="AB396" s="132"/>
      <c r="AC396" s="132"/>
    </row>
    <row r="397" ht="24.75" hidden="1" customHeight="1" outlineLevel="1">
      <c r="A397" s="615">
        <v>45158.0</v>
      </c>
      <c r="B397" s="612" t="s">
        <v>1187</v>
      </c>
      <c r="C397" s="610" t="s">
        <v>1444</v>
      </c>
      <c r="D397" s="605" t="s">
        <v>144</v>
      </c>
      <c r="E397" s="573" t="s">
        <v>1203</v>
      </c>
      <c r="F397" s="132"/>
      <c r="G397" s="132"/>
      <c r="H397" s="132"/>
      <c r="I397" s="132"/>
      <c r="J397" s="132"/>
      <c r="K397" s="132"/>
      <c r="L397" s="132"/>
      <c r="M397" s="132"/>
      <c r="N397" s="132"/>
      <c r="O397" s="132"/>
      <c r="P397" s="132"/>
      <c r="Q397" s="132"/>
      <c r="R397" s="132"/>
      <c r="S397" s="132"/>
      <c r="T397" s="132"/>
      <c r="U397" s="132"/>
      <c r="V397" s="132"/>
      <c r="W397" s="132"/>
      <c r="X397" s="132"/>
      <c r="Y397" s="132"/>
      <c r="Z397" s="132"/>
      <c r="AA397" s="132"/>
      <c r="AB397" s="132"/>
      <c r="AC397" s="132"/>
    </row>
    <row r="398" ht="24.75" hidden="1" customHeight="1" outlineLevel="1">
      <c r="A398" s="615">
        <v>45158.0</v>
      </c>
      <c r="B398" s="612" t="s">
        <v>1189</v>
      </c>
      <c r="C398" s="610" t="s">
        <v>1259</v>
      </c>
      <c r="D398" s="605" t="s">
        <v>144</v>
      </c>
      <c r="E398" s="573" t="s">
        <v>1203</v>
      </c>
      <c r="F398" s="175"/>
      <c r="G398" s="175"/>
      <c r="H398" s="175"/>
      <c r="I398" s="175" t="s">
        <v>1270</v>
      </c>
      <c r="J398" s="132"/>
      <c r="K398" s="132"/>
      <c r="L398" s="132"/>
      <c r="M398" s="132"/>
      <c r="N398" s="132"/>
      <c r="O398" s="132"/>
      <c r="P398" s="132"/>
      <c r="Q398" s="132"/>
      <c r="R398" s="132"/>
      <c r="S398" s="132"/>
      <c r="T398" s="132"/>
      <c r="U398" s="132"/>
      <c r="V398" s="132"/>
      <c r="W398" s="132"/>
      <c r="X398" s="132"/>
      <c r="Y398" s="132"/>
      <c r="Z398" s="132"/>
      <c r="AA398" s="132"/>
      <c r="AB398" s="132"/>
      <c r="AC398" s="132"/>
    </row>
    <row r="399" ht="24.75" hidden="1" customHeight="1" outlineLevel="1">
      <c r="A399" s="615">
        <v>45159.0</v>
      </c>
      <c r="B399" s="619" t="s">
        <v>1249</v>
      </c>
      <c r="C399" s="620" t="s">
        <v>1302</v>
      </c>
      <c r="D399" s="605" t="s">
        <v>144</v>
      </c>
      <c r="E399" s="573" t="s">
        <v>1203</v>
      </c>
      <c r="F399" s="175"/>
      <c r="G399" s="175"/>
      <c r="H399" s="175"/>
      <c r="I399" s="132"/>
      <c r="J399" s="132"/>
      <c r="K399" s="132"/>
      <c r="L399" s="132"/>
      <c r="M399" s="132"/>
      <c r="N399" s="132"/>
      <c r="O399" s="132"/>
      <c r="P399" s="132"/>
      <c r="Q399" s="132"/>
      <c r="R399" s="132"/>
      <c r="S399" s="132"/>
      <c r="T399" s="132"/>
      <c r="U399" s="132"/>
      <c r="V399" s="132"/>
      <c r="W399" s="132"/>
      <c r="X399" s="132"/>
      <c r="Y399" s="132"/>
      <c r="Z399" s="132"/>
      <c r="AA399" s="132"/>
      <c r="AB399" s="132"/>
      <c r="AC399" s="132"/>
    </row>
    <row r="400" ht="24.75" hidden="1" customHeight="1" outlineLevel="1">
      <c r="A400" s="615">
        <v>45159.0</v>
      </c>
      <c r="B400" s="612" t="s">
        <v>629</v>
      </c>
      <c r="C400" s="612" t="s">
        <v>1233</v>
      </c>
      <c r="D400" s="612" t="s">
        <v>1319</v>
      </c>
      <c r="E400" s="573" t="s">
        <v>1235</v>
      </c>
      <c r="F400" s="175"/>
      <c r="G400" s="175"/>
      <c r="H400" s="175" t="s">
        <v>1461</v>
      </c>
      <c r="I400" s="132"/>
      <c r="J400" s="132"/>
      <c r="K400" s="132"/>
      <c r="L400" s="132"/>
      <c r="M400" s="132"/>
      <c r="N400" s="132"/>
      <c r="O400" s="132"/>
      <c r="P400" s="132"/>
      <c r="Q400" s="132"/>
      <c r="R400" s="132"/>
      <c r="S400" s="132"/>
      <c r="T400" s="132"/>
      <c r="U400" s="132"/>
      <c r="V400" s="132"/>
      <c r="W400" s="132"/>
      <c r="X400" s="132"/>
      <c r="Y400" s="132"/>
      <c r="Z400" s="132"/>
      <c r="AA400" s="132"/>
      <c r="AB400" s="132"/>
      <c r="AC400" s="132"/>
    </row>
    <row r="401" ht="24.75" hidden="1" customHeight="1" outlineLevel="1">
      <c r="A401" s="615">
        <v>45159.0</v>
      </c>
      <c r="B401" s="612" t="s">
        <v>1271</v>
      </c>
      <c r="C401" s="614" t="s">
        <v>1451</v>
      </c>
      <c r="D401" s="605" t="s">
        <v>144</v>
      </c>
      <c r="E401" s="573" t="s">
        <v>1203</v>
      </c>
      <c r="F401" s="175"/>
      <c r="G401" s="175"/>
      <c r="H401" s="175" t="s">
        <v>1442</v>
      </c>
      <c r="I401" s="175" t="s">
        <v>1273</v>
      </c>
      <c r="J401" s="132"/>
      <c r="K401" s="132"/>
      <c r="L401" s="132"/>
      <c r="M401" s="132"/>
      <c r="N401" s="132"/>
      <c r="O401" s="132"/>
      <c r="P401" s="132"/>
      <c r="Q401" s="132"/>
      <c r="R401" s="132"/>
      <c r="S401" s="132"/>
      <c r="T401" s="132"/>
      <c r="U401" s="132"/>
      <c r="V401" s="132"/>
      <c r="W401" s="132"/>
      <c r="X401" s="132"/>
      <c r="Y401" s="132"/>
      <c r="Z401" s="132"/>
      <c r="AA401" s="132"/>
      <c r="AB401" s="132"/>
      <c r="AC401" s="132"/>
    </row>
    <row r="402" ht="24.75" hidden="1" customHeight="1" outlineLevel="1">
      <c r="A402" s="615">
        <v>45159.0</v>
      </c>
      <c r="B402" s="612" t="s">
        <v>1274</v>
      </c>
      <c r="C402" s="614" t="s">
        <v>1451</v>
      </c>
      <c r="D402" s="605" t="s">
        <v>144</v>
      </c>
      <c r="E402" s="573" t="s">
        <v>1203</v>
      </c>
      <c r="F402" s="175"/>
      <c r="G402" s="175"/>
      <c r="H402" s="175" t="s">
        <v>1442</v>
      </c>
      <c r="I402" s="175" t="s">
        <v>1273</v>
      </c>
      <c r="J402" s="132"/>
      <c r="K402" s="132"/>
      <c r="L402" s="132"/>
      <c r="M402" s="132"/>
      <c r="N402" s="132"/>
      <c r="O402" s="132"/>
      <c r="P402" s="132"/>
      <c r="Q402" s="132"/>
      <c r="R402" s="132"/>
      <c r="S402" s="132"/>
      <c r="T402" s="132"/>
      <c r="U402" s="132"/>
      <c r="V402" s="132"/>
      <c r="W402" s="132"/>
      <c r="X402" s="132"/>
      <c r="Y402" s="132"/>
      <c r="Z402" s="132"/>
      <c r="AA402" s="132"/>
      <c r="AB402" s="132"/>
      <c r="AC402" s="132"/>
    </row>
    <row r="403" ht="24.75" hidden="1" customHeight="1" outlineLevel="1">
      <c r="A403" s="621">
        <v>45160.0</v>
      </c>
      <c r="B403" s="622" t="s">
        <v>1254</v>
      </c>
      <c r="C403" s="610" t="s">
        <v>1444</v>
      </c>
      <c r="D403" s="576" t="s">
        <v>1252</v>
      </c>
      <c r="E403" s="623" t="s">
        <v>1203</v>
      </c>
      <c r="F403" s="273"/>
      <c r="G403" s="273"/>
      <c r="H403" s="273"/>
      <c r="I403" s="273"/>
      <c r="J403" s="273"/>
      <c r="K403" s="273"/>
      <c r="L403" s="273"/>
      <c r="M403" s="273"/>
      <c r="N403" s="273"/>
      <c r="O403" s="273"/>
      <c r="P403" s="273"/>
      <c r="Q403" s="273"/>
      <c r="R403" s="273"/>
      <c r="S403" s="273"/>
      <c r="T403" s="273"/>
      <c r="U403" s="273"/>
      <c r="V403" s="273"/>
      <c r="W403" s="273"/>
      <c r="X403" s="273"/>
      <c r="Y403" s="273"/>
      <c r="Z403" s="273"/>
      <c r="AA403" s="273"/>
      <c r="AB403" s="273"/>
      <c r="AC403" s="273"/>
    </row>
    <row r="404" ht="24.75" hidden="1" customHeight="1" outlineLevel="1">
      <c r="A404" s="621">
        <v>45161.0</v>
      </c>
      <c r="B404" s="624" t="s">
        <v>1261</v>
      </c>
      <c r="C404" s="610" t="s">
        <v>1444</v>
      </c>
      <c r="D404" s="576" t="s">
        <v>1252</v>
      </c>
      <c r="E404" s="625" t="s">
        <v>1203</v>
      </c>
      <c r="F404" s="273"/>
      <c r="G404" s="273"/>
      <c r="H404" s="273"/>
      <c r="I404" s="273"/>
      <c r="J404" s="273"/>
      <c r="K404" s="273"/>
      <c r="L404" s="273"/>
      <c r="M404" s="273"/>
      <c r="N404" s="273"/>
      <c r="O404" s="273"/>
      <c r="P404" s="273"/>
      <c r="Q404" s="273"/>
      <c r="R404" s="273"/>
      <c r="S404" s="273"/>
      <c r="T404" s="273"/>
      <c r="U404" s="273"/>
      <c r="V404" s="273"/>
      <c r="W404" s="273"/>
      <c r="X404" s="273"/>
      <c r="Y404" s="273"/>
      <c r="Z404" s="273"/>
      <c r="AA404" s="273"/>
      <c r="AB404" s="273"/>
      <c r="AC404" s="273"/>
    </row>
    <row r="405" ht="24.75" hidden="1" customHeight="1" outlineLevel="1">
      <c r="A405" s="621">
        <v>45162.0</v>
      </c>
      <c r="B405" s="624" t="s">
        <v>1263</v>
      </c>
      <c r="C405" s="610" t="s">
        <v>1444</v>
      </c>
      <c r="D405" s="576" t="s">
        <v>1252</v>
      </c>
      <c r="E405" s="625" t="s">
        <v>1203</v>
      </c>
      <c r="F405" s="273"/>
      <c r="G405" s="273"/>
      <c r="H405" s="273"/>
      <c r="I405" s="273"/>
      <c r="J405" s="273"/>
      <c r="K405" s="273"/>
      <c r="L405" s="273"/>
      <c r="M405" s="273"/>
      <c r="N405" s="273"/>
      <c r="O405" s="273"/>
      <c r="P405" s="273"/>
      <c r="Q405" s="273"/>
      <c r="R405" s="273"/>
      <c r="S405" s="273"/>
      <c r="T405" s="273"/>
      <c r="U405" s="273"/>
      <c r="V405" s="273"/>
      <c r="W405" s="273"/>
      <c r="X405" s="273"/>
      <c r="Y405" s="273"/>
      <c r="Z405" s="273"/>
      <c r="AA405" s="273"/>
      <c r="AB405" s="273"/>
      <c r="AC405" s="273"/>
    </row>
    <row r="406" ht="24.75" customHeight="1">
      <c r="A406" s="132"/>
      <c r="B406" s="132"/>
      <c r="C406" s="132"/>
      <c r="D406" s="132"/>
      <c r="E406" s="496"/>
      <c r="F406" s="132"/>
      <c r="G406" s="132"/>
      <c r="H406" s="132"/>
      <c r="I406" s="132"/>
      <c r="J406" s="132"/>
      <c r="K406" s="132"/>
      <c r="L406" s="132"/>
      <c r="M406" s="132"/>
      <c r="N406" s="132"/>
      <c r="O406" s="132"/>
      <c r="P406" s="132"/>
      <c r="Q406" s="132"/>
      <c r="R406" s="132"/>
      <c r="S406" s="132"/>
      <c r="T406" s="132"/>
      <c r="U406" s="132"/>
      <c r="V406" s="132"/>
      <c r="W406" s="132"/>
      <c r="X406" s="132"/>
      <c r="Y406" s="132"/>
      <c r="Z406" s="132"/>
      <c r="AA406" s="132"/>
      <c r="AB406" s="132"/>
      <c r="AC406" s="132"/>
    </row>
    <row r="407" ht="24.75" customHeight="1" collapsed="1">
      <c r="A407" s="175" t="s">
        <v>1462</v>
      </c>
      <c r="B407" s="132"/>
      <c r="C407" s="132"/>
      <c r="D407" s="132"/>
      <c r="E407" s="496"/>
      <c r="F407" s="132"/>
      <c r="G407" s="132"/>
      <c r="H407" s="132"/>
      <c r="I407" s="132"/>
      <c r="J407" s="132"/>
      <c r="K407" s="132"/>
      <c r="L407" s="132"/>
      <c r="M407" s="132"/>
      <c r="N407" s="132"/>
      <c r="O407" s="132"/>
      <c r="P407" s="132"/>
      <c r="Q407" s="132"/>
      <c r="R407" s="132"/>
      <c r="S407" s="132"/>
      <c r="T407" s="132"/>
      <c r="U407" s="132"/>
      <c r="V407" s="132"/>
      <c r="W407" s="132"/>
      <c r="X407" s="132"/>
      <c r="Y407" s="132"/>
      <c r="Z407" s="132"/>
      <c r="AA407" s="132"/>
      <c r="AB407" s="132"/>
      <c r="AC407" s="132"/>
    </row>
    <row r="408" ht="24.75" hidden="1" customHeight="1" outlineLevel="1">
      <c r="A408" s="533" t="s">
        <v>1166</v>
      </c>
      <c r="B408" s="534" t="s">
        <v>1117</v>
      </c>
      <c r="C408" s="534" t="s">
        <v>1167</v>
      </c>
      <c r="D408" s="534" t="s">
        <v>1168</v>
      </c>
      <c r="E408" s="534" t="s">
        <v>1169</v>
      </c>
      <c r="F408" s="132"/>
      <c r="G408" s="132"/>
      <c r="H408" s="132"/>
      <c r="I408" s="132"/>
      <c r="J408" s="132"/>
      <c r="K408" s="132"/>
      <c r="L408" s="132"/>
      <c r="M408" s="132"/>
      <c r="N408" s="132"/>
      <c r="O408" s="132"/>
      <c r="P408" s="132"/>
      <c r="Q408" s="132"/>
      <c r="R408" s="132"/>
      <c r="S408" s="132"/>
      <c r="T408" s="132"/>
      <c r="U408" s="132"/>
      <c r="V408" s="132"/>
      <c r="W408" s="132"/>
      <c r="X408" s="132"/>
      <c r="Y408" s="132"/>
      <c r="Z408" s="132"/>
      <c r="AA408" s="132"/>
      <c r="AB408" s="132"/>
      <c r="AC408" s="132"/>
    </row>
    <row r="409" ht="24.75" hidden="1" customHeight="1" outlineLevel="1">
      <c r="A409" s="607">
        <v>45187.0</v>
      </c>
      <c r="B409" s="507" t="s">
        <v>1249</v>
      </c>
      <c r="C409" s="526" t="s">
        <v>1311</v>
      </c>
      <c r="D409" s="506" t="s">
        <v>1354</v>
      </c>
      <c r="E409" s="573" t="s">
        <v>1235</v>
      </c>
      <c r="F409" s="175"/>
      <c r="G409" s="175"/>
      <c r="H409" s="175" t="s">
        <v>1355</v>
      </c>
      <c r="I409" s="132"/>
      <c r="J409" s="132"/>
      <c r="K409" s="132"/>
      <c r="L409" s="132"/>
      <c r="M409" s="132"/>
      <c r="N409" s="132"/>
      <c r="O409" s="132"/>
      <c r="P409" s="132"/>
      <c r="Q409" s="132"/>
      <c r="R409" s="132"/>
      <c r="S409" s="132"/>
      <c r="T409" s="132"/>
      <c r="U409" s="132"/>
      <c r="V409" s="132"/>
      <c r="W409" s="132"/>
      <c r="X409" s="132"/>
      <c r="Y409" s="132"/>
      <c r="Z409" s="132"/>
      <c r="AA409" s="132"/>
      <c r="AB409" s="132"/>
      <c r="AC409" s="132"/>
    </row>
    <row r="410" ht="24.75" hidden="1" customHeight="1" outlineLevel="1">
      <c r="A410" s="607">
        <v>45187.0</v>
      </c>
      <c r="B410" s="507" t="s">
        <v>629</v>
      </c>
      <c r="C410" s="507" t="s">
        <v>1233</v>
      </c>
      <c r="D410" s="507" t="s">
        <v>1319</v>
      </c>
      <c r="E410" s="573" t="s">
        <v>1235</v>
      </c>
      <c r="F410" s="175"/>
      <c r="G410" s="175"/>
      <c r="H410" s="175" t="s">
        <v>1320</v>
      </c>
      <c r="I410" s="132"/>
      <c r="J410" s="132"/>
      <c r="K410" s="132"/>
      <c r="L410" s="132"/>
      <c r="M410" s="132"/>
      <c r="N410" s="132"/>
      <c r="O410" s="132"/>
      <c r="P410" s="132"/>
      <c r="Q410" s="132"/>
      <c r="R410" s="132"/>
      <c r="S410" s="132"/>
      <c r="T410" s="132"/>
      <c r="U410" s="132"/>
      <c r="V410" s="132"/>
      <c r="W410" s="132"/>
      <c r="X410" s="132"/>
      <c r="Y410" s="132"/>
      <c r="Z410" s="132"/>
      <c r="AA410" s="132"/>
      <c r="AB410" s="132"/>
      <c r="AC410" s="132"/>
    </row>
    <row r="411" ht="24.75" hidden="1" customHeight="1" outlineLevel="1">
      <c r="A411" s="607">
        <v>45187.0</v>
      </c>
      <c r="B411" s="523" t="s">
        <v>1217</v>
      </c>
      <c r="C411" s="531" t="s">
        <v>1451</v>
      </c>
      <c r="D411" s="506" t="s">
        <v>1354</v>
      </c>
      <c r="E411" s="573" t="s">
        <v>1235</v>
      </c>
      <c r="F411" s="175"/>
      <c r="G411" s="175"/>
      <c r="H411" s="175" t="s">
        <v>1240</v>
      </c>
      <c r="I411" s="132"/>
      <c r="J411" s="132"/>
      <c r="K411" s="132"/>
      <c r="L411" s="132"/>
      <c r="M411" s="132"/>
      <c r="N411" s="132"/>
      <c r="O411" s="132"/>
      <c r="P411" s="132"/>
      <c r="Q411" s="132"/>
      <c r="R411" s="132"/>
      <c r="S411" s="132"/>
      <c r="T411" s="132"/>
      <c r="U411" s="132"/>
      <c r="V411" s="132"/>
      <c r="W411" s="132"/>
      <c r="X411" s="132"/>
      <c r="Y411" s="132"/>
      <c r="Z411" s="132"/>
      <c r="AA411" s="132"/>
      <c r="AB411" s="132"/>
      <c r="AC411" s="132"/>
    </row>
    <row r="412" ht="24.75" hidden="1" customHeight="1" outlineLevel="1">
      <c r="A412" s="621">
        <v>45188.0</v>
      </c>
      <c r="B412" s="507" t="s">
        <v>38</v>
      </c>
      <c r="C412" s="507" t="s">
        <v>1233</v>
      </c>
      <c r="D412" s="601" t="s">
        <v>1180</v>
      </c>
      <c r="E412" s="573" t="s">
        <v>1235</v>
      </c>
      <c r="F412" s="175"/>
      <c r="G412" s="175"/>
      <c r="H412" s="175"/>
      <c r="I412" s="132"/>
      <c r="J412" s="132"/>
      <c r="K412" s="132"/>
      <c r="L412" s="132"/>
      <c r="M412" s="132"/>
      <c r="N412" s="132"/>
      <c r="O412" s="132"/>
      <c r="P412" s="132"/>
      <c r="Q412" s="132"/>
      <c r="R412" s="132"/>
      <c r="S412" s="132"/>
      <c r="T412" s="132"/>
      <c r="U412" s="132"/>
      <c r="V412" s="132"/>
      <c r="W412" s="132"/>
      <c r="X412" s="132"/>
      <c r="Y412" s="132"/>
      <c r="Z412" s="132"/>
      <c r="AA412" s="132"/>
      <c r="AB412" s="132"/>
      <c r="AC412" s="132"/>
    </row>
    <row r="413" ht="24.75" hidden="1" customHeight="1" outlineLevel="1">
      <c r="A413" s="621">
        <v>45188.0</v>
      </c>
      <c r="B413" s="507" t="s">
        <v>1232</v>
      </c>
      <c r="C413" s="511" t="s">
        <v>1233</v>
      </c>
      <c r="D413" s="601" t="s">
        <v>1180</v>
      </c>
      <c r="E413" s="573" t="s">
        <v>1235</v>
      </c>
      <c r="F413" s="132"/>
      <c r="G413" s="132"/>
      <c r="H413" s="132"/>
      <c r="I413" s="132"/>
      <c r="J413" s="132"/>
      <c r="K413" s="132"/>
      <c r="L413" s="132"/>
      <c r="M413" s="132"/>
      <c r="N413" s="132"/>
      <c r="O413" s="132"/>
      <c r="P413" s="132"/>
      <c r="Q413" s="132"/>
      <c r="R413" s="132"/>
      <c r="S413" s="132"/>
      <c r="T413" s="132"/>
      <c r="U413" s="132"/>
      <c r="V413" s="132"/>
      <c r="W413" s="132"/>
      <c r="X413" s="132"/>
      <c r="Y413" s="132"/>
      <c r="Z413" s="132"/>
      <c r="AA413" s="132"/>
      <c r="AB413" s="132"/>
      <c r="AC413" s="132"/>
    </row>
    <row r="414" ht="24.75" hidden="1" customHeight="1" outlineLevel="1">
      <c r="A414" s="621">
        <v>45188.0</v>
      </c>
      <c r="B414" s="507" t="s">
        <v>1254</v>
      </c>
      <c r="C414" s="511" t="s">
        <v>1412</v>
      </c>
      <c r="D414" s="601" t="s">
        <v>1180</v>
      </c>
      <c r="E414" s="573" t="s">
        <v>1235</v>
      </c>
      <c r="F414" s="132"/>
      <c r="G414" s="132"/>
      <c r="H414" s="132"/>
      <c r="I414" s="132"/>
      <c r="J414" s="132"/>
      <c r="K414" s="132"/>
      <c r="L414" s="132"/>
      <c r="M414" s="132"/>
      <c r="N414" s="132"/>
      <c r="O414" s="132"/>
      <c r="P414" s="132"/>
      <c r="Q414" s="132"/>
      <c r="R414" s="132"/>
      <c r="S414" s="132"/>
      <c r="T414" s="132"/>
      <c r="U414" s="132"/>
      <c r="V414" s="132"/>
      <c r="W414" s="132"/>
      <c r="X414" s="132"/>
      <c r="Y414" s="132"/>
      <c r="Z414" s="132"/>
      <c r="AA414" s="132"/>
      <c r="AB414" s="132"/>
      <c r="AC414" s="132"/>
    </row>
    <row r="415" ht="24.75" hidden="1" customHeight="1" outlineLevel="1">
      <c r="A415" s="621">
        <v>45188.0</v>
      </c>
      <c r="B415" s="507" t="s">
        <v>1325</v>
      </c>
      <c r="C415" s="531" t="s">
        <v>1233</v>
      </c>
      <c r="D415" s="507" t="s">
        <v>1319</v>
      </c>
      <c r="E415" s="591" t="s">
        <v>1235</v>
      </c>
      <c r="F415" s="132"/>
      <c r="G415" s="132"/>
      <c r="H415" s="132"/>
      <c r="I415" s="132"/>
      <c r="J415" s="132"/>
      <c r="K415" s="132"/>
      <c r="L415" s="132"/>
      <c r="M415" s="132"/>
      <c r="N415" s="132"/>
      <c r="O415" s="132"/>
      <c r="P415" s="132"/>
      <c r="Q415" s="132"/>
      <c r="R415" s="132"/>
      <c r="S415" s="132"/>
      <c r="T415" s="132"/>
      <c r="U415" s="132"/>
      <c r="V415" s="132"/>
      <c r="W415" s="132"/>
      <c r="X415" s="132"/>
      <c r="Y415" s="132"/>
      <c r="Z415" s="132"/>
      <c r="AA415" s="132"/>
      <c r="AB415" s="132"/>
      <c r="AC415" s="132"/>
    </row>
    <row r="416" ht="24.75" customHeight="1">
      <c r="A416" s="132"/>
      <c r="B416" s="132"/>
      <c r="C416" s="132"/>
      <c r="D416" s="132"/>
      <c r="E416" s="496"/>
      <c r="F416" s="132"/>
      <c r="G416" s="132"/>
      <c r="H416" s="132"/>
      <c r="I416" s="132"/>
      <c r="J416" s="132"/>
      <c r="K416" s="132"/>
      <c r="L416" s="132"/>
      <c r="M416" s="132"/>
      <c r="N416" s="132"/>
      <c r="O416" s="132"/>
      <c r="P416" s="132"/>
      <c r="Q416" s="132"/>
      <c r="R416" s="132"/>
      <c r="S416" s="132"/>
      <c r="T416" s="132"/>
      <c r="U416" s="132"/>
      <c r="V416" s="132"/>
      <c r="W416" s="132"/>
      <c r="X416" s="132"/>
      <c r="Y416" s="132"/>
      <c r="Z416" s="132"/>
      <c r="AA416" s="132"/>
      <c r="AB416" s="132"/>
      <c r="AC416" s="132"/>
    </row>
    <row r="417" ht="24.75" customHeight="1" collapsed="1">
      <c r="A417" s="175" t="s">
        <v>1463</v>
      </c>
      <c r="B417" s="132"/>
      <c r="C417" s="132"/>
      <c r="D417" s="132"/>
      <c r="E417" s="496"/>
      <c r="F417" s="132"/>
      <c r="G417" s="132"/>
      <c r="H417" s="132"/>
      <c r="I417" s="132"/>
      <c r="J417" s="132"/>
      <c r="K417" s="132"/>
      <c r="L417" s="132"/>
      <c r="M417" s="132"/>
      <c r="N417" s="132"/>
      <c r="O417" s="132"/>
      <c r="P417" s="132"/>
      <c r="Q417" s="132"/>
      <c r="R417" s="132"/>
      <c r="S417" s="132"/>
      <c r="T417" s="132"/>
      <c r="U417" s="132"/>
      <c r="V417" s="132"/>
      <c r="W417" s="132"/>
      <c r="X417" s="132"/>
      <c r="Y417" s="132"/>
      <c r="Z417" s="132"/>
      <c r="AA417" s="132"/>
      <c r="AB417" s="132"/>
      <c r="AC417" s="132"/>
    </row>
    <row r="418" ht="24.75" hidden="1" customHeight="1" outlineLevel="1">
      <c r="A418" s="597" t="s">
        <v>1166</v>
      </c>
      <c r="B418" s="598" t="s">
        <v>1117</v>
      </c>
      <c r="C418" s="598" t="s">
        <v>1167</v>
      </c>
      <c r="D418" s="598" t="s">
        <v>1168</v>
      </c>
      <c r="E418" s="598" t="s">
        <v>1169</v>
      </c>
      <c r="F418" s="132"/>
      <c r="G418" s="132"/>
      <c r="H418" s="132"/>
      <c r="I418" s="132"/>
      <c r="J418" s="132"/>
      <c r="K418" s="132"/>
      <c r="L418" s="132"/>
      <c r="M418" s="132"/>
      <c r="N418" s="132"/>
      <c r="O418" s="132"/>
      <c r="P418" s="132"/>
      <c r="Q418" s="132"/>
      <c r="R418" s="132"/>
      <c r="S418" s="132"/>
      <c r="T418" s="132"/>
      <c r="U418" s="132"/>
      <c r="V418" s="132"/>
      <c r="W418" s="132"/>
      <c r="X418" s="132"/>
      <c r="Y418" s="132"/>
      <c r="Z418" s="132"/>
      <c r="AA418" s="132"/>
      <c r="AB418" s="132"/>
      <c r="AC418" s="132"/>
    </row>
    <row r="419" ht="24.75" hidden="1" customHeight="1" outlineLevel="1">
      <c r="A419" s="607">
        <v>45208.0</v>
      </c>
      <c r="B419" s="507" t="s">
        <v>1249</v>
      </c>
      <c r="C419" s="526" t="s">
        <v>1311</v>
      </c>
      <c r="D419" s="506" t="s">
        <v>1464</v>
      </c>
      <c r="E419" s="573" t="s">
        <v>1235</v>
      </c>
      <c r="F419" s="175"/>
      <c r="G419" s="175"/>
      <c r="H419" s="175" t="s">
        <v>1355</v>
      </c>
      <c r="I419" s="132"/>
      <c r="J419" s="132"/>
      <c r="K419" s="132"/>
      <c r="L419" s="132"/>
      <c r="M419" s="132"/>
      <c r="N419" s="132"/>
      <c r="O419" s="132"/>
      <c r="P419" s="132"/>
      <c r="Q419" s="132"/>
      <c r="R419" s="132"/>
      <c r="S419" s="132"/>
      <c r="T419" s="132"/>
      <c r="U419" s="132"/>
      <c r="V419" s="132"/>
      <c r="W419" s="132"/>
      <c r="X419" s="132"/>
      <c r="Y419" s="132"/>
      <c r="Z419" s="132"/>
      <c r="AA419" s="132"/>
      <c r="AB419" s="132"/>
      <c r="AC419" s="132"/>
    </row>
    <row r="420" ht="24.75" hidden="1" customHeight="1" outlineLevel="1">
      <c r="A420" s="607">
        <v>45208.0</v>
      </c>
      <c r="B420" s="507" t="s">
        <v>629</v>
      </c>
      <c r="C420" s="507" t="s">
        <v>1233</v>
      </c>
      <c r="D420" s="601" t="s">
        <v>1180</v>
      </c>
      <c r="E420" s="573" t="s">
        <v>1235</v>
      </c>
      <c r="F420" s="175"/>
      <c r="G420" s="175"/>
      <c r="H420" s="175" t="s">
        <v>1320</v>
      </c>
      <c r="I420" s="132"/>
      <c r="J420" s="132"/>
      <c r="K420" s="132"/>
      <c r="L420" s="132"/>
      <c r="M420" s="132"/>
      <c r="N420" s="132"/>
      <c r="O420" s="132"/>
      <c r="P420" s="132"/>
      <c r="Q420" s="132"/>
      <c r="R420" s="132"/>
      <c r="S420" s="132"/>
      <c r="T420" s="132"/>
      <c r="U420" s="132"/>
      <c r="V420" s="132"/>
      <c r="W420" s="132"/>
      <c r="X420" s="132"/>
      <c r="Y420" s="132"/>
      <c r="Z420" s="132"/>
      <c r="AA420" s="132"/>
      <c r="AB420" s="132"/>
      <c r="AC420" s="132"/>
    </row>
    <row r="421" ht="24.75" hidden="1" customHeight="1" outlineLevel="1">
      <c r="A421" s="607">
        <v>45208.0</v>
      </c>
      <c r="B421" s="523" t="s">
        <v>1217</v>
      </c>
      <c r="C421" s="531" t="s">
        <v>1451</v>
      </c>
      <c r="D421" s="506" t="s">
        <v>1465</v>
      </c>
      <c r="E421" s="573" t="s">
        <v>1235</v>
      </c>
      <c r="F421" s="175"/>
      <c r="G421" s="175"/>
      <c r="H421" s="175" t="s">
        <v>1240</v>
      </c>
      <c r="I421" s="132"/>
      <c r="J421" s="132"/>
      <c r="K421" s="132"/>
      <c r="L421" s="132"/>
      <c r="M421" s="132"/>
      <c r="N421" s="132"/>
      <c r="O421" s="132"/>
      <c r="P421" s="132"/>
      <c r="Q421" s="132"/>
      <c r="R421" s="132"/>
      <c r="S421" s="132"/>
      <c r="T421" s="132"/>
      <c r="U421" s="132"/>
      <c r="V421" s="132"/>
      <c r="W421" s="132"/>
      <c r="X421" s="132"/>
      <c r="Y421" s="132"/>
      <c r="Z421" s="132"/>
      <c r="AA421" s="132"/>
      <c r="AB421" s="132"/>
      <c r="AC421" s="132"/>
    </row>
    <row r="422" ht="24.75" hidden="1" customHeight="1" outlineLevel="1">
      <c r="A422" s="621">
        <v>45209.0</v>
      </c>
      <c r="B422" s="507" t="s">
        <v>38</v>
      </c>
      <c r="C422" s="507" t="s">
        <v>1233</v>
      </c>
      <c r="D422" s="601" t="s">
        <v>1180</v>
      </c>
      <c r="E422" s="573" t="s">
        <v>1235</v>
      </c>
      <c r="F422" s="175"/>
      <c r="G422" s="175"/>
      <c r="H422" s="175"/>
      <c r="I422" s="132"/>
      <c r="J422" s="132"/>
      <c r="K422" s="132"/>
      <c r="L422" s="132"/>
      <c r="M422" s="132"/>
      <c r="N422" s="132"/>
      <c r="O422" s="132"/>
      <c r="P422" s="132"/>
      <c r="Q422" s="132"/>
      <c r="R422" s="132"/>
      <c r="S422" s="132"/>
      <c r="T422" s="132"/>
      <c r="U422" s="132"/>
      <c r="V422" s="132"/>
      <c r="W422" s="132"/>
      <c r="X422" s="132"/>
      <c r="Y422" s="132"/>
      <c r="Z422" s="132"/>
      <c r="AA422" s="132"/>
      <c r="AB422" s="132"/>
      <c r="AC422" s="132"/>
    </row>
    <row r="423" ht="24.75" hidden="1" customHeight="1" outlineLevel="1">
      <c r="A423" s="621">
        <v>45209.0</v>
      </c>
      <c r="B423" s="507" t="s">
        <v>1232</v>
      </c>
      <c r="C423" s="511" t="s">
        <v>1233</v>
      </c>
      <c r="D423" s="601" t="s">
        <v>1180</v>
      </c>
      <c r="E423" s="573" t="s">
        <v>1235</v>
      </c>
      <c r="F423" s="132"/>
      <c r="G423" s="132"/>
      <c r="H423" s="132"/>
      <c r="I423" s="175" t="s">
        <v>1439</v>
      </c>
      <c r="J423" s="132"/>
      <c r="K423" s="132"/>
      <c r="L423" s="132"/>
      <c r="M423" s="132"/>
      <c r="N423" s="132"/>
      <c r="O423" s="132"/>
      <c r="P423" s="132"/>
      <c r="Q423" s="132"/>
      <c r="R423" s="132"/>
      <c r="S423" s="132"/>
      <c r="T423" s="132"/>
      <c r="U423" s="132"/>
      <c r="V423" s="132"/>
      <c r="W423" s="132"/>
      <c r="X423" s="132"/>
      <c r="Y423" s="132"/>
      <c r="Z423" s="132"/>
      <c r="AA423" s="132"/>
      <c r="AB423" s="132"/>
      <c r="AC423" s="132"/>
    </row>
    <row r="424" ht="24.75" hidden="1" customHeight="1" outlineLevel="1">
      <c r="A424" s="621">
        <v>45209.0</v>
      </c>
      <c r="B424" s="507" t="s">
        <v>1254</v>
      </c>
      <c r="C424" s="511" t="s">
        <v>1412</v>
      </c>
      <c r="D424" s="601" t="s">
        <v>1180</v>
      </c>
      <c r="E424" s="573" t="s">
        <v>1235</v>
      </c>
      <c r="F424" s="132"/>
      <c r="G424" s="132"/>
      <c r="H424" s="132"/>
      <c r="I424" s="132"/>
      <c r="J424" s="132"/>
      <c r="K424" s="132"/>
      <c r="L424" s="132"/>
      <c r="M424" s="132"/>
      <c r="N424" s="132"/>
      <c r="O424" s="132"/>
      <c r="P424" s="132"/>
      <c r="Q424" s="132"/>
      <c r="R424" s="132"/>
      <c r="S424" s="132"/>
      <c r="T424" s="132"/>
      <c r="U424" s="132"/>
      <c r="V424" s="132"/>
      <c r="W424" s="132"/>
      <c r="X424" s="132"/>
      <c r="Y424" s="132"/>
      <c r="Z424" s="132"/>
      <c r="AA424" s="132"/>
      <c r="AB424" s="132"/>
      <c r="AC424" s="132"/>
    </row>
    <row r="425" ht="24.75" hidden="1" customHeight="1" outlineLevel="1">
      <c r="A425" s="621">
        <v>45209.0</v>
      </c>
      <c r="B425" s="507" t="s">
        <v>1325</v>
      </c>
      <c r="C425" s="531" t="s">
        <v>1233</v>
      </c>
      <c r="D425" s="601" t="s">
        <v>1180</v>
      </c>
      <c r="E425" s="591" t="s">
        <v>1235</v>
      </c>
      <c r="F425" s="132"/>
      <c r="G425" s="132"/>
      <c r="H425" s="132"/>
      <c r="I425" s="132"/>
      <c r="J425" s="132"/>
      <c r="K425" s="132"/>
      <c r="L425" s="132"/>
      <c r="M425" s="132"/>
      <c r="N425" s="132"/>
      <c r="O425" s="132"/>
      <c r="P425" s="132"/>
      <c r="Q425" s="132"/>
      <c r="R425" s="132"/>
      <c r="S425" s="132"/>
      <c r="T425" s="132"/>
      <c r="U425" s="132"/>
      <c r="V425" s="132"/>
      <c r="W425" s="132"/>
      <c r="X425" s="132"/>
      <c r="Y425" s="132"/>
      <c r="Z425" s="132"/>
      <c r="AA425" s="132"/>
      <c r="AB425" s="132"/>
      <c r="AC425" s="132"/>
    </row>
    <row r="426" ht="24.75" customHeight="1">
      <c r="A426" s="132"/>
      <c r="B426" s="132"/>
      <c r="C426" s="132"/>
      <c r="D426" s="132"/>
      <c r="E426" s="496"/>
      <c r="F426" s="132"/>
      <c r="G426" s="132"/>
      <c r="H426" s="132"/>
      <c r="I426" s="132"/>
      <c r="J426" s="132"/>
      <c r="K426" s="132"/>
      <c r="L426" s="132"/>
      <c r="M426" s="132"/>
      <c r="N426" s="132"/>
      <c r="O426" s="132"/>
      <c r="P426" s="132"/>
      <c r="Q426" s="132"/>
      <c r="R426" s="132"/>
      <c r="S426" s="132"/>
      <c r="T426" s="132"/>
      <c r="U426" s="132"/>
      <c r="V426" s="132"/>
      <c r="W426" s="132"/>
      <c r="X426" s="132"/>
      <c r="Y426" s="132"/>
      <c r="Z426" s="132"/>
      <c r="AA426" s="132"/>
      <c r="AB426" s="132"/>
      <c r="AC426" s="132"/>
    </row>
    <row r="427" ht="24.75" customHeight="1" collapsed="1">
      <c r="A427" s="175" t="s">
        <v>1466</v>
      </c>
      <c r="B427" s="132"/>
      <c r="C427" s="132"/>
      <c r="D427" s="132"/>
      <c r="E427" s="496"/>
      <c r="F427" s="132"/>
      <c r="G427" s="132"/>
      <c r="H427" s="132"/>
      <c r="I427" s="132"/>
      <c r="J427" s="132"/>
      <c r="K427" s="132"/>
      <c r="L427" s="132"/>
      <c r="M427" s="132"/>
      <c r="N427" s="132"/>
      <c r="O427" s="132"/>
      <c r="P427" s="132"/>
      <c r="Q427" s="132"/>
      <c r="R427" s="132"/>
      <c r="S427" s="132"/>
      <c r="T427" s="132"/>
      <c r="U427" s="132"/>
      <c r="V427" s="132"/>
      <c r="W427" s="132"/>
      <c r="X427" s="132"/>
      <c r="Y427" s="132"/>
      <c r="Z427" s="132"/>
      <c r="AA427" s="132"/>
      <c r="AB427" s="132"/>
      <c r="AC427" s="132"/>
    </row>
    <row r="428" ht="24.75" hidden="1" customHeight="1" outlineLevel="1">
      <c r="A428" s="597" t="s">
        <v>1166</v>
      </c>
      <c r="B428" s="598" t="s">
        <v>1117</v>
      </c>
      <c r="C428" s="598" t="s">
        <v>1167</v>
      </c>
      <c r="D428" s="598" t="s">
        <v>1168</v>
      </c>
      <c r="E428" s="598" t="s">
        <v>1169</v>
      </c>
      <c r="F428" s="132"/>
      <c r="G428" s="132"/>
      <c r="H428" s="132"/>
      <c r="I428" s="132"/>
      <c r="J428" s="132"/>
      <c r="K428" s="132"/>
      <c r="L428" s="132"/>
      <c r="M428" s="132"/>
      <c r="N428" s="132"/>
      <c r="O428" s="132"/>
      <c r="P428" s="132"/>
      <c r="Q428" s="132"/>
      <c r="R428" s="132"/>
      <c r="S428" s="132"/>
      <c r="T428" s="132"/>
      <c r="U428" s="132"/>
      <c r="V428" s="132"/>
      <c r="W428" s="132"/>
      <c r="X428" s="132"/>
      <c r="Y428" s="132"/>
      <c r="Z428" s="132"/>
      <c r="AA428" s="132"/>
      <c r="AB428" s="132"/>
      <c r="AC428" s="132"/>
    </row>
    <row r="429" ht="39.0" hidden="1" customHeight="1" outlineLevel="1">
      <c r="A429" s="561">
        <v>45233.0</v>
      </c>
      <c r="B429" s="507" t="s">
        <v>1232</v>
      </c>
      <c r="C429" s="626" t="s">
        <v>1233</v>
      </c>
      <c r="D429" s="245" t="s">
        <v>1296</v>
      </c>
      <c r="E429" s="36" t="s">
        <v>1235</v>
      </c>
      <c r="F429" s="132"/>
      <c r="G429" s="132"/>
      <c r="H429" s="132"/>
      <c r="I429" s="175" t="s">
        <v>1439</v>
      </c>
      <c r="J429" s="132"/>
      <c r="K429" s="132"/>
      <c r="L429" s="132"/>
      <c r="M429" s="132"/>
      <c r="N429" s="132"/>
      <c r="O429" s="132"/>
      <c r="P429" s="132"/>
      <c r="Q429" s="132"/>
      <c r="R429" s="132"/>
      <c r="S429" s="132"/>
      <c r="T429" s="132"/>
      <c r="U429" s="132"/>
      <c r="V429" s="132"/>
      <c r="W429" s="132"/>
      <c r="X429" s="132"/>
      <c r="Y429" s="132"/>
      <c r="Z429" s="132"/>
      <c r="AA429" s="132"/>
      <c r="AB429" s="132"/>
      <c r="AC429" s="132"/>
    </row>
    <row r="430" ht="24.75" hidden="1" customHeight="1" outlineLevel="1">
      <c r="A430" s="561">
        <v>45233.0</v>
      </c>
      <c r="B430" s="507" t="s">
        <v>1181</v>
      </c>
      <c r="C430" s="626" t="s">
        <v>1418</v>
      </c>
      <c r="D430" s="626" t="s">
        <v>1180</v>
      </c>
      <c r="E430" s="36" t="s">
        <v>1235</v>
      </c>
      <c r="F430" s="175"/>
      <c r="G430" s="175"/>
      <c r="H430" s="175"/>
      <c r="I430" s="175"/>
      <c r="J430" s="132"/>
      <c r="K430" s="132"/>
      <c r="L430" s="132"/>
      <c r="M430" s="132"/>
      <c r="N430" s="132"/>
      <c r="O430" s="132"/>
      <c r="P430" s="132"/>
      <c r="Q430" s="132"/>
      <c r="R430" s="132"/>
      <c r="S430" s="132"/>
      <c r="T430" s="132"/>
      <c r="U430" s="132"/>
      <c r="V430" s="132"/>
      <c r="W430" s="132"/>
      <c r="X430" s="132"/>
      <c r="Y430" s="132"/>
      <c r="Z430" s="132"/>
      <c r="AA430" s="132"/>
      <c r="AB430" s="132"/>
      <c r="AC430" s="132"/>
    </row>
    <row r="431" ht="24.75" hidden="1" customHeight="1" outlineLevel="1">
      <c r="A431" s="561">
        <v>45233.0</v>
      </c>
      <c r="B431" s="507" t="s">
        <v>38</v>
      </c>
      <c r="C431" s="507" t="s">
        <v>1233</v>
      </c>
      <c r="D431" s="626" t="s">
        <v>1180</v>
      </c>
      <c r="E431" s="36" t="s">
        <v>1235</v>
      </c>
      <c r="F431" s="175"/>
      <c r="G431" s="175"/>
      <c r="H431" s="175"/>
      <c r="I431" s="132"/>
      <c r="J431" s="132"/>
      <c r="K431" s="132"/>
      <c r="L431" s="132"/>
      <c r="M431" s="132"/>
      <c r="N431" s="132"/>
      <c r="O431" s="132"/>
      <c r="P431" s="132"/>
      <c r="Q431" s="132"/>
      <c r="R431" s="132"/>
      <c r="S431" s="132"/>
      <c r="T431" s="132"/>
      <c r="U431" s="132"/>
      <c r="V431" s="132"/>
      <c r="W431" s="132"/>
      <c r="X431" s="132"/>
      <c r="Y431" s="132"/>
      <c r="Z431" s="132"/>
      <c r="AA431" s="132"/>
      <c r="AB431" s="132"/>
      <c r="AC431" s="132"/>
    </row>
    <row r="432" ht="24.75" hidden="1" customHeight="1" outlineLevel="1">
      <c r="A432" s="561">
        <v>45234.0</v>
      </c>
      <c r="B432" s="507" t="s">
        <v>1238</v>
      </c>
      <c r="C432" s="626" t="s">
        <v>1259</v>
      </c>
      <c r="D432" s="626" t="s">
        <v>1175</v>
      </c>
      <c r="E432" s="573" t="s">
        <v>1203</v>
      </c>
      <c r="F432" s="132"/>
      <c r="G432" s="132"/>
      <c r="H432" s="132"/>
      <c r="I432" s="132"/>
      <c r="J432" s="132"/>
      <c r="K432" s="132"/>
      <c r="L432" s="132"/>
      <c r="M432" s="132"/>
      <c r="N432" s="132"/>
      <c r="O432" s="132"/>
      <c r="P432" s="132"/>
      <c r="Q432" s="132"/>
      <c r="R432" s="132"/>
      <c r="S432" s="132"/>
      <c r="T432" s="132"/>
      <c r="U432" s="132"/>
      <c r="V432" s="132"/>
      <c r="W432" s="132"/>
      <c r="X432" s="132"/>
      <c r="Y432" s="132"/>
      <c r="Z432" s="132"/>
      <c r="AA432" s="132"/>
      <c r="AB432" s="132"/>
      <c r="AC432" s="132"/>
    </row>
    <row r="433" ht="24.75" hidden="1" customHeight="1" outlineLevel="1">
      <c r="A433" s="561">
        <v>45234.0</v>
      </c>
      <c r="B433" s="606" t="s">
        <v>1210</v>
      </c>
      <c r="C433" s="626" t="s">
        <v>1467</v>
      </c>
      <c r="D433" s="626" t="s">
        <v>1468</v>
      </c>
      <c r="E433" s="573" t="s">
        <v>1203</v>
      </c>
      <c r="F433" s="175"/>
      <c r="G433" s="175"/>
      <c r="H433" s="175" t="s">
        <v>1469</v>
      </c>
      <c r="I433" s="175"/>
      <c r="J433" s="132"/>
      <c r="K433" s="132"/>
      <c r="L433" s="132"/>
      <c r="M433" s="132"/>
      <c r="N433" s="132"/>
      <c r="O433" s="132"/>
      <c r="P433" s="132"/>
      <c r="Q433" s="132"/>
      <c r="R433" s="132"/>
      <c r="S433" s="132"/>
      <c r="T433" s="132"/>
      <c r="U433" s="132"/>
      <c r="V433" s="132"/>
      <c r="W433" s="132"/>
      <c r="X433" s="132"/>
      <c r="Y433" s="132"/>
      <c r="Z433" s="132"/>
      <c r="AA433" s="132"/>
      <c r="AB433" s="132"/>
      <c r="AC433" s="132"/>
    </row>
    <row r="434" ht="24.75" hidden="1" customHeight="1" outlineLevel="1">
      <c r="A434" s="561">
        <v>45234.0</v>
      </c>
      <c r="B434" s="606" t="s">
        <v>1213</v>
      </c>
      <c r="C434" s="626" t="s">
        <v>1302</v>
      </c>
      <c r="D434" s="511" t="s">
        <v>1470</v>
      </c>
      <c r="E434" s="573" t="s">
        <v>1203</v>
      </c>
      <c r="F434" s="132"/>
      <c r="G434" s="132"/>
      <c r="H434" s="132"/>
      <c r="I434" s="132"/>
      <c r="J434" s="132"/>
      <c r="K434" s="132"/>
      <c r="L434" s="132"/>
      <c r="M434" s="132"/>
      <c r="N434" s="132"/>
      <c r="O434" s="132"/>
      <c r="P434" s="132"/>
      <c r="Q434" s="132"/>
      <c r="R434" s="132"/>
      <c r="S434" s="132"/>
      <c r="T434" s="132"/>
      <c r="U434" s="132"/>
      <c r="V434" s="132"/>
      <c r="W434" s="132"/>
      <c r="X434" s="132"/>
      <c r="Y434" s="132"/>
      <c r="Z434" s="132"/>
      <c r="AA434" s="132"/>
      <c r="AB434" s="132"/>
      <c r="AC434" s="132"/>
    </row>
    <row r="435" ht="24.75" hidden="1" customHeight="1" outlineLevel="1">
      <c r="A435" s="561">
        <v>45234.0</v>
      </c>
      <c r="B435" s="507" t="s">
        <v>1209</v>
      </c>
      <c r="C435" s="626" t="s">
        <v>1233</v>
      </c>
      <c r="D435" s="626" t="s">
        <v>1242</v>
      </c>
      <c r="E435" s="36" t="s">
        <v>1235</v>
      </c>
      <c r="I435" s="132"/>
      <c r="J435" s="132"/>
      <c r="K435" s="132"/>
      <c r="L435" s="132"/>
      <c r="M435" s="132"/>
      <c r="N435" s="132"/>
      <c r="O435" s="132"/>
      <c r="P435" s="132"/>
      <c r="Q435" s="132"/>
      <c r="R435" s="132"/>
      <c r="S435" s="132"/>
      <c r="T435" s="132"/>
      <c r="U435" s="132"/>
      <c r="V435" s="132"/>
      <c r="W435" s="132"/>
      <c r="X435" s="132"/>
      <c r="Y435" s="132"/>
      <c r="Z435" s="132"/>
      <c r="AA435" s="132"/>
      <c r="AB435" s="132"/>
      <c r="AC435" s="132"/>
    </row>
    <row r="436" ht="24.75" hidden="1" customHeight="1" outlineLevel="1">
      <c r="A436" s="561">
        <v>45235.0</v>
      </c>
      <c r="B436" s="507" t="s">
        <v>1187</v>
      </c>
      <c r="C436" s="626" t="s">
        <v>1444</v>
      </c>
      <c r="D436" s="511" t="s">
        <v>1471</v>
      </c>
      <c r="E436" s="573" t="s">
        <v>1203</v>
      </c>
      <c r="F436" s="132"/>
      <c r="G436" s="132"/>
      <c r="H436" s="132"/>
      <c r="I436" s="132"/>
      <c r="J436" s="132"/>
      <c r="K436" s="132"/>
      <c r="L436" s="132"/>
      <c r="M436" s="132"/>
      <c r="N436" s="132"/>
      <c r="O436" s="132"/>
      <c r="P436" s="132"/>
      <c r="Q436" s="132"/>
      <c r="R436" s="132"/>
      <c r="S436" s="132"/>
      <c r="T436" s="132"/>
      <c r="U436" s="132"/>
      <c r="V436" s="132"/>
      <c r="W436" s="132"/>
      <c r="X436" s="132"/>
      <c r="Y436" s="132"/>
      <c r="Z436" s="132"/>
      <c r="AA436" s="132"/>
      <c r="AB436" s="132"/>
      <c r="AC436" s="132"/>
    </row>
    <row r="437" ht="24.75" hidden="1" customHeight="1" outlineLevel="1">
      <c r="A437" s="561">
        <v>45235.0</v>
      </c>
      <c r="B437" s="507" t="s">
        <v>1189</v>
      </c>
      <c r="C437" s="626" t="s">
        <v>1259</v>
      </c>
      <c r="D437" s="511" t="s">
        <v>1472</v>
      </c>
      <c r="E437" s="573" t="s">
        <v>1203</v>
      </c>
      <c r="I437" s="175"/>
      <c r="J437" s="132"/>
      <c r="K437" s="132"/>
      <c r="L437" s="132"/>
      <c r="M437" s="132"/>
      <c r="N437" s="132"/>
      <c r="O437" s="132"/>
      <c r="P437" s="132"/>
      <c r="Q437" s="132"/>
      <c r="R437" s="132"/>
      <c r="S437" s="132"/>
      <c r="T437" s="132"/>
      <c r="U437" s="132"/>
      <c r="V437" s="132"/>
      <c r="W437" s="132"/>
      <c r="X437" s="132"/>
      <c r="Y437" s="132"/>
      <c r="Z437" s="132"/>
      <c r="AA437" s="132"/>
      <c r="AB437" s="132"/>
      <c r="AC437" s="132"/>
    </row>
    <row r="438" ht="24.75" hidden="1" customHeight="1" outlineLevel="1">
      <c r="A438" s="561">
        <v>45236.0</v>
      </c>
      <c r="B438" s="507" t="s">
        <v>1249</v>
      </c>
      <c r="C438" s="626" t="s">
        <v>1302</v>
      </c>
      <c r="D438" s="511" t="s">
        <v>1473</v>
      </c>
      <c r="E438" s="573" t="s">
        <v>1203</v>
      </c>
      <c r="F438" s="175"/>
      <c r="G438" s="175"/>
      <c r="H438" s="175"/>
      <c r="I438" s="132"/>
      <c r="J438" s="132"/>
      <c r="K438" s="132"/>
      <c r="L438" s="132"/>
      <c r="M438" s="132"/>
      <c r="N438" s="132"/>
      <c r="O438" s="132"/>
      <c r="P438" s="132"/>
      <c r="Q438" s="132"/>
      <c r="R438" s="132"/>
      <c r="S438" s="132"/>
      <c r="T438" s="132"/>
      <c r="U438" s="132"/>
      <c r="V438" s="132"/>
      <c r="W438" s="132"/>
      <c r="X438" s="132"/>
      <c r="Y438" s="132"/>
      <c r="Z438" s="132"/>
      <c r="AA438" s="132"/>
      <c r="AB438" s="132"/>
      <c r="AC438" s="132"/>
    </row>
    <row r="439" ht="24.75" hidden="1" customHeight="1" outlineLevel="1">
      <c r="A439" s="561">
        <v>45236.0</v>
      </c>
      <c r="B439" s="507" t="s">
        <v>1271</v>
      </c>
      <c r="C439" s="531" t="s">
        <v>1451</v>
      </c>
      <c r="D439" s="605" t="s">
        <v>144</v>
      </c>
      <c r="E439" s="573" t="s">
        <v>1203</v>
      </c>
      <c r="F439" s="175"/>
      <c r="G439" s="175"/>
      <c r="H439" s="175" t="s">
        <v>1469</v>
      </c>
      <c r="I439" s="175" t="s">
        <v>1474</v>
      </c>
      <c r="J439" s="132"/>
      <c r="K439" s="132"/>
      <c r="L439" s="132"/>
      <c r="M439" s="132"/>
      <c r="N439" s="132"/>
      <c r="O439" s="132"/>
      <c r="P439" s="132"/>
      <c r="Q439" s="132"/>
      <c r="R439" s="132"/>
      <c r="S439" s="132"/>
      <c r="T439" s="132"/>
      <c r="U439" s="132"/>
      <c r="V439" s="132"/>
      <c r="W439" s="132"/>
      <c r="X439" s="132"/>
      <c r="Y439" s="132"/>
      <c r="Z439" s="132"/>
      <c r="AA439" s="132"/>
      <c r="AB439" s="132"/>
      <c r="AC439" s="132"/>
    </row>
    <row r="440" ht="24.75" hidden="1" customHeight="1" outlineLevel="1">
      <c r="A440" s="561">
        <v>45236.0</v>
      </c>
      <c r="B440" s="507" t="s">
        <v>1274</v>
      </c>
      <c r="C440" s="531" t="s">
        <v>1451</v>
      </c>
      <c r="D440" s="605" t="s">
        <v>144</v>
      </c>
      <c r="E440" s="573" t="s">
        <v>1203</v>
      </c>
      <c r="F440" s="175"/>
      <c r="G440" s="175"/>
      <c r="H440" s="175" t="s">
        <v>1469</v>
      </c>
      <c r="I440" s="175" t="s">
        <v>1475</v>
      </c>
      <c r="J440" s="132"/>
      <c r="K440" s="132"/>
      <c r="L440" s="132"/>
      <c r="M440" s="132"/>
      <c r="N440" s="132"/>
      <c r="O440" s="132"/>
      <c r="P440" s="132"/>
      <c r="Q440" s="132"/>
      <c r="R440" s="132"/>
      <c r="S440" s="132"/>
      <c r="T440" s="132"/>
      <c r="U440" s="132"/>
      <c r="V440" s="132"/>
      <c r="W440" s="132"/>
      <c r="X440" s="132"/>
      <c r="Y440" s="132"/>
      <c r="Z440" s="132"/>
      <c r="AA440" s="132"/>
      <c r="AB440" s="132"/>
      <c r="AC440" s="132"/>
    </row>
    <row r="441" ht="24.75" hidden="1" customHeight="1" outlineLevel="1">
      <c r="A441" s="561">
        <v>45236.0</v>
      </c>
      <c r="B441" s="507" t="s">
        <v>629</v>
      </c>
      <c r="C441" s="507" t="s">
        <v>1233</v>
      </c>
      <c r="D441" s="507" t="s">
        <v>1319</v>
      </c>
      <c r="E441" s="573" t="s">
        <v>1235</v>
      </c>
      <c r="F441" s="175"/>
      <c r="G441" s="175"/>
      <c r="H441" s="175" t="s">
        <v>1452</v>
      </c>
      <c r="I441" s="132"/>
      <c r="J441" s="132"/>
      <c r="K441" s="132"/>
      <c r="L441" s="132"/>
      <c r="M441" s="132"/>
      <c r="N441" s="132"/>
      <c r="O441" s="132"/>
      <c r="P441" s="132"/>
      <c r="Q441" s="132"/>
      <c r="R441" s="132"/>
      <c r="S441" s="132"/>
      <c r="T441" s="132"/>
      <c r="U441" s="132"/>
      <c r="V441" s="132"/>
      <c r="W441" s="132"/>
      <c r="X441" s="132"/>
      <c r="Y441" s="132"/>
      <c r="Z441" s="132"/>
      <c r="AA441" s="132"/>
      <c r="AB441" s="132"/>
      <c r="AC441" s="132"/>
    </row>
    <row r="442" ht="24.75" customHeight="1">
      <c r="A442" s="132"/>
      <c r="B442" s="132"/>
      <c r="C442" s="132"/>
      <c r="D442" s="132"/>
      <c r="E442" s="496"/>
      <c r="F442" s="132"/>
      <c r="G442" s="132"/>
      <c r="H442" s="132"/>
      <c r="I442" s="132"/>
      <c r="J442" s="132"/>
      <c r="K442" s="132"/>
      <c r="L442" s="132"/>
      <c r="M442" s="132"/>
      <c r="N442" s="132"/>
      <c r="O442" s="132"/>
      <c r="P442" s="132"/>
      <c r="Q442" s="132"/>
      <c r="R442" s="132"/>
      <c r="S442" s="132"/>
      <c r="T442" s="132"/>
      <c r="U442" s="132"/>
      <c r="V442" s="132"/>
      <c r="W442" s="132"/>
      <c r="X442" s="132"/>
      <c r="Y442" s="132"/>
      <c r="Z442" s="132"/>
      <c r="AA442" s="132"/>
      <c r="AB442" s="132"/>
      <c r="AC442" s="132"/>
    </row>
    <row r="443" ht="24.75" customHeight="1" collapsed="1">
      <c r="A443" s="175" t="s">
        <v>1476</v>
      </c>
      <c r="B443" s="132"/>
      <c r="C443" s="132"/>
      <c r="D443" s="132"/>
      <c r="E443" s="496"/>
      <c r="F443" s="132"/>
      <c r="G443" s="132"/>
      <c r="H443" s="132"/>
      <c r="I443" s="132"/>
      <c r="J443" s="132"/>
      <c r="K443" s="132"/>
      <c r="L443" s="132"/>
      <c r="M443" s="132"/>
      <c r="N443" s="132"/>
      <c r="O443" s="132"/>
      <c r="P443" s="132"/>
      <c r="Q443" s="132"/>
      <c r="R443" s="132"/>
      <c r="S443" s="132"/>
      <c r="T443" s="132"/>
      <c r="U443" s="132"/>
      <c r="V443" s="132"/>
      <c r="W443" s="132"/>
      <c r="X443" s="132"/>
      <c r="Y443" s="132"/>
      <c r="Z443" s="132"/>
      <c r="AA443" s="132"/>
      <c r="AB443" s="132"/>
      <c r="AC443" s="132"/>
    </row>
    <row r="444" ht="24.75" hidden="1" customHeight="1" outlineLevel="1">
      <c r="A444" s="597" t="s">
        <v>1166</v>
      </c>
      <c r="B444" s="598" t="s">
        <v>1117</v>
      </c>
      <c r="C444" s="598" t="s">
        <v>1167</v>
      </c>
      <c r="D444" s="598" t="s">
        <v>1168</v>
      </c>
      <c r="E444" s="598" t="s">
        <v>1169</v>
      </c>
      <c r="F444" s="175"/>
      <c r="G444" s="175"/>
      <c r="H444" s="175"/>
      <c r="I444" s="132"/>
      <c r="J444" s="132"/>
      <c r="K444" s="132"/>
      <c r="L444" s="132"/>
      <c r="M444" s="132"/>
      <c r="N444" s="132"/>
      <c r="O444" s="132"/>
      <c r="P444" s="132"/>
      <c r="Q444" s="132"/>
      <c r="R444" s="132"/>
      <c r="S444" s="132"/>
      <c r="T444" s="132"/>
      <c r="U444" s="132"/>
      <c r="V444" s="132"/>
      <c r="W444" s="132"/>
      <c r="X444" s="132"/>
      <c r="Y444" s="132"/>
      <c r="Z444" s="132"/>
      <c r="AA444" s="132"/>
      <c r="AB444" s="132"/>
      <c r="AC444" s="132"/>
    </row>
    <row r="445" ht="24.75" hidden="1" customHeight="1" outlineLevel="1">
      <c r="A445" s="615">
        <v>45253.0</v>
      </c>
      <c r="B445" s="507" t="s">
        <v>1263</v>
      </c>
      <c r="C445" s="626" t="s">
        <v>1444</v>
      </c>
      <c r="D445" s="511" t="s">
        <v>1477</v>
      </c>
      <c r="E445" s="573" t="s">
        <v>1203</v>
      </c>
      <c r="F445" s="132"/>
      <c r="G445" s="132"/>
      <c r="H445" s="132"/>
      <c r="I445" s="132"/>
      <c r="J445" s="132"/>
      <c r="K445" s="132"/>
      <c r="L445" s="132"/>
      <c r="M445" s="132"/>
      <c r="N445" s="132"/>
      <c r="O445" s="132"/>
      <c r="P445" s="132"/>
      <c r="Q445" s="132"/>
      <c r="R445" s="132"/>
      <c r="S445" s="132"/>
      <c r="T445" s="132"/>
      <c r="U445" s="132"/>
      <c r="V445" s="132"/>
      <c r="W445" s="132"/>
      <c r="X445" s="132"/>
      <c r="Y445" s="132"/>
      <c r="Z445" s="132"/>
      <c r="AA445" s="132"/>
      <c r="AB445" s="132"/>
      <c r="AC445" s="132"/>
    </row>
    <row r="446" ht="24.75" hidden="1" customHeight="1" outlineLevel="1">
      <c r="A446" s="615">
        <v>45253.0</v>
      </c>
      <c r="B446" s="507" t="s">
        <v>1178</v>
      </c>
      <c r="C446" s="511" t="s">
        <v>536</v>
      </c>
      <c r="D446" s="507" t="s">
        <v>1319</v>
      </c>
      <c r="E446" s="573" t="s">
        <v>1235</v>
      </c>
      <c r="F446" s="132"/>
      <c r="G446" s="132"/>
      <c r="H446" s="132"/>
      <c r="I446" s="132"/>
      <c r="J446" s="132"/>
      <c r="K446" s="132"/>
      <c r="L446" s="132"/>
      <c r="M446" s="132"/>
      <c r="N446" s="132"/>
      <c r="O446" s="132"/>
      <c r="P446" s="132"/>
      <c r="Q446" s="132"/>
      <c r="R446" s="132"/>
      <c r="S446" s="132"/>
      <c r="T446" s="132"/>
      <c r="U446" s="132"/>
      <c r="V446" s="132"/>
      <c r="W446" s="132"/>
      <c r="X446" s="132"/>
      <c r="Y446" s="132"/>
      <c r="Z446" s="132"/>
      <c r="AA446" s="132"/>
      <c r="AB446" s="132"/>
      <c r="AC446" s="132"/>
    </row>
    <row r="447" ht="24.75" hidden="1" customHeight="1" outlineLevel="1">
      <c r="A447" s="615">
        <v>45255.0</v>
      </c>
      <c r="B447" s="606" t="s">
        <v>1213</v>
      </c>
      <c r="C447" s="626" t="s">
        <v>1302</v>
      </c>
      <c r="D447" s="511" t="s">
        <v>1478</v>
      </c>
      <c r="E447" s="573" t="s">
        <v>1203</v>
      </c>
      <c r="F447" s="132"/>
      <c r="G447" s="132"/>
      <c r="H447" s="132"/>
      <c r="I447" s="132"/>
      <c r="J447" s="132"/>
      <c r="K447" s="132"/>
      <c r="L447" s="132"/>
      <c r="M447" s="132"/>
      <c r="N447" s="132"/>
      <c r="O447" s="132"/>
      <c r="P447" s="132"/>
      <c r="Q447" s="132"/>
      <c r="R447" s="132"/>
      <c r="S447" s="132"/>
      <c r="T447" s="132"/>
      <c r="U447" s="132"/>
      <c r="V447" s="132"/>
      <c r="W447" s="132"/>
      <c r="X447" s="132"/>
      <c r="Y447" s="132"/>
      <c r="Z447" s="132"/>
      <c r="AA447" s="132"/>
      <c r="AB447" s="132"/>
      <c r="AC447" s="132"/>
    </row>
    <row r="448" ht="24.75" hidden="1" customHeight="1" outlineLevel="1">
      <c r="A448" s="615">
        <v>45256.0</v>
      </c>
      <c r="B448" s="507" t="s">
        <v>1187</v>
      </c>
      <c r="C448" s="626" t="s">
        <v>1444</v>
      </c>
      <c r="D448" s="511" t="s">
        <v>1479</v>
      </c>
      <c r="E448" s="573" t="s">
        <v>1203</v>
      </c>
      <c r="F448" s="132"/>
      <c r="G448" s="132"/>
      <c r="H448" s="132"/>
      <c r="I448" s="132"/>
      <c r="J448" s="132"/>
      <c r="K448" s="132"/>
      <c r="L448" s="132"/>
      <c r="M448" s="132"/>
      <c r="N448" s="132"/>
      <c r="O448" s="132"/>
      <c r="P448" s="132"/>
      <c r="Q448" s="132"/>
      <c r="R448" s="132"/>
      <c r="S448" s="132"/>
      <c r="T448" s="132"/>
      <c r="U448" s="132"/>
      <c r="V448" s="132"/>
      <c r="W448" s="132"/>
      <c r="X448" s="132"/>
      <c r="Y448" s="132"/>
      <c r="Z448" s="132"/>
      <c r="AA448" s="132"/>
      <c r="AB448" s="132"/>
      <c r="AC448" s="132"/>
    </row>
    <row r="449" ht="24.75" hidden="1" customHeight="1" outlineLevel="1">
      <c r="A449" s="615">
        <v>45257.0</v>
      </c>
      <c r="B449" s="507" t="s">
        <v>1271</v>
      </c>
      <c r="C449" s="531" t="s">
        <v>1451</v>
      </c>
      <c r="D449" s="605" t="s">
        <v>144</v>
      </c>
      <c r="E449" s="573" t="s">
        <v>1203</v>
      </c>
      <c r="F449" s="175"/>
      <c r="G449" s="175"/>
      <c r="H449" s="175" t="s">
        <v>1480</v>
      </c>
      <c r="I449" s="175" t="s">
        <v>1474</v>
      </c>
      <c r="J449" s="132"/>
      <c r="K449" s="132"/>
      <c r="L449" s="132"/>
      <c r="M449" s="132"/>
      <c r="N449" s="132"/>
      <c r="O449" s="132"/>
      <c r="P449" s="132"/>
      <c r="Q449" s="132"/>
      <c r="R449" s="132"/>
      <c r="S449" s="132"/>
      <c r="T449" s="132"/>
      <c r="U449" s="132"/>
      <c r="V449" s="132"/>
      <c r="W449" s="132"/>
      <c r="X449" s="132"/>
      <c r="Y449" s="132"/>
      <c r="Z449" s="132"/>
      <c r="AA449" s="132"/>
      <c r="AB449" s="132"/>
      <c r="AC449" s="132"/>
    </row>
    <row r="450" ht="24.75" hidden="1" customHeight="1" outlineLevel="1">
      <c r="A450" s="615">
        <v>45257.0</v>
      </c>
      <c r="B450" s="507" t="s">
        <v>1274</v>
      </c>
      <c r="C450" s="531" t="s">
        <v>1451</v>
      </c>
      <c r="D450" s="605" t="s">
        <v>144</v>
      </c>
      <c r="E450" s="573" t="s">
        <v>1203</v>
      </c>
      <c r="F450" s="175"/>
      <c r="G450" s="175"/>
      <c r="H450" s="175" t="s">
        <v>1480</v>
      </c>
      <c r="I450" s="175" t="s">
        <v>1475</v>
      </c>
      <c r="J450" s="132"/>
      <c r="K450" s="132"/>
      <c r="L450" s="132"/>
      <c r="M450" s="132"/>
      <c r="N450" s="132"/>
      <c r="O450" s="132"/>
      <c r="P450" s="132"/>
      <c r="Q450" s="132"/>
      <c r="R450" s="132"/>
      <c r="S450" s="132"/>
      <c r="T450" s="132"/>
      <c r="U450" s="132"/>
      <c r="V450" s="132"/>
      <c r="W450" s="132"/>
      <c r="X450" s="132"/>
      <c r="Y450" s="132"/>
      <c r="Z450" s="132"/>
      <c r="AA450" s="132"/>
      <c r="AB450" s="132"/>
      <c r="AC450" s="132"/>
    </row>
    <row r="451" ht="24.75" hidden="1" customHeight="1" outlineLevel="1">
      <c r="A451" s="615">
        <v>45258.0</v>
      </c>
      <c r="B451" s="507" t="s">
        <v>1254</v>
      </c>
      <c r="C451" s="626" t="s">
        <v>1444</v>
      </c>
      <c r="D451" s="511" t="s">
        <v>1481</v>
      </c>
      <c r="E451" s="573" t="s">
        <v>1203</v>
      </c>
      <c r="F451" s="132"/>
      <c r="G451" s="132"/>
      <c r="H451" s="132"/>
      <c r="I451" s="132"/>
      <c r="J451" s="132"/>
      <c r="K451" s="132"/>
      <c r="L451" s="132"/>
      <c r="M451" s="132"/>
      <c r="N451" s="132"/>
      <c r="O451" s="132"/>
      <c r="P451" s="132"/>
      <c r="Q451" s="132"/>
      <c r="R451" s="132"/>
      <c r="S451" s="132"/>
      <c r="T451" s="132"/>
      <c r="U451" s="132"/>
      <c r="V451" s="132"/>
      <c r="W451" s="132"/>
      <c r="X451" s="132"/>
      <c r="Y451" s="132"/>
      <c r="Z451" s="132"/>
      <c r="AA451" s="132"/>
      <c r="AB451" s="132"/>
      <c r="AC451" s="132"/>
    </row>
    <row r="452" ht="24.75" hidden="1" customHeight="1" outlineLevel="1">
      <c r="A452" s="615">
        <v>45259.0</v>
      </c>
      <c r="B452" s="507" t="s">
        <v>1261</v>
      </c>
      <c r="C452" s="626" t="s">
        <v>1444</v>
      </c>
      <c r="D452" s="511" t="s">
        <v>1482</v>
      </c>
      <c r="E452" s="573" t="s">
        <v>1203</v>
      </c>
      <c r="F452" s="616"/>
      <c r="G452" s="616"/>
      <c r="H452" s="616"/>
      <c r="I452" s="132"/>
      <c r="J452" s="132"/>
      <c r="K452" s="132"/>
      <c r="L452" s="132"/>
      <c r="M452" s="132"/>
      <c r="N452" s="132"/>
      <c r="O452" s="132"/>
      <c r="P452" s="132"/>
      <c r="Q452" s="132"/>
      <c r="R452" s="132"/>
      <c r="S452" s="132"/>
      <c r="T452" s="132"/>
      <c r="U452" s="132"/>
      <c r="V452" s="132"/>
      <c r="W452" s="132"/>
      <c r="X452" s="132"/>
      <c r="Y452" s="132"/>
      <c r="Z452" s="132"/>
      <c r="AA452" s="132"/>
      <c r="AB452" s="132"/>
      <c r="AC452" s="132"/>
    </row>
    <row r="453" ht="24.75" hidden="1" customHeight="1" outlineLevel="1">
      <c r="A453" s="615">
        <v>45260.0</v>
      </c>
      <c r="B453" s="507" t="s">
        <v>1263</v>
      </c>
      <c r="C453" s="626" t="s">
        <v>1444</v>
      </c>
      <c r="D453" s="511" t="s">
        <v>1483</v>
      </c>
      <c r="E453" s="573" t="s">
        <v>1203</v>
      </c>
      <c r="F453" s="132"/>
      <c r="G453" s="132"/>
      <c r="H453" s="132"/>
      <c r="I453" s="132"/>
      <c r="J453" s="132"/>
      <c r="K453" s="132"/>
      <c r="L453" s="132"/>
      <c r="M453" s="132"/>
      <c r="N453" s="132"/>
      <c r="O453" s="132"/>
      <c r="P453" s="132"/>
      <c r="Q453" s="132"/>
      <c r="R453" s="132"/>
      <c r="S453" s="132"/>
      <c r="T453" s="132"/>
      <c r="U453" s="132"/>
      <c r="V453" s="132"/>
      <c r="W453" s="132"/>
      <c r="X453" s="132"/>
      <c r="Y453" s="132"/>
      <c r="Z453" s="132"/>
      <c r="AA453" s="132"/>
      <c r="AB453" s="132"/>
      <c r="AC453" s="132"/>
    </row>
    <row r="454" ht="24.75" customHeight="1">
      <c r="A454" s="175"/>
      <c r="B454" s="132"/>
      <c r="C454" s="132"/>
      <c r="D454" s="132"/>
      <c r="E454" s="496"/>
      <c r="F454" s="132"/>
      <c r="G454" s="132"/>
      <c r="H454" s="132"/>
      <c r="I454" s="132"/>
      <c r="J454" s="132"/>
      <c r="K454" s="132"/>
      <c r="L454" s="132"/>
      <c r="M454" s="132"/>
      <c r="N454" s="132"/>
      <c r="O454" s="132"/>
      <c r="P454" s="132"/>
      <c r="Q454" s="132"/>
      <c r="R454" s="132"/>
      <c r="S454" s="132"/>
      <c r="T454" s="132"/>
      <c r="U454" s="132"/>
      <c r="V454" s="132"/>
      <c r="W454" s="132"/>
      <c r="X454" s="132"/>
      <c r="Y454" s="132"/>
      <c r="Z454" s="132"/>
      <c r="AA454" s="132"/>
      <c r="AB454" s="132"/>
      <c r="AC454" s="132"/>
    </row>
    <row r="455" ht="24.75" customHeight="1" collapsed="1">
      <c r="A455" s="592" t="s">
        <v>1484</v>
      </c>
      <c r="B455" s="132"/>
      <c r="C455" s="132"/>
      <c r="D455" s="132"/>
      <c r="E455" s="496"/>
      <c r="F455" s="132"/>
      <c r="G455" s="132"/>
      <c r="H455" s="132"/>
      <c r="I455" s="132"/>
      <c r="J455" s="132"/>
      <c r="K455" s="132"/>
      <c r="L455" s="132"/>
      <c r="M455" s="132"/>
      <c r="N455" s="132"/>
      <c r="O455" s="132"/>
      <c r="P455" s="132"/>
      <c r="Q455" s="132"/>
      <c r="R455" s="132"/>
      <c r="S455" s="132"/>
      <c r="T455" s="132"/>
      <c r="U455" s="132"/>
      <c r="V455" s="132"/>
      <c r="W455" s="132"/>
      <c r="X455" s="132"/>
      <c r="Y455" s="132"/>
      <c r="Z455" s="132"/>
      <c r="AA455" s="132"/>
      <c r="AB455" s="132"/>
      <c r="AC455" s="132"/>
    </row>
    <row r="456" ht="24.75" hidden="1" customHeight="1" outlineLevel="1">
      <c r="A456" s="597" t="s">
        <v>1166</v>
      </c>
      <c r="B456" s="598" t="s">
        <v>1117</v>
      </c>
      <c r="C456" s="598" t="s">
        <v>1167</v>
      </c>
      <c r="D456" s="598" t="s">
        <v>1168</v>
      </c>
      <c r="E456" s="598" t="s">
        <v>1169</v>
      </c>
      <c r="F456" s="132"/>
      <c r="G456" s="132"/>
      <c r="H456" s="132"/>
      <c r="I456" s="132"/>
      <c r="J456" s="132"/>
      <c r="K456" s="132"/>
      <c r="L456" s="132"/>
      <c r="M456" s="132"/>
      <c r="N456" s="132"/>
      <c r="O456" s="132"/>
      <c r="P456" s="132"/>
      <c r="Q456" s="132"/>
      <c r="R456" s="132"/>
      <c r="S456" s="132"/>
      <c r="T456" s="132"/>
      <c r="U456" s="132"/>
      <c r="V456" s="132"/>
      <c r="W456" s="132"/>
      <c r="X456" s="132"/>
      <c r="Y456" s="132"/>
      <c r="Z456" s="132"/>
      <c r="AA456" s="132"/>
      <c r="AB456" s="132"/>
      <c r="AC456" s="132"/>
    </row>
    <row r="457" ht="39.0" hidden="1" customHeight="1" outlineLevel="1">
      <c r="A457" s="561">
        <v>45289.0</v>
      </c>
      <c r="B457" s="507" t="s">
        <v>1232</v>
      </c>
      <c r="C457" s="626" t="s">
        <v>1233</v>
      </c>
      <c r="D457" s="245" t="s">
        <v>1296</v>
      </c>
      <c r="E457" s="573" t="s">
        <v>1235</v>
      </c>
      <c r="F457" s="132"/>
      <c r="G457" s="132"/>
      <c r="H457" s="132"/>
      <c r="I457" s="175" t="s">
        <v>1439</v>
      </c>
      <c r="J457" s="132"/>
      <c r="K457" s="132"/>
      <c r="L457" s="132"/>
      <c r="M457" s="132"/>
      <c r="N457" s="132"/>
      <c r="O457" s="132"/>
      <c r="P457" s="132"/>
      <c r="Q457" s="132"/>
      <c r="R457" s="132"/>
      <c r="S457" s="132"/>
      <c r="T457" s="132"/>
      <c r="U457" s="132"/>
      <c r="V457" s="132"/>
      <c r="W457" s="132"/>
      <c r="X457" s="132"/>
      <c r="Y457" s="132"/>
      <c r="Z457" s="132"/>
      <c r="AA457" s="132"/>
      <c r="AB457" s="132"/>
      <c r="AC457" s="132"/>
    </row>
    <row r="458" ht="24.75" hidden="1" customHeight="1" outlineLevel="1">
      <c r="A458" s="561">
        <v>45289.0</v>
      </c>
      <c r="B458" s="507" t="s">
        <v>1181</v>
      </c>
      <c r="C458" s="626" t="s">
        <v>1418</v>
      </c>
      <c r="D458" s="626" t="s">
        <v>1180</v>
      </c>
      <c r="E458" s="573" t="s">
        <v>1235</v>
      </c>
      <c r="F458" s="175"/>
      <c r="G458" s="175"/>
      <c r="H458" s="175"/>
      <c r="I458" s="175"/>
      <c r="J458" s="132"/>
      <c r="K458" s="132"/>
      <c r="L458" s="132"/>
      <c r="M458" s="132"/>
      <c r="N458" s="132"/>
      <c r="O458" s="132"/>
      <c r="P458" s="132"/>
      <c r="Q458" s="132"/>
      <c r="R458" s="132"/>
      <c r="S458" s="132"/>
      <c r="T458" s="132"/>
      <c r="U458" s="132"/>
      <c r="V458" s="132"/>
      <c r="W458" s="132"/>
      <c r="X458" s="132"/>
      <c r="Y458" s="132"/>
      <c r="Z458" s="132"/>
      <c r="AA458" s="132"/>
      <c r="AB458" s="132"/>
      <c r="AC458" s="132"/>
    </row>
    <row r="459" ht="24.75" hidden="1" customHeight="1" outlineLevel="1">
      <c r="A459" s="561">
        <v>45289.0</v>
      </c>
      <c r="B459" s="507" t="s">
        <v>38</v>
      </c>
      <c r="C459" s="507" t="s">
        <v>1233</v>
      </c>
      <c r="D459" s="626" t="s">
        <v>1180</v>
      </c>
      <c r="E459" s="573" t="s">
        <v>1235</v>
      </c>
      <c r="F459" s="175"/>
      <c r="G459" s="175"/>
      <c r="H459" s="175"/>
      <c r="I459" s="132"/>
      <c r="J459" s="132"/>
      <c r="K459" s="132"/>
      <c r="L459" s="132"/>
      <c r="M459" s="132"/>
      <c r="N459" s="132"/>
      <c r="O459" s="132"/>
      <c r="P459" s="132"/>
      <c r="Q459" s="132"/>
      <c r="R459" s="132"/>
      <c r="S459" s="132"/>
      <c r="T459" s="132"/>
      <c r="U459" s="132"/>
      <c r="V459" s="132"/>
      <c r="W459" s="132"/>
      <c r="X459" s="132"/>
      <c r="Y459" s="132"/>
      <c r="Z459" s="132"/>
      <c r="AA459" s="132"/>
      <c r="AB459" s="132"/>
      <c r="AC459" s="132"/>
    </row>
    <row r="460" ht="24.75" hidden="1" customHeight="1" outlineLevel="1">
      <c r="A460" s="561">
        <v>45290.0</v>
      </c>
      <c r="B460" s="507" t="s">
        <v>1238</v>
      </c>
      <c r="C460" s="626" t="s">
        <v>1259</v>
      </c>
      <c r="D460" s="605" t="s">
        <v>144</v>
      </c>
      <c r="E460" s="573" t="s">
        <v>1203</v>
      </c>
      <c r="F460" s="132"/>
      <c r="G460" s="132"/>
      <c r="H460" s="132"/>
      <c r="I460" s="132"/>
      <c r="J460" s="132"/>
      <c r="K460" s="132"/>
      <c r="L460" s="132"/>
      <c r="M460" s="132"/>
      <c r="N460" s="132"/>
      <c r="O460" s="132"/>
      <c r="P460" s="132"/>
      <c r="Q460" s="132"/>
      <c r="R460" s="132"/>
      <c r="S460" s="132"/>
      <c r="T460" s="132"/>
      <c r="U460" s="132"/>
      <c r="V460" s="132"/>
      <c r="W460" s="132"/>
      <c r="X460" s="132"/>
      <c r="Y460" s="132"/>
      <c r="Z460" s="132"/>
      <c r="AA460" s="132"/>
      <c r="AB460" s="132"/>
      <c r="AC460" s="132"/>
    </row>
    <row r="461" ht="24.75" hidden="1" customHeight="1" outlineLevel="1">
      <c r="A461" s="561">
        <v>45290.0</v>
      </c>
      <c r="B461" s="606" t="s">
        <v>1210</v>
      </c>
      <c r="C461" s="626" t="s">
        <v>1485</v>
      </c>
      <c r="D461" s="627" t="s">
        <v>1486</v>
      </c>
      <c r="E461" s="573" t="s">
        <v>1203</v>
      </c>
      <c r="F461" s="175"/>
      <c r="G461" s="175"/>
      <c r="H461" s="175" t="s">
        <v>1487</v>
      </c>
      <c r="I461" s="175"/>
      <c r="J461" s="132"/>
      <c r="K461" s="132"/>
      <c r="L461" s="132"/>
      <c r="M461" s="132"/>
      <c r="N461" s="132"/>
      <c r="O461" s="132"/>
      <c r="P461" s="132"/>
      <c r="Q461" s="132"/>
      <c r="R461" s="132"/>
      <c r="S461" s="132"/>
      <c r="T461" s="132"/>
      <c r="U461" s="132"/>
      <c r="V461" s="132"/>
      <c r="W461" s="132"/>
      <c r="X461" s="132"/>
      <c r="Y461" s="132"/>
      <c r="Z461" s="132"/>
      <c r="AA461" s="132"/>
      <c r="AB461" s="132"/>
      <c r="AC461" s="132"/>
    </row>
    <row r="462" ht="24.75" hidden="1" customHeight="1" outlineLevel="1">
      <c r="A462" s="561">
        <v>45290.0</v>
      </c>
      <c r="B462" s="606" t="s">
        <v>1213</v>
      </c>
      <c r="C462" s="626" t="s">
        <v>1302</v>
      </c>
      <c r="D462" s="511" t="s">
        <v>1488</v>
      </c>
      <c r="E462" s="573" t="s">
        <v>1203</v>
      </c>
      <c r="F462" s="132"/>
      <c r="G462" s="132"/>
      <c r="H462" s="132"/>
      <c r="I462" s="132"/>
      <c r="J462" s="132"/>
      <c r="K462" s="132"/>
      <c r="L462" s="132"/>
      <c r="M462" s="132"/>
      <c r="N462" s="132"/>
      <c r="O462" s="132"/>
      <c r="P462" s="132"/>
      <c r="Q462" s="132"/>
      <c r="R462" s="132"/>
      <c r="S462" s="132"/>
      <c r="T462" s="132"/>
      <c r="U462" s="132"/>
      <c r="V462" s="132"/>
      <c r="W462" s="132"/>
      <c r="X462" s="132"/>
      <c r="Y462" s="132"/>
      <c r="Z462" s="132"/>
      <c r="AA462" s="132"/>
      <c r="AB462" s="132"/>
      <c r="AC462" s="132"/>
    </row>
    <row r="463" ht="24.75" hidden="1" customHeight="1" outlineLevel="1">
      <c r="A463" s="561">
        <v>45290.0</v>
      </c>
      <c r="B463" s="507" t="s">
        <v>1209</v>
      </c>
      <c r="C463" s="626" t="s">
        <v>1233</v>
      </c>
      <c r="D463" s="627" t="s">
        <v>1489</v>
      </c>
      <c r="E463" s="573" t="s">
        <v>1235</v>
      </c>
      <c r="I463" s="132"/>
      <c r="J463" s="132"/>
      <c r="K463" s="132"/>
      <c r="L463" s="132"/>
      <c r="M463" s="132"/>
      <c r="N463" s="132"/>
      <c r="O463" s="132"/>
      <c r="P463" s="132"/>
      <c r="Q463" s="132"/>
      <c r="R463" s="132"/>
      <c r="S463" s="132"/>
      <c r="T463" s="132"/>
      <c r="U463" s="132"/>
      <c r="V463" s="132"/>
      <c r="W463" s="132"/>
      <c r="X463" s="132"/>
      <c r="Y463" s="132"/>
      <c r="Z463" s="132"/>
      <c r="AA463" s="132"/>
      <c r="AB463" s="132"/>
      <c r="AC463" s="132"/>
    </row>
    <row r="464" ht="24.75" hidden="1" customHeight="1" outlineLevel="1">
      <c r="A464" s="561">
        <v>45291.0</v>
      </c>
      <c r="B464" s="507" t="s">
        <v>1187</v>
      </c>
      <c r="C464" s="626" t="s">
        <v>1444</v>
      </c>
      <c r="D464" s="511" t="s">
        <v>1490</v>
      </c>
      <c r="E464" s="573" t="s">
        <v>1203</v>
      </c>
      <c r="F464" s="132"/>
      <c r="G464" s="132"/>
      <c r="H464" s="132"/>
      <c r="I464" s="132"/>
      <c r="J464" s="132"/>
      <c r="K464" s="132"/>
      <c r="L464" s="132"/>
      <c r="M464" s="132"/>
      <c r="N464" s="132"/>
      <c r="O464" s="132"/>
      <c r="P464" s="132"/>
      <c r="Q464" s="132"/>
      <c r="R464" s="132"/>
      <c r="S464" s="132"/>
      <c r="T464" s="132"/>
      <c r="U464" s="132"/>
      <c r="V464" s="132"/>
      <c r="W464" s="132"/>
      <c r="X464" s="132"/>
      <c r="Y464" s="132"/>
      <c r="Z464" s="132"/>
      <c r="AA464" s="132"/>
      <c r="AB464" s="132"/>
      <c r="AC464" s="132"/>
    </row>
    <row r="465" ht="24.75" hidden="1" customHeight="1" outlineLevel="1">
      <c r="A465" s="561">
        <v>45291.0</v>
      </c>
      <c r="B465" s="507" t="s">
        <v>1189</v>
      </c>
      <c r="C465" s="626" t="s">
        <v>1259</v>
      </c>
      <c r="D465" s="605" t="s">
        <v>1491</v>
      </c>
      <c r="E465" s="573" t="s">
        <v>1203</v>
      </c>
      <c r="F465" s="628"/>
      <c r="G465" s="628"/>
      <c r="H465" s="628"/>
      <c r="I465" s="175"/>
      <c r="J465" s="132"/>
      <c r="K465" s="132"/>
      <c r="L465" s="132"/>
      <c r="M465" s="132"/>
      <c r="N465" s="132"/>
      <c r="O465" s="132"/>
      <c r="P465" s="132"/>
      <c r="Q465" s="132"/>
      <c r="R465" s="132"/>
      <c r="S465" s="132"/>
      <c r="T465" s="132"/>
      <c r="U465" s="132"/>
      <c r="V465" s="132"/>
      <c r="W465" s="132"/>
      <c r="X465" s="132"/>
      <c r="Y465" s="132"/>
      <c r="Z465" s="132"/>
      <c r="AA465" s="132"/>
      <c r="AB465" s="132"/>
      <c r="AC465" s="132"/>
    </row>
    <row r="466" ht="24.75" hidden="1" customHeight="1" outlineLevel="1">
      <c r="A466" s="561">
        <v>45291.0</v>
      </c>
      <c r="B466" s="507" t="s">
        <v>1246</v>
      </c>
      <c r="C466" s="626" t="s">
        <v>1492</v>
      </c>
      <c r="D466" s="605" t="s">
        <v>1493</v>
      </c>
      <c r="E466" s="573" t="s">
        <v>1203</v>
      </c>
      <c r="F466" s="175"/>
      <c r="G466" s="175"/>
      <c r="H466" s="175" t="s">
        <v>1449</v>
      </c>
      <c r="I466" s="132"/>
      <c r="J466" s="132"/>
      <c r="K466" s="132"/>
      <c r="L466" s="132"/>
      <c r="M466" s="132"/>
      <c r="N466" s="132"/>
      <c r="O466" s="132"/>
      <c r="P466" s="132"/>
      <c r="Q466" s="132"/>
      <c r="R466" s="132"/>
      <c r="S466" s="132"/>
      <c r="T466" s="132"/>
      <c r="U466" s="132"/>
      <c r="V466" s="132"/>
      <c r="W466" s="132"/>
      <c r="X466" s="132"/>
      <c r="Y466" s="132"/>
      <c r="Z466" s="132"/>
      <c r="AA466" s="132"/>
      <c r="AB466" s="132"/>
      <c r="AC466" s="132"/>
    </row>
    <row r="467" ht="24.75" hidden="1" customHeight="1" outlineLevel="1">
      <c r="A467" s="561">
        <v>45292.0</v>
      </c>
      <c r="B467" s="507" t="s">
        <v>1249</v>
      </c>
      <c r="C467" s="626" t="s">
        <v>1302</v>
      </c>
      <c r="D467" s="605" t="s">
        <v>1494</v>
      </c>
      <c r="E467" s="573" t="s">
        <v>1203</v>
      </c>
      <c r="F467" s="175"/>
      <c r="G467" s="175"/>
      <c r="H467" s="175"/>
      <c r="I467" s="132"/>
      <c r="J467" s="132"/>
      <c r="K467" s="132"/>
      <c r="L467" s="132"/>
      <c r="M467" s="132"/>
      <c r="N467" s="132"/>
      <c r="O467" s="132"/>
      <c r="P467" s="132"/>
      <c r="Q467" s="132"/>
      <c r="R467" s="132"/>
      <c r="S467" s="132"/>
      <c r="T467" s="132"/>
      <c r="U467" s="132"/>
      <c r="V467" s="132"/>
      <c r="W467" s="132"/>
      <c r="X467" s="132"/>
      <c r="Y467" s="132"/>
      <c r="Z467" s="132"/>
      <c r="AA467" s="132"/>
      <c r="AB467" s="132"/>
      <c r="AC467" s="132"/>
    </row>
    <row r="468" ht="24.75" hidden="1" customHeight="1" outlineLevel="1">
      <c r="A468" s="561">
        <v>45292.0</v>
      </c>
      <c r="B468" s="507" t="s">
        <v>1271</v>
      </c>
      <c r="C468" s="531" t="s">
        <v>1451</v>
      </c>
      <c r="D468" s="605" t="s">
        <v>1495</v>
      </c>
      <c r="E468" s="573" t="s">
        <v>1203</v>
      </c>
      <c r="F468" s="175"/>
      <c r="G468" s="175"/>
      <c r="H468" s="175" t="s">
        <v>1496</v>
      </c>
      <c r="I468" s="175" t="s">
        <v>1474</v>
      </c>
      <c r="J468" s="132"/>
      <c r="K468" s="132"/>
      <c r="L468" s="132"/>
      <c r="M468" s="132"/>
      <c r="N468" s="132"/>
      <c r="O468" s="132"/>
      <c r="P468" s="132"/>
      <c r="Q468" s="132"/>
      <c r="R468" s="132"/>
      <c r="S468" s="132"/>
      <c r="T468" s="132"/>
      <c r="U468" s="132"/>
      <c r="V468" s="132"/>
      <c r="W468" s="132"/>
      <c r="X468" s="132"/>
      <c r="Y468" s="132"/>
      <c r="Z468" s="132"/>
      <c r="AA468" s="132"/>
      <c r="AB468" s="132"/>
      <c r="AC468" s="132"/>
    </row>
    <row r="469" ht="24.75" hidden="1" customHeight="1" outlineLevel="1">
      <c r="A469" s="561">
        <v>45292.0</v>
      </c>
      <c r="B469" s="507" t="s">
        <v>1274</v>
      </c>
      <c r="C469" s="531" t="s">
        <v>1451</v>
      </c>
      <c r="D469" s="605" t="s">
        <v>1497</v>
      </c>
      <c r="E469" s="573" t="s">
        <v>1203</v>
      </c>
      <c r="F469" s="175"/>
      <c r="G469" s="175"/>
      <c r="H469" s="175" t="s">
        <v>1496</v>
      </c>
      <c r="I469" s="175" t="s">
        <v>1475</v>
      </c>
      <c r="J469" s="132"/>
      <c r="K469" s="132"/>
      <c r="L469" s="132"/>
      <c r="M469" s="132"/>
      <c r="N469" s="132"/>
      <c r="O469" s="132"/>
      <c r="P469" s="132"/>
      <c r="Q469" s="132"/>
      <c r="R469" s="132"/>
      <c r="S469" s="132"/>
      <c r="T469" s="132"/>
      <c r="U469" s="132"/>
      <c r="V469" s="132"/>
      <c r="W469" s="132"/>
      <c r="X469" s="132"/>
      <c r="Y469" s="132"/>
      <c r="Z469" s="132"/>
      <c r="AA469" s="132"/>
      <c r="AB469" s="132"/>
      <c r="AC469" s="132"/>
    </row>
    <row r="470" ht="24.75" hidden="1" customHeight="1" outlineLevel="1">
      <c r="A470" s="561">
        <v>45292.0</v>
      </c>
      <c r="B470" s="507" t="s">
        <v>629</v>
      </c>
      <c r="C470" s="507" t="s">
        <v>1233</v>
      </c>
      <c r="D470" s="605" t="s">
        <v>1498</v>
      </c>
      <c r="E470" s="573" t="s">
        <v>1235</v>
      </c>
      <c r="F470" s="175"/>
      <c r="G470" s="175"/>
      <c r="H470" s="175" t="s">
        <v>1499</v>
      </c>
      <c r="I470" s="132"/>
      <c r="J470" s="132"/>
      <c r="K470" s="132"/>
      <c r="L470" s="132"/>
      <c r="M470" s="132"/>
      <c r="N470" s="132"/>
      <c r="O470" s="132"/>
      <c r="P470" s="132"/>
      <c r="Q470" s="132"/>
      <c r="R470" s="132"/>
      <c r="S470" s="132"/>
      <c r="T470" s="132"/>
      <c r="U470" s="132"/>
      <c r="V470" s="132"/>
      <c r="W470" s="132"/>
      <c r="X470" s="132"/>
      <c r="Y470" s="132"/>
      <c r="Z470" s="132"/>
      <c r="AA470" s="132"/>
      <c r="AB470" s="132"/>
      <c r="AC470" s="132"/>
    </row>
    <row r="471" ht="24.75" hidden="1" customHeight="1" outlineLevel="1">
      <c r="A471" s="615">
        <v>45293.0</v>
      </c>
      <c r="B471" s="507" t="s">
        <v>38</v>
      </c>
      <c r="C471" s="507" t="s">
        <v>1233</v>
      </c>
      <c r="D471" s="626" t="s">
        <v>1180</v>
      </c>
      <c r="E471" s="573" t="s">
        <v>1235</v>
      </c>
      <c r="F471" s="175"/>
      <c r="G471" s="175"/>
      <c r="H471" s="175"/>
      <c r="I471" s="132"/>
      <c r="J471" s="132"/>
      <c r="K471" s="132"/>
      <c r="L471" s="132"/>
      <c r="M471" s="132"/>
      <c r="N471" s="132"/>
      <c r="O471" s="132"/>
      <c r="P471" s="132"/>
      <c r="Q471" s="132"/>
      <c r="R471" s="132"/>
      <c r="S471" s="132"/>
      <c r="T471" s="132"/>
      <c r="U471" s="132"/>
      <c r="V471" s="132"/>
      <c r="W471" s="132"/>
      <c r="X471" s="132"/>
      <c r="Y471" s="132"/>
      <c r="Z471" s="132"/>
      <c r="AA471" s="132"/>
      <c r="AB471" s="132"/>
      <c r="AC471" s="132"/>
    </row>
    <row r="472" ht="39.0" hidden="1" customHeight="1" outlineLevel="1">
      <c r="A472" s="615">
        <v>45293.0</v>
      </c>
      <c r="B472" s="507" t="s">
        <v>1232</v>
      </c>
      <c r="C472" s="626" t="s">
        <v>1233</v>
      </c>
      <c r="D472" s="245" t="s">
        <v>1296</v>
      </c>
      <c r="E472" s="573" t="s">
        <v>1235</v>
      </c>
      <c r="F472" s="132"/>
      <c r="G472" s="132"/>
      <c r="H472" s="132"/>
      <c r="I472" s="175" t="s">
        <v>1439</v>
      </c>
      <c r="J472" s="132"/>
      <c r="K472" s="132"/>
      <c r="L472" s="132"/>
      <c r="M472" s="132"/>
      <c r="N472" s="132"/>
      <c r="O472" s="132"/>
      <c r="P472" s="132"/>
      <c r="Q472" s="132"/>
      <c r="R472" s="132"/>
      <c r="S472" s="132"/>
      <c r="T472" s="132"/>
      <c r="U472" s="132"/>
      <c r="V472" s="132"/>
      <c r="W472" s="132"/>
      <c r="X472" s="132"/>
      <c r="Y472" s="132"/>
      <c r="Z472" s="132"/>
      <c r="AA472" s="132"/>
      <c r="AB472" s="132"/>
      <c r="AC472" s="132"/>
    </row>
    <row r="473" ht="24.75" hidden="1" customHeight="1" outlineLevel="1">
      <c r="A473" s="615">
        <v>45293.0</v>
      </c>
      <c r="B473" s="507" t="s">
        <v>1325</v>
      </c>
      <c r="C473" s="531" t="s">
        <v>1233</v>
      </c>
      <c r="D473" s="507" t="s">
        <v>1319</v>
      </c>
      <c r="E473" s="573" t="s">
        <v>1235</v>
      </c>
      <c r="F473" s="175"/>
      <c r="G473" s="175"/>
      <c r="H473" s="175" t="s">
        <v>1326</v>
      </c>
      <c r="I473" s="132"/>
      <c r="J473" s="132"/>
      <c r="K473" s="132"/>
      <c r="L473" s="132"/>
      <c r="M473" s="132"/>
      <c r="N473" s="132"/>
      <c r="O473" s="132"/>
      <c r="P473" s="132"/>
      <c r="Q473" s="132"/>
      <c r="R473" s="132"/>
      <c r="S473" s="132"/>
      <c r="T473" s="132"/>
      <c r="U473" s="132"/>
      <c r="V473" s="132"/>
      <c r="W473" s="132"/>
      <c r="X473" s="132"/>
      <c r="Y473" s="132"/>
      <c r="Z473" s="132"/>
      <c r="AA473" s="132"/>
      <c r="AB473" s="132"/>
      <c r="AC473" s="132"/>
    </row>
    <row r="474" ht="24.75" hidden="1" customHeight="1" outlineLevel="1">
      <c r="A474" s="615">
        <v>45293.0</v>
      </c>
      <c r="B474" s="507" t="s">
        <v>1254</v>
      </c>
      <c r="C474" s="626" t="s">
        <v>1444</v>
      </c>
      <c r="D474" s="511" t="s">
        <v>1500</v>
      </c>
      <c r="E474" s="573" t="s">
        <v>1203</v>
      </c>
      <c r="F474" s="132"/>
      <c r="G474" s="132"/>
      <c r="H474" s="132"/>
      <c r="I474" s="132"/>
      <c r="J474" s="132"/>
      <c r="K474" s="132"/>
      <c r="L474" s="132"/>
      <c r="M474" s="132"/>
      <c r="N474" s="132"/>
      <c r="O474" s="132"/>
      <c r="P474" s="132"/>
      <c r="Q474" s="132"/>
      <c r="R474" s="132"/>
      <c r="S474" s="132"/>
      <c r="T474" s="132"/>
      <c r="U474" s="132"/>
      <c r="V474" s="132"/>
      <c r="W474" s="132"/>
      <c r="X474" s="132"/>
      <c r="Y474" s="132"/>
      <c r="Z474" s="132"/>
      <c r="AA474" s="132"/>
      <c r="AB474" s="132"/>
      <c r="AC474" s="132"/>
    </row>
    <row r="475" ht="24.75" hidden="1" customHeight="1" outlineLevel="1">
      <c r="A475" s="615">
        <v>45294.0</v>
      </c>
      <c r="B475" s="507" t="s">
        <v>1261</v>
      </c>
      <c r="C475" s="626" t="s">
        <v>1444</v>
      </c>
      <c r="D475" s="511" t="s">
        <v>1501</v>
      </c>
      <c r="E475" s="573" t="s">
        <v>1203</v>
      </c>
      <c r="F475" s="616"/>
      <c r="G475" s="616"/>
      <c r="H475" s="616"/>
      <c r="I475" s="132"/>
      <c r="J475" s="132"/>
      <c r="K475" s="132"/>
      <c r="L475" s="132"/>
      <c r="M475" s="132"/>
      <c r="N475" s="132"/>
      <c r="O475" s="132"/>
      <c r="P475" s="132"/>
      <c r="Q475" s="132"/>
      <c r="R475" s="132"/>
      <c r="S475" s="132"/>
      <c r="T475" s="132"/>
      <c r="U475" s="132"/>
      <c r="V475" s="132"/>
      <c r="W475" s="132"/>
      <c r="X475" s="132"/>
      <c r="Y475" s="132"/>
      <c r="Z475" s="132"/>
      <c r="AA475" s="132"/>
      <c r="AB475" s="132"/>
      <c r="AC475" s="132"/>
    </row>
    <row r="476" ht="24.75" hidden="1" customHeight="1" outlineLevel="1">
      <c r="A476" s="615">
        <v>45294.0</v>
      </c>
      <c r="B476" s="507" t="s">
        <v>1198</v>
      </c>
      <c r="C476" s="626" t="s">
        <v>1233</v>
      </c>
      <c r="D476" s="627" t="s">
        <v>1502</v>
      </c>
      <c r="E476" s="573" t="s">
        <v>1235</v>
      </c>
      <c r="F476" s="132"/>
      <c r="G476" s="132"/>
      <c r="H476" s="132"/>
      <c r="I476" s="132"/>
      <c r="J476" s="132"/>
      <c r="K476" s="132"/>
      <c r="L476" s="132"/>
      <c r="M476" s="132"/>
      <c r="N476" s="132"/>
      <c r="O476" s="132"/>
      <c r="P476" s="132"/>
      <c r="Q476" s="132"/>
      <c r="R476" s="132"/>
      <c r="S476" s="132"/>
      <c r="T476" s="132"/>
      <c r="U476" s="132"/>
      <c r="V476" s="132"/>
      <c r="W476" s="132"/>
      <c r="X476" s="132"/>
      <c r="Y476" s="132"/>
      <c r="Z476" s="132"/>
      <c r="AA476" s="132"/>
      <c r="AB476" s="132"/>
      <c r="AC476" s="132"/>
    </row>
    <row r="477" ht="24.75" hidden="1" customHeight="1" outlineLevel="1">
      <c r="A477" s="615">
        <v>45294.0</v>
      </c>
      <c r="B477" s="507" t="s">
        <v>1226</v>
      </c>
      <c r="C477" s="626" t="s">
        <v>1302</v>
      </c>
      <c r="D477" s="605" t="s">
        <v>144</v>
      </c>
      <c r="E477" s="573" t="s">
        <v>1203</v>
      </c>
      <c r="F477" s="132"/>
      <c r="G477" s="132"/>
      <c r="H477" s="132"/>
      <c r="I477" s="132"/>
      <c r="J477" s="132"/>
      <c r="K477" s="132"/>
      <c r="L477" s="132"/>
      <c r="M477" s="132"/>
      <c r="N477" s="132"/>
      <c r="O477" s="132"/>
      <c r="P477" s="132"/>
      <c r="Q477" s="132"/>
      <c r="R477" s="132"/>
      <c r="S477" s="132"/>
      <c r="T477" s="132"/>
      <c r="U477" s="132"/>
      <c r="V477" s="132"/>
      <c r="W477" s="132"/>
      <c r="X477" s="132"/>
      <c r="Y477" s="132"/>
      <c r="Z477" s="132"/>
      <c r="AA477" s="132"/>
      <c r="AB477" s="132"/>
      <c r="AC477" s="132"/>
    </row>
    <row r="478" ht="24.75" hidden="1" customHeight="1" outlineLevel="1">
      <c r="A478" s="615">
        <v>45294.0</v>
      </c>
      <c r="B478" s="507" t="s">
        <v>1258</v>
      </c>
      <c r="C478" s="626" t="s">
        <v>1259</v>
      </c>
      <c r="D478" s="605" t="s">
        <v>144</v>
      </c>
      <c r="E478" s="573" t="s">
        <v>1203</v>
      </c>
      <c r="F478" s="132"/>
      <c r="G478" s="132"/>
      <c r="H478" s="132"/>
      <c r="I478" s="132"/>
      <c r="J478" s="132"/>
      <c r="K478" s="132"/>
      <c r="L478" s="132"/>
      <c r="M478" s="132"/>
      <c r="N478" s="132"/>
      <c r="O478" s="132"/>
      <c r="P478" s="132"/>
      <c r="Q478" s="132"/>
      <c r="R478" s="132"/>
      <c r="S478" s="132"/>
      <c r="T478" s="132"/>
      <c r="U478" s="132"/>
      <c r="V478" s="132"/>
      <c r="W478" s="132"/>
      <c r="X478" s="132"/>
      <c r="Y478" s="132"/>
      <c r="Z478" s="132"/>
      <c r="AA478" s="132"/>
      <c r="AB478" s="132"/>
      <c r="AC478" s="132"/>
    </row>
    <row r="479" ht="24.75" hidden="1" customHeight="1" outlineLevel="1">
      <c r="A479" s="615">
        <v>45294.0</v>
      </c>
      <c r="B479" s="507" t="s">
        <v>1204</v>
      </c>
      <c r="C479" s="507" t="s">
        <v>1456</v>
      </c>
      <c r="D479" s="627" t="s">
        <v>1503</v>
      </c>
      <c r="E479" s="573" t="s">
        <v>1203</v>
      </c>
      <c r="F479" s="175"/>
      <c r="G479" s="175"/>
      <c r="H479" s="175" t="s">
        <v>1496</v>
      </c>
      <c r="I479" s="175" t="s">
        <v>1504</v>
      </c>
      <c r="J479" s="132"/>
      <c r="K479" s="132"/>
      <c r="L479" s="132"/>
      <c r="M479" s="132"/>
      <c r="N479" s="132"/>
      <c r="O479" s="132"/>
      <c r="P479" s="132"/>
      <c r="Q479" s="132"/>
      <c r="R479" s="132"/>
      <c r="S479" s="132"/>
      <c r="T479" s="132"/>
      <c r="U479" s="132"/>
      <c r="V479" s="132"/>
      <c r="W479" s="132"/>
      <c r="X479" s="132"/>
      <c r="Y479" s="132"/>
      <c r="Z479" s="132"/>
      <c r="AA479" s="132"/>
      <c r="AB479" s="132"/>
      <c r="AC479" s="132"/>
    </row>
    <row r="480" ht="24.75" hidden="1" customHeight="1" outlineLevel="1">
      <c r="A480" s="615">
        <v>45295.0</v>
      </c>
      <c r="B480" s="507" t="s">
        <v>1263</v>
      </c>
      <c r="C480" s="626" t="s">
        <v>1444</v>
      </c>
      <c r="D480" s="511" t="s">
        <v>1505</v>
      </c>
      <c r="E480" s="573" t="s">
        <v>1203</v>
      </c>
      <c r="F480" s="132"/>
      <c r="G480" s="132"/>
      <c r="H480" s="132"/>
      <c r="I480" s="132"/>
      <c r="J480" s="132"/>
      <c r="K480" s="132"/>
      <c r="L480" s="132"/>
      <c r="M480" s="132"/>
      <c r="N480" s="132"/>
      <c r="O480" s="132"/>
      <c r="P480" s="132"/>
      <c r="Q480" s="132"/>
      <c r="R480" s="132"/>
      <c r="S480" s="132"/>
      <c r="T480" s="132"/>
      <c r="U480" s="132"/>
      <c r="V480" s="132"/>
      <c r="W480" s="132"/>
      <c r="X480" s="132"/>
      <c r="Y480" s="132"/>
      <c r="Z480" s="132"/>
      <c r="AA480" s="132"/>
      <c r="AB480" s="132"/>
      <c r="AC480" s="132"/>
    </row>
    <row r="481" ht="39.0" hidden="1" customHeight="1" outlineLevel="1">
      <c r="A481" s="615">
        <v>45296.0</v>
      </c>
      <c r="B481" s="507" t="s">
        <v>1232</v>
      </c>
      <c r="C481" s="626" t="s">
        <v>1233</v>
      </c>
      <c r="D481" s="601" t="s">
        <v>1180</v>
      </c>
      <c r="E481" s="573" t="s">
        <v>1235</v>
      </c>
      <c r="F481" s="132"/>
      <c r="G481" s="132"/>
      <c r="H481" s="132"/>
      <c r="I481" s="175" t="s">
        <v>1439</v>
      </c>
      <c r="J481" s="132"/>
      <c r="K481" s="132"/>
      <c r="L481" s="132"/>
      <c r="M481" s="132"/>
      <c r="N481" s="132"/>
      <c r="O481" s="132"/>
      <c r="P481" s="132"/>
      <c r="Q481" s="132"/>
      <c r="R481" s="132"/>
      <c r="S481" s="132"/>
      <c r="T481" s="132"/>
      <c r="U481" s="132"/>
      <c r="V481" s="132"/>
      <c r="W481" s="132"/>
      <c r="X481" s="132"/>
      <c r="Y481" s="132"/>
      <c r="Z481" s="132"/>
      <c r="AA481" s="132"/>
      <c r="AB481" s="132"/>
      <c r="AC481" s="132"/>
    </row>
    <row r="482" ht="24.75" hidden="1" customHeight="1" outlineLevel="1">
      <c r="A482" s="615">
        <v>45296.0</v>
      </c>
      <c r="B482" s="547" t="s">
        <v>1181</v>
      </c>
      <c r="C482" s="548" t="s">
        <v>1418</v>
      </c>
      <c r="D482" s="626" t="s">
        <v>1180</v>
      </c>
      <c r="E482" s="573" t="s">
        <v>1203</v>
      </c>
      <c r="F482" s="580"/>
      <c r="G482" s="580"/>
      <c r="H482" s="580" t="s">
        <v>1394</v>
      </c>
      <c r="I482" s="175" t="s">
        <v>1360</v>
      </c>
      <c r="J482" s="132"/>
      <c r="K482" s="132"/>
      <c r="L482" s="132"/>
      <c r="M482" s="132"/>
      <c r="N482" s="132"/>
      <c r="O482" s="132"/>
      <c r="P482" s="132"/>
      <c r="Q482" s="132"/>
      <c r="R482" s="132"/>
      <c r="S482" s="132"/>
      <c r="T482" s="132"/>
      <c r="U482" s="132"/>
      <c r="V482" s="132"/>
      <c r="W482" s="132"/>
      <c r="X482" s="132"/>
      <c r="Y482" s="132"/>
      <c r="Z482" s="132"/>
      <c r="AA482" s="132"/>
      <c r="AB482" s="132"/>
      <c r="AC482" s="132"/>
    </row>
    <row r="483" ht="24.75" hidden="1" customHeight="1" outlineLevel="1">
      <c r="A483" s="615">
        <v>45296.0</v>
      </c>
      <c r="B483" s="507" t="s">
        <v>38</v>
      </c>
      <c r="C483" s="507" t="s">
        <v>1233</v>
      </c>
      <c r="D483" s="626" t="s">
        <v>1180</v>
      </c>
      <c r="E483" s="573" t="s">
        <v>1235</v>
      </c>
      <c r="F483" s="175"/>
      <c r="G483" s="175"/>
      <c r="H483" s="175"/>
      <c r="I483" s="132"/>
      <c r="J483" s="132"/>
      <c r="K483" s="132"/>
      <c r="L483" s="132"/>
      <c r="M483" s="132"/>
      <c r="N483" s="132"/>
      <c r="O483" s="132"/>
      <c r="P483" s="132"/>
      <c r="Q483" s="132"/>
      <c r="R483" s="132"/>
      <c r="S483" s="132"/>
      <c r="T483" s="132"/>
      <c r="U483" s="132"/>
      <c r="V483" s="132"/>
      <c r="W483" s="132"/>
      <c r="X483" s="132"/>
      <c r="Y483" s="132"/>
      <c r="Z483" s="132"/>
      <c r="AA483" s="132"/>
      <c r="AB483" s="132"/>
      <c r="AC483" s="132"/>
    </row>
    <row r="484" ht="24.75" hidden="1" customHeight="1" outlineLevel="1">
      <c r="A484" s="615">
        <v>45297.0</v>
      </c>
      <c r="B484" s="507" t="s">
        <v>1209</v>
      </c>
      <c r="C484" s="626" t="s">
        <v>1233</v>
      </c>
      <c r="D484" s="626" t="s">
        <v>1506</v>
      </c>
      <c r="E484" s="573" t="s">
        <v>1235</v>
      </c>
      <c r="F484" s="175"/>
      <c r="G484" s="175"/>
      <c r="H484" s="175"/>
      <c r="I484" s="132"/>
      <c r="J484" s="132"/>
      <c r="K484" s="132"/>
      <c r="L484" s="132"/>
      <c r="M484" s="132"/>
      <c r="N484" s="132"/>
      <c r="O484" s="132"/>
      <c r="P484" s="132"/>
      <c r="Q484" s="132"/>
      <c r="R484" s="132"/>
      <c r="S484" s="132"/>
      <c r="T484" s="132"/>
      <c r="U484" s="132"/>
      <c r="V484" s="132"/>
      <c r="W484" s="132"/>
      <c r="X484" s="132"/>
      <c r="Y484" s="132"/>
      <c r="Z484" s="132"/>
      <c r="AA484" s="132"/>
      <c r="AB484" s="132"/>
      <c r="AC484" s="132"/>
    </row>
    <row r="485" ht="24.75" hidden="1" customHeight="1" outlineLevel="1">
      <c r="A485" s="615">
        <v>45297.0</v>
      </c>
      <c r="B485" s="507" t="s">
        <v>1238</v>
      </c>
      <c r="C485" s="626" t="s">
        <v>1259</v>
      </c>
      <c r="D485" s="605" t="s">
        <v>144</v>
      </c>
      <c r="E485" s="573" t="s">
        <v>1203</v>
      </c>
      <c r="F485" s="175"/>
      <c r="G485" s="175"/>
      <c r="H485" s="175"/>
      <c r="I485" s="132"/>
      <c r="J485" s="132"/>
      <c r="K485" s="132"/>
      <c r="L485" s="132"/>
      <c r="M485" s="132"/>
      <c r="N485" s="132"/>
      <c r="O485" s="132"/>
      <c r="P485" s="132"/>
      <c r="Q485" s="132"/>
      <c r="R485" s="132"/>
      <c r="S485" s="132"/>
      <c r="T485" s="132"/>
      <c r="U485" s="132"/>
      <c r="V485" s="132"/>
      <c r="W485" s="132"/>
      <c r="X485" s="132"/>
      <c r="Y485" s="132"/>
      <c r="Z485" s="132"/>
      <c r="AA485" s="132"/>
      <c r="AB485" s="132"/>
      <c r="AC485" s="132"/>
    </row>
    <row r="486" ht="24.75" hidden="1" customHeight="1" outlineLevel="1">
      <c r="A486" s="615">
        <v>45297.0</v>
      </c>
      <c r="B486" s="606" t="s">
        <v>1210</v>
      </c>
      <c r="C486" s="626" t="s">
        <v>1507</v>
      </c>
      <c r="D486" s="605" t="s">
        <v>144</v>
      </c>
      <c r="E486" s="573" t="s">
        <v>1203</v>
      </c>
      <c r="F486" s="175"/>
      <c r="G486" s="175"/>
      <c r="H486" s="175" t="s">
        <v>1496</v>
      </c>
      <c r="I486" s="175"/>
      <c r="J486" s="132"/>
      <c r="K486" s="132"/>
      <c r="L486" s="132"/>
      <c r="M486" s="132"/>
      <c r="N486" s="132"/>
      <c r="O486" s="132"/>
      <c r="P486" s="132"/>
      <c r="Q486" s="132"/>
      <c r="R486" s="132"/>
      <c r="S486" s="132"/>
      <c r="T486" s="132"/>
      <c r="U486" s="132"/>
      <c r="V486" s="132"/>
      <c r="W486" s="132"/>
      <c r="X486" s="132"/>
      <c r="Y486" s="132"/>
      <c r="Z486" s="132"/>
      <c r="AA486" s="132"/>
      <c r="AB486" s="132"/>
      <c r="AC486" s="132"/>
    </row>
    <row r="487" ht="24.75" hidden="1" customHeight="1" outlineLevel="1">
      <c r="A487" s="615">
        <v>45297.0</v>
      </c>
      <c r="B487" s="606" t="s">
        <v>1213</v>
      </c>
      <c r="C487" s="626" t="s">
        <v>1302</v>
      </c>
      <c r="D487" s="511" t="s">
        <v>1508</v>
      </c>
      <c r="E487" s="573" t="s">
        <v>1203</v>
      </c>
      <c r="F487" s="132"/>
      <c r="G487" s="132"/>
      <c r="H487" s="132"/>
      <c r="I487" s="132"/>
      <c r="J487" s="132"/>
      <c r="K487" s="132"/>
      <c r="L487" s="132"/>
      <c r="M487" s="132"/>
      <c r="N487" s="132"/>
      <c r="O487" s="132"/>
      <c r="P487" s="132"/>
      <c r="Q487" s="132"/>
      <c r="R487" s="132"/>
      <c r="S487" s="132"/>
      <c r="T487" s="132"/>
      <c r="U487" s="132"/>
      <c r="V487" s="132"/>
      <c r="W487" s="132"/>
      <c r="X487" s="132"/>
      <c r="Y487" s="132"/>
      <c r="Z487" s="132"/>
      <c r="AA487" s="132"/>
      <c r="AB487" s="132"/>
      <c r="AC487" s="132"/>
    </row>
    <row r="488" ht="24.75" hidden="1" customHeight="1" outlineLevel="1">
      <c r="A488" s="615">
        <v>45298.0</v>
      </c>
      <c r="B488" s="507" t="s">
        <v>1187</v>
      </c>
      <c r="C488" s="626" t="s">
        <v>1444</v>
      </c>
      <c r="D488" s="605" t="s">
        <v>144</v>
      </c>
      <c r="E488" s="573" t="s">
        <v>1203</v>
      </c>
      <c r="F488" s="132"/>
      <c r="G488" s="132"/>
      <c r="H488" s="132"/>
      <c r="I488" s="132"/>
      <c r="J488" s="132"/>
      <c r="K488" s="132"/>
      <c r="L488" s="132"/>
      <c r="M488" s="132"/>
      <c r="N488" s="132"/>
      <c r="O488" s="132"/>
      <c r="P488" s="132"/>
      <c r="Q488" s="132"/>
      <c r="R488" s="132"/>
      <c r="S488" s="132"/>
      <c r="T488" s="132"/>
      <c r="U488" s="132"/>
      <c r="V488" s="132"/>
      <c r="W488" s="132"/>
      <c r="X488" s="132"/>
      <c r="Y488" s="132"/>
      <c r="Z488" s="132"/>
      <c r="AA488" s="132"/>
      <c r="AB488" s="132"/>
      <c r="AC488" s="132"/>
    </row>
    <row r="489" ht="24.75" hidden="1" customHeight="1" outlineLevel="1">
      <c r="A489" s="615">
        <v>45298.0</v>
      </c>
      <c r="B489" s="507" t="s">
        <v>1189</v>
      </c>
      <c r="C489" s="626" t="s">
        <v>1259</v>
      </c>
      <c r="D489" s="626" t="s">
        <v>1180</v>
      </c>
      <c r="E489" s="573" t="s">
        <v>1235</v>
      </c>
      <c r="F489" s="175"/>
      <c r="G489" s="175"/>
      <c r="H489" s="175"/>
      <c r="I489" s="175" t="s">
        <v>1270</v>
      </c>
      <c r="J489" s="132"/>
      <c r="K489" s="132"/>
      <c r="L489" s="132"/>
      <c r="M489" s="132"/>
      <c r="N489" s="132"/>
      <c r="O489" s="132"/>
      <c r="P489" s="132"/>
      <c r="Q489" s="132"/>
      <c r="R489" s="132"/>
      <c r="S489" s="132"/>
      <c r="T489" s="132"/>
      <c r="U489" s="132"/>
      <c r="V489" s="132"/>
      <c r="W489" s="132"/>
      <c r="X489" s="132"/>
      <c r="Y489" s="132"/>
      <c r="Z489" s="132"/>
      <c r="AA489" s="132"/>
      <c r="AB489" s="132"/>
      <c r="AC489" s="132"/>
    </row>
    <row r="490" ht="24.75" hidden="1" customHeight="1" outlineLevel="1">
      <c r="A490" s="621">
        <v>45299.0</v>
      </c>
      <c r="B490" s="507" t="s">
        <v>1249</v>
      </c>
      <c r="C490" s="626" t="s">
        <v>1302</v>
      </c>
      <c r="D490" s="506" t="s">
        <v>1354</v>
      </c>
      <c r="E490" s="573" t="s">
        <v>1235</v>
      </c>
      <c r="F490" s="175"/>
      <c r="G490" s="175"/>
      <c r="H490" s="175"/>
      <c r="I490" s="132"/>
      <c r="J490" s="132"/>
      <c r="K490" s="132"/>
      <c r="L490" s="132"/>
      <c r="M490" s="132"/>
      <c r="N490" s="132"/>
      <c r="O490" s="132"/>
      <c r="P490" s="132"/>
      <c r="Q490" s="132"/>
      <c r="R490" s="132"/>
      <c r="S490" s="132"/>
      <c r="T490" s="132"/>
      <c r="U490" s="132"/>
      <c r="V490" s="132"/>
      <c r="W490" s="132"/>
      <c r="X490" s="132"/>
      <c r="Y490" s="132"/>
      <c r="Z490" s="132"/>
      <c r="AA490" s="132"/>
      <c r="AB490" s="132"/>
      <c r="AC490" s="132"/>
    </row>
    <row r="491" ht="24.75" hidden="1" customHeight="1" outlineLevel="1">
      <c r="A491" s="621">
        <v>45299.0</v>
      </c>
      <c r="B491" s="507" t="s">
        <v>1271</v>
      </c>
      <c r="C491" s="531" t="s">
        <v>1451</v>
      </c>
      <c r="D491" s="506" t="s">
        <v>1354</v>
      </c>
      <c r="E491" s="573" t="s">
        <v>1235</v>
      </c>
      <c r="F491" s="175"/>
      <c r="G491" s="175"/>
      <c r="H491" s="175" t="s">
        <v>1496</v>
      </c>
      <c r="I491" s="175" t="s">
        <v>1474</v>
      </c>
      <c r="J491" s="132"/>
      <c r="K491" s="132"/>
      <c r="L491" s="132"/>
      <c r="M491" s="132"/>
      <c r="N491" s="132"/>
      <c r="O491" s="132"/>
      <c r="P491" s="132"/>
      <c r="Q491" s="132"/>
      <c r="R491" s="132"/>
      <c r="S491" s="132"/>
      <c r="T491" s="132"/>
      <c r="U491" s="132"/>
      <c r="V491" s="132"/>
      <c r="W491" s="132"/>
      <c r="X491" s="132"/>
      <c r="Y491" s="132"/>
      <c r="Z491" s="132"/>
      <c r="AA491" s="132"/>
      <c r="AB491" s="132"/>
      <c r="AC491" s="132"/>
    </row>
    <row r="492" ht="24.75" hidden="1" customHeight="1" outlineLevel="1">
      <c r="A492" s="621">
        <v>45299.0</v>
      </c>
      <c r="B492" s="507" t="s">
        <v>1274</v>
      </c>
      <c r="C492" s="531" t="s">
        <v>1451</v>
      </c>
      <c r="D492" s="506" t="s">
        <v>1354</v>
      </c>
      <c r="E492" s="573" t="s">
        <v>1235</v>
      </c>
      <c r="F492" s="175"/>
      <c r="G492" s="175"/>
      <c r="H492" s="175" t="s">
        <v>1496</v>
      </c>
      <c r="I492" s="175" t="s">
        <v>1475</v>
      </c>
      <c r="J492" s="132"/>
      <c r="K492" s="132"/>
      <c r="L492" s="132"/>
      <c r="M492" s="132"/>
      <c r="N492" s="132"/>
      <c r="O492" s="132"/>
      <c r="P492" s="132"/>
      <c r="Q492" s="132"/>
      <c r="R492" s="132"/>
      <c r="S492" s="132"/>
      <c r="T492" s="132"/>
      <c r="U492" s="132"/>
      <c r="V492" s="132"/>
      <c r="W492" s="132"/>
      <c r="X492" s="132"/>
      <c r="Y492" s="132"/>
      <c r="Z492" s="132"/>
      <c r="AA492" s="132"/>
      <c r="AB492" s="132"/>
      <c r="AC492" s="132"/>
    </row>
    <row r="493" ht="24.75" hidden="1" customHeight="1" outlineLevel="1">
      <c r="A493" s="621">
        <v>45299.0</v>
      </c>
      <c r="B493" s="507" t="s">
        <v>629</v>
      </c>
      <c r="C493" s="507" t="s">
        <v>1233</v>
      </c>
      <c r="D493" s="507" t="s">
        <v>1319</v>
      </c>
      <c r="E493" s="573" t="s">
        <v>1235</v>
      </c>
      <c r="F493" s="175"/>
      <c r="G493" s="175"/>
      <c r="H493" s="175" t="s">
        <v>1499</v>
      </c>
      <c r="I493" s="132"/>
      <c r="J493" s="132"/>
      <c r="K493" s="132"/>
      <c r="L493" s="132"/>
      <c r="M493" s="132"/>
      <c r="N493" s="132"/>
      <c r="O493" s="132"/>
      <c r="P493" s="132"/>
      <c r="Q493" s="132"/>
      <c r="R493" s="132"/>
      <c r="S493" s="132"/>
      <c r="T493" s="132"/>
      <c r="U493" s="132"/>
      <c r="V493" s="132"/>
      <c r="W493" s="132"/>
      <c r="X493" s="132"/>
      <c r="Y493" s="132"/>
      <c r="Z493" s="132"/>
      <c r="AA493" s="132"/>
      <c r="AB493" s="132"/>
      <c r="AC493" s="132"/>
    </row>
    <row r="494" ht="24.75" hidden="1" customHeight="1" outlineLevel="1">
      <c r="A494" s="621">
        <v>45300.0</v>
      </c>
      <c r="B494" s="328" t="s">
        <v>1254</v>
      </c>
      <c r="C494" s="626" t="s">
        <v>1444</v>
      </c>
      <c r="D494" s="576" t="s">
        <v>1252</v>
      </c>
      <c r="E494" s="573" t="s">
        <v>1203</v>
      </c>
      <c r="F494" s="273"/>
      <c r="G494" s="273"/>
      <c r="H494" s="273"/>
      <c r="I494" s="273"/>
      <c r="J494" s="273"/>
      <c r="K494" s="273"/>
      <c r="L494" s="273"/>
      <c r="M494" s="273"/>
      <c r="N494" s="273"/>
      <c r="O494" s="273"/>
      <c r="P494" s="273"/>
      <c r="Q494" s="273"/>
      <c r="R494" s="273"/>
      <c r="S494" s="273"/>
      <c r="T494" s="273"/>
      <c r="U494" s="273"/>
      <c r="V494" s="273"/>
      <c r="W494" s="273"/>
      <c r="X494" s="273"/>
      <c r="Y494" s="273"/>
      <c r="Z494" s="273"/>
      <c r="AA494" s="273"/>
      <c r="AB494" s="273"/>
      <c r="AC494" s="273"/>
    </row>
    <row r="495" ht="24.75" hidden="1" customHeight="1" outlineLevel="1">
      <c r="A495" s="621">
        <v>45301.0</v>
      </c>
      <c r="B495" s="629" t="s">
        <v>1261</v>
      </c>
      <c r="C495" s="626" t="s">
        <v>1444</v>
      </c>
      <c r="D495" s="576" t="s">
        <v>1252</v>
      </c>
      <c r="E495" s="573" t="s">
        <v>1203</v>
      </c>
      <c r="F495" s="273"/>
      <c r="G495" s="273"/>
      <c r="H495" s="273"/>
      <c r="I495" s="273"/>
      <c r="J495" s="273"/>
      <c r="K495" s="273"/>
      <c r="L495" s="273"/>
      <c r="M495" s="273"/>
      <c r="N495" s="273"/>
      <c r="O495" s="273"/>
      <c r="P495" s="273"/>
      <c r="Q495" s="273"/>
      <c r="R495" s="273"/>
      <c r="S495" s="273"/>
      <c r="T495" s="273"/>
      <c r="U495" s="273"/>
      <c r="V495" s="273"/>
      <c r="W495" s="273"/>
      <c r="X495" s="273"/>
      <c r="Y495" s="273"/>
      <c r="Z495" s="273"/>
      <c r="AA495" s="273"/>
      <c r="AB495" s="273"/>
      <c r="AC495" s="273"/>
    </row>
    <row r="496" ht="24.75" hidden="1" customHeight="1" outlineLevel="1">
      <c r="A496" s="621">
        <v>45302.0</v>
      </c>
      <c r="B496" s="629" t="s">
        <v>1263</v>
      </c>
      <c r="C496" s="626" t="s">
        <v>1444</v>
      </c>
      <c r="D496" s="576" t="s">
        <v>1252</v>
      </c>
      <c r="E496" s="573" t="s">
        <v>1203</v>
      </c>
      <c r="F496" s="273"/>
      <c r="G496" s="273"/>
      <c r="H496" s="273"/>
      <c r="I496" s="273"/>
      <c r="J496" s="273"/>
      <c r="K496" s="273"/>
      <c r="L496" s="273"/>
      <c r="M496" s="273"/>
      <c r="N496" s="273"/>
      <c r="O496" s="273"/>
      <c r="P496" s="273"/>
      <c r="Q496" s="273"/>
      <c r="R496" s="273"/>
      <c r="S496" s="273"/>
      <c r="T496" s="273"/>
      <c r="U496" s="273"/>
      <c r="V496" s="273"/>
      <c r="W496" s="273"/>
      <c r="X496" s="273"/>
      <c r="Y496" s="273"/>
      <c r="Z496" s="273"/>
      <c r="AA496" s="273"/>
      <c r="AB496" s="273"/>
      <c r="AC496" s="273"/>
    </row>
    <row r="497" ht="24.75" customHeight="1">
      <c r="A497" s="175"/>
      <c r="B497" s="132"/>
      <c r="C497" s="132"/>
      <c r="D497" s="132"/>
      <c r="E497" s="496"/>
      <c r="F497" s="132"/>
      <c r="G497" s="132"/>
      <c r="H497" s="132"/>
      <c r="I497" s="132"/>
      <c r="J497" s="132"/>
      <c r="K497" s="132"/>
      <c r="L497" s="132"/>
      <c r="M497" s="132"/>
      <c r="N497" s="132"/>
      <c r="O497" s="132"/>
      <c r="P497" s="132"/>
      <c r="Q497" s="132"/>
      <c r="R497" s="132"/>
      <c r="S497" s="132"/>
      <c r="T497" s="132"/>
      <c r="U497" s="132"/>
      <c r="V497" s="132"/>
      <c r="W497" s="132"/>
      <c r="X497" s="132"/>
      <c r="Y497" s="132"/>
      <c r="Z497" s="132"/>
      <c r="AA497" s="132"/>
      <c r="AB497" s="132"/>
      <c r="AC497" s="132"/>
    </row>
    <row r="498" ht="24.75" customHeight="1" collapsed="1">
      <c r="A498" s="175" t="s">
        <v>1509</v>
      </c>
      <c r="B498" s="132"/>
      <c r="C498" s="132"/>
      <c r="D498" s="132"/>
      <c r="E498" s="496"/>
      <c r="F498" s="132"/>
      <c r="G498" s="132"/>
      <c r="H498" s="132"/>
      <c r="I498" s="132"/>
      <c r="J498" s="132"/>
      <c r="K498" s="132"/>
      <c r="L498" s="132"/>
      <c r="M498" s="132"/>
      <c r="N498" s="132"/>
      <c r="O498" s="132"/>
      <c r="P498" s="132"/>
      <c r="Q498" s="132"/>
      <c r="R498" s="132"/>
      <c r="S498" s="132"/>
      <c r="T498" s="132"/>
      <c r="U498" s="132"/>
      <c r="V498" s="132"/>
      <c r="W498" s="132"/>
      <c r="X498" s="132"/>
      <c r="Y498" s="132"/>
      <c r="Z498" s="132"/>
      <c r="AA498" s="132"/>
      <c r="AB498" s="132"/>
      <c r="AC498" s="132"/>
    </row>
    <row r="499" ht="24.75" hidden="1" customHeight="1" outlineLevel="1">
      <c r="A499" s="597" t="s">
        <v>1166</v>
      </c>
      <c r="B499" s="598" t="s">
        <v>1117</v>
      </c>
      <c r="C499" s="598" t="s">
        <v>1167</v>
      </c>
      <c r="D499" s="598" t="s">
        <v>1168</v>
      </c>
      <c r="E499" s="598" t="s">
        <v>1169</v>
      </c>
      <c r="F499" s="175"/>
      <c r="G499" s="175"/>
      <c r="H499" s="175"/>
      <c r="I499" s="132"/>
      <c r="J499" s="132"/>
      <c r="K499" s="132"/>
      <c r="L499" s="132"/>
      <c r="M499" s="132"/>
      <c r="N499" s="132"/>
      <c r="O499" s="132"/>
      <c r="P499" s="132"/>
      <c r="Q499" s="132"/>
      <c r="R499" s="132"/>
      <c r="S499" s="132"/>
      <c r="T499" s="132"/>
      <c r="U499" s="132"/>
      <c r="V499" s="132"/>
      <c r="W499" s="132"/>
      <c r="X499" s="132"/>
      <c r="Y499" s="132"/>
      <c r="Z499" s="132"/>
      <c r="AA499" s="132"/>
      <c r="AB499" s="132"/>
      <c r="AC499" s="132"/>
    </row>
    <row r="500" ht="24.75" hidden="1" customHeight="1" outlineLevel="1">
      <c r="A500" s="607">
        <v>45334.0</v>
      </c>
      <c r="B500" s="507" t="s">
        <v>1249</v>
      </c>
      <c r="C500" s="526" t="s">
        <v>1311</v>
      </c>
      <c r="D500" s="506" t="s">
        <v>1510</v>
      </c>
      <c r="E500" s="573" t="s">
        <v>1235</v>
      </c>
      <c r="F500" s="175"/>
      <c r="G500" s="175"/>
      <c r="H500" s="175" t="s">
        <v>1355</v>
      </c>
      <c r="I500" s="132"/>
      <c r="J500" s="132"/>
      <c r="K500" s="132"/>
      <c r="L500" s="132"/>
      <c r="M500" s="132"/>
      <c r="N500" s="132"/>
      <c r="O500" s="132"/>
      <c r="P500" s="132"/>
      <c r="Q500" s="132"/>
      <c r="R500" s="132"/>
      <c r="S500" s="132"/>
      <c r="T500" s="132"/>
      <c r="U500" s="132"/>
      <c r="V500" s="132"/>
      <c r="W500" s="132"/>
      <c r="X500" s="132"/>
      <c r="Y500" s="132"/>
      <c r="Z500" s="132"/>
      <c r="AA500" s="132"/>
      <c r="AB500" s="132"/>
      <c r="AC500" s="132"/>
    </row>
    <row r="501" ht="24.75" hidden="1" customHeight="1" outlineLevel="1">
      <c r="A501" s="607">
        <v>45334.0</v>
      </c>
      <c r="B501" s="507" t="s">
        <v>629</v>
      </c>
      <c r="C501" s="507" t="s">
        <v>1233</v>
      </c>
      <c r="D501" s="601" t="s">
        <v>1180</v>
      </c>
      <c r="E501" s="573" t="s">
        <v>1235</v>
      </c>
      <c r="F501" s="175"/>
      <c r="G501" s="175"/>
      <c r="H501" s="175" t="s">
        <v>1320</v>
      </c>
      <c r="I501" s="132"/>
      <c r="J501" s="132"/>
      <c r="K501" s="132"/>
      <c r="L501" s="132"/>
      <c r="M501" s="132"/>
      <c r="N501" s="132"/>
      <c r="O501" s="132"/>
      <c r="P501" s="132"/>
      <c r="Q501" s="132"/>
      <c r="R501" s="132"/>
      <c r="S501" s="132"/>
      <c r="T501" s="132"/>
      <c r="U501" s="132"/>
      <c r="V501" s="132"/>
      <c r="W501" s="132"/>
      <c r="X501" s="132"/>
      <c r="Y501" s="132"/>
      <c r="Z501" s="132"/>
      <c r="AA501" s="132"/>
      <c r="AB501" s="132"/>
      <c r="AC501" s="132"/>
    </row>
    <row r="502" ht="24.75" hidden="1" customHeight="1" outlineLevel="1">
      <c r="A502" s="607">
        <v>45334.0</v>
      </c>
      <c r="B502" s="523" t="s">
        <v>1217</v>
      </c>
      <c r="C502" s="531" t="s">
        <v>1451</v>
      </c>
      <c r="D502" s="506" t="s">
        <v>1511</v>
      </c>
      <c r="E502" s="573" t="s">
        <v>1235</v>
      </c>
      <c r="F502" s="175"/>
      <c r="G502" s="175"/>
      <c r="H502" s="175" t="s">
        <v>1240</v>
      </c>
      <c r="I502" s="132"/>
      <c r="J502" s="132"/>
      <c r="K502" s="132"/>
      <c r="L502" s="132"/>
      <c r="M502" s="132"/>
      <c r="N502" s="132"/>
      <c r="O502" s="132"/>
      <c r="P502" s="132"/>
      <c r="Q502" s="132"/>
      <c r="R502" s="132"/>
      <c r="S502" s="132"/>
      <c r="T502" s="132"/>
      <c r="U502" s="132"/>
      <c r="V502" s="132"/>
      <c r="W502" s="132"/>
      <c r="X502" s="132"/>
      <c r="Y502" s="132"/>
      <c r="Z502" s="132"/>
      <c r="AA502" s="132"/>
      <c r="AB502" s="132"/>
      <c r="AC502" s="132"/>
    </row>
    <row r="503" ht="24.75" hidden="1" customHeight="1" outlineLevel="1">
      <c r="A503" s="607">
        <v>45335.0</v>
      </c>
      <c r="B503" s="507" t="s">
        <v>38</v>
      </c>
      <c r="C503" s="507" t="s">
        <v>1233</v>
      </c>
      <c r="D503" s="601" t="s">
        <v>1180</v>
      </c>
      <c r="E503" s="573" t="s">
        <v>1235</v>
      </c>
      <c r="F503" s="175"/>
      <c r="G503" s="175"/>
      <c r="H503" s="175"/>
      <c r="I503" s="132"/>
      <c r="J503" s="132"/>
      <c r="K503" s="132"/>
      <c r="L503" s="132"/>
      <c r="M503" s="132"/>
      <c r="N503" s="132"/>
      <c r="O503" s="132"/>
      <c r="P503" s="132"/>
      <c r="Q503" s="132"/>
      <c r="R503" s="132"/>
      <c r="S503" s="132"/>
      <c r="T503" s="132"/>
      <c r="U503" s="132"/>
      <c r="V503" s="132"/>
      <c r="W503" s="132"/>
      <c r="X503" s="132"/>
      <c r="Y503" s="132"/>
      <c r="Z503" s="132"/>
      <c r="AA503" s="132"/>
      <c r="AB503" s="132"/>
      <c r="AC503" s="132"/>
    </row>
    <row r="504" ht="24.75" hidden="1" customHeight="1" outlineLevel="1">
      <c r="A504" s="607">
        <v>45335.0</v>
      </c>
      <c r="B504" s="507" t="s">
        <v>1232</v>
      </c>
      <c r="C504" s="511" t="s">
        <v>1233</v>
      </c>
      <c r="D504" s="601" t="s">
        <v>1180</v>
      </c>
      <c r="E504" s="573" t="s">
        <v>1235</v>
      </c>
      <c r="F504" s="132"/>
      <c r="G504" s="132"/>
      <c r="H504" s="132"/>
      <c r="I504" s="175" t="s">
        <v>1439</v>
      </c>
      <c r="J504" s="132"/>
      <c r="K504" s="132"/>
      <c r="L504" s="132"/>
      <c r="M504" s="132"/>
      <c r="N504" s="132"/>
      <c r="O504" s="132"/>
      <c r="P504" s="132"/>
      <c r="Q504" s="132"/>
      <c r="R504" s="132"/>
      <c r="S504" s="132"/>
      <c r="T504" s="132"/>
      <c r="U504" s="132"/>
      <c r="V504" s="132"/>
      <c r="W504" s="132"/>
      <c r="X504" s="132"/>
      <c r="Y504" s="132"/>
      <c r="Z504" s="132"/>
      <c r="AA504" s="132"/>
      <c r="AB504" s="132"/>
      <c r="AC504" s="132"/>
    </row>
    <row r="505" ht="24.75" hidden="1" customHeight="1" outlineLevel="1">
      <c r="A505" s="607">
        <v>45335.0</v>
      </c>
      <c r="B505" s="507" t="s">
        <v>1254</v>
      </c>
      <c r="C505" s="511" t="s">
        <v>1412</v>
      </c>
      <c r="D505" s="601" t="s">
        <v>1180</v>
      </c>
      <c r="E505" s="573" t="s">
        <v>1235</v>
      </c>
      <c r="F505" s="132"/>
      <c r="G505" s="132"/>
      <c r="H505" s="132"/>
      <c r="I505" s="132"/>
      <c r="J505" s="132"/>
      <c r="K505" s="132"/>
      <c r="L505" s="132"/>
      <c r="M505" s="132"/>
      <c r="N505" s="132"/>
      <c r="O505" s="132"/>
      <c r="P505" s="132"/>
      <c r="Q505" s="132"/>
      <c r="R505" s="132"/>
      <c r="S505" s="132"/>
      <c r="T505" s="132"/>
      <c r="U505" s="132"/>
      <c r="V505" s="132"/>
      <c r="W505" s="132"/>
      <c r="X505" s="132"/>
      <c r="Y505" s="132"/>
      <c r="Z505" s="132"/>
      <c r="AA505" s="132"/>
      <c r="AB505" s="132"/>
      <c r="AC505" s="132"/>
    </row>
    <row r="506" ht="24.75" hidden="1" customHeight="1" outlineLevel="1">
      <c r="A506" s="607">
        <v>45335.0</v>
      </c>
      <c r="B506" s="507" t="s">
        <v>1325</v>
      </c>
      <c r="C506" s="531" t="s">
        <v>1233</v>
      </c>
      <c r="D506" s="601" t="s">
        <v>1180</v>
      </c>
      <c r="E506" s="591" t="s">
        <v>1235</v>
      </c>
      <c r="F506" s="132"/>
      <c r="G506" s="132"/>
      <c r="H506" s="132"/>
      <c r="I506" s="132"/>
      <c r="J506" s="132"/>
      <c r="K506" s="132"/>
      <c r="L506" s="132"/>
      <c r="M506" s="132"/>
      <c r="N506" s="132"/>
      <c r="O506" s="132"/>
      <c r="P506" s="132"/>
      <c r="Q506" s="132"/>
      <c r="R506" s="132"/>
      <c r="S506" s="132"/>
      <c r="T506" s="132"/>
      <c r="U506" s="132"/>
      <c r="V506" s="132"/>
      <c r="W506" s="132"/>
      <c r="X506" s="132"/>
      <c r="Y506" s="132"/>
      <c r="Z506" s="132"/>
      <c r="AA506" s="132"/>
      <c r="AB506" s="132"/>
      <c r="AC506" s="132"/>
    </row>
    <row r="507" ht="24.75" customHeight="1">
      <c r="A507" s="175"/>
      <c r="B507" s="132"/>
      <c r="C507" s="132"/>
      <c r="D507" s="132"/>
      <c r="E507" s="496"/>
      <c r="F507" s="132"/>
      <c r="G507" s="132"/>
      <c r="H507" s="132"/>
      <c r="I507" s="132"/>
      <c r="J507" s="132"/>
      <c r="K507" s="132"/>
      <c r="L507" s="132"/>
      <c r="M507" s="132"/>
      <c r="N507" s="132"/>
      <c r="O507" s="132"/>
      <c r="P507" s="132"/>
      <c r="Q507" s="132"/>
      <c r="R507" s="132"/>
      <c r="S507" s="132"/>
      <c r="T507" s="132"/>
      <c r="U507" s="132"/>
      <c r="V507" s="132"/>
      <c r="W507" s="132"/>
      <c r="X507" s="132"/>
      <c r="Y507" s="132"/>
      <c r="Z507" s="132"/>
      <c r="AA507" s="132"/>
      <c r="AB507" s="132"/>
      <c r="AC507" s="132"/>
    </row>
    <row r="508" ht="24.75" customHeight="1" collapsed="1">
      <c r="A508" s="175" t="s">
        <v>1512</v>
      </c>
      <c r="B508" s="132"/>
      <c r="C508" s="630" t="s">
        <v>1513</v>
      </c>
      <c r="D508" s="132"/>
      <c r="E508" s="496"/>
      <c r="F508" s="132"/>
      <c r="G508" s="132"/>
      <c r="H508" s="132"/>
      <c r="I508" s="132"/>
      <c r="J508" s="132"/>
      <c r="K508" s="132"/>
      <c r="L508" s="132"/>
      <c r="M508" s="132"/>
      <c r="N508" s="132"/>
      <c r="O508" s="132"/>
      <c r="P508" s="132"/>
      <c r="Q508" s="132"/>
      <c r="R508" s="132"/>
      <c r="S508" s="132"/>
      <c r="T508" s="132"/>
      <c r="U508" s="132"/>
      <c r="V508" s="132"/>
      <c r="W508" s="132"/>
      <c r="X508" s="132"/>
      <c r="Y508" s="132"/>
      <c r="Z508" s="132"/>
      <c r="AA508" s="132"/>
      <c r="AB508" s="132"/>
      <c r="AC508" s="132"/>
    </row>
    <row r="509" ht="24.75" hidden="1" customHeight="1" outlineLevel="1">
      <c r="A509" s="597" t="s">
        <v>1166</v>
      </c>
      <c r="B509" s="598" t="s">
        <v>1117</v>
      </c>
      <c r="C509" s="598" t="s">
        <v>1167</v>
      </c>
      <c r="D509" s="598" t="s">
        <v>1168</v>
      </c>
      <c r="E509" s="598" t="s">
        <v>1169</v>
      </c>
      <c r="F509" s="175"/>
      <c r="G509" s="175"/>
      <c r="H509" s="175"/>
      <c r="I509" s="132"/>
      <c r="J509" s="132"/>
      <c r="K509" s="132"/>
      <c r="L509" s="132"/>
      <c r="M509" s="132"/>
      <c r="N509" s="132"/>
      <c r="O509" s="132"/>
      <c r="P509" s="132"/>
      <c r="Q509" s="132"/>
      <c r="R509" s="132"/>
      <c r="S509" s="132"/>
      <c r="T509" s="132"/>
      <c r="U509" s="132"/>
      <c r="V509" s="132"/>
      <c r="W509" s="132"/>
      <c r="X509" s="132"/>
      <c r="Y509" s="132"/>
      <c r="Z509" s="132"/>
      <c r="AA509" s="132"/>
      <c r="AB509" s="132"/>
      <c r="AC509" s="132"/>
    </row>
    <row r="510" ht="39.0" hidden="1" customHeight="1" outlineLevel="1">
      <c r="A510" s="561">
        <v>45345.0</v>
      </c>
      <c r="B510" s="507" t="s">
        <v>1232</v>
      </c>
      <c r="C510" s="626" t="s">
        <v>1233</v>
      </c>
      <c r="D510" s="631" t="s">
        <v>1296</v>
      </c>
      <c r="E510" s="36" t="s">
        <v>1235</v>
      </c>
      <c r="F510" s="132"/>
      <c r="G510" s="132"/>
      <c r="H510" s="132"/>
      <c r="I510" s="175" t="s">
        <v>1439</v>
      </c>
      <c r="J510" s="132"/>
      <c r="K510" s="132"/>
      <c r="L510" s="132"/>
      <c r="M510" s="132"/>
      <c r="N510" s="132"/>
      <c r="O510" s="132"/>
      <c r="P510" s="132"/>
      <c r="Q510" s="132"/>
      <c r="R510" s="132"/>
      <c r="S510" s="132"/>
      <c r="T510" s="132"/>
      <c r="U510" s="132"/>
      <c r="V510" s="132"/>
      <c r="W510" s="132"/>
      <c r="X510" s="132"/>
      <c r="Y510" s="132"/>
      <c r="Z510" s="132"/>
      <c r="AA510" s="132"/>
      <c r="AB510" s="132"/>
      <c r="AC510" s="132"/>
    </row>
    <row r="511" ht="24.75" hidden="1" customHeight="1" outlineLevel="1">
      <c r="A511" s="561">
        <v>45345.0</v>
      </c>
      <c r="B511" s="507" t="s">
        <v>1181</v>
      </c>
      <c r="C511" s="626" t="s">
        <v>1418</v>
      </c>
      <c r="D511" s="626" t="s">
        <v>1180</v>
      </c>
      <c r="E511" s="36" t="s">
        <v>1235</v>
      </c>
      <c r="F511" s="175"/>
      <c r="G511" s="175"/>
      <c r="H511" s="175"/>
      <c r="I511" s="175"/>
      <c r="J511" s="132"/>
      <c r="K511" s="132"/>
      <c r="L511" s="132"/>
      <c r="M511" s="132"/>
      <c r="N511" s="132"/>
      <c r="O511" s="132"/>
      <c r="P511" s="132"/>
      <c r="Q511" s="132"/>
      <c r="R511" s="132"/>
      <c r="S511" s="132"/>
      <c r="T511" s="132"/>
      <c r="U511" s="132"/>
      <c r="V511" s="132"/>
      <c r="W511" s="132"/>
      <c r="X511" s="132"/>
      <c r="Y511" s="132"/>
      <c r="Z511" s="132"/>
      <c r="AA511" s="132"/>
      <c r="AB511" s="132"/>
      <c r="AC511" s="132"/>
    </row>
    <row r="512" ht="24.75" hidden="1" customHeight="1" outlineLevel="1">
      <c r="A512" s="561">
        <v>45345.0</v>
      </c>
      <c r="B512" s="507" t="s">
        <v>38</v>
      </c>
      <c r="C512" s="507" t="s">
        <v>1233</v>
      </c>
      <c r="D512" s="626" t="s">
        <v>1180</v>
      </c>
      <c r="E512" s="36" t="s">
        <v>1235</v>
      </c>
      <c r="F512" s="175"/>
      <c r="G512" s="175"/>
      <c r="H512" s="175"/>
      <c r="I512" s="132"/>
      <c r="J512" s="132"/>
      <c r="K512" s="132"/>
      <c r="L512" s="132"/>
      <c r="M512" s="132"/>
      <c r="N512" s="132"/>
      <c r="O512" s="132"/>
      <c r="P512" s="132"/>
      <c r="Q512" s="132"/>
      <c r="R512" s="132"/>
      <c r="S512" s="132"/>
      <c r="T512" s="132"/>
      <c r="U512" s="132"/>
      <c r="V512" s="132"/>
      <c r="W512" s="132"/>
      <c r="X512" s="132"/>
      <c r="Y512" s="132"/>
      <c r="Z512" s="132"/>
      <c r="AA512" s="132"/>
      <c r="AB512" s="132"/>
      <c r="AC512" s="132"/>
    </row>
    <row r="513" ht="24.75" hidden="1" customHeight="1" outlineLevel="1">
      <c r="A513" s="539">
        <v>45346.0</v>
      </c>
      <c r="B513" s="540" t="s">
        <v>1238</v>
      </c>
      <c r="C513" s="632" t="s">
        <v>1259</v>
      </c>
      <c r="D513" s="632" t="s">
        <v>1175</v>
      </c>
      <c r="E513" s="633" t="s">
        <v>1235</v>
      </c>
      <c r="F513" s="634"/>
      <c r="G513" s="634"/>
      <c r="H513" s="634" t="s">
        <v>1514</v>
      </c>
      <c r="I513" s="132"/>
      <c r="J513" s="132"/>
      <c r="K513" s="132"/>
      <c r="L513" s="132"/>
      <c r="M513" s="132"/>
      <c r="N513" s="132"/>
      <c r="O513" s="132"/>
      <c r="P513" s="132"/>
      <c r="Q513" s="132"/>
      <c r="R513" s="132"/>
      <c r="S513" s="132"/>
      <c r="T513" s="132"/>
      <c r="U513" s="132"/>
      <c r="V513" s="132"/>
      <c r="W513" s="132"/>
      <c r="X513" s="132"/>
      <c r="Y513" s="132"/>
      <c r="Z513" s="132"/>
      <c r="AA513" s="132"/>
      <c r="AB513" s="132"/>
      <c r="AC513" s="132"/>
    </row>
    <row r="514" ht="39.0" hidden="1" customHeight="1" outlineLevel="1">
      <c r="A514" s="561">
        <v>45346.0</v>
      </c>
      <c r="B514" s="606" t="s">
        <v>1210</v>
      </c>
      <c r="C514" s="626" t="s">
        <v>1515</v>
      </c>
      <c r="D514" s="626" t="s">
        <v>1516</v>
      </c>
      <c r="E514" s="36" t="s">
        <v>1235</v>
      </c>
      <c r="F514" s="175"/>
      <c r="G514" s="175"/>
      <c r="H514" s="175" t="s">
        <v>1517</v>
      </c>
      <c r="I514" s="175"/>
      <c r="J514" s="132"/>
      <c r="K514" s="132"/>
      <c r="L514" s="132"/>
      <c r="M514" s="132"/>
      <c r="N514" s="132"/>
      <c r="O514" s="132"/>
      <c r="P514" s="132"/>
      <c r="Q514" s="132"/>
      <c r="R514" s="132"/>
      <c r="S514" s="132"/>
      <c r="T514" s="132"/>
      <c r="U514" s="132"/>
      <c r="V514" s="132"/>
      <c r="W514" s="132"/>
      <c r="X514" s="132"/>
      <c r="Y514" s="132"/>
      <c r="Z514" s="132"/>
      <c r="AA514" s="132"/>
      <c r="AB514" s="132"/>
      <c r="AC514" s="132"/>
    </row>
    <row r="515" ht="24.75" hidden="1" customHeight="1" outlineLevel="1">
      <c r="A515" s="561">
        <v>45346.0</v>
      </c>
      <c r="B515" s="606" t="s">
        <v>1213</v>
      </c>
      <c r="C515" s="626" t="s">
        <v>1518</v>
      </c>
      <c r="D515" s="627" t="s">
        <v>1519</v>
      </c>
      <c r="E515" s="573" t="s">
        <v>1203</v>
      </c>
      <c r="F515" s="635"/>
      <c r="G515" s="635"/>
      <c r="H515" s="635" t="s">
        <v>1520</v>
      </c>
      <c r="I515" s="132"/>
      <c r="J515" s="132"/>
      <c r="K515" s="132"/>
      <c r="L515" s="132"/>
      <c r="M515" s="132"/>
      <c r="N515" s="132"/>
      <c r="O515" s="132"/>
      <c r="P515" s="132"/>
      <c r="Q515" s="132"/>
      <c r="R515" s="132"/>
      <c r="S515" s="132"/>
      <c r="T515" s="132"/>
      <c r="U515" s="132"/>
      <c r="V515" s="132"/>
      <c r="W515" s="132"/>
      <c r="X515" s="132"/>
      <c r="Y515" s="132"/>
      <c r="Z515" s="132"/>
      <c r="AA515" s="132"/>
      <c r="AB515" s="132"/>
      <c r="AC515" s="132"/>
    </row>
    <row r="516" ht="24.75" hidden="1" customHeight="1" outlineLevel="1">
      <c r="A516" s="561">
        <v>45346.0</v>
      </c>
      <c r="B516" s="507" t="s">
        <v>1209</v>
      </c>
      <c r="C516" s="626" t="s">
        <v>1233</v>
      </c>
      <c r="D516" s="626" t="s">
        <v>1242</v>
      </c>
      <c r="E516" s="36" t="s">
        <v>1235</v>
      </c>
      <c r="I516" s="132"/>
      <c r="J516" s="132"/>
      <c r="K516" s="132"/>
      <c r="L516" s="132"/>
      <c r="M516" s="132"/>
      <c r="N516" s="132"/>
      <c r="O516" s="132"/>
      <c r="P516" s="132"/>
      <c r="Q516" s="132"/>
      <c r="R516" s="132"/>
      <c r="S516" s="132"/>
      <c r="T516" s="132"/>
      <c r="U516" s="132"/>
      <c r="V516" s="132"/>
      <c r="W516" s="132"/>
      <c r="X516" s="132"/>
      <c r="Y516" s="132"/>
      <c r="Z516" s="132"/>
      <c r="AA516" s="132"/>
      <c r="AB516" s="132"/>
      <c r="AC516" s="132"/>
    </row>
    <row r="517" ht="24.75" hidden="1" customHeight="1" outlineLevel="1">
      <c r="A517" s="615">
        <v>45347.0</v>
      </c>
      <c r="B517" s="507" t="s">
        <v>1187</v>
      </c>
      <c r="C517" s="626" t="s">
        <v>1444</v>
      </c>
      <c r="D517" s="627" t="s">
        <v>1519</v>
      </c>
      <c r="E517" s="573" t="s">
        <v>1203</v>
      </c>
      <c r="F517" s="635"/>
      <c r="G517" s="635"/>
      <c r="H517" s="635" t="s">
        <v>1521</v>
      </c>
      <c r="I517" s="132"/>
      <c r="J517" s="132"/>
      <c r="K517" s="132"/>
      <c r="L517" s="132"/>
      <c r="M517" s="132"/>
      <c r="N517" s="132"/>
      <c r="O517" s="132"/>
      <c r="P517" s="132"/>
      <c r="Q517" s="132"/>
      <c r="R517" s="132"/>
      <c r="S517" s="132"/>
      <c r="T517" s="132"/>
      <c r="U517" s="132"/>
      <c r="V517" s="132"/>
      <c r="W517" s="132"/>
      <c r="X517" s="132"/>
      <c r="Y517" s="132"/>
      <c r="Z517" s="132"/>
      <c r="AA517" s="132"/>
      <c r="AB517" s="132"/>
      <c r="AC517" s="132"/>
    </row>
    <row r="518" ht="24.75" hidden="1" customHeight="1" outlineLevel="1">
      <c r="A518" s="615">
        <v>45347.0</v>
      </c>
      <c r="B518" s="507" t="s">
        <v>1246</v>
      </c>
      <c r="C518" s="626" t="s">
        <v>1522</v>
      </c>
      <c r="D518" s="627" t="s">
        <v>1523</v>
      </c>
      <c r="E518" s="573" t="s">
        <v>1203</v>
      </c>
      <c r="F518" s="635"/>
      <c r="G518" s="635"/>
      <c r="H518" s="635"/>
      <c r="I518" s="175"/>
      <c r="J518" s="132"/>
      <c r="K518" s="132"/>
      <c r="L518" s="132"/>
      <c r="M518" s="132"/>
      <c r="N518" s="132"/>
      <c r="O518" s="132"/>
      <c r="P518" s="132"/>
      <c r="Q518" s="132"/>
      <c r="R518" s="132"/>
      <c r="S518" s="132"/>
      <c r="T518" s="132"/>
      <c r="U518" s="132"/>
      <c r="V518" s="132"/>
      <c r="W518" s="132"/>
      <c r="X518" s="132"/>
      <c r="Y518" s="132"/>
      <c r="Z518" s="132"/>
      <c r="AA518" s="132"/>
      <c r="AB518" s="132"/>
      <c r="AC518" s="132"/>
    </row>
    <row r="519" ht="24.75" hidden="1" customHeight="1" outlineLevel="1">
      <c r="A519" s="615">
        <v>45347.0</v>
      </c>
      <c r="B519" s="507" t="s">
        <v>1189</v>
      </c>
      <c r="C519" s="626" t="s">
        <v>1259</v>
      </c>
      <c r="D519" s="627" t="s">
        <v>1519</v>
      </c>
      <c r="E519" s="573" t="s">
        <v>1203</v>
      </c>
      <c r="F519" s="635"/>
      <c r="G519" s="635"/>
      <c r="H519" s="635" t="s">
        <v>1520</v>
      </c>
      <c r="I519" s="175"/>
      <c r="J519" s="132"/>
      <c r="K519" s="132"/>
      <c r="L519" s="132"/>
      <c r="M519" s="132"/>
      <c r="N519" s="132"/>
      <c r="O519" s="132"/>
      <c r="P519" s="132"/>
      <c r="Q519" s="132"/>
      <c r="R519" s="132"/>
      <c r="S519" s="132"/>
      <c r="T519" s="132"/>
      <c r="U519" s="132"/>
      <c r="V519" s="132"/>
      <c r="W519" s="132"/>
      <c r="X519" s="132"/>
      <c r="Y519" s="132"/>
      <c r="Z519" s="132"/>
      <c r="AA519" s="132"/>
      <c r="AB519" s="132"/>
      <c r="AC519" s="132"/>
    </row>
    <row r="520" ht="24.75" hidden="1" customHeight="1" outlineLevel="1">
      <c r="A520" s="615">
        <v>45348.0</v>
      </c>
      <c r="B520" s="507" t="s">
        <v>1249</v>
      </c>
      <c r="C520" s="626" t="s">
        <v>1518</v>
      </c>
      <c r="D520" s="627" t="s">
        <v>1519</v>
      </c>
      <c r="E520" s="573" t="s">
        <v>1203</v>
      </c>
      <c r="F520" s="635"/>
      <c r="G520" s="635"/>
      <c r="H520" s="635" t="s">
        <v>1520</v>
      </c>
      <c r="I520" s="132"/>
      <c r="J520" s="132"/>
      <c r="K520" s="132"/>
      <c r="L520" s="132"/>
      <c r="M520" s="132"/>
      <c r="N520" s="132"/>
      <c r="O520" s="132"/>
      <c r="P520" s="132"/>
      <c r="Q520" s="132"/>
      <c r="R520" s="132"/>
      <c r="S520" s="132"/>
      <c r="T520" s="132"/>
      <c r="U520" s="132"/>
      <c r="V520" s="132"/>
      <c r="W520" s="132"/>
      <c r="X520" s="132"/>
      <c r="Y520" s="132"/>
      <c r="Z520" s="132"/>
      <c r="AA520" s="132"/>
      <c r="AB520" s="132"/>
      <c r="AC520" s="132"/>
    </row>
    <row r="521" ht="24.75" hidden="1" customHeight="1" outlineLevel="1">
      <c r="A521" s="615">
        <v>45348.0</v>
      </c>
      <c r="B521" s="507" t="s">
        <v>1271</v>
      </c>
      <c r="C521" s="531" t="s">
        <v>1451</v>
      </c>
      <c r="D521" s="605" t="s">
        <v>1524</v>
      </c>
      <c r="E521" s="573" t="s">
        <v>1203</v>
      </c>
      <c r="F521" s="635"/>
      <c r="G521" s="635"/>
      <c r="H521" s="635" t="s">
        <v>1525</v>
      </c>
      <c r="I521" s="175" t="s">
        <v>1474</v>
      </c>
      <c r="J521" s="132"/>
      <c r="K521" s="132"/>
      <c r="L521" s="132"/>
      <c r="M521" s="132"/>
      <c r="N521" s="132"/>
      <c r="O521" s="132"/>
      <c r="P521" s="132"/>
      <c r="Q521" s="132"/>
      <c r="R521" s="132"/>
      <c r="S521" s="132"/>
      <c r="T521" s="132"/>
      <c r="U521" s="132"/>
      <c r="V521" s="132"/>
      <c r="W521" s="132"/>
      <c r="X521" s="132"/>
      <c r="Y521" s="132"/>
      <c r="Z521" s="132"/>
      <c r="AA521" s="132"/>
      <c r="AB521" s="132"/>
      <c r="AC521" s="132"/>
    </row>
    <row r="522" ht="24.75" hidden="1" customHeight="1" outlineLevel="1">
      <c r="A522" s="615">
        <v>45348.0</v>
      </c>
      <c r="B522" s="507" t="s">
        <v>1274</v>
      </c>
      <c r="C522" s="531" t="s">
        <v>1451</v>
      </c>
      <c r="D522" s="605" t="s">
        <v>1524</v>
      </c>
      <c r="E522" s="573" t="s">
        <v>1203</v>
      </c>
      <c r="F522" s="635"/>
      <c r="G522" s="635"/>
      <c r="H522" s="635" t="s">
        <v>1525</v>
      </c>
      <c r="I522" s="175" t="s">
        <v>1475</v>
      </c>
      <c r="J522" s="132"/>
      <c r="K522" s="132"/>
      <c r="L522" s="132"/>
      <c r="M522" s="132"/>
      <c r="N522" s="132"/>
      <c r="O522" s="132"/>
      <c r="P522" s="132"/>
      <c r="Q522" s="132"/>
      <c r="R522" s="132"/>
      <c r="S522" s="132"/>
      <c r="T522" s="132"/>
      <c r="U522" s="132"/>
      <c r="V522" s="132"/>
      <c r="W522" s="132"/>
      <c r="X522" s="132"/>
      <c r="Y522" s="132"/>
      <c r="Z522" s="132"/>
      <c r="AA522" s="132"/>
      <c r="AB522" s="132"/>
      <c r="AC522" s="132"/>
    </row>
    <row r="523" ht="24.75" hidden="1" customHeight="1" outlineLevel="1">
      <c r="A523" s="615">
        <v>45348.0</v>
      </c>
      <c r="B523" s="507" t="s">
        <v>629</v>
      </c>
      <c r="C523" s="507" t="s">
        <v>1233</v>
      </c>
      <c r="D523" s="507" t="s">
        <v>1319</v>
      </c>
      <c r="E523" s="36" t="s">
        <v>1235</v>
      </c>
      <c r="F523" s="175"/>
      <c r="G523" s="175"/>
      <c r="H523" s="175" t="s">
        <v>1452</v>
      </c>
      <c r="I523" s="132"/>
      <c r="J523" s="132"/>
      <c r="K523" s="132"/>
      <c r="L523" s="132"/>
      <c r="M523" s="132"/>
      <c r="N523" s="132"/>
      <c r="O523" s="132"/>
      <c r="P523" s="132"/>
      <c r="Q523" s="132"/>
      <c r="R523" s="132"/>
      <c r="S523" s="132"/>
      <c r="T523" s="132"/>
      <c r="U523" s="132"/>
      <c r="V523" s="132"/>
      <c r="W523" s="132"/>
      <c r="X523" s="132"/>
      <c r="Y523" s="132"/>
      <c r="Z523" s="132"/>
      <c r="AA523" s="132"/>
      <c r="AB523" s="132"/>
      <c r="AC523" s="132"/>
    </row>
    <row r="524" ht="24.75" hidden="1" customHeight="1" outlineLevel="1">
      <c r="A524" s="615">
        <v>45348.0</v>
      </c>
      <c r="B524" s="507" t="s">
        <v>1526</v>
      </c>
      <c r="C524" s="626" t="s">
        <v>1259</v>
      </c>
      <c r="D524" s="507" t="s">
        <v>1319</v>
      </c>
      <c r="E524" s="36" t="s">
        <v>1235</v>
      </c>
      <c r="F524" s="132"/>
      <c r="G524" s="132"/>
      <c r="H524" s="132"/>
      <c r="I524" s="132"/>
      <c r="J524" s="132"/>
      <c r="K524" s="132"/>
      <c r="L524" s="132"/>
      <c r="M524" s="132"/>
      <c r="N524" s="132"/>
      <c r="O524" s="132"/>
      <c r="P524" s="132"/>
      <c r="Q524" s="132"/>
      <c r="R524" s="132"/>
      <c r="S524" s="132"/>
      <c r="T524" s="132"/>
      <c r="U524" s="132"/>
      <c r="V524" s="132"/>
      <c r="W524" s="132"/>
      <c r="X524" s="132"/>
      <c r="Y524" s="132"/>
      <c r="Z524" s="132"/>
      <c r="AA524" s="132"/>
      <c r="AB524" s="132"/>
      <c r="AC524" s="132"/>
    </row>
    <row r="525" ht="24.75" customHeight="1">
      <c r="A525" s="175"/>
      <c r="B525" s="132"/>
      <c r="C525" s="132"/>
      <c r="D525" s="132"/>
      <c r="E525" s="496"/>
      <c r="F525" s="132"/>
      <c r="G525" s="132"/>
      <c r="H525" s="132"/>
      <c r="I525" s="132"/>
      <c r="J525" s="132"/>
      <c r="K525" s="132"/>
      <c r="L525" s="132"/>
      <c r="M525" s="132"/>
      <c r="N525" s="132"/>
      <c r="O525" s="132"/>
      <c r="P525" s="132"/>
      <c r="Q525" s="132"/>
      <c r="R525" s="132"/>
      <c r="S525" s="132"/>
      <c r="T525" s="132"/>
      <c r="U525" s="132"/>
      <c r="V525" s="132"/>
      <c r="W525" s="132"/>
      <c r="X525" s="132"/>
      <c r="Y525" s="132"/>
      <c r="Z525" s="132"/>
      <c r="AA525" s="132"/>
      <c r="AB525" s="132"/>
      <c r="AC525" s="132"/>
    </row>
    <row r="526" ht="24.75" customHeight="1" collapsed="1">
      <c r="A526" s="175" t="s">
        <v>1527</v>
      </c>
      <c r="B526" s="132"/>
      <c r="C526" s="630" t="s">
        <v>1513</v>
      </c>
      <c r="D526" s="132"/>
      <c r="E526" s="496"/>
      <c r="F526" s="132"/>
      <c r="G526" s="132"/>
      <c r="H526" s="132"/>
      <c r="I526" s="132"/>
      <c r="J526" s="132"/>
      <c r="K526" s="132"/>
      <c r="L526" s="132"/>
      <c r="M526" s="132"/>
      <c r="N526" s="132"/>
      <c r="O526" s="132"/>
      <c r="P526" s="132"/>
      <c r="Q526" s="132"/>
      <c r="R526" s="132"/>
      <c r="S526" s="132"/>
      <c r="T526" s="132"/>
      <c r="U526" s="132"/>
      <c r="V526" s="132"/>
      <c r="W526" s="132"/>
      <c r="X526" s="132"/>
      <c r="Y526" s="132"/>
      <c r="Z526" s="132"/>
      <c r="AA526" s="132"/>
      <c r="AB526" s="132"/>
      <c r="AC526" s="132"/>
    </row>
    <row r="527" ht="24.75" hidden="1" customHeight="1" outlineLevel="1">
      <c r="A527" s="615">
        <v>45371.0</v>
      </c>
      <c r="B527" s="636" t="s">
        <v>1261</v>
      </c>
      <c r="C527" s="626" t="s">
        <v>1444</v>
      </c>
      <c r="D527" s="511" t="s">
        <v>1528</v>
      </c>
      <c r="E527" s="573" t="s">
        <v>1235</v>
      </c>
      <c r="F527" s="616"/>
      <c r="G527" s="616"/>
      <c r="H527" s="616"/>
      <c r="I527" s="132"/>
      <c r="J527" s="132"/>
      <c r="K527" s="132"/>
      <c r="L527" s="132"/>
      <c r="M527" s="132"/>
      <c r="N527" s="132"/>
      <c r="O527" s="132"/>
      <c r="P527" s="132"/>
      <c r="Q527" s="132"/>
      <c r="R527" s="132"/>
      <c r="S527" s="132"/>
      <c r="T527" s="132"/>
      <c r="U527" s="132"/>
      <c r="V527" s="132"/>
      <c r="W527" s="132"/>
      <c r="X527" s="132"/>
      <c r="Y527" s="132"/>
      <c r="Z527" s="132"/>
      <c r="AA527" s="132"/>
      <c r="AB527" s="132"/>
      <c r="AC527" s="132"/>
    </row>
    <row r="528" ht="24.75" hidden="1" customHeight="1" outlineLevel="1">
      <c r="A528" s="615">
        <v>45371.0</v>
      </c>
      <c r="B528" s="637" t="s">
        <v>1529</v>
      </c>
      <c r="C528" s="626" t="s">
        <v>1233</v>
      </c>
      <c r="D528" s="511" t="s">
        <v>1530</v>
      </c>
      <c r="E528" s="573" t="s">
        <v>1235</v>
      </c>
      <c r="F528" s="175"/>
      <c r="G528" s="175"/>
      <c r="H528" s="175"/>
      <c r="I528" s="132"/>
      <c r="J528" s="132"/>
      <c r="K528" s="132"/>
      <c r="L528" s="132"/>
      <c r="M528" s="132"/>
      <c r="N528" s="132"/>
      <c r="O528" s="132"/>
      <c r="P528" s="132"/>
      <c r="Q528" s="132"/>
      <c r="R528" s="132"/>
      <c r="S528" s="132"/>
      <c r="T528" s="132"/>
      <c r="U528" s="132"/>
      <c r="V528" s="132"/>
      <c r="W528" s="132"/>
      <c r="X528" s="132"/>
      <c r="Y528" s="132"/>
      <c r="Z528" s="132"/>
      <c r="AA528" s="132"/>
      <c r="AB528" s="132"/>
      <c r="AC528" s="132"/>
    </row>
    <row r="529" ht="24.75" hidden="1" customHeight="1" outlineLevel="1">
      <c r="A529" s="615">
        <v>45371.0</v>
      </c>
      <c r="B529" s="636" t="s">
        <v>1226</v>
      </c>
      <c r="C529" s="626" t="s">
        <v>1531</v>
      </c>
      <c r="D529" s="511" t="s">
        <v>1532</v>
      </c>
      <c r="E529" s="573" t="s">
        <v>1235</v>
      </c>
      <c r="F529" s="132"/>
      <c r="G529" s="132"/>
      <c r="H529" s="132"/>
      <c r="I529" s="132"/>
      <c r="J529" s="132"/>
      <c r="K529" s="132"/>
      <c r="L529" s="132"/>
      <c r="M529" s="132"/>
      <c r="N529" s="132"/>
      <c r="O529" s="132"/>
      <c r="P529" s="132"/>
      <c r="Q529" s="132"/>
      <c r="R529" s="132"/>
      <c r="S529" s="132"/>
      <c r="T529" s="132"/>
      <c r="U529" s="132"/>
      <c r="V529" s="132"/>
      <c r="W529" s="132"/>
      <c r="X529" s="132"/>
      <c r="Y529" s="132"/>
      <c r="Z529" s="132"/>
      <c r="AA529" s="132"/>
      <c r="AB529" s="132"/>
      <c r="AC529" s="132"/>
    </row>
    <row r="530" ht="24.75" hidden="1" customHeight="1" outlineLevel="1">
      <c r="A530" s="615">
        <v>45371.0</v>
      </c>
      <c r="B530" s="637" t="s">
        <v>1533</v>
      </c>
      <c r="C530" s="507" t="s">
        <v>1456</v>
      </c>
      <c r="D530" s="626" t="s">
        <v>1534</v>
      </c>
      <c r="E530" s="573" t="s">
        <v>1535</v>
      </c>
      <c r="F530" s="175"/>
      <c r="G530" s="175"/>
      <c r="H530" s="175" t="s">
        <v>1536</v>
      </c>
      <c r="I530" s="175" t="s">
        <v>1504</v>
      </c>
      <c r="J530" s="132"/>
      <c r="K530" s="132"/>
      <c r="L530" s="132"/>
      <c r="M530" s="132"/>
      <c r="N530" s="132"/>
      <c r="O530" s="132"/>
      <c r="P530" s="132"/>
      <c r="Q530" s="132"/>
      <c r="R530" s="132"/>
      <c r="S530" s="132"/>
      <c r="T530" s="132"/>
      <c r="U530" s="132"/>
      <c r="V530" s="132"/>
      <c r="W530" s="132"/>
      <c r="X530" s="132"/>
      <c r="Y530" s="132"/>
      <c r="Z530" s="132"/>
      <c r="AA530" s="132"/>
      <c r="AB530" s="132"/>
      <c r="AC530" s="132"/>
    </row>
    <row r="531" ht="24.75" hidden="1" customHeight="1" outlineLevel="1">
      <c r="A531" s="615">
        <v>45372.0</v>
      </c>
      <c r="B531" s="636" t="s">
        <v>1263</v>
      </c>
      <c r="C531" s="626" t="s">
        <v>1444</v>
      </c>
      <c r="D531" s="511" t="s">
        <v>1528</v>
      </c>
      <c r="E531" s="573" t="s">
        <v>1235</v>
      </c>
      <c r="F531" s="132"/>
      <c r="G531" s="132"/>
      <c r="H531" s="132"/>
      <c r="I531" s="132"/>
      <c r="J531" s="132"/>
      <c r="K531" s="132"/>
      <c r="L531" s="132"/>
      <c r="M531" s="132"/>
      <c r="N531" s="132"/>
      <c r="O531" s="132"/>
      <c r="P531" s="132"/>
      <c r="Q531" s="132"/>
      <c r="R531" s="132"/>
      <c r="S531" s="132"/>
      <c r="T531" s="132"/>
      <c r="U531" s="132"/>
      <c r="V531" s="132"/>
      <c r="W531" s="132"/>
      <c r="X531" s="132"/>
      <c r="Y531" s="132"/>
      <c r="Z531" s="132"/>
      <c r="AA531" s="132"/>
      <c r="AB531" s="132"/>
      <c r="AC531" s="132"/>
    </row>
    <row r="532" ht="24.75" hidden="1" customHeight="1" outlineLevel="1">
      <c r="A532" s="615">
        <v>45372.0</v>
      </c>
      <c r="B532" s="638" t="s">
        <v>1537</v>
      </c>
      <c r="C532" s="626" t="s">
        <v>1259</v>
      </c>
      <c r="D532" s="511" t="s">
        <v>1538</v>
      </c>
      <c r="E532" s="573" t="s">
        <v>1235</v>
      </c>
      <c r="F532" s="132"/>
      <c r="G532" s="132"/>
      <c r="H532" s="132"/>
      <c r="I532" s="132"/>
      <c r="J532" s="132"/>
      <c r="K532" s="132"/>
      <c r="L532" s="132"/>
      <c r="M532" s="132"/>
      <c r="N532" s="132"/>
      <c r="O532" s="132"/>
      <c r="P532" s="132"/>
      <c r="Q532" s="132"/>
      <c r="R532" s="132"/>
      <c r="S532" s="132"/>
      <c r="T532" s="132"/>
      <c r="U532" s="132"/>
      <c r="V532" s="132"/>
      <c r="W532" s="132"/>
      <c r="X532" s="132"/>
      <c r="Y532" s="132"/>
      <c r="Z532" s="132"/>
      <c r="AA532" s="132"/>
      <c r="AB532" s="132"/>
      <c r="AC532" s="132"/>
    </row>
    <row r="533" ht="24.75" hidden="1" customHeight="1" outlineLevel="1">
      <c r="A533" s="615">
        <v>45372.0</v>
      </c>
      <c r="B533" s="637" t="s">
        <v>1539</v>
      </c>
      <c r="C533" s="626" t="s">
        <v>1259</v>
      </c>
      <c r="D533" s="511" t="s">
        <v>1540</v>
      </c>
      <c r="E533" s="573" t="s">
        <v>1235</v>
      </c>
      <c r="F533" s="175"/>
      <c r="G533" s="175"/>
      <c r="H533" s="175" t="s">
        <v>1541</v>
      </c>
      <c r="I533" s="132"/>
      <c r="J533" s="132"/>
      <c r="K533" s="132"/>
      <c r="L533" s="132"/>
      <c r="M533" s="132"/>
      <c r="N533" s="132"/>
      <c r="O533" s="132"/>
      <c r="P533" s="132"/>
      <c r="Q533" s="132"/>
      <c r="R533" s="132"/>
      <c r="S533" s="132"/>
      <c r="T533" s="132"/>
      <c r="U533" s="132"/>
      <c r="V533" s="132"/>
      <c r="W533" s="132"/>
      <c r="X533" s="132"/>
      <c r="Y533" s="132"/>
      <c r="Z533" s="132"/>
      <c r="AA533" s="132"/>
      <c r="AB533" s="132"/>
      <c r="AC533" s="132"/>
    </row>
    <row r="534" ht="45.0" hidden="1" customHeight="1" outlineLevel="1">
      <c r="A534" s="615">
        <v>45374.0</v>
      </c>
      <c r="B534" s="637" t="s">
        <v>1210</v>
      </c>
      <c r="C534" s="626" t="s">
        <v>1542</v>
      </c>
      <c r="D534" s="511" t="s">
        <v>1543</v>
      </c>
      <c r="E534" s="573" t="s">
        <v>1535</v>
      </c>
      <c r="F534" s="175"/>
      <c r="G534" s="175"/>
      <c r="H534" s="175" t="s">
        <v>1544</v>
      </c>
      <c r="I534" s="132"/>
      <c r="J534" s="132"/>
      <c r="K534" s="132"/>
      <c r="L534" s="132"/>
      <c r="M534" s="132"/>
      <c r="N534" s="132"/>
      <c r="O534" s="132"/>
      <c r="P534" s="132"/>
      <c r="Q534" s="132"/>
      <c r="R534" s="132"/>
      <c r="S534" s="132"/>
      <c r="T534" s="132"/>
      <c r="U534" s="132"/>
      <c r="V534" s="132"/>
      <c r="W534" s="132"/>
      <c r="X534" s="132"/>
      <c r="Y534" s="132"/>
      <c r="Z534" s="132"/>
      <c r="AA534" s="132"/>
      <c r="AB534" s="132"/>
      <c r="AC534" s="132"/>
    </row>
    <row r="535" ht="24.75" customHeight="1">
      <c r="A535" s="132"/>
      <c r="B535" s="132"/>
      <c r="C535" s="132"/>
      <c r="D535" s="132"/>
      <c r="E535" s="496"/>
      <c r="F535" s="132"/>
      <c r="G535" s="132"/>
      <c r="H535" s="132"/>
      <c r="I535" s="132"/>
      <c r="J535" s="132"/>
      <c r="K535" s="132"/>
      <c r="L535" s="132"/>
      <c r="M535" s="132"/>
      <c r="N535" s="132"/>
      <c r="O535" s="132"/>
      <c r="P535" s="132"/>
      <c r="Q535" s="132"/>
      <c r="R535" s="132"/>
      <c r="S535" s="132"/>
      <c r="T535" s="132"/>
      <c r="U535" s="132"/>
      <c r="V535" s="132"/>
      <c r="W535" s="132"/>
      <c r="X535" s="132"/>
      <c r="Y535" s="132"/>
      <c r="Z535" s="132"/>
      <c r="AA535" s="132"/>
      <c r="AB535" s="132"/>
      <c r="AC535" s="132"/>
    </row>
    <row r="536" ht="24.75" customHeight="1" collapsed="1">
      <c r="A536" s="175" t="s">
        <v>1545</v>
      </c>
      <c r="B536" s="132"/>
      <c r="C536" s="132"/>
      <c r="D536" s="132"/>
      <c r="E536" s="496"/>
      <c r="F536" s="132"/>
      <c r="G536" s="132"/>
      <c r="H536" s="132"/>
      <c r="I536" s="132"/>
      <c r="J536" s="132"/>
      <c r="K536" s="132"/>
      <c r="L536" s="132"/>
      <c r="M536" s="132"/>
      <c r="N536" s="132"/>
      <c r="O536" s="132"/>
      <c r="P536" s="132"/>
      <c r="Q536" s="132"/>
      <c r="R536" s="132"/>
      <c r="S536" s="132"/>
      <c r="T536" s="132"/>
      <c r="U536" s="132"/>
      <c r="V536" s="132"/>
      <c r="W536" s="132"/>
      <c r="X536" s="132"/>
      <c r="Y536" s="132"/>
      <c r="Z536" s="132"/>
      <c r="AA536" s="132"/>
      <c r="AB536" s="132"/>
      <c r="AC536" s="132"/>
    </row>
    <row r="537" ht="24.75" hidden="1" customHeight="1" outlineLevel="1">
      <c r="A537" s="597" t="s">
        <v>1166</v>
      </c>
      <c r="B537" s="598" t="s">
        <v>1117</v>
      </c>
      <c r="C537" s="598" t="s">
        <v>1167</v>
      </c>
      <c r="D537" s="598" t="s">
        <v>1168</v>
      </c>
      <c r="E537" s="639" t="s">
        <v>1546</v>
      </c>
      <c r="F537" s="175"/>
      <c r="G537" s="175"/>
      <c r="H537" s="175"/>
      <c r="I537" s="132"/>
      <c r="J537" s="132"/>
      <c r="K537" s="132"/>
      <c r="L537" s="132"/>
      <c r="M537" s="132"/>
      <c r="N537" s="132"/>
      <c r="O537" s="132"/>
      <c r="P537" s="132"/>
      <c r="Q537" s="132"/>
      <c r="R537" s="132"/>
      <c r="S537" s="132"/>
      <c r="T537" s="132"/>
      <c r="U537" s="132"/>
      <c r="V537" s="132"/>
      <c r="W537" s="132"/>
      <c r="X537" s="132"/>
      <c r="Y537" s="132"/>
      <c r="Z537" s="132"/>
      <c r="AA537" s="132"/>
      <c r="AB537" s="132"/>
      <c r="AC537" s="132"/>
    </row>
    <row r="538" ht="24.75" hidden="1" customHeight="1" outlineLevel="1">
      <c r="A538" s="551">
        <v>45411.0</v>
      </c>
      <c r="B538" s="606" t="s">
        <v>1249</v>
      </c>
      <c r="C538" s="526" t="s">
        <v>1547</v>
      </c>
      <c r="D538" s="640" t="s">
        <v>1548</v>
      </c>
      <c r="E538" s="573" t="s">
        <v>1235</v>
      </c>
      <c r="F538" s="175"/>
      <c r="G538" s="175"/>
      <c r="H538" s="175"/>
      <c r="I538" s="132"/>
      <c r="J538" s="132"/>
      <c r="K538" s="132"/>
      <c r="L538" s="132"/>
      <c r="M538" s="132"/>
      <c r="N538" s="132"/>
      <c r="O538" s="132"/>
      <c r="P538" s="132"/>
      <c r="Q538" s="132"/>
      <c r="R538" s="132"/>
      <c r="S538" s="132"/>
      <c r="T538" s="132"/>
      <c r="U538" s="132"/>
      <c r="V538" s="132"/>
      <c r="W538" s="132"/>
      <c r="X538" s="132"/>
      <c r="Y538" s="132"/>
      <c r="Z538" s="132"/>
      <c r="AA538" s="132"/>
      <c r="AB538" s="132"/>
      <c r="AC538" s="132"/>
    </row>
    <row r="539" ht="24.75" hidden="1" customHeight="1" outlineLevel="1">
      <c r="A539" s="551">
        <v>45411.0</v>
      </c>
      <c r="B539" s="636" t="s">
        <v>1526</v>
      </c>
      <c r="C539" s="641" t="s">
        <v>1239</v>
      </c>
      <c r="D539" s="642" t="s">
        <v>1549</v>
      </c>
      <c r="E539" s="573" t="s">
        <v>1235</v>
      </c>
      <c r="F539" s="175"/>
      <c r="G539" s="175"/>
      <c r="H539" s="175"/>
      <c r="I539" s="132"/>
      <c r="J539" s="132"/>
      <c r="K539" s="132"/>
      <c r="L539" s="132"/>
      <c r="M539" s="132"/>
      <c r="N539" s="132"/>
      <c r="O539" s="132"/>
      <c r="P539" s="132"/>
      <c r="Q539" s="132"/>
      <c r="R539" s="132"/>
      <c r="S539" s="132"/>
      <c r="T539" s="132"/>
      <c r="U539" s="132"/>
      <c r="V539" s="132"/>
      <c r="W539" s="132"/>
      <c r="X539" s="132"/>
      <c r="Y539" s="132"/>
      <c r="Z539" s="132"/>
      <c r="AA539" s="132"/>
      <c r="AB539" s="132"/>
      <c r="AC539" s="132"/>
    </row>
    <row r="540" ht="24.75" hidden="1" customHeight="1" outlineLevel="1">
      <c r="A540" s="551">
        <v>45411.0</v>
      </c>
      <c r="B540" s="507" t="s">
        <v>629</v>
      </c>
      <c r="C540" s="507" t="s">
        <v>1221</v>
      </c>
      <c r="D540" s="642" t="s">
        <v>1550</v>
      </c>
      <c r="E540" s="573" t="s">
        <v>1235</v>
      </c>
      <c r="F540" s="175"/>
      <c r="G540" s="175"/>
      <c r="H540" s="175" t="s">
        <v>1320</v>
      </c>
      <c r="I540" s="132"/>
      <c r="J540" s="132"/>
      <c r="K540" s="132"/>
      <c r="L540" s="132"/>
      <c r="M540" s="132"/>
      <c r="N540" s="132"/>
      <c r="O540" s="132"/>
      <c r="P540" s="132"/>
      <c r="Q540" s="132"/>
      <c r="R540" s="132"/>
      <c r="S540" s="132"/>
      <c r="T540" s="132"/>
      <c r="U540" s="132"/>
      <c r="V540" s="132"/>
      <c r="W540" s="132"/>
      <c r="X540" s="132"/>
      <c r="Y540" s="132"/>
      <c r="Z540" s="132"/>
      <c r="AA540" s="132"/>
      <c r="AB540" s="132"/>
      <c r="AC540" s="132"/>
    </row>
    <row r="541" ht="24.75" hidden="1" customHeight="1" outlineLevel="1">
      <c r="A541" s="551">
        <v>45411.0</v>
      </c>
      <c r="B541" s="523" t="s">
        <v>1217</v>
      </c>
      <c r="C541" s="531" t="s">
        <v>1451</v>
      </c>
      <c r="D541" s="640" t="s">
        <v>1551</v>
      </c>
      <c r="E541" s="573" t="s">
        <v>1235</v>
      </c>
      <c r="F541" s="175"/>
      <c r="G541" s="175"/>
      <c r="H541" s="175" t="s">
        <v>1240</v>
      </c>
      <c r="I541" s="132"/>
      <c r="J541" s="132"/>
      <c r="K541" s="132"/>
      <c r="L541" s="132"/>
      <c r="M541" s="132"/>
      <c r="N541" s="132"/>
      <c r="O541" s="132"/>
      <c r="P541" s="132"/>
      <c r="Q541" s="132"/>
      <c r="R541" s="132"/>
      <c r="S541" s="132"/>
      <c r="T541" s="132"/>
      <c r="U541" s="132"/>
      <c r="V541" s="132"/>
      <c r="W541" s="132"/>
      <c r="X541" s="132"/>
      <c r="Y541" s="132"/>
      <c r="Z541" s="132"/>
      <c r="AA541" s="132"/>
      <c r="AB541" s="132"/>
      <c r="AC541" s="132"/>
    </row>
    <row r="542" ht="24.75" hidden="1" customHeight="1" outlineLevel="1">
      <c r="A542" s="551">
        <v>45412.0</v>
      </c>
      <c r="B542" s="606" t="s">
        <v>38</v>
      </c>
      <c r="C542" s="507" t="s">
        <v>1221</v>
      </c>
      <c r="D542" s="642" t="s">
        <v>1552</v>
      </c>
      <c r="E542" s="573" t="s">
        <v>1235</v>
      </c>
      <c r="F542" s="175"/>
      <c r="G542" s="175"/>
      <c r="H542" s="175"/>
      <c r="I542" s="132"/>
      <c r="J542" s="132"/>
      <c r="K542" s="132"/>
      <c r="L542" s="132"/>
      <c r="M542" s="132"/>
      <c r="N542" s="132"/>
      <c r="O542" s="132"/>
      <c r="P542" s="132"/>
      <c r="Q542" s="132"/>
      <c r="R542" s="132"/>
      <c r="S542" s="132"/>
      <c r="T542" s="132"/>
      <c r="U542" s="132"/>
      <c r="V542" s="132"/>
      <c r="W542" s="132"/>
      <c r="X542" s="132"/>
      <c r="Y542" s="132"/>
      <c r="Z542" s="132"/>
      <c r="AA542" s="132"/>
      <c r="AB542" s="132"/>
      <c r="AC542" s="132"/>
    </row>
    <row r="543" ht="24.75" hidden="1" customHeight="1" outlineLevel="1">
      <c r="A543" s="551">
        <v>45412.0</v>
      </c>
      <c r="B543" s="507" t="s">
        <v>1232</v>
      </c>
      <c r="C543" s="643" t="s">
        <v>1553</v>
      </c>
      <c r="D543" s="642" t="s">
        <v>1180</v>
      </c>
      <c r="E543" s="573" t="s">
        <v>1235</v>
      </c>
      <c r="F543" s="175"/>
      <c r="G543" s="175"/>
      <c r="H543" s="175" t="s">
        <v>1554</v>
      </c>
      <c r="I543" s="175"/>
      <c r="J543" s="132"/>
      <c r="K543" s="132"/>
      <c r="L543" s="132"/>
      <c r="M543" s="132"/>
      <c r="N543" s="132"/>
      <c r="O543" s="132"/>
      <c r="P543" s="132"/>
      <c r="Q543" s="132"/>
      <c r="R543" s="132"/>
      <c r="S543" s="132"/>
      <c r="T543" s="132"/>
      <c r="U543" s="132"/>
      <c r="V543" s="132"/>
      <c r="W543" s="132"/>
      <c r="X543" s="132"/>
      <c r="Y543" s="132"/>
      <c r="Z543" s="132"/>
      <c r="AA543" s="132"/>
      <c r="AB543" s="132"/>
      <c r="AC543" s="132"/>
    </row>
    <row r="544" ht="24.75" hidden="1" customHeight="1" outlineLevel="1">
      <c r="A544" s="551">
        <v>45412.0</v>
      </c>
      <c r="B544" s="507" t="s">
        <v>1325</v>
      </c>
      <c r="C544" s="531" t="s">
        <v>1221</v>
      </c>
      <c r="D544" s="642" t="s">
        <v>1180</v>
      </c>
      <c r="E544" s="573" t="s">
        <v>1235</v>
      </c>
      <c r="F544" s="175"/>
      <c r="G544" s="175"/>
      <c r="H544" s="175" t="s">
        <v>1555</v>
      </c>
      <c r="I544" s="132"/>
      <c r="J544" s="132"/>
      <c r="K544" s="132"/>
      <c r="L544" s="132"/>
      <c r="M544" s="132"/>
      <c r="N544" s="132"/>
      <c r="O544" s="132"/>
      <c r="P544" s="132"/>
      <c r="Q544" s="132"/>
      <c r="R544" s="132"/>
      <c r="S544" s="132"/>
      <c r="T544" s="132"/>
      <c r="U544" s="132"/>
      <c r="V544" s="132"/>
      <c r="W544" s="132"/>
      <c r="X544" s="132"/>
      <c r="Y544" s="132"/>
      <c r="Z544" s="132"/>
      <c r="AA544" s="132"/>
      <c r="AB544" s="132"/>
      <c r="AC544" s="132"/>
    </row>
    <row r="545" ht="24.75" hidden="1" customHeight="1" outlineLevel="1">
      <c r="A545" s="551">
        <v>45412.0</v>
      </c>
      <c r="B545" s="606" t="s">
        <v>1254</v>
      </c>
      <c r="C545" s="511" t="s">
        <v>1556</v>
      </c>
      <c r="D545" s="642" t="s">
        <v>1557</v>
      </c>
      <c r="E545" s="573" t="s">
        <v>1235</v>
      </c>
      <c r="F545" s="132"/>
      <c r="G545" s="132"/>
      <c r="H545" s="132"/>
      <c r="I545" s="132"/>
      <c r="J545" s="132"/>
      <c r="K545" s="132"/>
      <c r="L545" s="132"/>
      <c r="M545" s="132"/>
      <c r="N545" s="132"/>
      <c r="O545" s="132"/>
      <c r="P545" s="132"/>
      <c r="Q545" s="132"/>
      <c r="R545" s="132"/>
      <c r="S545" s="132"/>
      <c r="T545" s="132"/>
      <c r="U545" s="132"/>
      <c r="V545" s="132"/>
      <c r="W545" s="132"/>
      <c r="X545" s="132"/>
      <c r="Y545" s="132"/>
      <c r="Z545" s="132"/>
      <c r="AA545" s="132"/>
      <c r="AB545" s="132"/>
      <c r="AC545" s="132"/>
    </row>
    <row r="546" ht="24.75" hidden="1" customHeight="1" outlineLevel="1">
      <c r="A546" s="551">
        <v>45412.0</v>
      </c>
      <c r="B546" s="507" t="s">
        <v>236</v>
      </c>
      <c r="C546" s="531" t="s">
        <v>1221</v>
      </c>
      <c r="D546" s="642" t="s">
        <v>1558</v>
      </c>
      <c r="E546" s="573" t="s">
        <v>1235</v>
      </c>
      <c r="F546" s="132"/>
      <c r="G546" s="132"/>
      <c r="H546" s="132"/>
      <c r="I546" s="132"/>
      <c r="J546" s="132"/>
      <c r="K546" s="132"/>
      <c r="L546" s="132"/>
      <c r="M546" s="132"/>
      <c r="N546" s="132"/>
      <c r="O546" s="132"/>
      <c r="P546" s="132"/>
      <c r="Q546" s="132"/>
      <c r="R546" s="132"/>
      <c r="S546" s="132"/>
      <c r="T546" s="132"/>
      <c r="U546" s="132"/>
      <c r="V546" s="132"/>
      <c r="W546" s="132"/>
      <c r="X546" s="132"/>
      <c r="Y546" s="132"/>
      <c r="Z546" s="132"/>
      <c r="AA546" s="132"/>
      <c r="AB546" s="132"/>
      <c r="AC546" s="132"/>
    </row>
    <row r="547" hidden="1" outlineLevel="1">
      <c r="A547" s="551">
        <v>45415.0</v>
      </c>
      <c r="B547" s="507" t="s">
        <v>1232</v>
      </c>
      <c r="C547" s="643" t="s">
        <v>1559</v>
      </c>
      <c r="D547" s="644" t="s">
        <v>1560</v>
      </c>
      <c r="E547" s="573" t="s">
        <v>1235</v>
      </c>
      <c r="F547" s="132"/>
      <c r="G547" s="132"/>
      <c r="H547" s="132"/>
      <c r="I547" s="175" t="s">
        <v>1439</v>
      </c>
      <c r="J547" s="132"/>
      <c r="K547" s="132"/>
      <c r="L547" s="132"/>
      <c r="M547" s="132"/>
      <c r="N547" s="132"/>
      <c r="O547" s="132"/>
      <c r="P547" s="132"/>
      <c r="Q547" s="132"/>
      <c r="R547" s="132"/>
      <c r="S547" s="132"/>
      <c r="T547" s="132"/>
      <c r="U547" s="132"/>
      <c r="V547" s="132"/>
      <c r="W547" s="132"/>
      <c r="X547" s="132"/>
      <c r="Y547" s="132"/>
      <c r="Z547" s="132"/>
      <c r="AA547" s="132"/>
      <c r="AB547" s="132"/>
      <c r="AC547" s="132"/>
    </row>
    <row r="548" ht="24.75" hidden="1" customHeight="1" outlineLevel="1">
      <c r="A548" s="551">
        <v>45415.0</v>
      </c>
      <c r="B548" s="507" t="s">
        <v>1181</v>
      </c>
      <c r="C548" s="626" t="s">
        <v>1428</v>
      </c>
      <c r="D548" s="645" t="s">
        <v>1561</v>
      </c>
      <c r="E548" s="646" t="s">
        <v>1562</v>
      </c>
      <c r="F548" s="175"/>
      <c r="G548" s="175"/>
      <c r="H548" s="175"/>
      <c r="I548" s="175"/>
      <c r="J548" s="132"/>
      <c r="K548" s="132"/>
      <c r="L548" s="132"/>
      <c r="M548" s="132"/>
      <c r="N548" s="132"/>
      <c r="O548" s="132"/>
      <c r="P548" s="132"/>
      <c r="Q548" s="132"/>
      <c r="R548" s="132"/>
      <c r="S548" s="132"/>
      <c r="T548" s="132"/>
      <c r="U548" s="132"/>
      <c r="V548" s="132"/>
      <c r="W548" s="132"/>
      <c r="X548" s="132"/>
      <c r="Y548" s="132"/>
      <c r="Z548" s="132"/>
      <c r="AA548" s="132"/>
      <c r="AB548" s="132"/>
      <c r="AC548" s="132"/>
    </row>
    <row r="549" ht="24.75" hidden="1" customHeight="1" outlineLevel="1">
      <c r="A549" s="551">
        <v>45415.0</v>
      </c>
      <c r="B549" s="507" t="s">
        <v>38</v>
      </c>
      <c r="C549" s="507" t="s">
        <v>1221</v>
      </c>
      <c r="D549" s="642" t="s">
        <v>1552</v>
      </c>
      <c r="E549" s="573" t="s">
        <v>1235</v>
      </c>
      <c r="F549" s="175"/>
      <c r="G549" s="175"/>
      <c r="H549" s="175"/>
      <c r="I549" s="132"/>
      <c r="J549" s="132"/>
      <c r="K549" s="132"/>
      <c r="L549" s="132"/>
      <c r="M549" s="132"/>
      <c r="N549" s="132"/>
      <c r="O549" s="132"/>
      <c r="P549" s="132"/>
      <c r="Q549" s="132"/>
      <c r="R549" s="132"/>
      <c r="S549" s="132"/>
      <c r="T549" s="132"/>
      <c r="U549" s="132"/>
      <c r="V549" s="132"/>
      <c r="W549" s="132"/>
      <c r="X549" s="132"/>
      <c r="Y549" s="132"/>
      <c r="Z549" s="132"/>
      <c r="AA549" s="132"/>
      <c r="AB549" s="132"/>
      <c r="AC549" s="132"/>
    </row>
    <row r="550" hidden="1" outlineLevel="1">
      <c r="A550" s="551">
        <v>45416.0</v>
      </c>
      <c r="B550" s="606" t="s">
        <v>1210</v>
      </c>
      <c r="C550" s="626" t="s">
        <v>1563</v>
      </c>
      <c r="D550" s="645" t="s">
        <v>1564</v>
      </c>
      <c r="E550" s="646" t="s">
        <v>1562</v>
      </c>
      <c r="F550" s="175"/>
      <c r="G550" s="175"/>
      <c r="H550" s="175" t="s">
        <v>1565</v>
      </c>
      <c r="I550" s="175"/>
      <c r="J550" s="132"/>
      <c r="K550" s="132"/>
      <c r="L550" s="132"/>
      <c r="M550" s="132"/>
      <c r="N550" s="132"/>
      <c r="O550" s="132"/>
      <c r="P550" s="132"/>
      <c r="Q550" s="132"/>
      <c r="R550" s="132"/>
      <c r="S550" s="132"/>
      <c r="T550" s="132"/>
      <c r="U550" s="132"/>
      <c r="V550" s="132"/>
      <c r="W550" s="132"/>
      <c r="X550" s="132"/>
      <c r="Y550" s="132"/>
      <c r="Z550" s="132"/>
      <c r="AA550" s="132"/>
      <c r="AB550" s="132"/>
      <c r="AC550" s="132"/>
    </row>
    <row r="551" ht="24.75" hidden="1" customHeight="1" outlineLevel="1">
      <c r="A551" s="551">
        <v>45416.0</v>
      </c>
      <c r="B551" s="606" t="s">
        <v>1213</v>
      </c>
      <c r="C551" s="626" t="s">
        <v>1566</v>
      </c>
      <c r="D551" s="645" t="s">
        <v>1567</v>
      </c>
      <c r="E551" s="646" t="s">
        <v>1562</v>
      </c>
      <c r="F551" s="635"/>
      <c r="G551" s="635"/>
      <c r="H551" s="635"/>
      <c r="I551" s="132"/>
      <c r="J551" s="132"/>
      <c r="K551" s="132"/>
      <c r="L551" s="132"/>
      <c r="M551" s="132"/>
      <c r="N551" s="132"/>
      <c r="O551" s="132"/>
      <c r="P551" s="132"/>
      <c r="Q551" s="132"/>
      <c r="R551" s="132"/>
      <c r="S551" s="132"/>
      <c r="T551" s="132"/>
      <c r="U551" s="132"/>
      <c r="V551" s="132"/>
      <c r="W551" s="132"/>
      <c r="X551" s="132"/>
      <c r="Y551" s="132"/>
      <c r="Z551" s="132"/>
      <c r="AA551" s="132"/>
      <c r="AB551" s="132"/>
      <c r="AC551" s="132"/>
    </row>
    <row r="552" ht="24.75" hidden="1" customHeight="1" outlineLevel="1">
      <c r="A552" s="551">
        <v>45416.0</v>
      </c>
      <c r="B552" s="507" t="s">
        <v>1209</v>
      </c>
      <c r="C552" s="626" t="s">
        <v>1221</v>
      </c>
      <c r="D552" s="645" t="s">
        <v>1242</v>
      </c>
      <c r="E552" s="573" t="s">
        <v>1235</v>
      </c>
      <c r="F552" s="19"/>
      <c r="G552" s="19"/>
      <c r="H552" s="19" t="s">
        <v>1568</v>
      </c>
      <c r="I552" s="132"/>
      <c r="J552" s="132"/>
      <c r="K552" s="132"/>
      <c r="L552" s="132"/>
      <c r="M552" s="132"/>
      <c r="N552" s="132"/>
      <c r="O552" s="132"/>
      <c r="P552" s="132"/>
      <c r="Q552" s="132"/>
      <c r="R552" s="132"/>
      <c r="S552" s="132"/>
      <c r="T552" s="132"/>
      <c r="U552" s="132"/>
      <c r="V552" s="132"/>
      <c r="W552" s="132"/>
      <c r="X552" s="132"/>
      <c r="Y552" s="132"/>
      <c r="Z552" s="132"/>
      <c r="AA552" s="132"/>
      <c r="AB552" s="132"/>
      <c r="AC552" s="132"/>
    </row>
    <row r="553" ht="24.75" hidden="1" customHeight="1" outlineLevel="1">
      <c r="A553" s="551">
        <v>45417.0</v>
      </c>
      <c r="B553" s="507" t="s">
        <v>1187</v>
      </c>
      <c r="C553" s="511" t="s">
        <v>1556</v>
      </c>
      <c r="D553" s="645" t="s">
        <v>1569</v>
      </c>
      <c r="E553" s="646" t="s">
        <v>1562</v>
      </c>
      <c r="F553" s="635"/>
      <c r="G553" s="635"/>
      <c r="H553" s="635"/>
      <c r="I553" s="132"/>
      <c r="J553" s="132"/>
      <c r="K553" s="132"/>
      <c r="L553" s="132"/>
      <c r="M553" s="132"/>
      <c r="N553" s="132"/>
      <c r="O553" s="132"/>
      <c r="P553" s="132"/>
      <c r="Q553" s="132"/>
      <c r="R553" s="132"/>
      <c r="S553" s="132"/>
      <c r="T553" s="132"/>
      <c r="U553" s="132"/>
      <c r="V553" s="132"/>
      <c r="W553" s="132"/>
      <c r="X553" s="132"/>
      <c r="Y553" s="132"/>
      <c r="Z553" s="132"/>
      <c r="AA553" s="132"/>
      <c r="AB553" s="132"/>
      <c r="AC553" s="132"/>
    </row>
    <row r="554" ht="24.75" hidden="1" customHeight="1" outlineLevel="1">
      <c r="A554" s="539">
        <v>45417.0</v>
      </c>
      <c r="B554" s="540" t="s">
        <v>1246</v>
      </c>
      <c r="C554" s="632" t="s">
        <v>1522</v>
      </c>
      <c r="D554" s="647" t="s">
        <v>1570</v>
      </c>
      <c r="E554" s="633" t="s">
        <v>1571</v>
      </c>
      <c r="F554" s="635"/>
      <c r="G554" s="635"/>
      <c r="H554" s="635"/>
      <c r="I554" s="175"/>
      <c r="J554" s="132"/>
      <c r="K554" s="132"/>
      <c r="L554" s="132"/>
      <c r="M554" s="132"/>
      <c r="N554" s="132"/>
      <c r="O554" s="132"/>
      <c r="P554" s="132"/>
      <c r="Q554" s="132"/>
      <c r="R554" s="132"/>
      <c r="S554" s="132"/>
      <c r="T554" s="132"/>
      <c r="U554" s="132"/>
      <c r="V554" s="132"/>
      <c r="W554" s="132"/>
      <c r="X554" s="132"/>
      <c r="Y554" s="132"/>
      <c r="Z554" s="132"/>
      <c r="AA554" s="132"/>
      <c r="AB554" s="132"/>
      <c r="AC554" s="132"/>
    </row>
    <row r="555" ht="24.75" hidden="1" customHeight="1" outlineLevel="1">
      <c r="A555" s="551">
        <v>45417.0</v>
      </c>
      <c r="B555" s="507" t="s">
        <v>1189</v>
      </c>
      <c r="C555" s="626" t="s">
        <v>1259</v>
      </c>
      <c r="D555" s="645" t="s">
        <v>1567</v>
      </c>
      <c r="E555" s="646" t="s">
        <v>1562</v>
      </c>
      <c r="F555" s="635"/>
      <c r="G555" s="635"/>
      <c r="H555" s="635"/>
      <c r="I555" s="175"/>
      <c r="J555" s="132"/>
      <c r="K555" s="132"/>
      <c r="L555" s="132"/>
      <c r="M555" s="132"/>
      <c r="N555" s="132"/>
      <c r="O555" s="132"/>
      <c r="P555" s="132"/>
      <c r="Q555" s="132"/>
      <c r="R555" s="132"/>
      <c r="S555" s="132"/>
      <c r="T555" s="132"/>
      <c r="U555" s="132"/>
      <c r="V555" s="132"/>
      <c r="W555" s="132"/>
      <c r="X555" s="132"/>
      <c r="Y555" s="132"/>
      <c r="Z555" s="132"/>
      <c r="AA555" s="132"/>
      <c r="AB555" s="132"/>
      <c r="AC555" s="132"/>
    </row>
    <row r="556" ht="24.75" hidden="1" customHeight="1" outlineLevel="1">
      <c r="A556" s="551">
        <v>45418.0</v>
      </c>
      <c r="B556" s="507" t="s">
        <v>1249</v>
      </c>
      <c r="C556" s="626" t="s">
        <v>1566</v>
      </c>
      <c r="D556" s="645" t="s">
        <v>1567</v>
      </c>
      <c r="E556" s="646" t="s">
        <v>1562</v>
      </c>
      <c r="F556" s="635"/>
      <c r="G556" s="635"/>
      <c r="H556" s="635"/>
      <c r="I556" s="132"/>
      <c r="J556" s="132"/>
      <c r="K556" s="132"/>
      <c r="L556" s="132"/>
      <c r="M556" s="132"/>
      <c r="N556" s="132"/>
      <c r="O556" s="132"/>
      <c r="P556" s="132"/>
      <c r="Q556" s="132"/>
      <c r="R556" s="132"/>
      <c r="S556" s="132"/>
      <c r="T556" s="132"/>
      <c r="U556" s="132"/>
      <c r="V556" s="132"/>
      <c r="W556" s="132"/>
      <c r="X556" s="132"/>
      <c r="Y556" s="132"/>
      <c r="Z556" s="132"/>
      <c r="AA556" s="132"/>
      <c r="AB556" s="132"/>
      <c r="AC556" s="132"/>
    </row>
    <row r="557" hidden="1" outlineLevel="1">
      <c r="A557" s="551">
        <v>45418.0</v>
      </c>
      <c r="B557" s="507" t="s">
        <v>1271</v>
      </c>
      <c r="C557" s="531" t="s">
        <v>1451</v>
      </c>
      <c r="D557" s="648" t="s">
        <v>1572</v>
      </c>
      <c r="E557" s="646" t="s">
        <v>1562</v>
      </c>
      <c r="F557" s="635"/>
      <c r="G557" s="635"/>
      <c r="H557" s="635" t="s">
        <v>1525</v>
      </c>
      <c r="I557" s="175" t="s">
        <v>1474</v>
      </c>
      <c r="J557" s="132"/>
      <c r="K557" s="132"/>
      <c r="L557" s="132"/>
      <c r="M557" s="132"/>
      <c r="N557" s="132"/>
      <c r="O557" s="132"/>
      <c r="P557" s="132"/>
      <c r="Q557" s="132"/>
      <c r="R557" s="132"/>
      <c r="S557" s="132"/>
      <c r="T557" s="132"/>
      <c r="U557" s="132"/>
      <c r="V557" s="132"/>
      <c r="W557" s="132"/>
      <c r="X557" s="132"/>
      <c r="Y557" s="132"/>
      <c r="Z557" s="132"/>
      <c r="AA557" s="132"/>
      <c r="AB557" s="132"/>
      <c r="AC557" s="132"/>
    </row>
    <row r="558" hidden="1" outlineLevel="1">
      <c r="A558" s="551">
        <v>45418.0</v>
      </c>
      <c r="B558" s="507" t="s">
        <v>1274</v>
      </c>
      <c r="C558" s="531" t="s">
        <v>1451</v>
      </c>
      <c r="D558" s="648" t="s">
        <v>1572</v>
      </c>
      <c r="E558" s="646" t="s">
        <v>1562</v>
      </c>
      <c r="F558" s="635"/>
      <c r="G558" s="635"/>
      <c r="H558" s="635" t="s">
        <v>1525</v>
      </c>
      <c r="I558" s="175" t="s">
        <v>1475</v>
      </c>
      <c r="J558" s="132"/>
      <c r="K558" s="132"/>
      <c r="L558" s="132"/>
      <c r="M558" s="132"/>
      <c r="N558" s="132"/>
      <c r="O558" s="132"/>
      <c r="P558" s="132"/>
      <c r="Q558" s="132"/>
      <c r="R558" s="132"/>
      <c r="S558" s="132"/>
      <c r="T558" s="132"/>
      <c r="U558" s="132"/>
      <c r="V558" s="132"/>
      <c r="W558" s="132"/>
      <c r="X558" s="132"/>
      <c r="Y558" s="132"/>
      <c r="Z558" s="132"/>
      <c r="AA558" s="132"/>
      <c r="AB558" s="132"/>
      <c r="AC558" s="132"/>
    </row>
    <row r="559" ht="24.75" hidden="1" customHeight="1" outlineLevel="1">
      <c r="A559" s="551">
        <v>45418.0</v>
      </c>
      <c r="B559" s="507" t="s">
        <v>629</v>
      </c>
      <c r="C559" s="507" t="s">
        <v>1221</v>
      </c>
      <c r="D559" s="642" t="s">
        <v>1550</v>
      </c>
      <c r="E559" s="573" t="s">
        <v>1235</v>
      </c>
      <c r="F559" s="175"/>
      <c r="G559" s="175"/>
      <c r="H559" s="175" t="s">
        <v>1452</v>
      </c>
      <c r="I559" s="132"/>
      <c r="J559" s="132"/>
      <c r="K559" s="132"/>
      <c r="L559" s="132"/>
      <c r="M559" s="132"/>
      <c r="N559" s="132"/>
      <c r="O559" s="132"/>
      <c r="P559" s="132"/>
      <c r="Q559" s="132"/>
      <c r="R559" s="132"/>
      <c r="S559" s="132"/>
      <c r="T559" s="132"/>
      <c r="U559" s="132"/>
      <c r="V559" s="132"/>
      <c r="W559" s="132"/>
      <c r="X559" s="132"/>
      <c r="Y559" s="132"/>
      <c r="Z559" s="132"/>
      <c r="AA559" s="132"/>
      <c r="AB559" s="132"/>
      <c r="AC559" s="132"/>
    </row>
    <row r="560" ht="24.75" hidden="1" customHeight="1" outlineLevel="1">
      <c r="A560" s="551">
        <v>45418.0</v>
      </c>
      <c r="B560" s="649" t="s">
        <v>1526</v>
      </c>
      <c r="C560" s="626" t="s">
        <v>1259</v>
      </c>
      <c r="D560" s="650" t="s">
        <v>1573</v>
      </c>
      <c r="E560" s="573" t="s">
        <v>1235</v>
      </c>
      <c r="F560" s="132"/>
      <c r="G560" s="132"/>
      <c r="H560" s="132"/>
      <c r="I560" s="132"/>
      <c r="J560" s="132"/>
      <c r="K560" s="132"/>
      <c r="L560" s="132"/>
      <c r="M560" s="132"/>
      <c r="N560" s="132"/>
      <c r="O560" s="132"/>
      <c r="P560" s="132"/>
      <c r="Q560" s="132"/>
      <c r="R560" s="132"/>
      <c r="S560" s="132"/>
      <c r="T560" s="132"/>
      <c r="U560" s="132"/>
      <c r="V560" s="132"/>
      <c r="W560" s="132"/>
      <c r="X560" s="132"/>
      <c r="Y560" s="132"/>
      <c r="Z560" s="132"/>
      <c r="AA560" s="132"/>
      <c r="AB560" s="132"/>
      <c r="AC560" s="132"/>
    </row>
    <row r="561" ht="24.75" hidden="1" customHeight="1" outlineLevel="1">
      <c r="A561" s="551">
        <v>45419.0</v>
      </c>
      <c r="B561" s="606" t="s">
        <v>38</v>
      </c>
      <c r="C561" s="507" t="s">
        <v>1221</v>
      </c>
      <c r="D561" s="642" t="s">
        <v>1552</v>
      </c>
      <c r="E561" s="573" t="s">
        <v>1235</v>
      </c>
      <c r="F561" s="175"/>
      <c r="G561" s="175"/>
      <c r="H561" s="175"/>
      <c r="I561" s="132"/>
      <c r="J561" s="132"/>
      <c r="K561" s="132"/>
      <c r="L561" s="132"/>
      <c r="M561" s="132"/>
      <c r="N561" s="132"/>
      <c r="O561" s="132"/>
      <c r="P561" s="132"/>
      <c r="Q561" s="132"/>
      <c r="R561" s="132"/>
      <c r="S561" s="132"/>
      <c r="T561" s="132"/>
      <c r="U561" s="132"/>
      <c r="V561" s="132"/>
      <c r="W561" s="132"/>
      <c r="X561" s="132"/>
      <c r="Y561" s="132"/>
      <c r="Z561" s="132"/>
      <c r="AA561" s="132"/>
      <c r="AB561" s="132"/>
      <c r="AC561" s="132"/>
    </row>
    <row r="562" ht="24.75" hidden="1" customHeight="1" outlineLevel="1">
      <c r="A562" s="551">
        <v>45419.0</v>
      </c>
      <c r="B562" s="507" t="s">
        <v>1232</v>
      </c>
      <c r="C562" s="643" t="s">
        <v>1574</v>
      </c>
      <c r="D562" s="642" t="s">
        <v>1180</v>
      </c>
      <c r="E562" s="573" t="s">
        <v>1235</v>
      </c>
      <c r="F562" s="132"/>
      <c r="G562" s="132"/>
      <c r="H562" s="132"/>
      <c r="I562" s="175" t="s">
        <v>1439</v>
      </c>
      <c r="J562" s="132"/>
      <c r="K562" s="132"/>
      <c r="L562" s="132"/>
      <c r="M562" s="132"/>
      <c r="N562" s="132"/>
      <c r="O562" s="132"/>
      <c r="P562" s="132"/>
      <c r="Q562" s="132"/>
      <c r="R562" s="132"/>
      <c r="S562" s="132"/>
      <c r="T562" s="132"/>
      <c r="U562" s="132"/>
      <c r="V562" s="132"/>
      <c r="W562" s="132"/>
      <c r="X562" s="132"/>
      <c r="Y562" s="132"/>
      <c r="Z562" s="132"/>
      <c r="AA562" s="132"/>
      <c r="AB562" s="132"/>
      <c r="AC562" s="132"/>
    </row>
    <row r="563" ht="24.75" hidden="1" customHeight="1" outlineLevel="1">
      <c r="A563" s="551">
        <v>45419.0</v>
      </c>
      <c r="B563" s="507" t="s">
        <v>1325</v>
      </c>
      <c r="C563" s="531" t="s">
        <v>1221</v>
      </c>
      <c r="D563" s="642" t="s">
        <v>1180</v>
      </c>
      <c r="E563" s="573" t="s">
        <v>1235</v>
      </c>
      <c r="F563" s="175"/>
      <c r="G563" s="175"/>
      <c r="H563" s="175" t="s">
        <v>1555</v>
      </c>
      <c r="I563" s="132"/>
      <c r="J563" s="132"/>
      <c r="K563" s="132"/>
      <c r="L563" s="132"/>
      <c r="M563" s="132"/>
      <c r="N563" s="132"/>
      <c r="O563" s="132"/>
      <c r="P563" s="132"/>
      <c r="Q563" s="132"/>
      <c r="R563" s="132"/>
      <c r="S563" s="132"/>
      <c r="T563" s="132"/>
      <c r="U563" s="132"/>
      <c r="V563" s="132"/>
      <c r="W563" s="132"/>
      <c r="X563" s="132"/>
      <c r="Y563" s="132"/>
      <c r="Z563" s="132"/>
      <c r="AA563" s="132"/>
      <c r="AB563" s="132"/>
      <c r="AC563" s="132"/>
    </row>
    <row r="564" ht="24.75" hidden="1" customHeight="1" outlineLevel="1">
      <c r="A564" s="551">
        <v>45419.0</v>
      </c>
      <c r="B564" s="606" t="s">
        <v>1254</v>
      </c>
      <c r="C564" s="511" t="s">
        <v>1556</v>
      </c>
      <c r="D564" s="645" t="s">
        <v>1569</v>
      </c>
      <c r="E564" s="646" t="s">
        <v>1562</v>
      </c>
      <c r="F564" s="132"/>
      <c r="G564" s="132"/>
      <c r="H564" s="132"/>
      <c r="I564" s="132"/>
      <c r="J564" s="132"/>
      <c r="K564" s="132"/>
      <c r="L564" s="132"/>
      <c r="M564" s="132"/>
      <c r="N564" s="132"/>
      <c r="O564" s="132"/>
      <c r="P564" s="132"/>
      <c r="Q564" s="132"/>
      <c r="R564" s="132"/>
      <c r="S564" s="132"/>
      <c r="T564" s="132"/>
      <c r="U564" s="132"/>
      <c r="V564" s="132"/>
      <c r="W564" s="132"/>
      <c r="X564" s="132"/>
      <c r="Y564" s="132"/>
      <c r="Z564" s="132"/>
      <c r="AA564" s="132"/>
      <c r="AB564" s="132"/>
      <c r="AC564" s="132"/>
    </row>
    <row r="565" ht="24.75" hidden="1" customHeight="1" outlineLevel="1">
      <c r="A565" s="551">
        <v>45419.0</v>
      </c>
      <c r="B565" s="507" t="s">
        <v>236</v>
      </c>
      <c r="C565" s="531" t="s">
        <v>1221</v>
      </c>
      <c r="D565" s="642" t="s">
        <v>1558</v>
      </c>
      <c r="E565" s="573" t="s">
        <v>1235</v>
      </c>
      <c r="F565" s="132"/>
      <c r="G565" s="132"/>
      <c r="H565" s="132"/>
      <c r="I565" s="132"/>
      <c r="J565" s="132"/>
      <c r="K565" s="132"/>
      <c r="L565" s="132"/>
      <c r="M565" s="132"/>
      <c r="N565" s="132"/>
      <c r="O565" s="132"/>
      <c r="P565" s="132"/>
      <c r="Q565" s="132"/>
      <c r="R565" s="132"/>
      <c r="S565" s="132"/>
      <c r="T565" s="132"/>
      <c r="U565" s="132"/>
      <c r="V565" s="132"/>
      <c r="W565" s="132"/>
      <c r="X565" s="132"/>
      <c r="Y565" s="132"/>
      <c r="Z565" s="132"/>
      <c r="AA565" s="132"/>
      <c r="AB565" s="132"/>
      <c r="AC565" s="132"/>
    </row>
    <row r="566" ht="24.75" hidden="1" customHeight="1" outlineLevel="1">
      <c r="A566" s="551">
        <v>45421.0</v>
      </c>
      <c r="B566" s="651" t="s">
        <v>1537</v>
      </c>
      <c r="C566" s="626" t="s">
        <v>1259</v>
      </c>
      <c r="D566" s="645" t="s">
        <v>1575</v>
      </c>
      <c r="E566" s="646" t="s">
        <v>1562</v>
      </c>
      <c r="F566" s="132"/>
      <c r="G566" s="132"/>
      <c r="H566" s="132"/>
      <c r="I566" s="132"/>
      <c r="J566" s="132"/>
      <c r="K566" s="132"/>
      <c r="L566" s="132"/>
      <c r="M566" s="132"/>
      <c r="N566" s="132"/>
      <c r="O566" s="132"/>
      <c r="P566" s="132"/>
      <c r="Q566" s="132"/>
      <c r="R566" s="132"/>
      <c r="S566" s="132"/>
      <c r="T566" s="132"/>
      <c r="U566" s="132"/>
      <c r="V566" s="132"/>
      <c r="W566" s="132"/>
      <c r="X566" s="132"/>
      <c r="Y566" s="132"/>
      <c r="Z566" s="132"/>
      <c r="AA566" s="132"/>
      <c r="AB566" s="132"/>
      <c r="AC566" s="132"/>
    </row>
    <row r="567" ht="24.75" hidden="1" customHeight="1" outlineLevel="1">
      <c r="A567" s="175" t="s">
        <v>1576</v>
      </c>
      <c r="B567" s="132"/>
      <c r="C567" s="132"/>
      <c r="D567" s="132"/>
      <c r="E567" s="496"/>
      <c r="F567" s="132"/>
      <c r="G567" s="132"/>
      <c r="H567" s="132"/>
      <c r="I567" s="132"/>
      <c r="J567" s="132"/>
      <c r="K567" s="132"/>
      <c r="L567" s="132"/>
      <c r="M567" s="132"/>
      <c r="N567" s="132"/>
      <c r="O567" s="132"/>
      <c r="P567" s="132"/>
      <c r="Q567" s="132"/>
      <c r="R567" s="132"/>
      <c r="S567" s="132"/>
      <c r="T567" s="132"/>
      <c r="U567" s="132"/>
      <c r="V567" s="132"/>
      <c r="W567" s="132"/>
      <c r="X567" s="132"/>
      <c r="Y567" s="132"/>
      <c r="Z567" s="132"/>
      <c r="AA567" s="132"/>
      <c r="AB567" s="132"/>
      <c r="AC567" s="132"/>
    </row>
    <row r="568" ht="24.75" customHeight="1">
      <c r="A568" s="132"/>
      <c r="B568" s="132"/>
      <c r="C568" s="132"/>
      <c r="D568" s="132"/>
      <c r="E568" s="496"/>
      <c r="F568" s="132"/>
      <c r="G568" s="132"/>
      <c r="H568" s="132"/>
      <c r="I568" s="132"/>
      <c r="J568" s="132"/>
      <c r="K568" s="132"/>
      <c r="L568" s="132"/>
      <c r="M568" s="132"/>
      <c r="N568" s="132"/>
      <c r="O568" s="132"/>
      <c r="P568" s="132"/>
      <c r="Q568" s="132"/>
      <c r="R568" s="132"/>
      <c r="S568" s="132"/>
      <c r="T568" s="132"/>
      <c r="U568" s="132"/>
      <c r="V568" s="132"/>
      <c r="W568" s="132"/>
      <c r="X568" s="132"/>
      <c r="Y568" s="132"/>
      <c r="Z568" s="132"/>
      <c r="AA568" s="132"/>
      <c r="AB568" s="132"/>
      <c r="AC568" s="132"/>
    </row>
    <row r="569" ht="24.75" customHeight="1" collapsed="1">
      <c r="A569" s="652" t="s">
        <v>1577</v>
      </c>
      <c r="B569" s="519"/>
      <c r="C569" s="519"/>
      <c r="D569" s="519"/>
      <c r="E569" s="519"/>
      <c r="F569" s="273"/>
      <c r="G569" s="273"/>
      <c r="H569" s="273"/>
      <c r="I569" s="273"/>
      <c r="J569" s="273"/>
      <c r="K569" s="273"/>
      <c r="L569" s="273"/>
      <c r="M569" s="273"/>
      <c r="N569" s="273"/>
      <c r="O569" s="273"/>
      <c r="P569" s="273"/>
      <c r="Q569" s="273"/>
      <c r="R569" s="273"/>
      <c r="S569" s="273"/>
      <c r="T569" s="273"/>
      <c r="U569" s="273"/>
      <c r="V569" s="273"/>
      <c r="W569" s="273"/>
      <c r="X569" s="273"/>
      <c r="Y569" s="273"/>
      <c r="Z569" s="273"/>
      <c r="AA569" s="273"/>
      <c r="AB569" s="273"/>
      <c r="AC569" s="273"/>
    </row>
    <row r="570" ht="24.75" hidden="1" customHeight="1" outlineLevel="1">
      <c r="A570" s="533" t="s">
        <v>1166</v>
      </c>
      <c r="B570" s="534" t="s">
        <v>1117</v>
      </c>
      <c r="C570" s="534" t="s">
        <v>1167</v>
      </c>
      <c r="D570" s="534" t="s">
        <v>1168</v>
      </c>
      <c r="E570" s="653" t="s">
        <v>1546</v>
      </c>
      <c r="F570" s="273"/>
      <c r="G570" s="273"/>
      <c r="H570" s="273"/>
      <c r="I570" s="273"/>
      <c r="J570" s="273"/>
      <c r="K570" s="273"/>
      <c r="L570" s="273"/>
      <c r="M570" s="273"/>
      <c r="N570" s="273"/>
      <c r="O570" s="273"/>
      <c r="P570" s="273"/>
      <c r="Q570" s="273"/>
      <c r="R570" s="273"/>
      <c r="S570" s="273"/>
      <c r="T570" s="273"/>
      <c r="U570" s="273"/>
      <c r="V570" s="273"/>
      <c r="W570" s="273"/>
      <c r="X570" s="273"/>
      <c r="Y570" s="273"/>
      <c r="Z570" s="273"/>
      <c r="AA570" s="273"/>
      <c r="AB570" s="273"/>
      <c r="AC570" s="273"/>
    </row>
    <row r="571" ht="24.75" hidden="1" customHeight="1" outlineLevel="1">
      <c r="A571" s="654">
        <v>45488.0</v>
      </c>
      <c r="B571" s="655" t="s">
        <v>1249</v>
      </c>
      <c r="C571" s="656" t="s">
        <v>1578</v>
      </c>
      <c r="D571" s="657" t="s">
        <v>1579</v>
      </c>
      <c r="E571" s="625" t="s">
        <v>1235</v>
      </c>
      <c r="F571" s="273"/>
      <c r="G571" s="273"/>
      <c r="H571" s="273"/>
      <c r="I571" s="273"/>
      <c r="J571" s="273"/>
      <c r="K571" s="273"/>
      <c r="L571" s="273"/>
      <c r="M571" s="273"/>
      <c r="N571" s="273"/>
      <c r="O571" s="273"/>
      <c r="P571" s="273"/>
      <c r="Q571" s="273"/>
      <c r="R571" s="273"/>
      <c r="S571" s="273"/>
      <c r="T571" s="273"/>
      <c r="U571" s="273"/>
      <c r="V571" s="273"/>
      <c r="W571" s="273"/>
      <c r="X571" s="273"/>
      <c r="Y571" s="273"/>
      <c r="Z571" s="273"/>
      <c r="AA571" s="273"/>
      <c r="AB571" s="273"/>
      <c r="AC571" s="273"/>
    </row>
    <row r="572" ht="24.75" hidden="1" customHeight="1" outlineLevel="1">
      <c r="A572" s="654">
        <v>45488.0</v>
      </c>
      <c r="B572" s="655" t="s">
        <v>1526</v>
      </c>
      <c r="C572" s="629" t="s">
        <v>1239</v>
      </c>
      <c r="D572" s="658" t="s">
        <v>1580</v>
      </c>
      <c r="E572" s="625" t="s">
        <v>1235</v>
      </c>
      <c r="F572" s="273"/>
      <c r="G572" s="273"/>
      <c r="H572" s="273"/>
      <c r="I572" s="273"/>
      <c r="J572" s="273"/>
      <c r="K572" s="273"/>
      <c r="L572" s="273"/>
      <c r="M572" s="273"/>
      <c r="N572" s="273"/>
      <c r="O572" s="273"/>
      <c r="P572" s="273"/>
      <c r="Q572" s="273"/>
      <c r="R572" s="273"/>
      <c r="S572" s="273"/>
      <c r="T572" s="273"/>
      <c r="U572" s="273"/>
      <c r="V572" s="273"/>
      <c r="W572" s="273"/>
      <c r="X572" s="273"/>
      <c r="Y572" s="273"/>
      <c r="Z572" s="273"/>
      <c r="AA572" s="273"/>
      <c r="AB572" s="273"/>
      <c r="AC572" s="273"/>
    </row>
    <row r="573" ht="24.75" hidden="1" customHeight="1" outlineLevel="1">
      <c r="A573" s="654">
        <v>45488.0</v>
      </c>
      <c r="B573" s="629" t="s">
        <v>629</v>
      </c>
      <c r="C573" s="629" t="s">
        <v>1221</v>
      </c>
      <c r="D573" s="659" t="s">
        <v>1550</v>
      </c>
      <c r="E573" s="625" t="s">
        <v>1235</v>
      </c>
      <c r="F573" s="558"/>
      <c r="G573" s="558"/>
      <c r="H573" s="558" t="s">
        <v>1320</v>
      </c>
      <c r="I573" s="273"/>
      <c r="J573" s="273"/>
      <c r="K573" s="273"/>
      <c r="L573" s="273"/>
      <c r="M573" s="273"/>
      <c r="N573" s="273"/>
      <c r="O573" s="273"/>
      <c r="P573" s="273"/>
      <c r="Q573" s="273"/>
      <c r="R573" s="273"/>
      <c r="S573" s="273"/>
      <c r="T573" s="273"/>
      <c r="U573" s="273"/>
      <c r="V573" s="273"/>
      <c r="W573" s="273"/>
      <c r="X573" s="273"/>
      <c r="Y573" s="273"/>
      <c r="Z573" s="273"/>
      <c r="AA573" s="273"/>
      <c r="AB573" s="273"/>
      <c r="AC573" s="273"/>
    </row>
    <row r="574" ht="24.75" hidden="1" customHeight="1" outlineLevel="1">
      <c r="A574" s="654">
        <v>45488.0</v>
      </c>
      <c r="B574" s="629" t="s">
        <v>1217</v>
      </c>
      <c r="C574" s="629" t="s">
        <v>1451</v>
      </c>
      <c r="D574" s="657" t="s">
        <v>1581</v>
      </c>
      <c r="E574" s="625" t="s">
        <v>1235</v>
      </c>
      <c r="F574" s="273"/>
      <c r="G574" s="273"/>
      <c r="H574" s="273" t="s">
        <v>1240</v>
      </c>
      <c r="I574" s="273"/>
      <c r="J574" s="273"/>
      <c r="K574" s="273"/>
      <c r="L574" s="273"/>
      <c r="M574" s="273"/>
      <c r="N574" s="273"/>
      <c r="O574" s="273"/>
      <c r="P574" s="273"/>
      <c r="Q574" s="273"/>
      <c r="R574" s="273"/>
      <c r="S574" s="273"/>
      <c r="T574" s="273"/>
      <c r="U574" s="273"/>
      <c r="V574" s="273"/>
      <c r="W574" s="273"/>
      <c r="X574" s="273"/>
      <c r="Y574" s="273"/>
      <c r="Z574" s="273"/>
      <c r="AA574" s="273"/>
      <c r="AB574" s="273"/>
      <c r="AC574" s="273"/>
    </row>
    <row r="575" ht="24.75" hidden="1" customHeight="1" outlineLevel="1">
      <c r="A575" s="654">
        <v>45489.0</v>
      </c>
      <c r="B575" s="655" t="s">
        <v>38</v>
      </c>
      <c r="C575" s="629" t="s">
        <v>1221</v>
      </c>
      <c r="D575" s="659" t="s">
        <v>1552</v>
      </c>
      <c r="E575" s="625" t="s">
        <v>1235</v>
      </c>
      <c r="F575" s="273"/>
      <c r="G575" s="273"/>
      <c r="H575" s="273"/>
      <c r="I575" s="273"/>
      <c r="J575" s="273"/>
      <c r="K575" s="273"/>
      <c r="L575" s="273"/>
      <c r="M575" s="273"/>
      <c r="N575" s="273"/>
      <c r="O575" s="273"/>
      <c r="P575" s="273"/>
      <c r="Q575" s="273"/>
      <c r="R575" s="273"/>
      <c r="S575" s="273"/>
      <c r="T575" s="273"/>
      <c r="U575" s="273"/>
      <c r="V575" s="273"/>
      <c r="W575" s="273"/>
      <c r="X575" s="273"/>
      <c r="Y575" s="273"/>
      <c r="Z575" s="273"/>
      <c r="AA575" s="273"/>
      <c r="AB575" s="273"/>
      <c r="AC575" s="273"/>
    </row>
    <row r="576" ht="24.75" hidden="1" customHeight="1" outlineLevel="1">
      <c r="A576" s="654">
        <v>45489.0</v>
      </c>
      <c r="B576" s="629" t="s">
        <v>1232</v>
      </c>
      <c r="C576" s="660" t="s">
        <v>1582</v>
      </c>
      <c r="D576" s="659" t="s">
        <v>1180</v>
      </c>
      <c r="E576" s="625" t="s">
        <v>1235</v>
      </c>
      <c r="F576" s="558"/>
      <c r="G576" s="558"/>
      <c r="H576" s="558" t="s">
        <v>1554</v>
      </c>
      <c r="I576" s="273"/>
      <c r="J576" s="273"/>
      <c r="K576" s="273"/>
      <c r="L576" s="273"/>
      <c r="M576" s="273"/>
      <c r="N576" s="273"/>
      <c r="O576" s="273"/>
      <c r="P576" s="273"/>
      <c r="Q576" s="273"/>
      <c r="R576" s="273"/>
      <c r="S576" s="273"/>
      <c r="T576" s="273"/>
      <c r="U576" s="273"/>
      <c r="V576" s="273"/>
      <c r="W576" s="273"/>
      <c r="X576" s="273"/>
      <c r="Y576" s="273"/>
      <c r="Z576" s="273"/>
      <c r="AA576" s="273"/>
      <c r="AB576" s="273"/>
      <c r="AC576" s="273"/>
    </row>
    <row r="577" ht="24.75" hidden="1" customHeight="1" outlineLevel="1">
      <c r="A577" s="654">
        <v>45489.0</v>
      </c>
      <c r="B577" s="629" t="s">
        <v>1325</v>
      </c>
      <c r="C577" s="629" t="s">
        <v>1221</v>
      </c>
      <c r="D577" s="659" t="s">
        <v>1180</v>
      </c>
      <c r="E577" s="625" t="s">
        <v>1235</v>
      </c>
      <c r="F577" s="558"/>
      <c r="G577" s="558"/>
      <c r="H577" s="558" t="s">
        <v>1555</v>
      </c>
      <c r="I577" s="273"/>
      <c r="J577" s="273"/>
      <c r="K577" s="273"/>
      <c r="L577" s="273"/>
      <c r="M577" s="273"/>
      <c r="N577" s="273"/>
      <c r="O577" s="273"/>
      <c r="P577" s="273"/>
      <c r="Q577" s="273"/>
      <c r="R577" s="273"/>
      <c r="S577" s="273"/>
      <c r="T577" s="273"/>
      <c r="U577" s="273"/>
      <c r="V577" s="273"/>
      <c r="W577" s="273"/>
      <c r="X577" s="273"/>
      <c r="Y577" s="273"/>
      <c r="Z577" s="273"/>
      <c r="AA577" s="273"/>
      <c r="AB577" s="273"/>
      <c r="AC577" s="273"/>
    </row>
    <row r="578" ht="24.75" hidden="1" customHeight="1" outlineLevel="1">
      <c r="A578" s="654">
        <v>45489.0</v>
      </c>
      <c r="B578" s="655" t="s">
        <v>1254</v>
      </c>
      <c r="C578" s="661" t="s">
        <v>1556</v>
      </c>
      <c r="D578" s="659" t="s">
        <v>1557</v>
      </c>
      <c r="E578" s="625" t="s">
        <v>1235</v>
      </c>
      <c r="F578" s="273"/>
      <c r="G578" s="273"/>
      <c r="H578" s="273"/>
      <c r="I578" s="273"/>
      <c r="J578" s="273"/>
      <c r="K578" s="273"/>
      <c r="L578" s="273"/>
      <c r="M578" s="273"/>
      <c r="N578" s="273"/>
      <c r="O578" s="273"/>
      <c r="P578" s="273"/>
      <c r="Q578" s="273"/>
      <c r="R578" s="273"/>
      <c r="S578" s="273"/>
      <c r="T578" s="273"/>
      <c r="U578" s="273"/>
      <c r="V578" s="273"/>
      <c r="W578" s="273"/>
      <c r="X578" s="273"/>
      <c r="Y578" s="273"/>
      <c r="Z578" s="273"/>
      <c r="AA578" s="273"/>
      <c r="AB578" s="273"/>
      <c r="AC578" s="273"/>
    </row>
    <row r="579" ht="24.75" hidden="1" customHeight="1" outlineLevel="1">
      <c r="A579" s="654">
        <v>45489.0</v>
      </c>
      <c r="B579" s="629" t="s">
        <v>236</v>
      </c>
      <c r="C579" s="629" t="s">
        <v>1221</v>
      </c>
      <c r="D579" s="659" t="s">
        <v>1558</v>
      </c>
      <c r="E579" s="625" t="s">
        <v>1235</v>
      </c>
      <c r="F579" s="273"/>
      <c r="G579" s="273"/>
      <c r="H579" s="273"/>
      <c r="I579" s="273"/>
      <c r="J579" s="273"/>
      <c r="K579" s="273"/>
      <c r="L579" s="273"/>
      <c r="M579" s="273"/>
      <c r="N579" s="273"/>
      <c r="O579" s="273"/>
      <c r="P579" s="273"/>
      <c r="Q579" s="273"/>
      <c r="R579" s="273"/>
      <c r="S579" s="273"/>
      <c r="T579" s="273"/>
      <c r="U579" s="273"/>
      <c r="V579" s="273"/>
      <c r="W579" s="273"/>
      <c r="X579" s="273"/>
      <c r="Y579" s="273"/>
      <c r="Z579" s="273"/>
      <c r="AA579" s="273"/>
      <c r="AB579" s="273"/>
      <c r="AC579" s="273"/>
    </row>
    <row r="580" ht="24.75" customHeight="1">
      <c r="A580" s="132"/>
      <c r="B580" s="132"/>
      <c r="C580" s="132"/>
      <c r="D580" s="132"/>
      <c r="E580" s="496"/>
      <c r="F580" s="132"/>
      <c r="G580" s="132"/>
      <c r="H580" s="132"/>
      <c r="I580" s="132"/>
      <c r="J580" s="132"/>
      <c r="K580" s="132"/>
      <c r="L580" s="132"/>
      <c r="M580" s="132"/>
      <c r="N580" s="132"/>
      <c r="O580" s="132"/>
      <c r="P580" s="132"/>
      <c r="Q580" s="132"/>
      <c r="R580" s="132"/>
      <c r="S580" s="132"/>
      <c r="T580" s="132"/>
      <c r="U580" s="132"/>
      <c r="V580" s="132"/>
      <c r="W580" s="132"/>
      <c r="X580" s="132"/>
      <c r="Y580" s="132"/>
      <c r="Z580" s="132"/>
      <c r="AA580" s="132"/>
      <c r="AB580" s="132"/>
      <c r="AC580" s="132"/>
    </row>
    <row r="581" ht="24.75" customHeight="1" collapsed="1">
      <c r="A581" s="497" t="s">
        <v>1583</v>
      </c>
      <c r="B581" s="498"/>
      <c r="C581" s="498"/>
      <c r="D581" s="498"/>
      <c r="E581" s="498"/>
      <c r="F581" s="132"/>
      <c r="G581" s="132"/>
      <c r="H581" s="132"/>
      <c r="I581" s="132"/>
      <c r="J581" s="132"/>
      <c r="K581" s="132"/>
      <c r="L581" s="132"/>
      <c r="M581" s="132"/>
      <c r="N581" s="132"/>
      <c r="O581" s="132"/>
      <c r="P581" s="132"/>
      <c r="Q581" s="132"/>
      <c r="R581" s="132"/>
      <c r="S581" s="132"/>
      <c r="T581" s="132"/>
      <c r="U581" s="132"/>
      <c r="V581" s="132"/>
      <c r="W581" s="132"/>
      <c r="X581" s="132"/>
      <c r="Y581" s="132"/>
      <c r="Z581" s="132"/>
      <c r="AA581" s="132"/>
      <c r="AB581" s="132"/>
      <c r="AC581" s="132"/>
    </row>
    <row r="582" ht="24.75" hidden="1" customHeight="1" outlineLevel="1">
      <c r="A582" s="499" t="s">
        <v>1166</v>
      </c>
      <c r="B582" s="499" t="s">
        <v>1117</v>
      </c>
      <c r="C582" s="499" t="s">
        <v>1167</v>
      </c>
      <c r="D582" s="499" t="s">
        <v>1168</v>
      </c>
      <c r="E582" s="499" t="s">
        <v>1169</v>
      </c>
      <c r="F582" s="132"/>
      <c r="G582" s="132"/>
      <c r="H582" s="132"/>
      <c r="I582" s="132"/>
      <c r="J582" s="132"/>
      <c r="K582" s="132"/>
      <c r="L582" s="132"/>
      <c r="M582" s="132"/>
      <c r="N582" s="132"/>
      <c r="O582" s="132"/>
      <c r="P582" s="132"/>
      <c r="Q582" s="132"/>
      <c r="R582" s="132"/>
      <c r="S582" s="132"/>
      <c r="T582" s="132"/>
      <c r="U582" s="132"/>
      <c r="V582" s="132"/>
      <c r="W582" s="132"/>
      <c r="X582" s="132"/>
      <c r="Y582" s="132"/>
      <c r="Z582" s="132"/>
      <c r="AA582" s="132"/>
      <c r="AB582" s="132"/>
      <c r="AC582" s="132"/>
    </row>
    <row r="583" ht="24.75" hidden="1" customHeight="1" outlineLevel="1">
      <c r="A583" s="662">
        <v>45513.0</v>
      </c>
      <c r="B583" s="663" t="s">
        <v>1232</v>
      </c>
      <c r="C583" s="664" t="s">
        <v>1233</v>
      </c>
      <c r="D583" s="664" t="s">
        <v>1180</v>
      </c>
      <c r="E583" s="665" t="s">
        <v>1235</v>
      </c>
      <c r="F583" s="175"/>
      <c r="G583" s="175"/>
      <c r="H583" s="175" t="s">
        <v>1584</v>
      </c>
      <c r="I583" s="132"/>
      <c r="J583" s="132"/>
      <c r="K583" s="132"/>
      <c r="L583" s="132"/>
      <c r="M583" s="132"/>
      <c r="N583" s="132"/>
      <c r="O583" s="132"/>
      <c r="P583" s="132"/>
      <c r="Q583" s="132"/>
      <c r="R583" s="132"/>
      <c r="S583" s="132"/>
      <c r="T583" s="132"/>
      <c r="U583" s="132"/>
      <c r="V583" s="132"/>
      <c r="W583" s="132"/>
      <c r="X583" s="132"/>
      <c r="Y583" s="132"/>
      <c r="Z583" s="132"/>
      <c r="AA583" s="132"/>
      <c r="AB583" s="132"/>
      <c r="AC583" s="132"/>
    </row>
    <row r="584" ht="24.75" hidden="1" customHeight="1" outlineLevel="1">
      <c r="A584" s="662">
        <v>45513.0</v>
      </c>
      <c r="B584" s="663" t="s">
        <v>1181</v>
      </c>
      <c r="C584" s="664" t="s">
        <v>1428</v>
      </c>
      <c r="D584" s="664" t="s">
        <v>1180</v>
      </c>
      <c r="E584" s="665" t="s">
        <v>1235</v>
      </c>
      <c r="F584" s="175"/>
      <c r="G584" s="175"/>
      <c r="H584" s="175" t="s">
        <v>1585</v>
      </c>
      <c r="I584" s="132"/>
      <c r="J584" s="132"/>
      <c r="K584" s="132"/>
      <c r="L584" s="132"/>
      <c r="M584" s="132"/>
      <c r="N584" s="132"/>
      <c r="O584" s="132"/>
      <c r="P584" s="132"/>
      <c r="Q584" s="132"/>
      <c r="R584" s="132"/>
      <c r="S584" s="132"/>
      <c r="T584" s="132"/>
      <c r="U584" s="132"/>
      <c r="V584" s="132"/>
      <c r="W584" s="132"/>
      <c r="X584" s="132"/>
      <c r="Y584" s="132"/>
      <c r="Z584" s="132"/>
      <c r="AA584" s="132"/>
      <c r="AB584" s="132"/>
      <c r="AC584" s="132"/>
    </row>
    <row r="585" ht="24.75" hidden="1" customHeight="1" outlineLevel="1">
      <c r="A585" s="662">
        <v>45513.0</v>
      </c>
      <c r="B585" s="663" t="s">
        <v>38</v>
      </c>
      <c r="C585" s="663" t="s">
        <v>1233</v>
      </c>
      <c r="D585" s="664" t="s">
        <v>1180</v>
      </c>
      <c r="E585" s="665" t="s">
        <v>1235</v>
      </c>
      <c r="F585" s="175"/>
      <c r="G585" s="175"/>
      <c r="H585" s="175" t="s">
        <v>1586</v>
      </c>
      <c r="I585" s="132"/>
      <c r="J585" s="132"/>
      <c r="K585" s="132"/>
      <c r="L585" s="132"/>
      <c r="M585" s="132"/>
      <c r="N585" s="132"/>
      <c r="O585" s="132"/>
      <c r="P585" s="132"/>
      <c r="Q585" s="132"/>
      <c r="R585" s="132"/>
      <c r="S585" s="132"/>
      <c r="T585" s="132"/>
      <c r="U585" s="132"/>
      <c r="V585" s="132"/>
      <c r="W585" s="132"/>
      <c r="X585" s="132"/>
      <c r="Y585" s="132"/>
      <c r="Z585" s="132"/>
      <c r="AA585" s="132"/>
      <c r="AB585" s="132"/>
      <c r="AC585" s="132"/>
    </row>
    <row r="586" ht="24.75" hidden="1" customHeight="1" outlineLevel="1">
      <c r="A586" s="662">
        <v>45514.0</v>
      </c>
      <c r="B586" s="666" t="s">
        <v>1210</v>
      </c>
      <c r="C586" s="664" t="s">
        <v>1587</v>
      </c>
      <c r="D586" s="664" t="s">
        <v>1588</v>
      </c>
      <c r="E586" s="665" t="s">
        <v>1235</v>
      </c>
      <c r="F586" s="175"/>
      <c r="G586" s="175"/>
      <c r="H586" s="175" t="s">
        <v>1585</v>
      </c>
      <c r="I586" s="132"/>
      <c r="J586" s="132"/>
      <c r="K586" s="132"/>
      <c r="L586" s="132"/>
      <c r="M586" s="132"/>
      <c r="N586" s="132"/>
      <c r="O586" s="132"/>
      <c r="P586" s="132"/>
      <c r="Q586" s="132"/>
      <c r="R586" s="132"/>
      <c r="S586" s="132"/>
      <c r="T586" s="132"/>
      <c r="U586" s="132"/>
      <c r="V586" s="132"/>
      <c r="W586" s="132"/>
      <c r="X586" s="132"/>
      <c r="Y586" s="132"/>
      <c r="Z586" s="132"/>
      <c r="AA586" s="132"/>
      <c r="AB586" s="132"/>
      <c r="AC586" s="132"/>
    </row>
    <row r="587" ht="24.75" hidden="1" customHeight="1" outlineLevel="1">
      <c r="A587" s="667">
        <v>45514.0</v>
      </c>
      <c r="B587" s="666" t="s">
        <v>1213</v>
      </c>
      <c r="C587" s="664" t="s">
        <v>1578</v>
      </c>
      <c r="D587" s="664" t="s">
        <v>1180</v>
      </c>
      <c r="E587" s="665" t="s">
        <v>1235</v>
      </c>
      <c r="F587" s="175"/>
      <c r="G587" s="175"/>
      <c r="H587" s="175" t="s">
        <v>1589</v>
      </c>
      <c r="I587" s="132"/>
      <c r="J587" s="132"/>
      <c r="K587" s="132"/>
      <c r="L587" s="132"/>
      <c r="M587" s="132"/>
      <c r="N587" s="132"/>
      <c r="O587" s="132"/>
      <c r="P587" s="132"/>
      <c r="Q587" s="132"/>
      <c r="R587" s="132"/>
      <c r="S587" s="132"/>
      <c r="T587" s="132"/>
      <c r="U587" s="132"/>
      <c r="V587" s="132"/>
      <c r="W587" s="132"/>
      <c r="X587" s="132"/>
      <c r="Y587" s="132"/>
      <c r="Z587" s="132"/>
      <c r="AA587" s="132"/>
      <c r="AB587" s="132"/>
      <c r="AC587" s="132"/>
    </row>
    <row r="588" ht="24.75" hidden="1" customHeight="1" outlineLevel="1">
      <c r="A588" s="662">
        <v>45514.0</v>
      </c>
      <c r="B588" s="663" t="s">
        <v>1209</v>
      </c>
      <c r="C588" s="664" t="s">
        <v>1233</v>
      </c>
      <c r="D588" s="664" t="s">
        <v>1180</v>
      </c>
      <c r="E588" s="665" t="s">
        <v>1235</v>
      </c>
      <c r="F588" s="175"/>
      <c r="G588" s="175"/>
      <c r="H588" s="175" t="s">
        <v>1585</v>
      </c>
      <c r="I588" s="132"/>
      <c r="J588" s="132"/>
      <c r="K588" s="132"/>
      <c r="L588" s="132"/>
      <c r="M588" s="132"/>
      <c r="N588" s="132"/>
      <c r="O588" s="132"/>
      <c r="P588" s="132"/>
      <c r="Q588" s="132"/>
      <c r="R588" s="132"/>
      <c r="S588" s="132"/>
      <c r="T588" s="132"/>
      <c r="U588" s="132"/>
      <c r="V588" s="132"/>
      <c r="W588" s="132"/>
      <c r="X588" s="132"/>
      <c r="Y588" s="132"/>
      <c r="Z588" s="132"/>
      <c r="AA588" s="132"/>
      <c r="AB588" s="132"/>
      <c r="AC588" s="132"/>
    </row>
    <row r="589" ht="24.75" hidden="1" customHeight="1" outlineLevel="1">
      <c r="A589" s="662">
        <v>45515.0</v>
      </c>
      <c r="B589" s="663" t="s">
        <v>1187</v>
      </c>
      <c r="C589" s="664" t="s">
        <v>1590</v>
      </c>
      <c r="D589" s="664" t="s">
        <v>1180</v>
      </c>
      <c r="E589" s="665" t="s">
        <v>1235</v>
      </c>
      <c r="F589" s="175"/>
      <c r="G589" s="175"/>
      <c r="H589" s="175" t="s">
        <v>1585</v>
      </c>
      <c r="I589" s="132"/>
      <c r="J589" s="132"/>
      <c r="K589" s="132"/>
      <c r="L589" s="132"/>
      <c r="M589" s="132"/>
      <c r="N589" s="132"/>
      <c r="O589" s="132"/>
      <c r="P589" s="132"/>
      <c r="Q589" s="132"/>
      <c r="R589" s="132"/>
      <c r="S589" s="132"/>
      <c r="T589" s="132"/>
      <c r="U589" s="132"/>
      <c r="V589" s="132"/>
      <c r="W589" s="132"/>
      <c r="X589" s="132"/>
      <c r="Y589" s="132"/>
      <c r="Z589" s="132"/>
      <c r="AA589" s="132"/>
      <c r="AB589" s="132"/>
      <c r="AC589" s="132"/>
    </row>
    <row r="590" ht="24.75" hidden="1" customHeight="1" outlineLevel="1">
      <c r="A590" s="667">
        <v>45515.0</v>
      </c>
      <c r="B590" s="663" t="s">
        <v>1189</v>
      </c>
      <c r="C590" s="664" t="s">
        <v>1259</v>
      </c>
      <c r="D590" s="664" t="s">
        <v>1180</v>
      </c>
      <c r="E590" s="665" t="s">
        <v>1235</v>
      </c>
      <c r="F590" s="175"/>
      <c r="G590" s="175"/>
      <c r="H590" s="175" t="s">
        <v>1591</v>
      </c>
      <c r="I590" s="132"/>
      <c r="J590" s="132"/>
      <c r="K590" s="132"/>
      <c r="L590" s="132"/>
      <c r="M590" s="132"/>
      <c r="N590" s="132"/>
      <c r="O590" s="132"/>
      <c r="P590" s="132"/>
      <c r="Q590" s="132"/>
      <c r="R590" s="132"/>
      <c r="S590" s="132"/>
      <c r="T590" s="132"/>
      <c r="U590" s="132"/>
      <c r="V590" s="132"/>
      <c r="W590" s="132"/>
      <c r="X590" s="132"/>
      <c r="Y590" s="132"/>
      <c r="Z590" s="132"/>
      <c r="AA590" s="132"/>
      <c r="AB590" s="132"/>
      <c r="AC590" s="132"/>
    </row>
    <row r="591" ht="24.75" hidden="1" customHeight="1" outlineLevel="1">
      <c r="A591" s="662">
        <v>45515.0</v>
      </c>
      <c r="B591" s="663" t="s">
        <v>1246</v>
      </c>
      <c r="C591" s="664" t="s">
        <v>1447</v>
      </c>
      <c r="D591" s="664" t="s">
        <v>1180</v>
      </c>
      <c r="E591" s="665" t="s">
        <v>1235</v>
      </c>
      <c r="F591" s="175"/>
      <c r="G591" s="175"/>
      <c r="H591" s="175" t="s">
        <v>1585</v>
      </c>
      <c r="I591" s="132"/>
      <c r="J591" s="132"/>
      <c r="K591" s="132"/>
      <c r="L591" s="132"/>
      <c r="M591" s="132"/>
      <c r="N591" s="132"/>
      <c r="O591" s="132"/>
      <c r="P591" s="132"/>
      <c r="Q591" s="132"/>
      <c r="R591" s="132"/>
      <c r="S591" s="132"/>
      <c r="T591" s="132"/>
      <c r="U591" s="132"/>
      <c r="V591" s="132"/>
      <c r="W591" s="132"/>
      <c r="X591" s="132"/>
      <c r="Y591" s="132"/>
      <c r="Z591" s="132"/>
      <c r="AA591" s="132"/>
      <c r="AB591" s="132"/>
      <c r="AC591" s="132"/>
    </row>
    <row r="592" ht="24.75" hidden="1" customHeight="1" outlineLevel="1">
      <c r="A592" s="667">
        <v>45516.0</v>
      </c>
      <c r="B592" s="663" t="s">
        <v>1249</v>
      </c>
      <c r="C592" s="664" t="s">
        <v>1578</v>
      </c>
      <c r="D592" s="664" t="s">
        <v>1180</v>
      </c>
      <c r="E592" s="665" t="s">
        <v>1203</v>
      </c>
      <c r="F592" s="175"/>
      <c r="G592" s="175"/>
      <c r="H592" s="175" t="s">
        <v>1592</v>
      </c>
      <c r="I592" s="668"/>
      <c r="J592" s="132"/>
      <c r="K592" s="132"/>
      <c r="L592" s="132"/>
      <c r="M592" s="132"/>
      <c r="N592" s="132"/>
      <c r="O592" s="132"/>
      <c r="P592" s="132"/>
      <c r="Q592" s="132"/>
      <c r="R592" s="132"/>
      <c r="S592" s="132"/>
      <c r="T592" s="132"/>
      <c r="U592" s="132"/>
      <c r="V592" s="132"/>
      <c r="W592" s="132"/>
      <c r="X592" s="132"/>
      <c r="Y592" s="132"/>
      <c r="Z592" s="132"/>
      <c r="AA592" s="132"/>
      <c r="AB592" s="132"/>
      <c r="AC592" s="132"/>
    </row>
    <row r="593" ht="24.75" hidden="1" customHeight="1" outlineLevel="1">
      <c r="A593" s="667">
        <v>45516.0</v>
      </c>
      <c r="B593" s="663" t="s">
        <v>1526</v>
      </c>
      <c r="C593" s="664" t="s">
        <v>1259</v>
      </c>
      <c r="D593" s="664" t="s">
        <v>1180</v>
      </c>
      <c r="E593" s="665" t="s">
        <v>1203</v>
      </c>
      <c r="F593" s="175"/>
      <c r="G593" s="175"/>
      <c r="H593" s="175" t="s">
        <v>1593</v>
      </c>
      <c r="I593" s="668"/>
      <c r="J593" s="132"/>
      <c r="K593" s="132"/>
      <c r="L593" s="132"/>
      <c r="M593" s="132"/>
      <c r="N593" s="132"/>
      <c r="O593" s="132"/>
      <c r="P593" s="132"/>
      <c r="Q593" s="132"/>
      <c r="R593" s="132"/>
      <c r="S593" s="132"/>
      <c r="T593" s="132"/>
      <c r="U593" s="132"/>
      <c r="V593" s="132"/>
      <c r="W593" s="132"/>
      <c r="X593" s="132"/>
      <c r="Y593" s="132"/>
      <c r="Z593" s="132"/>
      <c r="AA593" s="132"/>
      <c r="AB593" s="132"/>
      <c r="AC593" s="132"/>
    </row>
    <row r="594" ht="24.75" hidden="1" customHeight="1" outlineLevel="1">
      <c r="A594" s="662">
        <v>45516.0</v>
      </c>
      <c r="B594" s="663" t="s">
        <v>1271</v>
      </c>
      <c r="C594" s="669" t="s">
        <v>1451</v>
      </c>
      <c r="D594" s="664" t="s">
        <v>1594</v>
      </c>
      <c r="E594" s="665" t="s">
        <v>1203</v>
      </c>
      <c r="F594" s="175"/>
      <c r="G594" s="175"/>
      <c r="H594" s="175" t="s">
        <v>1595</v>
      </c>
      <c r="I594" s="668"/>
      <c r="J594" s="132"/>
      <c r="K594" s="132"/>
      <c r="L594" s="132"/>
      <c r="M594" s="132"/>
      <c r="N594" s="132"/>
      <c r="O594" s="132"/>
      <c r="P594" s="132"/>
      <c r="Q594" s="132"/>
      <c r="R594" s="132"/>
      <c r="S594" s="132"/>
      <c r="T594" s="132"/>
      <c r="U594" s="132"/>
      <c r="V594" s="132"/>
      <c r="W594" s="132"/>
      <c r="X594" s="132"/>
      <c r="Y594" s="132"/>
      <c r="Z594" s="132"/>
      <c r="AA594" s="132"/>
      <c r="AB594" s="132"/>
      <c r="AC594" s="132"/>
    </row>
    <row r="595" ht="24.75" hidden="1" customHeight="1" outlineLevel="1">
      <c r="A595" s="662">
        <v>45516.0</v>
      </c>
      <c r="B595" s="663" t="s">
        <v>1274</v>
      </c>
      <c r="C595" s="669" t="s">
        <v>1451</v>
      </c>
      <c r="D595" s="664" t="s">
        <v>1594</v>
      </c>
      <c r="E595" s="665" t="s">
        <v>1203</v>
      </c>
      <c r="F595" s="579"/>
      <c r="G595" s="579"/>
      <c r="H595" s="579" t="s">
        <v>1595</v>
      </c>
      <c r="I595" s="668"/>
      <c r="J595" s="132"/>
      <c r="K595" s="132"/>
      <c r="L595" s="132"/>
      <c r="M595" s="132"/>
      <c r="N595" s="132"/>
      <c r="O595" s="132"/>
      <c r="P595" s="132"/>
      <c r="Q595" s="132"/>
      <c r="R595" s="132"/>
      <c r="S595" s="132"/>
      <c r="T595" s="132"/>
      <c r="U595" s="132"/>
      <c r="V595" s="132"/>
      <c r="W595" s="132"/>
      <c r="X595" s="132"/>
      <c r="Y595" s="132"/>
      <c r="Z595" s="132"/>
      <c r="AA595" s="132"/>
      <c r="AB595" s="132"/>
      <c r="AC595" s="132"/>
    </row>
    <row r="596" ht="24.75" hidden="1" customHeight="1" outlineLevel="1">
      <c r="A596" s="662">
        <v>45516.0</v>
      </c>
      <c r="B596" s="663" t="s">
        <v>629</v>
      </c>
      <c r="C596" s="663" t="s">
        <v>1233</v>
      </c>
      <c r="D596" s="663" t="s">
        <v>1319</v>
      </c>
      <c r="E596" s="665" t="s">
        <v>1203</v>
      </c>
      <c r="F596" s="558"/>
      <c r="G596" s="558"/>
      <c r="H596" s="558" t="s">
        <v>1320</v>
      </c>
      <c r="I596" s="132"/>
      <c r="J596" s="132"/>
      <c r="K596" s="132"/>
      <c r="L596" s="132"/>
      <c r="M596" s="132"/>
      <c r="N596" s="175" t="s">
        <v>1596</v>
      </c>
      <c r="O596" s="132"/>
      <c r="P596" s="132"/>
      <c r="Q596" s="132"/>
      <c r="R596" s="132"/>
      <c r="S596" s="132"/>
      <c r="T596" s="132"/>
      <c r="U596" s="132"/>
      <c r="V596" s="132"/>
      <c r="W596" s="132"/>
      <c r="X596" s="132"/>
      <c r="Y596" s="132"/>
      <c r="Z596" s="132"/>
      <c r="AA596" s="132"/>
      <c r="AB596" s="132"/>
      <c r="AC596" s="132"/>
    </row>
    <row r="597" ht="24.75" hidden="1" customHeight="1" outlineLevel="1">
      <c r="A597" s="667">
        <v>45517.0</v>
      </c>
      <c r="B597" s="670" t="s">
        <v>38</v>
      </c>
      <c r="C597" s="670" t="s">
        <v>1233</v>
      </c>
      <c r="D597" s="671" t="s">
        <v>1180</v>
      </c>
      <c r="E597" s="665" t="s">
        <v>1235</v>
      </c>
      <c r="F597" s="175"/>
      <c r="G597" s="175"/>
      <c r="H597" s="175" t="s">
        <v>1597</v>
      </c>
      <c r="I597" s="175" t="s">
        <v>1598</v>
      </c>
      <c r="J597" s="132"/>
      <c r="K597" s="132"/>
      <c r="L597" s="132"/>
      <c r="M597" s="132"/>
      <c r="N597" s="175" t="s">
        <v>1599</v>
      </c>
      <c r="O597" s="132"/>
      <c r="P597" s="132"/>
      <c r="Q597" s="132"/>
      <c r="R597" s="132"/>
      <c r="S597" s="132"/>
      <c r="T597" s="132"/>
      <c r="U597" s="132"/>
      <c r="V597" s="132"/>
      <c r="W597" s="132"/>
      <c r="X597" s="132"/>
      <c r="Y597" s="132"/>
      <c r="Z597" s="132"/>
      <c r="AA597" s="132"/>
      <c r="AB597" s="132"/>
      <c r="AC597" s="132"/>
    </row>
    <row r="598" ht="24.75" hidden="1" customHeight="1" outlineLevel="1">
      <c r="A598" s="667">
        <v>45517.0</v>
      </c>
      <c r="B598" s="670" t="s">
        <v>1232</v>
      </c>
      <c r="C598" s="671" t="s">
        <v>1233</v>
      </c>
      <c r="D598" s="672" t="s">
        <v>1600</v>
      </c>
      <c r="E598" s="665" t="s">
        <v>1235</v>
      </c>
      <c r="F598" s="175"/>
      <c r="G598" s="175"/>
      <c r="H598" s="175" t="s">
        <v>1601</v>
      </c>
      <c r="I598" s="175" t="s">
        <v>1598</v>
      </c>
      <c r="J598" s="132"/>
      <c r="K598" s="132"/>
      <c r="L598" s="132"/>
      <c r="M598" s="132"/>
      <c r="N598" s="132"/>
      <c r="O598" s="132"/>
      <c r="P598" s="132"/>
      <c r="Q598" s="132"/>
      <c r="R598" s="132"/>
      <c r="S598" s="132"/>
      <c r="T598" s="132"/>
      <c r="U598" s="132"/>
      <c r="V598" s="132"/>
      <c r="W598" s="132"/>
      <c r="X598" s="132"/>
      <c r="Y598" s="132"/>
      <c r="Z598" s="132"/>
      <c r="AA598" s="132"/>
      <c r="AB598" s="132"/>
      <c r="AC598" s="132"/>
    </row>
    <row r="599" ht="24.75" hidden="1" customHeight="1" outlineLevel="1">
      <c r="A599" s="667">
        <v>45517.0</v>
      </c>
      <c r="B599" s="670" t="s">
        <v>1254</v>
      </c>
      <c r="C599" s="671" t="s">
        <v>1590</v>
      </c>
      <c r="D599" s="671" t="s">
        <v>1180</v>
      </c>
      <c r="E599" s="665" t="s">
        <v>1235</v>
      </c>
      <c r="F599" s="132"/>
      <c r="G599" s="132"/>
      <c r="H599" s="132"/>
      <c r="I599" s="175" t="s">
        <v>1598</v>
      </c>
      <c r="J599" s="132"/>
      <c r="K599" s="132"/>
      <c r="L599" s="132"/>
      <c r="M599" s="132"/>
      <c r="N599" s="132"/>
      <c r="O599" s="132"/>
      <c r="P599" s="132"/>
      <c r="Q599" s="132"/>
      <c r="R599" s="132"/>
      <c r="S599" s="132"/>
      <c r="T599" s="132"/>
      <c r="U599" s="132"/>
      <c r="V599" s="132"/>
      <c r="W599" s="132"/>
      <c r="X599" s="132"/>
      <c r="Y599" s="132"/>
      <c r="Z599" s="132"/>
      <c r="AA599" s="132"/>
      <c r="AB599" s="132"/>
      <c r="AC599" s="132"/>
    </row>
    <row r="600" ht="24.75" hidden="1" customHeight="1" outlineLevel="1">
      <c r="A600" s="667">
        <v>45517.0</v>
      </c>
      <c r="B600" s="670" t="s">
        <v>1325</v>
      </c>
      <c r="C600" s="673" t="s">
        <v>1233</v>
      </c>
      <c r="D600" s="670" t="s">
        <v>1319</v>
      </c>
      <c r="E600" s="665" t="s">
        <v>1235</v>
      </c>
      <c r="F600" s="175"/>
      <c r="G600" s="175"/>
      <c r="H600" s="175" t="s">
        <v>1555</v>
      </c>
      <c r="I600" s="175" t="s">
        <v>1598</v>
      </c>
      <c r="J600" s="132"/>
      <c r="K600" s="132"/>
      <c r="L600" s="132"/>
      <c r="M600" s="132"/>
      <c r="N600" s="132"/>
      <c r="O600" s="132"/>
      <c r="P600" s="132"/>
      <c r="Q600" s="132"/>
      <c r="R600" s="132"/>
      <c r="S600" s="132"/>
      <c r="T600" s="132"/>
      <c r="U600" s="132"/>
      <c r="V600" s="132"/>
      <c r="W600" s="132"/>
      <c r="X600" s="132"/>
      <c r="Y600" s="132"/>
      <c r="Z600" s="132"/>
      <c r="AA600" s="132"/>
      <c r="AB600" s="132"/>
      <c r="AC600" s="132"/>
    </row>
    <row r="601" ht="24.75" hidden="1" customHeight="1" outlineLevel="1">
      <c r="A601" s="667">
        <v>45518.0</v>
      </c>
      <c r="B601" s="670" t="s">
        <v>1198</v>
      </c>
      <c r="C601" s="671" t="s">
        <v>1233</v>
      </c>
      <c r="D601" s="671" t="s">
        <v>1602</v>
      </c>
      <c r="E601" s="665" t="s">
        <v>1235</v>
      </c>
      <c r="F601" s="132"/>
      <c r="G601" s="132"/>
      <c r="H601" s="132"/>
      <c r="I601" s="175" t="s">
        <v>1598</v>
      </c>
      <c r="J601" s="132"/>
      <c r="K601" s="132"/>
      <c r="L601" s="132"/>
      <c r="M601" s="132"/>
      <c r="N601" s="132"/>
      <c r="O601" s="132"/>
      <c r="P601" s="132"/>
      <c r="Q601" s="132"/>
      <c r="R601" s="132"/>
      <c r="S601" s="132"/>
      <c r="T601" s="132"/>
      <c r="U601" s="132"/>
      <c r="V601" s="132"/>
      <c r="W601" s="132"/>
      <c r="X601" s="132"/>
      <c r="Y601" s="132"/>
      <c r="Z601" s="132"/>
      <c r="AA601" s="132"/>
      <c r="AB601" s="132"/>
      <c r="AC601" s="132"/>
    </row>
    <row r="602" ht="24.75" hidden="1" customHeight="1" outlineLevel="1">
      <c r="A602" s="667">
        <v>45518.0</v>
      </c>
      <c r="B602" s="670" t="s">
        <v>1226</v>
      </c>
      <c r="C602" s="671" t="s">
        <v>1578</v>
      </c>
      <c r="D602" s="670" t="s">
        <v>144</v>
      </c>
      <c r="E602" s="665" t="s">
        <v>1203</v>
      </c>
      <c r="F602" s="175"/>
      <c r="G602" s="175"/>
      <c r="H602" s="175" t="s">
        <v>1603</v>
      </c>
      <c r="I602" s="175" t="s">
        <v>1598</v>
      </c>
      <c r="J602" s="132"/>
      <c r="K602" s="132"/>
      <c r="L602" s="132"/>
      <c r="M602" s="132"/>
      <c r="N602" s="132"/>
      <c r="O602" s="132"/>
      <c r="P602" s="132"/>
      <c r="Q602" s="132"/>
      <c r="R602" s="132"/>
      <c r="S602" s="132"/>
      <c r="T602" s="132"/>
      <c r="U602" s="132"/>
      <c r="V602" s="132"/>
      <c r="W602" s="132"/>
      <c r="X602" s="132"/>
      <c r="Y602" s="132"/>
      <c r="Z602" s="132"/>
      <c r="AA602" s="132"/>
      <c r="AB602" s="132"/>
      <c r="AC602" s="132"/>
    </row>
    <row r="603" ht="24.75" hidden="1" customHeight="1" outlineLevel="1">
      <c r="A603" s="667">
        <v>45518.0</v>
      </c>
      <c r="B603" s="670" t="s">
        <v>1261</v>
      </c>
      <c r="C603" s="671" t="s">
        <v>1590</v>
      </c>
      <c r="D603" s="671" t="s">
        <v>1180</v>
      </c>
      <c r="E603" s="665" t="s">
        <v>1235</v>
      </c>
      <c r="F603" s="132"/>
      <c r="G603" s="132"/>
      <c r="H603" s="132"/>
      <c r="I603" s="175" t="s">
        <v>1598</v>
      </c>
      <c r="J603" s="132"/>
      <c r="K603" s="132"/>
      <c r="L603" s="132"/>
      <c r="M603" s="132"/>
      <c r="N603" s="132"/>
      <c r="O603" s="132"/>
      <c r="P603" s="132"/>
      <c r="Q603" s="132"/>
      <c r="R603" s="132"/>
      <c r="S603" s="132"/>
      <c r="T603" s="132"/>
      <c r="U603" s="132"/>
      <c r="V603" s="132"/>
      <c r="W603" s="132"/>
      <c r="X603" s="132"/>
      <c r="Y603" s="132"/>
      <c r="Z603" s="132"/>
      <c r="AA603" s="132"/>
      <c r="AB603" s="132"/>
      <c r="AC603" s="132"/>
    </row>
    <row r="604" ht="24.75" hidden="1" customHeight="1" outlineLevel="1">
      <c r="A604" s="667">
        <v>45518.0</v>
      </c>
      <c r="B604" s="670" t="s">
        <v>1204</v>
      </c>
      <c r="C604" s="670" t="s">
        <v>1604</v>
      </c>
      <c r="D604" s="671" t="s">
        <v>144</v>
      </c>
      <c r="E604" s="665" t="s">
        <v>1203</v>
      </c>
      <c r="F604" s="175"/>
      <c r="G604" s="175"/>
      <c r="H604" s="175" t="s">
        <v>1458</v>
      </c>
      <c r="I604" s="668" t="s">
        <v>1598</v>
      </c>
      <c r="J604" s="132"/>
      <c r="K604" s="132"/>
      <c r="L604" s="132"/>
      <c r="M604" s="132"/>
      <c r="N604" s="132"/>
      <c r="O604" s="132"/>
      <c r="P604" s="132"/>
      <c r="Q604" s="132"/>
      <c r="R604" s="132"/>
      <c r="S604" s="132"/>
      <c r="T604" s="132"/>
      <c r="U604" s="132"/>
      <c r="V604" s="132"/>
      <c r="W604" s="132"/>
      <c r="X604" s="132"/>
      <c r="Y604" s="132"/>
      <c r="Z604" s="132"/>
      <c r="AA604" s="132"/>
      <c r="AB604" s="132"/>
      <c r="AC604" s="132"/>
    </row>
    <row r="605" ht="24.75" hidden="1" customHeight="1" outlineLevel="1">
      <c r="A605" s="667">
        <v>45519.0</v>
      </c>
      <c r="B605" s="670" t="s">
        <v>1537</v>
      </c>
      <c r="C605" s="671" t="s">
        <v>1259</v>
      </c>
      <c r="D605" s="670" t="s">
        <v>144</v>
      </c>
      <c r="E605" s="665" t="s">
        <v>1203</v>
      </c>
      <c r="F605" s="132"/>
      <c r="G605" s="132"/>
      <c r="H605" s="132"/>
      <c r="I605" s="668" t="s">
        <v>1598</v>
      </c>
      <c r="J605" s="132"/>
      <c r="K605" s="132"/>
      <c r="L605" s="132"/>
      <c r="M605" s="132"/>
      <c r="N605" s="132"/>
      <c r="O605" s="132"/>
      <c r="P605" s="132"/>
      <c r="Q605" s="132"/>
      <c r="R605" s="132"/>
      <c r="S605" s="132"/>
      <c r="T605" s="132"/>
      <c r="U605" s="132"/>
      <c r="V605" s="132"/>
      <c r="W605" s="132"/>
      <c r="X605" s="132"/>
      <c r="Y605" s="132"/>
      <c r="Z605" s="132"/>
      <c r="AA605" s="132"/>
      <c r="AB605" s="132"/>
      <c r="AC605" s="132"/>
    </row>
    <row r="606" ht="24.75" hidden="1" customHeight="1" outlineLevel="1">
      <c r="A606" s="667">
        <v>45519.0</v>
      </c>
      <c r="B606" s="670" t="s">
        <v>1263</v>
      </c>
      <c r="C606" s="671" t="s">
        <v>1590</v>
      </c>
      <c r="D606" s="671" t="s">
        <v>1180</v>
      </c>
      <c r="E606" s="665" t="s">
        <v>1235</v>
      </c>
      <c r="F606" s="132"/>
      <c r="G606" s="132"/>
      <c r="H606" s="132"/>
      <c r="I606" s="175" t="s">
        <v>1598</v>
      </c>
      <c r="J606" s="132"/>
      <c r="K606" s="132"/>
      <c r="L606" s="132"/>
      <c r="M606" s="132"/>
      <c r="N606" s="132"/>
      <c r="O606" s="132"/>
      <c r="P606" s="132"/>
      <c r="Q606" s="132"/>
      <c r="R606" s="132"/>
      <c r="S606" s="132"/>
      <c r="T606" s="132"/>
      <c r="U606" s="132"/>
      <c r="V606" s="132"/>
      <c r="W606" s="132"/>
      <c r="X606" s="132"/>
      <c r="Y606" s="132"/>
      <c r="Z606" s="132"/>
      <c r="AA606" s="132"/>
      <c r="AB606" s="132"/>
      <c r="AC606" s="132"/>
    </row>
    <row r="607" ht="24.75" hidden="1" customHeight="1" outlineLevel="1">
      <c r="A607" s="667">
        <v>45520.0</v>
      </c>
      <c r="B607" s="670" t="s">
        <v>1232</v>
      </c>
      <c r="C607" s="671" t="s">
        <v>1233</v>
      </c>
      <c r="D607" s="672" t="s">
        <v>1600</v>
      </c>
      <c r="E607" s="665" t="s">
        <v>1235</v>
      </c>
      <c r="F607" s="175"/>
      <c r="G607" s="175"/>
      <c r="H607" s="175" t="s">
        <v>1601</v>
      </c>
      <c r="I607" s="175" t="s">
        <v>1598</v>
      </c>
      <c r="J607" s="132"/>
      <c r="K607" s="132"/>
      <c r="L607" s="132"/>
      <c r="M607" s="132"/>
      <c r="N607" s="132"/>
      <c r="O607" s="132"/>
      <c r="P607" s="132"/>
      <c r="Q607" s="132"/>
      <c r="R607" s="132"/>
      <c r="S607" s="132"/>
      <c r="T607" s="132"/>
      <c r="U607" s="132"/>
      <c r="V607" s="132"/>
      <c r="W607" s="132"/>
      <c r="X607" s="132"/>
      <c r="Y607" s="132"/>
      <c r="Z607" s="132"/>
      <c r="AA607" s="132"/>
      <c r="AB607" s="132"/>
      <c r="AC607" s="132"/>
    </row>
    <row r="608" ht="24.75" hidden="1" customHeight="1" outlineLevel="1">
      <c r="A608" s="667">
        <v>45520.0</v>
      </c>
      <c r="B608" s="674" t="s">
        <v>1181</v>
      </c>
      <c r="C608" s="671" t="s">
        <v>1428</v>
      </c>
      <c r="D608" s="670" t="s">
        <v>144</v>
      </c>
      <c r="E608" s="665" t="s">
        <v>1203</v>
      </c>
      <c r="F608" s="132"/>
      <c r="G608" s="132"/>
      <c r="H608" s="132"/>
      <c r="I608" s="175" t="s">
        <v>1598</v>
      </c>
      <c r="J608" s="132"/>
      <c r="K608" s="132"/>
      <c r="L608" s="132"/>
      <c r="M608" s="132"/>
      <c r="N608" s="132"/>
      <c r="O608" s="132"/>
      <c r="P608" s="132"/>
      <c r="Q608" s="132"/>
      <c r="R608" s="132"/>
      <c r="S608" s="132"/>
      <c r="T608" s="132"/>
      <c r="U608" s="132"/>
      <c r="V608" s="132"/>
      <c r="W608" s="132"/>
      <c r="X608" s="132"/>
      <c r="Y608" s="132"/>
      <c r="Z608" s="132"/>
      <c r="AA608" s="132"/>
      <c r="AB608" s="132"/>
      <c r="AC608" s="132"/>
    </row>
    <row r="609" ht="24.75" hidden="1" customHeight="1" outlineLevel="1">
      <c r="A609" s="667">
        <v>45520.0</v>
      </c>
      <c r="B609" s="670" t="s">
        <v>38</v>
      </c>
      <c r="C609" s="670" t="s">
        <v>1233</v>
      </c>
      <c r="D609" s="671" t="s">
        <v>1180</v>
      </c>
      <c r="E609" s="665" t="s">
        <v>1235</v>
      </c>
      <c r="F609" s="175"/>
      <c r="G609" s="175"/>
      <c r="H609" s="175" t="s">
        <v>1586</v>
      </c>
      <c r="I609" s="175" t="s">
        <v>1598</v>
      </c>
      <c r="J609" s="132"/>
      <c r="K609" s="132"/>
      <c r="L609" s="132"/>
      <c r="M609" s="132"/>
      <c r="N609" s="132"/>
      <c r="O609" s="132"/>
      <c r="P609" s="132"/>
      <c r="Q609" s="132"/>
      <c r="R609" s="132"/>
      <c r="S609" s="132"/>
      <c r="T609" s="132"/>
      <c r="U609" s="132"/>
      <c r="V609" s="132"/>
      <c r="W609" s="132"/>
      <c r="X609" s="132"/>
      <c r="Y609" s="132"/>
      <c r="Z609" s="132"/>
      <c r="AA609" s="132"/>
      <c r="AB609" s="132"/>
      <c r="AC609" s="132"/>
    </row>
    <row r="610" ht="24.75" hidden="1" customHeight="1" outlineLevel="1">
      <c r="A610" s="667">
        <v>45521.0</v>
      </c>
      <c r="B610" s="670" t="s">
        <v>1241</v>
      </c>
      <c r="C610" s="671" t="s">
        <v>1233</v>
      </c>
      <c r="D610" s="671" t="s">
        <v>1242</v>
      </c>
      <c r="E610" s="665" t="s">
        <v>1235</v>
      </c>
      <c r="F610" s="132"/>
      <c r="G610" s="132"/>
      <c r="H610" s="132"/>
      <c r="I610" s="175" t="s">
        <v>1598</v>
      </c>
      <c r="J610" s="132"/>
      <c r="K610" s="132"/>
      <c r="L610" s="132"/>
      <c r="M610" s="132"/>
      <c r="N610" s="132"/>
      <c r="O610" s="132"/>
      <c r="P610" s="132"/>
      <c r="Q610" s="132"/>
      <c r="R610" s="132"/>
      <c r="S610" s="132"/>
      <c r="T610" s="132"/>
      <c r="U610" s="132"/>
      <c r="V610" s="132"/>
      <c r="W610" s="132"/>
      <c r="X610" s="132"/>
      <c r="Y610" s="132"/>
      <c r="Z610" s="132"/>
      <c r="AA610" s="132"/>
      <c r="AB610" s="132"/>
      <c r="AC610" s="132"/>
    </row>
    <row r="611" ht="24.75" hidden="1" customHeight="1" outlineLevel="1">
      <c r="A611" s="667">
        <v>45521.0</v>
      </c>
      <c r="B611" s="675" t="s">
        <v>1210</v>
      </c>
      <c r="C611" s="671" t="s">
        <v>1605</v>
      </c>
      <c r="D611" s="670" t="s">
        <v>144</v>
      </c>
      <c r="E611" s="665" t="s">
        <v>1203</v>
      </c>
      <c r="F611" s="175"/>
      <c r="G611" s="175"/>
      <c r="H611" s="175" t="s">
        <v>1606</v>
      </c>
      <c r="I611" s="668" t="s">
        <v>1598</v>
      </c>
      <c r="J611" s="132"/>
      <c r="K611" s="132"/>
      <c r="L611" s="132"/>
      <c r="M611" s="132"/>
      <c r="N611" s="132"/>
      <c r="O611" s="132"/>
      <c r="P611" s="132"/>
      <c r="Q611" s="132"/>
      <c r="R611" s="132"/>
      <c r="S611" s="132"/>
      <c r="T611" s="132"/>
      <c r="U611" s="132"/>
      <c r="V611" s="132"/>
      <c r="W611" s="132"/>
      <c r="X611" s="132"/>
      <c r="Y611" s="132"/>
      <c r="Z611" s="132"/>
      <c r="AA611" s="132"/>
      <c r="AB611" s="132"/>
      <c r="AC611" s="132"/>
    </row>
    <row r="612" ht="24.75" hidden="1" customHeight="1" outlineLevel="1">
      <c r="A612" s="667">
        <v>45521.0</v>
      </c>
      <c r="B612" s="675" t="s">
        <v>1213</v>
      </c>
      <c r="C612" s="671" t="s">
        <v>1578</v>
      </c>
      <c r="D612" s="670" t="s">
        <v>144</v>
      </c>
      <c r="E612" s="665" t="s">
        <v>1203</v>
      </c>
      <c r="F612" s="175"/>
      <c r="G612" s="175"/>
      <c r="H612" s="175" t="s">
        <v>1607</v>
      </c>
      <c r="I612" s="668" t="s">
        <v>1598</v>
      </c>
      <c r="J612" s="132"/>
      <c r="K612" s="132"/>
      <c r="L612" s="132"/>
      <c r="M612" s="132"/>
      <c r="N612" s="132"/>
      <c r="O612" s="132"/>
      <c r="P612" s="132"/>
      <c r="Q612" s="132"/>
      <c r="R612" s="132"/>
      <c r="S612" s="132"/>
      <c r="T612" s="132"/>
      <c r="U612" s="132"/>
      <c r="V612" s="132"/>
      <c r="W612" s="132"/>
      <c r="X612" s="132"/>
      <c r="Y612" s="132"/>
      <c r="Z612" s="132"/>
      <c r="AA612" s="132"/>
      <c r="AB612" s="132"/>
      <c r="AC612" s="132"/>
    </row>
    <row r="613" ht="24.75" hidden="1" customHeight="1" outlineLevel="1">
      <c r="A613" s="667">
        <v>45522.0</v>
      </c>
      <c r="B613" s="670" t="s">
        <v>1187</v>
      </c>
      <c r="C613" s="671" t="s">
        <v>1590</v>
      </c>
      <c r="D613" s="670" t="s">
        <v>144</v>
      </c>
      <c r="E613" s="665" t="s">
        <v>1203</v>
      </c>
      <c r="F613" s="132"/>
      <c r="G613" s="132"/>
      <c r="H613" s="132"/>
      <c r="I613" s="668" t="s">
        <v>1598</v>
      </c>
      <c r="J613" s="132"/>
      <c r="K613" s="132"/>
      <c r="L613" s="132"/>
      <c r="M613" s="132"/>
      <c r="N613" s="132"/>
      <c r="O613" s="132"/>
      <c r="P613" s="132"/>
      <c r="Q613" s="132"/>
      <c r="R613" s="132"/>
      <c r="S613" s="132"/>
      <c r="T613" s="132"/>
      <c r="U613" s="132"/>
      <c r="V613" s="132"/>
      <c r="W613" s="132"/>
      <c r="X613" s="132"/>
      <c r="Y613" s="132"/>
      <c r="Z613" s="132"/>
      <c r="AA613" s="132"/>
      <c r="AB613" s="132"/>
      <c r="AC613" s="132"/>
    </row>
    <row r="614" ht="24.75" hidden="1" customHeight="1" outlineLevel="1">
      <c r="A614" s="667">
        <v>45522.0</v>
      </c>
      <c r="B614" s="670" t="s">
        <v>1189</v>
      </c>
      <c r="C614" s="671" t="s">
        <v>1259</v>
      </c>
      <c r="D614" s="670" t="s">
        <v>144</v>
      </c>
      <c r="E614" s="665" t="s">
        <v>1203</v>
      </c>
      <c r="F614" s="175"/>
      <c r="G614" s="175"/>
      <c r="H614" s="175" t="s">
        <v>1608</v>
      </c>
      <c r="I614" s="668" t="s">
        <v>1598</v>
      </c>
      <c r="J614" s="132"/>
      <c r="K614" s="132"/>
      <c r="L614" s="132"/>
      <c r="M614" s="132"/>
      <c r="N614" s="132"/>
      <c r="O614" s="132"/>
      <c r="P614" s="132"/>
      <c r="Q614" s="132"/>
      <c r="R614" s="132"/>
      <c r="S614" s="132"/>
      <c r="T614" s="132"/>
      <c r="U614" s="132"/>
      <c r="V614" s="132"/>
      <c r="W614" s="132"/>
      <c r="X614" s="132"/>
      <c r="Y614" s="132"/>
      <c r="Z614" s="132"/>
      <c r="AA614" s="132"/>
      <c r="AB614" s="132"/>
      <c r="AC614" s="132"/>
    </row>
    <row r="615" ht="24.75" hidden="1" customHeight="1" outlineLevel="1">
      <c r="A615" s="667">
        <v>45523.0</v>
      </c>
      <c r="B615" s="670" t="s">
        <v>1249</v>
      </c>
      <c r="C615" s="671" t="s">
        <v>1578</v>
      </c>
      <c r="D615" s="670" t="s">
        <v>144</v>
      </c>
      <c r="E615" s="665" t="s">
        <v>1203</v>
      </c>
      <c r="F615" s="175"/>
      <c r="G615" s="175"/>
      <c r="H615" s="175" t="s">
        <v>1609</v>
      </c>
      <c r="I615" s="668" t="s">
        <v>1598</v>
      </c>
      <c r="J615" s="132"/>
      <c r="K615" s="132"/>
      <c r="L615" s="132"/>
      <c r="M615" s="132"/>
      <c r="N615" s="132"/>
      <c r="O615" s="132"/>
      <c r="P615" s="132"/>
      <c r="Q615" s="132"/>
      <c r="R615" s="132"/>
      <c r="S615" s="132"/>
      <c r="T615" s="132"/>
      <c r="U615" s="132"/>
      <c r="V615" s="132"/>
      <c r="W615" s="132"/>
      <c r="X615" s="132"/>
      <c r="Y615" s="132"/>
      <c r="Z615" s="132"/>
      <c r="AA615" s="132"/>
      <c r="AB615" s="132"/>
      <c r="AC615" s="132"/>
    </row>
    <row r="616" ht="24.75" hidden="1" customHeight="1" outlineLevel="1">
      <c r="A616" s="667">
        <v>45523.0</v>
      </c>
      <c r="B616" s="670" t="s">
        <v>629</v>
      </c>
      <c r="C616" s="670" t="s">
        <v>1233</v>
      </c>
      <c r="D616" s="670" t="s">
        <v>1319</v>
      </c>
      <c r="E616" s="665" t="s">
        <v>1235</v>
      </c>
      <c r="F616" s="132"/>
      <c r="G616" s="132"/>
      <c r="H616" s="132"/>
      <c r="I616" s="668" t="s">
        <v>1598</v>
      </c>
      <c r="J616" s="132"/>
      <c r="K616" s="132"/>
      <c r="L616" s="132"/>
      <c r="M616" s="132"/>
      <c r="N616" s="132"/>
      <c r="O616" s="132"/>
      <c r="P616" s="132"/>
      <c r="Q616" s="132"/>
      <c r="R616" s="132"/>
      <c r="S616" s="132"/>
      <c r="T616" s="132"/>
      <c r="U616" s="132"/>
      <c r="V616" s="132"/>
      <c r="W616" s="132"/>
      <c r="X616" s="132"/>
      <c r="Y616" s="132"/>
      <c r="Z616" s="132"/>
      <c r="AA616" s="132"/>
      <c r="AB616" s="132"/>
      <c r="AC616" s="132"/>
    </row>
    <row r="617" ht="24.75" hidden="1" customHeight="1" outlineLevel="1">
      <c r="A617" s="667">
        <v>45523.0</v>
      </c>
      <c r="B617" s="670" t="s">
        <v>1526</v>
      </c>
      <c r="C617" s="671" t="s">
        <v>1259</v>
      </c>
      <c r="D617" s="670" t="s">
        <v>144</v>
      </c>
      <c r="E617" s="665" t="s">
        <v>1203</v>
      </c>
      <c r="F617" s="175"/>
      <c r="G617" s="175"/>
      <c r="H617" s="175" t="s">
        <v>1610</v>
      </c>
      <c r="I617" s="668" t="s">
        <v>1598</v>
      </c>
      <c r="J617" s="132"/>
      <c r="K617" s="132"/>
      <c r="L617" s="132"/>
      <c r="M617" s="132"/>
      <c r="N617" s="132"/>
      <c r="O617" s="132"/>
      <c r="P617" s="132"/>
      <c r="Q617" s="132"/>
      <c r="R617" s="132"/>
      <c r="S617" s="132"/>
      <c r="T617" s="132"/>
      <c r="U617" s="132"/>
      <c r="V617" s="132"/>
      <c r="W617" s="132"/>
      <c r="X617" s="132"/>
      <c r="Y617" s="132"/>
      <c r="Z617" s="132"/>
      <c r="AA617" s="132"/>
      <c r="AB617" s="132"/>
      <c r="AC617" s="132"/>
    </row>
    <row r="618" ht="24.75" hidden="1" customHeight="1" outlineLevel="1">
      <c r="A618" s="667">
        <v>45523.0</v>
      </c>
      <c r="B618" s="670" t="s">
        <v>1271</v>
      </c>
      <c r="C618" s="673" t="s">
        <v>1451</v>
      </c>
      <c r="D618" s="670" t="s">
        <v>144</v>
      </c>
      <c r="E618" s="665" t="s">
        <v>1203</v>
      </c>
      <c r="F618" s="175"/>
      <c r="G618" s="175"/>
      <c r="H618" s="175" t="s">
        <v>1611</v>
      </c>
      <c r="I618" s="668" t="s">
        <v>1598</v>
      </c>
      <c r="J618" s="132"/>
      <c r="K618" s="132"/>
      <c r="L618" s="132"/>
      <c r="M618" s="132"/>
      <c r="N618" s="132"/>
      <c r="O618" s="132"/>
      <c r="P618" s="132"/>
      <c r="Q618" s="132"/>
      <c r="R618" s="132"/>
      <c r="S618" s="132"/>
      <c r="T618" s="132"/>
      <c r="U618" s="132"/>
      <c r="V618" s="132"/>
      <c r="W618" s="132"/>
      <c r="X618" s="132"/>
      <c r="Y618" s="132"/>
      <c r="Z618" s="132"/>
      <c r="AA618" s="132"/>
      <c r="AB618" s="132"/>
      <c r="AC618" s="132"/>
    </row>
    <row r="619" ht="24.75" hidden="1" customHeight="1" outlineLevel="1">
      <c r="A619" s="667">
        <v>45523.0</v>
      </c>
      <c r="B619" s="670" t="s">
        <v>1274</v>
      </c>
      <c r="C619" s="673" t="s">
        <v>1451</v>
      </c>
      <c r="D619" s="670" t="s">
        <v>144</v>
      </c>
      <c r="E619" s="665" t="s">
        <v>1203</v>
      </c>
      <c r="F619" s="175"/>
      <c r="G619" s="175"/>
      <c r="H619" s="175" t="s">
        <v>1611</v>
      </c>
      <c r="I619" s="668" t="s">
        <v>1598</v>
      </c>
      <c r="J619" s="132"/>
      <c r="K619" s="132"/>
      <c r="L619" s="132"/>
      <c r="M619" s="132"/>
      <c r="N619" s="132"/>
      <c r="O619" s="132"/>
      <c r="P619" s="132"/>
      <c r="Q619" s="132"/>
      <c r="R619" s="132"/>
      <c r="S619" s="132"/>
      <c r="T619" s="132"/>
      <c r="U619" s="132"/>
      <c r="V619" s="132"/>
      <c r="W619" s="132"/>
      <c r="X619" s="132"/>
      <c r="Y619" s="132"/>
      <c r="Z619" s="132"/>
      <c r="AA619" s="132"/>
      <c r="AB619" s="132"/>
      <c r="AC619" s="132"/>
    </row>
    <row r="620" ht="24.75" hidden="1" customHeight="1" outlineLevel="1">
      <c r="A620" s="676">
        <v>45524.0</v>
      </c>
      <c r="B620" s="670" t="s">
        <v>38</v>
      </c>
      <c r="C620" s="670" t="s">
        <v>1233</v>
      </c>
      <c r="D620" s="671" t="s">
        <v>1180</v>
      </c>
      <c r="E620" s="665" t="s">
        <v>1235</v>
      </c>
      <c r="F620" s="175"/>
      <c r="G620" s="175"/>
      <c r="H620" s="175" t="s">
        <v>1586</v>
      </c>
      <c r="I620" s="668"/>
      <c r="J620" s="132"/>
      <c r="K620" s="132"/>
      <c r="L620" s="132"/>
      <c r="M620" s="132"/>
      <c r="N620" s="132"/>
      <c r="O620" s="132"/>
      <c r="P620" s="132"/>
      <c r="Q620" s="132"/>
      <c r="R620" s="132"/>
      <c r="S620" s="132"/>
      <c r="T620" s="132"/>
      <c r="U620" s="132"/>
      <c r="V620" s="132"/>
      <c r="W620" s="132"/>
      <c r="X620" s="132"/>
      <c r="Y620" s="132"/>
      <c r="Z620" s="132"/>
      <c r="AA620" s="132"/>
      <c r="AB620" s="132"/>
      <c r="AC620" s="132"/>
    </row>
    <row r="621" ht="24.75" hidden="1" customHeight="1" outlineLevel="1">
      <c r="A621" s="662">
        <v>45524.0</v>
      </c>
      <c r="B621" s="663" t="s">
        <v>1232</v>
      </c>
      <c r="C621" s="664" t="s">
        <v>1233</v>
      </c>
      <c r="D621" s="664" t="s">
        <v>1180</v>
      </c>
      <c r="E621" s="665" t="s">
        <v>1235</v>
      </c>
      <c r="F621" s="175"/>
      <c r="G621" s="175"/>
      <c r="H621" s="175" t="s">
        <v>1584</v>
      </c>
      <c r="I621" s="668"/>
      <c r="J621" s="132"/>
      <c r="K621" s="132"/>
      <c r="L621" s="132"/>
      <c r="M621" s="132"/>
      <c r="N621" s="132"/>
      <c r="O621" s="132"/>
      <c r="P621" s="132"/>
      <c r="Q621" s="132"/>
      <c r="R621" s="132"/>
      <c r="S621" s="132"/>
      <c r="T621" s="132"/>
      <c r="U621" s="132"/>
      <c r="V621" s="132"/>
      <c r="W621" s="132"/>
      <c r="X621" s="132"/>
      <c r="Y621" s="132"/>
      <c r="Z621" s="132"/>
      <c r="AA621" s="132"/>
      <c r="AB621" s="132"/>
      <c r="AC621" s="132"/>
    </row>
    <row r="622" ht="24.75" hidden="1" customHeight="1" outlineLevel="1">
      <c r="A622" s="662">
        <v>45524.0</v>
      </c>
      <c r="B622" s="677" t="s">
        <v>1254</v>
      </c>
      <c r="C622" s="664" t="s">
        <v>1590</v>
      </c>
      <c r="D622" s="664" t="s">
        <v>1612</v>
      </c>
      <c r="E622" s="665" t="s">
        <v>1203</v>
      </c>
      <c r="F622" s="175"/>
      <c r="G622" s="175"/>
      <c r="H622" s="175" t="s">
        <v>1613</v>
      </c>
      <c r="I622" s="668"/>
      <c r="J622" s="132"/>
      <c r="K622" s="132"/>
      <c r="L622" s="132"/>
      <c r="M622" s="132"/>
      <c r="N622" s="132"/>
      <c r="O622" s="132"/>
      <c r="P622" s="132"/>
      <c r="Q622" s="132"/>
      <c r="R622" s="132"/>
      <c r="S622" s="132"/>
      <c r="T622" s="132"/>
      <c r="U622" s="132"/>
      <c r="V622" s="132"/>
      <c r="W622" s="132"/>
      <c r="X622" s="132"/>
      <c r="Y622" s="132"/>
      <c r="Z622" s="132"/>
      <c r="AA622" s="132"/>
      <c r="AB622" s="132"/>
      <c r="AC622" s="132"/>
    </row>
    <row r="623" ht="24.75" hidden="1" customHeight="1" outlineLevel="1">
      <c r="A623" s="676">
        <v>45524.0</v>
      </c>
      <c r="B623" s="670" t="s">
        <v>1325</v>
      </c>
      <c r="C623" s="673" t="s">
        <v>1233</v>
      </c>
      <c r="D623" s="670" t="s">
        <v>1319</v>
      </c>
      <c r="E623" s="665" t="s">
        <v>1235</v>
      </c>
      <c r="F623" s="175"/>
      <c r="G623" s="175"/>
      <c r="H623" s="175" t="s">
        <v>1555</v>
      </c>
      <c r="I623" s="668"/>
      <c r="J623" s="132"/>
      <c r="K623" s="132"/>
      <c r="L623" s="132"/>
      <c r="M623" s="132"/>
      <c r="N623" s="132"/>
      <c r="O623" s="132"/>
      <c r="P623" s="132"/>
      <c r="Q623" s="132"/>
      <c r="R623" s="132"/>
      <c r="S623" s="132"/>
      <c r="T623" s="132"/>
      <c r="U623" s="132"/>
      <c r="V623" s="132"/>
      <c r="W623" s="132"/>
      <c r="X623" s="132"/>
      <c r="Y623" s="132"/>
      <c r="Z623" s="132"/>
      <c r="AA623" s="132"/>
      <c r="AB623" s="132"/>
      <c r="AC623" s="132"/>
    </row>
    <row r="624" ht="24.75" hidden="1" customHeight="1" outlineLevel="1">
      <c r="A624" s="662">
        <v>45525.0</v>
      </c>
      <c r="B624" s="678" t="s">
        <v>1261</v>
      </c>
      <c r="C624" s="664" t="s">
        <v>1590</v>
      </c>
      <c r="D624" s="664" t="s">
        <v>1612</v>
      </c>
      <c r="E624" s="665" t="s">
        <v>1203</v>
      </c>
      <c r="F624" s="132"/>
      <c r="G624" s="132"/>
      <c r="H624" s="132"/>
      <c r="I624" s="668"/>
      <c r="J624" s="132"/>
      <c r="K624" s="132"/>
      <c r="L624" s="132"/>
      <c r="M624" s="132"/>
      <c r="N624" s="132"/>
      <c r="O624" s="132"/>
      <c r="P624" s="132"/>
      <c r="Q624" s="132"/>
      <c r="R624" s="132"/>
      <c r="S624" s="132"/>
      <c r="T624" s="132"/>
      <c r="U624" s="132"/>
      <c r="V624" s="132"/>
      <c r="W624" s="132"/>
      <c r="X624" s="132"/>
      <c r="Y624" s="132"/>
      <c r="Z624" s="132"/>
      <c r="AA624" s="132"/>
      <c r="AB624" s="132"/>
      <c r="AC624" s="132"/>
    </row>
    <row r="625" ht="24.75" hidden="1" customHeight="1" outlineLevel="1">
      <c r="A625" s="662">
        <v>45526.0</v>
      </c>
      <c r="B625" s="678" t="s">
        <v>1263</v>
      </c>
      <c r="C625" s="664" t="s">
        <v>1590</v>
      </c>
      <c r="D625" s="664" t="s">
        <v>1612</v>
      </c>
      <c r="E625" s="665" t="s">
        <v>1203</v>
      </c>
      <c r="F625" s="132"/>
      <c r="G625" s="132"/>
      <c r="H625" s="132"/>
      <c r="I625" s="668"/>
      <c r="J625" s="132"/>
      <c r="K625" s="132"/>
      <c r="L625" s="132"/>
      <c r="M625" s="132"/>
      <c r="N625" s="132"/>
      <c r="O625" s="132"/>
      <c r="P625" s="132"/>
      <c r="Q625" s="132"/>
      <c r="R625" s="132"/>
      <c r="S625" s="132"/>
      <c r="T625" s="132"/>
      <c r="U625" s="132"/>
      <c r="V625" s="132"/>
      <c r="W625" s="132"/>
      <c r="X625" s="132"/>
      <c r="Y625" s="132"/>
      <c r="Z625" s="132"/>
      <c r="AA625" s="132"/>
      <c r="AB625" s="132"/>
      <c r="AC625" s="132"/>
    </row>
    <row r="626" ht="24.75" customHeight="1">
      <c r="A626" s="132"/>
      <c r="B626" s="132"/>
      <c r="C626" s="132"/>
      <c r="D626" s="132"/>
      <c r="E626" s="496"/>
      <c r="F626" s="132"/>
      <c r="G626" s="132"/>
      <c r="H626" s="132"/>
      <c r="I626" s="132"/>
      <c r="J626" s="132"/>
      <c r="K626" s="132"/>
      <c r="L626" s="132"/>
      <c r="M626" s="132"/>
      <c r="N626" s="132"/>
      <c r="O626" s="132"/>
      <c r="P626" s="132"/>
      <c r="Q626" s="132"/>
      <c r="R626" s="132"/>
      <c r="S626" s="132"/>
      <c r="T626" s="132"/>
      <c r="U626" s="132"/>
      <c r="V626" s="132"/>
      <c r="W626" s="132"/>
      <c r="X626" s="132"/>
      <c r="Y626" s="132"/>
      <c r="Z626" s="132"/>
      <c r="AA626" s="132"/>
      <c r="AB626" s="132"/>
      <c r="AC626" s="132"/>
    </row>
    <row r="627" ht="24.75" customHeight="1" collapsed="1">
      <c r="A627" s="175" t="s">
        <v>1614</v>
      </c>
      <c r="B627" s="132"/>
      <c r="C627" s="132"/>
      <c r="D627" s="132"/>
      <c r="E627" s="496"/>
      <c r="F627" s="132"/>
      <c r="G627" s="132"/>
      <c r="H627" s="132"/>
      <c r="I627" s="132"/>
      <c r="J627" s="132"/>
      <c r="K627" s="132"/>
      <c r="L627" s="132"/>
      <c r="M627" s="132"/>
      <c r="N627" s="132"/>
      <c r="O627" s="132"/>
      <c r="P627" s="132"/>
      <c r="Q627" s="132"/>
      <c r="R627" s="132"/>
      <c r="S627" s="132"/>
      <c r="T627" s="132"/>
      <c r="U627" s="132"/>
      <c r="V627" s="132"/>
      <c r="W627" s="132"/>
      <c r="X627" s="132"/>
      <c r="Y627" s="132"/>
      <c r="Z627" s="132"/>
      <c r="AA627" s="132"/>
      <c r="AB627" s="132"/>
      <c r="AC627" s="132"/>
    </row>
    <row r="628" ht="24.75" hidden="1" customHeight="1" outlineLevel="1">
      <c r="A628" s="533" t="s">
        <v>1166</v>
      </c>
      <c r="B628" s="534" t="s">
        <v>1117</v>
      </c>
      <c r="C628" s="534" t="s">
        <v>1167</v>
      </c>
      <c r="D628" s="534" t="s">
        <v>1168</v>
      </c>
      <c r="E628" s="534" t="s">
        <v>1169</v>
      </c>
      <c r="F628" s="132"/>
      <c r="G628" s="132"/>
      <c r="H628" s="132"/>
      <c r="I628" s="132"/>
      <c r="J628" s="132"/>
      <c r="K628" s="132"/>
      <c r="L628" s="132"/>
      <c r="M628" s="132"/>
      <c r="N628" s="132"/>
      <c r="O628" s="132"/>
      <c r="P628" s="132"/>
      <c r="Q628" s="132"/>
      <c r="R628" s="132"/>
      <c r="S628" s="132"/>
      <c r="T628" s="132"/>
      <c r="U628" s="132"/>
      <c r="V628" s="132"/>
      <c r="W628" s="132"/>
      <c r="X628" s="132"/>
      <c r="Y628" s="132"/>
      <c r="Z628" s="132"/>
      <c r="AA628" s="132"/>
      <c r="AB628" s="132"/>
      <c r="AC628" s="132"/>
    </row>
    <row r="629" ht="24.75" hidden="1" customHeight="1" outlineLevel="1">
      <c r="A629" s="607">
        <v>45551.0</v>
      </c>
      <c r="B629" s="679" t="s">
        <v>1249</v>
      </c>
      <c r="C629" s="526" t="s">
        <v>1578</v>
      </c>
      <c r="D629" s="680" t="s">
        <v>1615</v>
      </c>
      <c r="E629" s="681" t="s">
        <v>1235</v>
      </c>
      <c r="F629" s="682"/>
      <c r="G629" s="682"/>
      <c r="H629" s="683"/>
      <c r="I629" s="684"/>
      <c r="J629" s="599"/>
      <c r="K629" s="685"/>
      <c r="L629" s="686"/>
      <c r="M629" s="175"/>
      <c r="N629" s="668"/>
      <c r="O629" s="132"/>
      <c r="P629" s="132"/>
      <c r="Q629" s="132"/>
      <c r="R629" s="132"/>
      <c r="S629" s="132"/>
      <c r="T629" s="132"/>
      <c r="U629" s="132"/>
      <c r="V629" s="132"/>
      <c r="W629" s="132"/>
      <c r="X629" s="132"/>
      <c r="Y629" s="132"/>
      <c r="Z629" s="132"/>
      <c r="AA629" s="132"/>
      <c r="AB629" s="132"/>
      <c r="AC629" s="132"/>
    </row>
    <row r="630" ht="24.75" hidden="1" customHeight="1" outlineLevel="1">
      <c r="A630" s="607">
        <v>45551.0</v>
      </c>
      <c r="B630" s="679" t="s">
        <v>1526</v>
      </c>
      <c r="C630" s="523" t="s">
        <v>1239</v>
      </c>
      <c r="D630" s="687" t="s">
        <v>1580</v>
      </c>
      <c r="E630" s="681" t="s">
        <v>1235</v>
      </c>
      <c r="F630" s="682"/>
      <c r="G630" s="682"/>
      <c r="H630" s="683"/>
      <c r="I630" s="684"/>
      <c r="J630" s="273"/>
      <c r="K630" s="685"/>
      <c r="L630" s="686"/>
      <c r="M630" s="175"/>
      <c r="N630" s="668"/>
      <c r="O630" s="132"/>
      <c r="P630" s="132"/>
      <c r="Q630" s="132"/>
      <c r="R630" s="132"/>
      <c r="S630" s="132"/>
      <c r="T630" s="132"/>
      <c r="U630" s="132"/>
      <c r="V630" s="132"/>
      <c r="W630" s="132"/>
      <c r="X630" s="132"/>
      <c r="Y630" s="132"/>
      <c r="Z630" s="132"/>
      <c r="AA630" s="132"/>
      <c r="AB630" s="132"/>
      <c r="AC630" s="132"/>
    </row>
    <row r="631" ht="24.75" hidden="1" customHeight="1" outlineLevel="1">
      <c r="A631" s="607">
        <v>45551.0</v>
      </c>
      <c r="B631" s="523" t="s">
        <v>629</v>
      </c>
      <c r="C631" s="523" t="s">
        <v>1221</v>
      </c>
      <c r="D631" s="688" t="s">
        <v>1550</v>
      </c>
      <c r="E631" s="681" t="s">
        <v>1235</v>
      </c>
      <c r="F631" s="558"/>
      <c r="G631" s="558"/>
      <c r="H631" s="558" t="s">
        <v>1320</v>
      </c>
      <c r="I631" s="273"/>
      <c r="J631" s="273"/>
      <c r="K631" s="689"/>
      <c r="L631" s="686"/>
      <c r="M631" s="175"/>
      <c r="N631" s="668"/>
      <c r="O631" s="132"/>
      <c r="P631" s="132"/>
      <c r="Q631" s="132"/>
      <c r="R631" s="132"/>
      <c r="S631" s="132"/>
      <c r="T631" s="132"/>
      <c r="U631" s="132"/>
      <c r="V631" s="132"/>
      <c r="W631" s="132"/>
      <c r="X631" s="132"/>
      <c r="Y631" s="132"/>
      <c r="Z631" s="132"/>
      <c r="AA631" s="132"/>
      <c r="AB631" s="132"/>
      <c r="AC631" s="132"/>
    </row>
    <row r="632" ht="24.75" hidden="1" customHeight="1" outlineLevel="1">
      <c r="A632" s="607">
        <v>45551.0</v>
      </c>
      <c r="B632" s="523" t="s">
        <v>1217</v>
      </c>
      <c r="C632" s="523" t="s">
        <v>1451</v>
      </c>
      <c r="D632" s="680" t="s">
        <v>1354</v>
      </c>
      <c r="E632" s="681" t="s">
        <v>1235</v>
      </c>
      <c r="F632" s="273"/>
      <c r="G632" s="273"/>
      <c r="H632" s="273" t="s">
        <v>1240</v>
      </c>
      <c r="I632" s="273"/>
      <c r="J632" s="273"/>
      <c r="K632" s="685"/>
      <c r="L632" s="686"/>
      <c r="M632" s="175"/>
      <c r="N632" s="668"/>
      <c r="O632" s="132"/>
      <c r="P632" s="132"/>
      <c r="Q632" s="132"/>
      <c r="R632" s="132"/>
      <c r="S632" s="132"/>
      <c r="T632" s="132"/>
      <c r="U632" s="132"/>
      <c r="V632" s="132"/>
      <c r="W632" s="132"/>
      <c r="X632" s="132"/>
      <c r="Y632" s="132"/>
      <c r="Z632" s="132"/>
      <c r="AA632" s="132"/>
      <c r="AB632" s="132"/>
      <c r="AC632" s="132"/>
    </row>
    <row r="633" ht="24.75" hidden="1" customHeight="1" outlineLevel="1">
      <c r="A633" s="621">
        <v>45552.0</v>
      </c>
      <c r="B633" s="679" t="s">
        <v>38</v>
      </c>
      <c r="C633" s="523" t="s">
        <v>1221</v>
      </c>
      <c r="D633" s="688" t="s">
        <v>1552</v>
      </c>
      <c r="E633" s="681" t="s">
        <v>1235</v>
      </c>
      <c r="F633" s="273"/>
      <c r="G633" s="273"/>
      <c r="H633" s="273"/>
      <c r="I633" s="684"/>
      <c r="J633" s="273"/>
      <c r="K633" s="689"/>
      <c r="L633" s="686"/>
      <c r="M633" s="579"/>
      <c r="N633" s="668"/>
      <c r="O633" s="132"/>
      <c r="P633" s="132"/>
      <c r="Q633" s="132"/>
      <c r="R633" s="132"/>
      <c r="S633" s="132"/>
      <c r="T633" s="132"/>
      <c r="U633" s="132"/>
      <c r="V633" s="132"/>
      <c r="W633" s="132"/>
      <c r="X633" s="132"/>
      <c r="Y633" s="132"/>
      <c r="Z633" s="132"/>
      <c r="AA633" s="132"/>
      <c r="AB633" s="132"/>
      <c r="AC633" s="132"/>
    </row>
    <row r="634" ht="24.75" hidden="1" customHeight="1" outlineLevel="1">
      <c r="A634" s="621">
        <v>45552.0</v>
      </c>
      <c r="B634" s="523" t="s">
        <v>1232</v>
      </c>
      <c r="C634" s="690" t="s">
        <v>1616</v>
      </c>
      <c r="D634" s="688" t="s">
        <v>1180</v>
      </c>
      <c r="E634" s="681" t="s">
        <v>1235</v>
      </c>
      <c r="F634" s="558"/>
      <c r="G634" s="558"/>
      <c r="H634" s="558" t="s">
        <v>1554</v>
      </c>
      <c r="I634" s="273"/>
      <c r="J634" s="691"/>
      <c r="K634" s="689"/>
      <c r="L634" s="686"/>
      <c r="M634" s="558"/>
      <c r="N634" s="132"/>
      <c r="O634" s="132"/>
      <c r="P634" s="132"/>
      <c r="Q634" s="132"/>
      <c r="R634" s="132"/>
      <c r="S634" s="132"/>
      <c r="T634" s="132"/>
      <c r="U634" s="132"/>
      <c r="V634" s="132"/>
      <c r="W634" s="132"/>
      <c r="X634" s="132"/>
      <c r="Y634" s="132"/>
      <c r="Z634" s="132"/>
      <c r="AA634" s="132"/>
      <c r="AB634" s="132"/>
      <c r="AC634" s="132"/>
    </row>
    <row r="635" ht="24.75" hidden="1" customHeight="1" outlineLevel="1">
      <c r="A635" s="621">
        <v>45552.0</v>
      </c>
      <c r="B635" s="523" t="s">
        <v>1325</v>
      </c>
      <c r="C635" s="523" t="s">
        <v>1221</v>
      </c>
      <c r="D635" s="688" t="s">
        <v>1180</v>
      </c>
      <c r="E635" s="681" t="s">
        <v>1235</v>
      </c>
      <c r="F635" s="558"/>
      <c r="G635" s="558"/>
      <c r="H635" s="558" t="s">
        <v>1555</v>
      </c>
      <c r="I635" s="273"/>
      <c r="J635" s="273"/>
      <c r="K635" s="689"/>
      <c r="L635" s="686"/>
      <c r="M635" s="175"/>
      <c r="N635" s="175"/>
      <c r="O635" s="132"/>
      <c r="P635" s="132"/>
      <c r="Q635" s="132"/>
      <c r="R635" s="132"/>
      <c r="S635" s="132"/>
      <c r="T635" s="132"/>
      <c r="U635" s="132"/>
      <c r="V635" s="132"/>
      <c r="W635" s="132"/>
      <c r="X635" s="132"/>
      <c r="Y635" s="132"/>
      <c r="Z635" s="132"/>
      <c r="AA635" s="132"/>
      <c r="AB635" s="132"/>
      <c r="AC635" s="132"/>
    </row>
    <row r="636" ht="24.75" hidden="1" customHeight="1" outlineLevel="1">
      <c r="A636" s="621">
        <v>45552.0</v>
      </c>
      <c r="B636" s="679" t="s">
        <v>1254</v>
      </c>
      <c r="C636" s="692" t="s">
        <v>1590</v>
      </c>
      <c r="D636" s="688" t="s">
        <v>1557</v>
      </c>
      <c r="E636" s="681" t="s">
        <v>1235</v>
      </c>
      <c r="F636" s="682"/>
      <c r="G636" s="682"/>
      <c r="H636" s="683"/>
      <c r="I636" s="684"/>
      <c r="J636" s="693"/>
      <c r="K636" s="689"/>
      <c r="L636" s="686"/>
      <c r="M636" s="175"/>
      <c r="N636" s="175"/>
      <c r="O636" s="132"/>
      <c r="P636" s="132"/>
      <c r="Q636" s="132"/>
      <c r="R636" s="132"/>
      <c r="S636" s="132"/>
      <c r="T636" s="132"/>
      <c r="U636" s="132"/>
      <c r="V636" s="132"/>
      <c r="W636" s="132"/>
      <c r="X636" s="132"/>
      <c r="Y636" s="132"/>
      <c r="Z636" s="132"/>
      <c r="AA636" s="132"/>
      <c r="AB636" s="132"/>
      <c r="AC636" s="132"/>
    </row>
    <row r="637" ht="24.75" hidden="1" customHeight="1" outlineLevel="1">
      <c r="A637" s="621">
        <v>45552.0</v>
      </c>
      <c r="B637" s="523" t="s">
        <v>236</v>
      </c>
      <c r="C637" s="523" t="s">
        <v>1221</v>
      </c>
      <c r="D637" s="688" t="s">
        <v>1558</v>
      </c>
      <c r="E637" s="681" t="s">
        <v>1235</v>
      </c>
      <c r="F637" s="682"/>
      <c r="G637" s="682"/>
      <c r="H637" s="683"/>
      <c r="I637" s="273"/>
      <c r="J637" s="273"/>
      <c r="K637" s="689"/>
      <c r="L637" s="686"/>
      <c r="M637" s="175"/>
      <c r="N637" s="175"/>
      <c r="O637" s="132"/>
      <c r="P637" s="132"/>
      <c r="Q637" s="132"/>
      <c r="R637" s="132"/>
      <c r="S637" s="132"/>
      <c r="T637" s="132"/>
      <c r="U637" s="132"/>
      <c r="V637" s="132"/>
      <c r="W637" s="132"/>
      <c r="X637" s="132"/>
      <c r="Y637" s="132"/>
      <c r="Z637" s="132"/>
      <c r="AA637" s="132"/>
      <c r="AB637" s="132"/>
      <c r="AC637" s="132"/>
    </row>
    <row r="638" ht="24.75" customHeight="1">
      <c r="A638" s="132"/>
      <c r="B638" s="132"/>
      <c r="C638" s="132"/>
      <c r="D638" s="132"/>
      <c r="E638" s="496"/>
      <c r="F638" s="132"/>
      <c r="G638" s="132"/>
      <c r="H638" s="132"/>
      <c r="I638" s="132"/>
      <c r="J638" s="132"/>
      <c r="K638" s="132"/>
      <c r="L638" s="132"/>
      <c r="M638" s="132"/>
      <c r="N638" s="175"/>
      <c r="O638" s="132"/>
      <c r="P638" s="132"/>
      <c r="Q638" s="132"/>
      <c r="R638" s="132"/>
      <c r="S638" s="132"/>
      <c r="T638" s="132"/>
      <c r="U638" s="132"/>
      <c r="V638" s="132"/>
      <c r="W638" s="132"/>
      <c r="X638" s="132"/>
      <c r="Y638" s="132"/>
      <c r="Z638" s="132"/>
      <c r="AA638" s="132"/>
      <c r="AB638" s="132"/>
      <c r="AC638" s="132"/>
    </row>
    <row r="639" ht="24.75" customHeight="1" collapsed="1">
      <c r="A639" s="175" t="s">
        <v>1617</v>
      </c>
      <c r="B639" s="132"/>
      <c r="C639" s="132"/>
      <c r="D639" s="132"/>
      <c r="E639" s="496"/>
      <c r="F639" s="132"/>
      <c r="G639" s="132"/>
      <c r="H639" s="132"/>
      <c r="I639" s="132"/>
      <c r="J639" s="132"/>
      <c r="K639" s="132"/>
      <c r="L639" s="132"/>
      <c r="M639" s="175"/>
      <c r="N639" s="175"/>
      <c r="O639" s="132"/>
      <c r="P639" s="132"/>
      <c r="Q639" s="132"/>
      <c r="R639" s="132"/>
      <c r="S639" s="132"/>
      <c r="T639" s="132"/>
      <c r="U639" s="132"/>
      <c r="V639" s="132"/>
      <c r="W639" s="132"/>
      <c r="X639" s="132"/>
      <c r="Y639" s="132"/>
      <c r="Z639" s="132"/>
      <c r="AA639" s="132"/>
      <c r="AB639" s="132"/>
      <c r="AC639" s="132"/>
    </row>
    <row r="640" ht="24.75" hidden="1" customHeight="1" outlineLevel="1">
      <c r="A640" s="694" t="s">
        <v>1166</v>
      </c>
      <c r="B640" s="695" t="s">
        <v>1117</v>
      </c>
      <c r="C640" s="695" t="s">
        <v>1167</v>
      </c>
      <c r="D640" s="695" t="s">
        <v>1168</v>
      </c>
      <c r="E640" s="695" t="s">
        <v>1169</v>
      </c>
      <c r="F640" s="132"/>
      <c r="G640" s="132"/>
      <c r="H640" s="132"/>
      <c r="I640" s="132"/>
      <c r="J640" s="132"/>
      <c r="K640" s="132"/>
      <c r="L640" s="132"/>
      <c r="M640" s="132"/>
      <c r="N640" s="132"/>
      <c r="O640" s="132"/>
      <c r="P640" s="132"/>
      <c r="Q640" s="132"/>
      <c r="R640" s="132"/>
      <c r="S640" s="132"/>
      <c r="T640" s="132"/>
      <c r="U640" s="132"/>
      <c r="V640" s="132"/>
      <c r="W640" s="132"/>
      <c r="X640" s="132"/>
      <c r="Y640" s="132"/>
      <c r="Z640" s="132"/>
      <c r="AA640" s="132"/>
      <c r="AB640" s="132"/>
      <c r="AC640" s="132"/>
    </row>
    <row r="641" ht="24.75" hidden="1" customHeight="1" outlineLevel="1">
      <c r="A641" s="607">
        <v>45558.0</v>
      </c>
      <c r="B641" s="679" t="s">
        <v>1249</v>
      </c>
      <c r="C641" s="526" t="s">
        <v>1578</v>
      </c>
      <c r="D641" s="680" t="s">
        <v>1615</v>
      </c>
      <c r="E641" s="696" t="s">
        <v>1235</v>
      </c>
      <c r="F641" s="132"/>
      <c r="G641" s="132"/>
      <c r="H641" s="132"/>
      <c r="I641" s="132"/>
      <c r="J641" s="132"/>
      <c r="K641" s="132"/>
      <c r="L641" s="132"/>
      <c r="M641" s="132"/>
      <c r="N641" s="132"/>
      <c r="O641" s="132"/>
      <c r="P641" s="132"/>
      <c r="Q641" s="132"/>
      <c r="R641" s="132"/>
      <c r="S641" s="132"/>
      <c r="T641" s="132"/>
      <c r="U641" s="132"/>
      <c r="V641" s="132"/>
      <c r="W641" s="132"/>
      <c r="X641" s="132"/>
      <c r="Y641" s="132"/>
      <c r="Z641" s="132"/>
      <c r="AA641" s="132"/>
      <c r="AB641" s="132"/>
      <c r="AC641" s="132"/>
    </row>
    <row r="642" ht="24.75" hidden="1" customHeight="1" outlineLevel="1">
      <c r="A642" s="607">
        <v>45558.0</v>
      </c>
      <c r="B642" s="679" t="s">
        <v>1526</v>
      </c>
      <c r="C642" s="523" t="s">
        <v>1239</v>
      </c>
      <c r="D642" s="687" t="s">
        <v>1580</v>
      </c>
      <c r="E642" s="696" t="s">
        <v>1235</v>
      </c>
      <c r="F642" s="132"/>
      <c r="G642" s="132"/>
      <c r="H642" s="132"/>
      <c r="I642" s="132"/>
      <c r="J642" s="132"/>
      <c r="K642" s="132"/>
      <c r="L642" s="132"/>
      <c r="M642" s="132"/>
      <c r="N642" s="132"/>
      <c r="O642" s="132"/>
      <c r="P642" s="132"/>
      <c r="Q642" s="132"/>
      <c r="R642" s="132"/>
      <c r="S642" s="132"/>
      <c r="T642" s="132"/>
      <c r="U642" s="132"/>
      <c r="V642" s="132"/>
      <c r="W642" s="132"/>
      <c r="X642" s="132"/>
      <c r="Y642" s="132"/>
      <c r="Z642" s="132"/>
      <c r="AA642" s="132"/>
      <c r="AB642" s="132"/>
      <c r="AC642" s="132"/>
    </row>
    <row r="643" ht="24.75" hidden="1" customHeight="1" outlineLevel="1">
      <c r="A643" s="607">
        <v>45558.0</v>
      </c>
      <c r="B643" s="523" t="s">
        <v>629</v>
      </c>
      <c r="C643" s="523" t="s">
        <v>1221</v>
      </c>
      <c r="D643" s="688" t="s">
        <v>1550</v>
      </c>
      <c r="E643" s="696" t="s">
        <v>1235</v>
      </c>
      <c r="F643" s="558"/>
      <c r="G643" s="558"/>
      <c r="H643" s="558" t="s">
        <v>1320</v>
      </c>
      <c r="I643" s="132"/>
      <c r="J643" s="132"/>
      <c r="K643" s="132"/>
      <c r="L643" s="132"/>
      <c r="M643" s="132"/>
      <c r="N643" s="132"/>
      <c r="O643" s="132"/>
      <c r="P643" s="132"/>
      <c r="Q643" s="132"/>
      <c r="R643" s="132"/>
      <c r="S643" s="132"/>
      <c r="T643" s="132"/>
      <c r="U643" s="132"/>
      <c r="V643" s="132"/>
      <c r="W643" s="132"/>
      <c r="X643" s="132"/>
      <c r="Y643" s="132"/>
      <c r="Z643" s="132"/>
      <c r="AA643" s="132"/>
      <c r="AB643" s="132"/>
      <c r="AC643" s="132"/>
    </row>
    <row r="644" ht="24.75" hidden="1" customHeight="1" outlineLevel="1">
      <c r="A644" s="607">
        <v>45558.0</v>
      </c>
      <c r="B644" s="523" t="s">
        <v>1217</v>
      </c>
      <c r="C644" s="523" t="s">
        <v>1451</v>
      </c>
      <c r="D644" s="680" t="s">
        <v>1354</v>
      </c>
      <c r="E644" s="696" t="s">
        <v>1235</v>
      </c>
      <c r="F644" s="273"/>
      <c r="G644" s="273"/>
      <c r="H644" s="273" t="s">
        <v>1240</v>
      </c>
      <c r="I644" s="132"/>
      <c r="J644" s="132"/>
      <c r="K644" s="132"/>
      <c r="L644" s="132"/>
      <c r="M644" s="132"/>
      <c r="N644" s="132"/>
      <c r="O644" s="132"/>
      <c r="P644" s="132"/>
      <c r="Q644" s="132"/>
      <c r="R644" s="132"/>
      <c r="S644" s="132"/>
      <c r="T644" s="132"/>
      <c r="U644" s="132"/>
      <c r="V644" s="132"/>
      <c r="W644" s="132"/>
      <c r="X644" s="132"/>
      <c r="Y644" s="132"/>
      <c r="Z644" s="132"/>
      <c r="AA644" s="132"/>
      <c r="AB644" s="132"/>
      <c r="AC644" s="132"/>
    </row>
    <row r="645" ht="24.75" hidden="1" customHeight="1" outlineLevel="1">
      <c r="A645" s="621">
        <v>45559.0</v>
      </c>
      <c r="B645" s="679" t="s">
        <v>38</v>
      </c>
      <c r="C645" s="523" t="s">
        <v>1221</v>
      </c>
      <c r="D645" s="688" t="s">
        <v>1552</v>
      </c>
      <c r="E645" s="696" t="s">
        <v>1235</v>
      </c>
      <c r="F645" s="273"/>
      <c r="G645" s="273"/>
      <c r="H645" s="273"/>
      <c r="I645" s="132"/>
      <c r="J645" s="132"/>
      <c r="K645" s="132"/>
      <c r="L645" s="132"/>
      <c r="M645" s="132"/>
      <c r="N645" s="132"/>
      <c r="O645" s="132"/>
      <c r="P645" s="132"/>
      <c r="Q645" s="132"/>
      <c r="R645" s="132"/>
      <c r="S645" s="132"/>
      <c r="T645" s="132"/>
      <c r="U645" s="132"/>
      <c r="V645" s="132"/>
      <c r="W645" s="132"/>
      <c r="X645" s="132"/>
      <c r="Y645" s="132"/>
      <c r="Z645" s="132"/>
      <c r="AA645" s="132"/>
      <c r="AB645" s="132"/>
      <c r="AC645" s="132"/>
    </row>
    <row r="646" ht="24.75" hidden="1" customHeight="1" outlineLevel="1">
      <c r="A646" s="621">
        <v>45559.0</v>
      </c>
      <c r="B646" s="523" t="s">
        <v>1232</v>
      </c>
      <c r="C646" s="690" t="s">
        <v>1618</v>
      </c>
      <c r="D646" s="688" t="s">
        <v>1180</v>
      </c>
      <c r="E646" s="696" t="s">
        <v>1235</v>
      </c>
      <c r="F646" s="558"/>
      <c r="G646" s="558"/>
      <c r="H646" s="558" t="s">
        <v>1554</v>
      </c>
      <c r="I646" s="132"/>
      <c r="J646" s="132"/>
      <c r="K646" s="132"/>
      <c r="L646" s="132"/>
      <c r="M646" s="132"/>
      <c r="N646" s="132"/>
      <c r="O646" s="132"/>
      <c r="P646" s="132"/>
      <c r="Q646" s="132"/>
      <c r="R646" s="132"/>
      <c r="S646" s="132"/>
      <c r="T646" s="132"/>
      <c r="U646" s="132"/>
      <c r="V646" s="132"/>
      <c r="W646" s="132"/>
      <c r="X646" s="132"/>
      <c r="Y646" s="132"/>
      <c r="Z646" s="132"/>
      <c r="AA646" s="132"/>
      <c r="AB646" s="132"/>
      <c r="AC646" s="132"/>
    </row>
    <row r="647" ht="24.75" hidden="1" customHeight="1" outlineLevel="1">
      <c r="A647" s="621">
        <v>45559.0</v>
      </c>
      <c r="B647" s="523" t="s">
        <v>1325</v>
      </c>
      <c r="C647" s="523" t="s">
        <v>1221</v>
      </c>
      <c r="D647" s="688" t="s">
        <v>1180</v>
      </c>
      <c r="E647" s="696" t="s">
        <v>1235</v>
      </c>
      <c r="F647" s="558"/>
      <c r="G647" s="558"/>
      <c r="H647" s="558" t="s">
        <v>1555</v>
      </c>
      <c r="I647" s="132"/>
      <c r="J647" s="132"/>
      <c r="K647" s="132"/>
      <c r="L647" s="132"/>
      <c r="M647" s="132"/>
      <c r="N647" s="132"/>
      <c r="O647" s="132"/>
      <c r="P647" s="132"/>
      <c r="Q647" s="132"/>
      <c r="R647" s="132"/>
      <c r="S647" s="132"/>
      <c r="T647" s="132"/>
      <c r="U647" s="132"/>
      <c r="V647" s="132"/>
      <c r="W647" s="132"/>
      <c r="X647" s="132"/>
      <c r="Y647" s="132"/>
      <c r="Z647" s="132"/>
      <c r="AA647" s="132"/>
      <c r="AB647" s="132"/>
      <c r="AC647" s="132"/>
    </row>
    <row r="648" ht="24.75" hidden="1" customHeight="1" outlineLevel="1">
      <c r="A648" s="621">
        <v>45559.0</v>
      </c>
      <c r="B648" s="679" t="s">
        <v>1254</v>
      </c>
      <c r="C648" s="692" t="s">
        <v>1590</v>
      </c>
      <c r="D648" s="688" t="s">
        <v>1557</v>
      </c>
      <c r="E648" s="696" t="s">
        <v>1235</v>
      </c>
      <c r="F648" s="132"/>
      <c r="G648" s="132"/>
      <c r="H648" s="132"/>
      <c r="I648" s="132"/>
      <c r="J648" s="132"/>
      <c r="K648" s="132"/>
      <c r="L648" s="132"/>
      <c r="M648" s="132"/>
      <c r="N648" s="132"/>
      <c r="O648" s="132"/>
      <c r="P648" s="132"/>
      <c r="Q648" s="132"/>
      <c r="R648" s="132"/>
      <c r="S648" s="132"/>
      <c r="T648" s="132"/>
      <c r="U648" s="132"/>
      <c r="V648" s="132"/>
      <c r="W648" s="132"/>
      <c r="X648" s="132"/>
      <c r="Y648" s="132"/>
      <c r="Z648" s="132"/>
      <c r="AA648" s="132"/>
      <c r="AB648" s="132"/>
      <c r="AC648" s="132"/>
    </row>
    <row r="649" ht="24.75" hidden="1" customHeight="1" outlineLevel="1">
      <c r="A649" s="621">
        <v>45559.0</v>
      </c>
      <c r="B649" s="523" t="s">
        <v>236</v>
      </c>
      <c r="C649" s="523" t="s">
        <v>1221</v>
      </c>
      <c r="D649" s="688" t="s">
        <v>1558</v>
      </c>
      <c r="E649" s="696" t="s">
        <v>1235</v>
      </c>
      <c r="F649" s="132"/>
      <c r="G649" s="132"/>
      <c r="H649" s="132"/>
      <c r="I649" s="132"/>
      <c r="J649" s="132"/>
      <c r="K649" s="132"/>
      <c r="L649" s="132"/>
      <c r="M649" s="132"/>
      <c r="N649" s="132"/>
      <c r="O649" s="132"/>
      <c r="P649" s="132"/>
      <c r="Q649" s="132"/>
      <c r="R649" s="132"/>
      <c r="S649" s="132"/>
      <c r="T649" s="132"/>
      <c r="U649" s="132"/>
      <c r="V649" s="132"/>
      <c r="W649" s="132"/>
      <c r="X649" s="132"/>
      <c r="Y649" s="132"/>
      <c r="Z649" s="132"/>
      <c r="AA649" s="132"/>
      <c r="AB649" s="132"/>
      <c r="AC649" s="132"/>
    </row>
    <row r="650" ht="24.75" customHeight="1">
      <c r="A650" s="132"/>
      <c r="B650" s="132"/>
      <c r="C650" s="132"/>
      <c r="D650" s="132"/>
      <c r="E650" s="496"/>
      <c r="F650" s="132"/>
      <c r="G650" s="132"/>
      <c r="H650" s="132"/>
      <c r="I650" s="132"/>
      <c r="J650" s="132"/>
      <c r="K650" s="132"/>
      <c r="L650" s="132"/>
      <c r="M650" s="132"/>
      <c r="N650" s="132"/>
      <c r="O650" s="132"/>
      <c r="P650" s="132"/>
      <c r="Q650" s="132"/>
      <c r="R650" s="132"/>
      <c r="S650" s="132"/>
      <c r="T650" s="132"/>
      <c r="U650" s="132"/>
      <c r="V650" s="132"/>
      <c r="W650" s="132"/>
      <c r="X650" s="132"/>
      <c r="Y650" s="132"/>
      <c r="Z650" s="132"/>
      <c r="AA650" s="132"/>
      <c r="AB650" s="132"/>
      <c r="AC650" s="132"/>
    </row>
    <row r="651" ht="24.75" customHeight="1" collapsed="1">
      <c r="A651" s="175" t="s">
        <v>1619</v>
      </c>
      <c r="B651" s="132"/>
      <c r="C651" s="132"/>
      <c r="D651" s="132"/>
      <c r="E651" s="496"/>
      <c r="F651" s="132"/>
      <c r="G651" s="132"/>
      <c r="H651" s="132"/>
      <c r="I651" s="132"/>
      <c r="J651" s="132"/>
      <c r="K651" s="132"/>
      <c r="L651" s="132"/>
      <c r="M651" s="132"/>
      <c r="N651" s="132"/>
      <c r="O651" s="132"/>
      <c r="P651" s="132"/>
      <c r="Q651" s="132"/>
      <c r="R651" s="132"/>
      <c r="S651" s="132"/>
      <c r="T651" s="132"/>
      <c r="U651" s="132"/>
      <c r="V651" s="132"/>
      <c r="W651" s="132"/>
      <c r="X651" s="132"/>
      <c r="Y651" s="132"/>
      <c r="Z651" s="132"/>
      <c r="AA651" s="132"/>
      <c r="AB651" s="132"/>
      <c r="AC651" s="132"/>
    </row>
    <row r="652" ht="24.75" hidden="1" customHeight="1" outlineLevel="1">
      <c r="A652" s="597" t="s">
        <v>1166</v>
      </c>
      <c r="B652" s="598" t="s">
        <v>1117</v>
      </c>
      <c r="C652" s="598" t="s">
        <v>1167</v>
      </c>
      <c r="D652" s="598" t="s">
        <v>1168</v>
      </c>
      <c r="E652" s="598" t="s">
        <v>1169</v>
      </c>
      <c r="F652" s="132"/>
      <c r="G652" s="132"/>
      <c r="H652" s="132"/>
      <c r="I652" s="132"/>
      <c r="J652" s="132"/>
      <c r="K652" s="132"/>
      <c r="L652" s="132"/>
      <c r="M652" s="132"/>
      <c r="N652" s="132"/>
      <c r="O652" s="132"/>
      <c r="P652" s="132"/>
      <c r="Q652" s="132"/>
      <c r="R652" s="132"/>
      <c r="S652" s="132"/>
      <c r="T652" s="132"/>
      <c r="U652" s="132"/>
      <c r="V652" s="132"/>
      <c r="W652" s="132"/>
      <c r="X652" s="132"/>
      <c r="Y652" s="132"/>
      <c r="Z652" s="132"/>
      <c r="AA652" s="132"/>
      <c r="AB652" s="132"/>
      <c r="AC652" s="132"/>
    </row>
    <row r="653" ht="24.75" hidden="1" customHeight="1" outlineLevel="1">
      <c r="A653" s="607">
        <v>45579.0</v>
      </c>
      <c r="B653" s="507" t="s">
        <v>1249</v>
      </c>
      <c r="C653" s="526" t="s">
        <v>1311</v>
      </c>
      <c r="D653" s="506" t="s">
        <v>1620</v>
      </c>
      <c r="E653" s="573" t="s">
        <v>1235</v>
      </c>
      <c r="F653" s="175"/>
      <c r="G653" s="175"/>
      <c r="H653" s="175" t="s">
        <v>1355</v>
      </c>
      <c r="I653" s="132"/>
      <c r="J653" s="132"/>
      <c r="K653" s="132"/>
      <c r="L653" s="132"/>
      <c r="M653" s="132"/>
      <c r="N653" s="132"/>
      <c r="O653" s="132"/>
      <c r="P653" s="132"/>
      <c r="Q653" s="132"/>
      <c r="R653" s="132"/>
      <c r="S653" s="132"/>
      <c r="T653" s="132"/>
      <c r="U653" s="132"/>
      <c r="V653" s="132"/>
      <c r="W653" s="132"/>
      <c r="X653" s="132"/>
      <c r="Y653" s="132"/>
      <c r="Z653" s="132"/>
      <c r="AA653" s="132"/>
      <c r="AB653" s="132"/>
      <c r="AC653" s="132"/>
    </row>
    <row r="654" ht="24.75" hidden="1" customHeight="1" outlineLevel="1">
      <c r="A654" s="607">
        <v>45579.0</v>
      </c>
      <c r="B654" s="507" t="s">
        <v>629</v>
      </c>
      <c r="C654" s="507" t="s">
        <v>1233</v>
      </c>
      <c r="D654" s="601" t="s">
        <v>1180</v>
      </c>
      <c r="E654" s="573" t="s">
        <v>1235</v>
      </c>
      <c r="F654" s="175"/>
      <c r="G654" s="175"/>
      <c r="H654" s="175" t="s">
        <v>1320</v>
      </c>
      <c r="I654" s="132"/>
      <c r="J654" s="132"/>
      <c r="K654" s="132"/>
      <c r="L654" s="132"/>
      <c r="M654" s="132"/>
      <c r="N654" s="132"/>
      <c r="O654" s="132"/>
      <c r="P654" s="132"/>
      <c r="Q654" s="132"/>
      <c r="R654" s="132"/>
      <c r="S654" s="132"/>
      <c r="T654" s="132"/>
      <c r="U654" s="132"/>
      <c r="V654" s="132"/>
      <c r="W654" s="132"/>
      <c r="X654" s="132"/>
      <c r="Y654" s="132"/>
      <c r="Z654" s="132"/>
      <c r="AA654" s="132"/>
      <c r="AB654" s="132"/>
      <c r="AC654" s="132"/>
    </row>
    <row r="655" ht="24.75" hidden="1" customHeight="1" outlineLevel="1">
      <c r="A655" s="607">
        <v>45579.0</v>
      </c>
      <c r="B655" s="523" t="s">
        <v>1217</v>
      </c>
      <c r="C655" s="531" t="s">
        <v>1451</v>
      </c>
      <c r="D655" s="506" t="s">
        <v>1621</v>
      </c>
      <c r="E655" s="573" t="s">
        <v>1235</v>
      </c>
      <c r="F655" s="175"/>
      <c r="G655" s="175"/>
      <c r="H655" s="175" t="s">
        <v>1240</v>
      </c>
      <c r="I655" s="132"/>
      <c r="J655" s="132"/>
      <c r="K655" s="132"/>
      <c r="L655" s="132"/>
      <c r="M655" s="132"/>
      <c r="N655" s="132"/>
      <c r="O655" s="132"/>
      <c r="P655" s="132"/>
      <c r="Q655" s="132"/>
      <c r="R655" s="132"/>
      <c r="S655" s="132"/>
      <c r="T655" s="132"/>
      <c r="U655" s="132"/>
      <c r="V655" s="132"/>
      <c r="W655" s="132"/>
      <c r="X655" s="132"/>
      <c r="Y655" s="132"/>
      <c r="Z655" s="132"/>
      <c r="AA655" s="132"/>
      <c r="AB655" s="132"/>
      <c r="AC655" s="132"/>
    </row>
    <row r="656" ht="24.75" hidden="1" customHeight="1" outlineLevel="1">
      <c r="A656" s="621">
        <v>45580.0</v>
      </c>
      <c r="B656" s="507" t="s">
        <v>38</v>
      </c>
      <c r="C656" s="507" t="s">
        <v>1233</v>
      </c>
      <c r="D656" s="601" t="s">
        <v>1180</v>
      </c>
      <c r="E656" s="573" t="s">
        <v>1235</v>
      </c>
      <c r="F656" s="175"/>
      <c r="G656" s="175"/>
      <c r="H656" s="175"/>
      <c r="I656" s="132"/>
      <c r="J656" s="132"/>
      <c r="K656" s="132"/>
      <c r="L656" s="132"/>
      <c r="M656" s="132"/>
      <c r="N656" s="132"/>
      <c r="O656" s="132"/>
      <c r="P656" s="132"/>
      <c r="Q656" s="132"/>
      <c r="R656" s="132"/>
      <c r="S656" s="132"/>
      <c r="T656" s="132"/>
      <c r="U656" s="132"/>
      <c r="V656" s="132"/>
      <c r="W656" s="132"/>
      <c r="X656" s="132"/>
      <c r="Y656" s="132"/>
      <c r="Z656" s="132"/>
      <c r="AA656" s="132"/>
      <c r="AB656" s="132"/>
      <c r="AC656" s="132"/>
    </row>
    <row r="657" ht="24.75" hidden="1" customHeight="1" outlineLevel="1">
      <c r="A657" s="621">
        <v>45580.0</v>
      </c>
      <c r="B657" s="507" t="s">
        <v>1232</v>
      </c>
      <c r="C657" s="511" t="s">
        <v>1233</v>
      </c>
      <c r="D657" s="601" t="s">
        <v>1180</v>
      </c>
      <c r="E657" s="573" t="s">
        <v>1235</v>
      </c>
      <c r="F657" s="132"/>
      <c r="G657" s="132"/>
      <c r="H657" s="132"/>
      <c r="I657" s="175" t="s">
        <v>1439</v>
      </c>
      <c r="J657" s="132"/>
      <c r="K657" s="132"/>
      <c r="L657" s="132"/>
      <c r="M657" s="132"/>
      <c r="N657" s="132"/>
      <c r="O657" s="132"/>
      <c r="P657" s="132"/>
      <c r="Q657" s="132"/>
      <c r="R657" s="132"/>
      <c r="S657" s="132"/>
      <c r="T657" s="132"/>
      <c r="U657" s="132"/>
      <c r="V657" s="132"/>
      <c r="W657" s="132"/>
      <c r="X657" s="132"/>
      <c r="Y657" s="132"/>
      <c r="Z657" s="132"/>
      <c r="AA657" s="132"/>
      <c r="AB657" s="132"/>
      <c r="AC657" s="132"/>
    </row>
    <row r="658" ht="24.75" hidden="1" customHeight="1" outlineLevel="1">
      <c r="A658" s="621">
        <v>45580.0</v>
      </c>
      <c r="B658" s="507" t="s">
        <v>1254</v>
      </c>
      <c r="C658" s="511" t="s">
        <v>1412</v>
      </c>
      <c r="D658" s="601" t="s">
        <v>1180</v>
      </c>
      <c r="E658" s="573" t="s">
        <v>1235</v>
      </c>
      <c r="F658" s="132"/>
      <c r="G658" s="132"/>
      <c r="H658" s="132"/>
      <c r="I658" s="132"/>
      <c r="J658" s="132"/>
      <c r="K658" s="132"/>
      <c r="L658" s="132"/>
      <c r="M658" s="132"/>
      <c r="N658" s="132"/>
      <c r="O658" s="132"/>
      <c r="P658" s="132"/>
      <c r="Q658" s="132"/>
      <c r="R658" s="132"/>
      <c r="S658" s="132"/>
      <c r="T658" s="132"/>
      <c r="U658" s="132"/>
      <c r="V658" s="132"/>
      <c r="W658" s="132"/>
      <c r="X658" s="132"/>
      <c r="Y658" s="132"/>
      <c r="Z658" s="132"/>
      <c r="AA658" s="132"/>
      <c r="AB658" s="132"/>
      <c r="AC658" s="132"/>
    </row>
    <row r="659" ht="24.75" hidden="1" customHeight="1" outlineLevel="1">
      <c r="A659" s="621">
        <v>45580.0</v>
      </c>
      <c r="B659" s="507" t="s">
        <v>1325</v>
      </c>
      <c r="C659" s="531" t="s">
        <v>1233</v>
      </c>
      <c r="D659" s="601" t="s">
        <v>1180</v>
      </c>
      <c r="E659" s="591" t="s">
        <v>1235</v>
      </c>
      <c r="F659" s="132"/>
      <c r="G659" s="132"/>
      <c r="H659" s="132"/>
      <c r="I659" s="132"/>
      <c r="J659" s="132"/>
      <c r="K659" s="132"/>
      <c r="L659" s="132"/>
      <c r="M659" s="132"/>
      <c r="N659" s="132"/>
      <c r="O659" s="132"/>
      <c r="P659" s="132"/>
      <c r="Q659" s="132"/>
      <c r="R659" s="132"/>
      <c r="S659" s="132"/>
      <c r="T659" s="132"/>
      <c r="U659" s="132"/>
      <c r="V659" s="132"/>
      <c r="W659" s="132"/>
      <c r="X659" s="132"/>
      <c r="Y659" s="132"/>
      <c r="Z659" s="132"/>
      <c r="AA659" s="132"/>
      <c r="AB659" s="132"/>
      <c r="AC659" s="132"/>
    </row>
    <row r="660" ht="24.75" customHeight="1">
      <c r="A660" s="132"/>
      <c r="B660" s="132"/>
      <c r="C660" s="132"/>
      <c r="D660" s="132"/>
      <c r="E660" s="496"/>
      <c r="F660" s="132"/>
      <c r="G660" s="132"/>
      <c r="H660" s="132"/>
      <c r="I660" s="132"/>
      <c r="J660" s="132"/>
      <c r="K660" s="132"/>
      <c r="L660" s="132"/>
      <c r="M660" s="132"/>
      <c r="N660" s="132"/>
      <c r="O660" s="132"/>
      <c r="P660" s="132"/>
      <c r="Q660" s="132"/>
      <c r="R660" s="132"/>
      <c r="S660" s="132"/>
      <c r="T660" s="132"/>
      <c r="U660" s="132"/>
      <c r="V660" s="132"/>
      <c r="W660" s="132"/>
      <c r="X660" s="132"/>
      <c r="Y660" s="132"/>
      <c r="Z660" s="132"/>
      <c r="AA660" s="132"/>
      <c r="AB660" s="132"/>
      <c r="AC660" s="132"/>
    </row>
    <row r="661" ht="24.75" customHeight="1">
      <c r="A661" s="132"/>
      <c r="B661" s="132"/>
      <c r="C661" s="132"/>
      <c r="D661" s="132"/>
      <c r="E661" s="496"/>
      <c r="F661" s="132"/>
      <c r="G661" s="132"/>
      <c r="H661" s="132"/>
      <c r="I661" s="132"/>
      <c r="J661" s="132"/>
      <c r="K661" s="132"/>
      <c r="L661" s="132"/>
      <c r="M661" s="132"/>
      <c r="N661" s="132"/>
      <c r="O661" s="132"/>
      <c r="P661" s="132"/>
      <c r="Q661" s="132"/>
      <c r="R661" s="132"/>
      <c r="S661" s="132"/>
      <c r="T661" s="132"/>
      <c r="U661" s="132"/>
      <c r="V661" s="132"/>
      <c r="W661" s="132"/>
      <c r="X661" s="132"/>
      <c r="Y661" s="132"/>
      <c r="Z661" s="132"/>
      <c r="AA661" s="132"/>
      <c r="AB661" s="132"/>
      <c r="AC661" s="132"/>
    </row>
    <row r="662" ht="24.75" customHeight="1" collapsed="1">
      <c r="A662" s="175" t="s">
        <v>1622</v>
      </c>
      <c r="B662" s="132"/>
      <c r="C662" s="132"/>
      <c r="D662" s="132"/>
      <c r="E662" s="496"/>
      <c r="F662" s="132"/>
      <c r="G662" s="132"/>
      <c r="H662" s="132"/>
      <c r="I662" s="132"/>
      <c r="J662" s="132"/>
      <c r="K662" s="132"/>
      <c r="L662" s="132"/>
      <c r="M662" s="132"/>
      <c r="N662" s="132"/>
      <c r="O662" s="132"/>
      <c r="P662" s="132"/>
      <c r="Q662" s="132"/>
      <c r="R662" s="132"/>
      <c r="S662" s="132"/>
      <c r="T662" s="132"/>
      <c r="U662" s="132"/>
      <c r="V662" s="132"/>
      <c r="W662" s="132"/>
      <c r="X662" s="132"/>
      <c r="Y662" s="132"/>
      <c r="Z662" s="132"/>
      <c r="AA662" s="132"/>
      <c r="AB662" s="132"/>
      <c r="AC662" s="132"/>
    </row>
    <row r="663" ht="24.75" hidden="1" customHeight="1" outlineLevel="1">
      <c r="A663" s="597" t="s">
        <v>1166</v>
      </c>
      <c r="B663" s="598" t="s">
        <v>1117</v>
      </c>
      <c r="C663" s="598" t="s">
        <v>1167</v>
      </c>
      <c r="D663" s="598" t="s">
        <v>1168</v>
      </c>
      <c r="E663" s="598" t="s">
        <v>1169</v>
      </c>
      <c r="F663" s="132"/>
      <c r="G663" s="132"/>
      <c r="H663" s="132"/>
      <c r="I663" s="132"/>
      <c r="J663" s="132"/>
      <c r="K663" s="132"/>
      <c r="L663" s="132"/>
      <c r="M663" s="132"/>
      <c r="N663" s="132"/>
      <c r="O663" s="132"/>
      <c r="P663" s="132"/>
      <c r="Q663" s="132"/>
      <c r="R663" s="132"/>
      <c r="S663" s="132"/>
      <c r="T663" s="132"/>
      <c r="U663" s="132"/>
      <c r="V663" s="132"/>
      <c r="W663" s="132"/>
      <c r="X663" s="132"/>
      <c r="Y663" s="132"/>
      <c r="Z663" s="132"/>
      <c r="AA663" s="132"/>
      <c r="AB663" s="132"/>
      <c r="AC663" s="132"/>
    </row>
    <row r="664" ht="24.75" hidden="1" customHeight="1" outlineLevel="1">
      <c r="A664" s="607">
        <v>45600.0</v>
      </c>
      <c r="B664" s="507" t="s">
        <v>1249</v>
      </c>
      <c r="C664" s="526" t="s">
        <v>1311</v>
      </c>
      <c r="D664" s="506" t="s">
        <v>1623</v>
      </c>
      <c r="E664" s="573" t="s">
        <v>1235</v>
      </c>
      <c r="F664" s="175"/>
      <c r="G664" s="175"/>
      <c r="H664" s="175"/>
      <c r="I664" s="132"/>
      <c r="J664" s="132"/>
      <c r="K664" s="132"/>
      <c r="L664" s="132"/>
      <c r="M664" s="132"/>
      <c r="N664" s="132"/>
      <c r="O664" s="132"/>
      <c r="P664" s="132"/>
      <c r="Q664" s="132"/>
      <c r="R664" s="132"/>
      <c r="S664" s="132"/>
      <c r="T664" s="132"/>
      <c r="U664" s="132"/>
      <c r="V664" s="132"/>
      <c r="W664" s="132"/>
      <c r="X664" s="132"/>
      <c r="Y664" s="132"/>
      <c r="Z664" s="132"/>
      <c r="AA664" s="132"/>
      <c r="AB664" s="132"/>
      <c r="AC664" s="132"/>
    </row>
    <row r="665" ht="24.75" hidden="1" customHeight="1" outlineLevel="1">
      <c r="A665" s="607">
        <v>45600.0</v>
      </c>
      <c r="B665" s="507" t="s">
        <v>629</v>
      </c>
      <c r="C665" s="507" t="s">
        <v>1233</v>
      </c>
      <c r="D665" s="601" t="s">
        <v>1180</v>
      </c>
      <c r="E665" s="573" t="s">
        <v>1235</v>
      </c>
      <c r="F665" s="175"/>
      <c r="G665" s="175"/>
      <c r="H665" s="175"/>
      <c r="I665" s="132"/>
      <c r="J665" s="132"/>
      <c r="K665" s="132"/>
      <c r="L665" s="132"/>
      <c r="M665" s="132"/>
      <c r="N665" s="132"/>
      <c r="O665" s="132"/>
      <c r="P665" s="132"/>
      <c r="Q665" s="132"/>
      <c r="R665" s="132"/>
      <c r="S665" s="132"/>
      <c r="T665" s="132"/>
      <c r="U665" s="132"/>
      <c r="V665" s="132"/>
      <c r="W665" s="132"/>
      <c r="X665" s="132"/>
      <c r="Y665" s="132"/>
      <c r="Z665" s="132"/>
      <c r="AA665" s="132"/>
      <c r="AB665" s="132"/>
      <c r="AC665" s="132"/>
    </row>
    <row r="666" ht="24.75" hidden="1" customHeight="1" outlineLevel="1">
      <c r="A666" s="607">
        <v>45600.0</v>
      </c>
      <c r="B666" s="523" t="s">
        <v>1217</v>
      </c>
      <c r="C666" s="531" t="s">
        <v>1451</v>
      </c>
      <c r="D666" s="506" t="s">
        <v>1624</v>
      </c>
      <c r="E666" s="573" t="s">
        <v>1235</v>
      </c>
      <c r="F666" s="175"/>
      <c r="G666" s="175"/>
      <c r="H666" s="175"/>
      <c r="I666" s="132"/>
      <c r="J666" s="132"/>
      <c r="K666" s="132"/>
      <c r="L666" s="132"/>
      <c r="M666" s="132"/>
      <c r="N666" s="132"/>
      <c r="O666" s="132"/>
      <c r="P666" s="132"/>
      <c r="Q666" s="132"/>
      <c r="R666" s="132"/>
      <c r="S666" s="132"/>
      <c r="T666" s="132"/>
      <c r="U666" s="132"/>
      <c r="V666" s="132"/>
      <c r="W666" s="132"/>
      <c r="X666" s="132"/>
      <c r="Y666" s="132"/>
      <c r="Z666" s="132"/>
      <c r="AA666" s="132"/>
      <c r="AB666" s="132"/>
      <c r="AC666" s="132"/>
    </row>
    <row r="667" ht="24.75" hidden="1" customHeight="1" outlineLevel="1">
      <c r="A667" s="621">
        <v>45601.0</v>
      </c>
      <c r="B667" s="507" t="s">
        <v>38</v>
      </c>
      <c r="C667" s="507" t="s">
        <v>1233</v>
      </c>
      <c r="D667" s="601" t="s">
        <v>1180</v>
      </c>
      <c r="E667" s="573" t="s">
        <v>1235</v>
      </c>
      <c r="F667" s="175"/>
      <c r="G667" s="175"/>
      <c r="H667" s="175"/>
      <c r="I667" s="132"/>
      <c r="J667" s="132"/>
      <c r="K667" s="132"/>
      <c r="L667" s="132"/>
      <c r="M667" s="132"/>
      <c r="N667" s="132"/>
      <c r="O667" s="132"/>
      <c r="P667" s="132"/>
      <c r="Q667" s="132"/>
      <c r="R667" s="132"/>
      <c r="S667" s="132"/>
      <c r="T667" s="132"/>
      <c r="U667" s="132"/>
      <c r="V667" s="132"/>
      <c r="W667" s="132"/>
      <c r="X667" s="132"/>
      <c r="Y667" s="132"/>
      <c r="Z667" s="132"/>
      <c r="AA667" s="132"/>
      <c r="AB667" s="132"/>
      <c r="AC667" s="132"/>
    </row>
    <row r="668" ht="24.75" hidden="1" customHeight="1" outlineLevel="1">
      <c r="A668" s="621">
        <v>45601.0</v>
      </c>
      <c r="B668" s="507" t="s">
        <v>1232</v>
      </c>
      <c r="C668" s="511" t="s">
        <v>1233</v>
      </c>
      <c r="D668" s="601" t="s">
        <v>1180</v>
      </c>
      <c r="E668" s="573" t="s">
        <v>1235</v>
      </c>
      <c r="F668" s="132"/>
      <c r="G668" s="132"/>
      <c r="H668" s="132"/>
      <c r="I668" s="175"/>
      <c r="J668" s="132"/>
      <c r="K668" s="132"/>
      <c r="L668" s="132"/>
      <c r="M668" s="132"/>
      <c r="N668" s="132"/>
      <c r="O668" s="132"/>
      <c r="P668" s="132"/>
      <c r="Q668" s="132"/>
      <c r="R668" s="132"/>
      <c r="S668" s="132"/>
      <c r="T668" s="132"/>
      <c r="U668" s="132"/>
      <c r="V668" s="132"/>
      <c r="W668" s="132"/>
      <c r="X668" s="132"/>
      <c r="Y668" s="132"/>
      <c r="Z668" s="132"/>
      <c r="AA668" s="132"/>
      <c r="AB668" s="132"/>
      <c r="AC668" s="132"/>
    </row>
    <row r="669" ht="24.75" hidden="1" customHeight="1" outlineLevel="1">
      <c r="A669" s="621">
        <v>45601.0</v>
      </c>
      <c r="B669" s="507" t="s">
        <v>1254</v>
      </c>
      <c r="C669" s="511" t="s">
        <v>1412</v>
      </c>
      <c r="D669" s="601" t="s">
        <v>1180</v>
      </c>
      <c r="E669" s="573" t="s">
        <v>1235</v>
      </c>
      <c r="F669" s="132"/>
      <c r="G669" s="132"/>
      <c r="H669" s="132"/>
      <c r="I669" s="132"/>
      <c r="J669" s="132"/>
      <c r="K669" s="132"/>
      <c r="L669" s="132"/>
      <c r="M669" s="132"/>
      <c r="N669" s="132"/>
      <c r="O669" s="132"/>
      <c r="P669" s="132"/>
      <c r="Q669" s="132"/>
      <c r="R669" s="132"/>
      <c r="S669" s="132"/>
      <c r="T669" s="132"/>
      <c r="U669" s="132"/>
      <c r="V669" s="132"/>
      <c r="W669" s="132"/>
      <c r="X669" s="132"/>
      <c r="Y669" s="132"/>
      <c r="Z669" s="132"/>
      <c r="AA669" s="132"/>
      <c r="AB669" s="132"/>
      <c r="AC669" s="132"/>
    </row>
    <row r="670" ht="24.75" hidden="1" customHeight="1" outlineLevel="1">
      <c r="A670" s="621">
        <v>45601.0</v>
      </c>
      <c r="B670" s="507" t="s">
        <v>1325</v>
      </c>
      <c r="C670" s="531" t="s">
        <v>1233</v>
      </c>
      <c r="D670" s="601" t="s">
        <v>1180</v>
      </c>
      <c r="E670" s="591" t="s">
        <v>1235</v>
      </c>
      <c r="F670" s="132"/>
      <c r="G670" s="132"/>
      <c r="H670" s="132"/>
      <c r="I670" s="132"/>
      <c r="J670" s="132"/>
      <c r="K670" s="132"/>
      <c r="L670" s="132"/>
      <c r="M670" s="132"/>
      <c r="N670" s="132"/>
      <c r="O670" s="132"/>
      <c r="P670" s="132"/>
      <c r="Q670" s="132"/>
      <c r="R670" s="132"/>
      <c r="S670" s="132"/>
      <c r="T670" s="132"/>
      <c r="U670" s="132"/>
      <c r="V670" s="132"/>
      <c r="W670" s="132"/>
      <c r="X670" s="132"/>
      <c r="Y670" s="132"/>
      <c r="Z670" s="132"/>
      <c r="AA670" s="132"/>
      <c r="AB670" s="132"/>
      <c r="AC670" s="132"/>
    </row>
    <row r="671" ht="24.75" customHeight="1">
      <c r="A671" s="132"/>
      <c r="B671" s="132"/>
      <c r="C671" s="132"/>
      <c r="D671" s="132"/>
      <c r="E671" s="496"/>
      <c r="F671" s="132"/>
      <c r="G671" s="132"/>
      <c r="H671" s="132"/>
      <c r="I671" s="132"/>
      <c r="J671" s="132"/>
      <c r="K671" s="132"/>
      <c r="L671" s="132"/>
      <c r="M671" s="132"/>
      <c r="N671" s="132"/>
      <c r="O671" s="132"/>
      <c r="P671" s="132"/>
      <c r="Q671" s="132"/>
      <c r="R671" s="132"/>
      <c r="S671" s="132"/>
      <c r="T671" s="132"/>
      <c r="U671" s="132"/>
      <c r="V671" s="132"/>
      <c r="W671" s="132"/>
      <c r="X671" s="132"/>
      <c r="Y671" s="132"/>
      <c r="Z671" s="132"/>
      <c r="AA671" s="132"/>
      <c r="AB671" s="132"/>
      <c r="AC671" s="132"/>
    </row>
    <row r="672" ht="24.75" customHeight="1" collapsed="1">
      <c r="A672" s="175" t="s">
        <v>1625</v>
      </c>
      <c r="B672" s="132"/>
      <c r="C672" s="132"/>
      <c r="D672" s="132"/>
      <c r="E672" s="496"/>
      <c r="F672" s="132"/>
      <c r="G672" s="132"/>
      <c r="H672" s="132"/>
      <c r="I672" s="132"/>
      <c r="J672" s="132"/>
      <c r="K672" s="132"/>
      <c r="L672" s="132"/>
      <c r="M672" s="132"/>
      <c r="N672" s="132"/>
      <c r="O672" s="132"/>
      <c r="P672" s="132"/>
      <c r="Q672" s="132"/>
      <c r="R672" s="132"/>
      <c r="S672" s="132"/>
      <c r="T672" s="132"/>
      <c r="U672" s="132"/>
      <c r="V672" s="132"/>
      <c r="W672" s="132"/>
      <c r="X672" s="132"/>
      <c r="Y672" s="132"/>
      <c r="Z672" s="132"/>
      <c r="AA672" s="132"/>
      <c r="AB672" s="132"/>
      <c r="AC672" s="132"/>
    </row>
    <row r="673" ht="24.75" hidden="1" customHeight="1" outlineLevel="1">
      <c r="A673" s="597" t="s">
        <v>1166</v>
      </c>
      <c r="B673" s="598" t="s">
        <v>1117</v>
      </c>
      <c r="C673" s="598" t="s">
        <v>1167</v>
      </c>
      <c r="D673" s="598" t="s">
        <v>1168</v>
      </c>
      <c r="E673" s="598" t="s">
        <v>1169</v>
      </c>
      <c r="F673" s="175"/>
      <c r="G673" s="175"/>
      <c r="H673" s="175" t="s">
        <v>1626</v>
      </c>
      <c r="I673" s="132"/>
      <c r="J673" s="132"/>
      <c r="K673" s="132"/>
      <c r="L673" s="132"/>
      <c r="M673" s="132"/>
      <c r="N673" s="132"/>
      <c r="O673" s="132"/>
      <c r="P673" s="132"/>
      <c r="Q673" s="132"/>
      <c r="R673" s="132"/>
      <c r="S673" s="132"/>
      <c r="T673" s="132"/>
      <c r="U673" s="132"/>
      <c r="V673" s="132"/>
      <c r="W673" s="132"/>
      <c r="X673" s="132"/>
      <c r="Y673" s="132"/>
      <c r="Z673" s="132"/>
      <c r="AA673" s="132"/>
      <c r="AB673" s="132"/>
      <c r="AC673" s="132"/>
    </row>
    <row r="674" ht="24.75" hidden="1" customHeight="1" outlineLevel="1">
      <c r="A674" s="561">
        <v>45653.0</v>
      </c>
      <c r="B674" s="507" t="s">
        <v>1232</v>
      </c>
      <c r="C674" s="626" t="s">
        <v>1233</v>
      </c>
      <c r="D674" s="664" t="s">
        <v>1180</v>
      </c>
      <c r="E674" s="573" t="s">
        <v>1235</v>
      </c>
      <c r="F674" s="175"/>
      <c r="G674" s="175"/>
      <c r="H674" s="175" t="s">
        <v>1584</v>
      </c>
      <c r="I674" s="175" t="s">
        <v>1439</v>
      </c>
      <c r="J674" s="132"/>
      <c r="K674" s="132"/>
      <c r="L674" s="132"/>
      <c r="M674" s="132"/>
      <c r="N674" s="132"/>
      <c r="O674" s="132"/>
      <c r="P674" s="132"/>
      <c r="Q674" s="132"/>
      <c r="R674" s="132"/>
      <c r="S674" s="132"/>
      <c r="T674" s="132"/>
      <c r="U674" s="132"/>
      <c r="V674" s="132"/>
      <c r="W674" s="132"/>
      <c r="X674" s="132"/>
      <c r="Y674" s="132"/>
      <c r="Z674" s="132"/>
      <c r="AA674" s="132"/>
      <c r="AB674" s="132"/>
      <c r="AC674" s="132"/>
    </row>
    <row r="675" ht="24.75" hidden="1" customHeight="1" outlineLevel="1">
      <c r="A675" s="561">
        <v>45653.0</v>
      </c>
      <c r="B675" s="507" t="s">
        <v>38</v>
      </c>
      <c r="C675" s="507" t="s">
        <v>1233</v>
      </c>
      <c r="D675" s="664" t="s">
        <v>1180</v>
      </c>
      <c r="E675" s="573" t="s">
        <v>1235</v>
      </c>
      <c r="F675" s="175"/>
      <c r="G675" s="175"/>
      <c r="H675" s="175" t="s">
        <v>1627</v>
      </c>
      <c r="I675" s="132"/>
      <c r="J675" s="132"/>
      <c r="K675" s="132"/>
      <c r="L675" s="132"/>
      <c r="M675" s="132"/>
      <c r="N675" s="132"/>
      <c r="O675" s="132"/>
      <c r="P675" s="132"/>
      <c r="Q675" s="132"/>
      <c r="R675" s="132"/>
      <c r="S675" s="132"/>
      <c r="T675" s="132"/>
      <c r="U675" s="132"/>
      <c r="V675" s="132"/>
      <c r="W675" s="132"/>
      <c r="X675" s="132"/>
      <c r="Y675" s="132"/>
      <c r="Z675" s="132"/>
      <c r="AA675" s="132"/>
      <c r="AB675" s="132"/>
      <c r="AC675" s="132"/>
    </row>
    <row r="676" ht="24.75" hidden="1" customHeight="1" outlineLevel="1">
      <c r="A676" s="561">
        <v>45653.0</v>
      </c>
      <c r="B676" s="507" t="s">
        <v>1181</v>
      </c>
      <c r="C676" s="664" t="s">
        <v>1428</v>
      </c>
      <c r="D676" s="664" t="s">
        <v>1180</v>
      </c>
      <c r="E676" s="573" t="s">
        <v>1235</v>
      </c>
      <c r="F676" s="175"/>
      <c r="G676" s="175"/>
      <c r="H676" s="175"/>
      <c r="I676" s="175"/>
      <c r="J676" s="132"/>
      <c r="K676" s="132"/>
      <c r="L676" s="132"/>
      <c r="M676" s="132"/>
      <c r="N676" s="132"/>
      <c r="O676" s="132"/>
      <c r="P676" s="132"/>
      <c r="Q676" s="697" t="s">
        <v>1628</v>
      </c>
      <c r="R676" s="698" t="s">
        <v>1629</v>
      </c>
      <c r="S676" s="698" t="s">
        <v>1169</v>
      </c>
      <c r="T676" s="698" t="s">
        <v>1630</v>
      </c>
      <c r="U676" s="698" t="s">
        <v>1631</v>
      </c>
      <c r="V676" s="698" t="s">
        <v>1632</v>
      </c>
      <c r="W676" s="697" t="s">
        <v>1633</v>
      </c>
      <c r="X676" s="132"/>
      <c r="Y676" s="132"/>
      <c r="Z676" s="132"/>
      <c r="AA676" s="132"/>
      <c r="AB676" s="132"/>
      <c r="AC676" s="132"/>
    </row>
    <row r="677" ht="24.75" hidden="1" customHeight="1" outlineLevel="1">
      <c r="A677" s="561">
        <v>45653.0</v>
      </c>
      <c r="B677" s="699" t="s">
        <v>167</v>
      </c>
      <c r="C677" s="700" t="s">
        <v>1233</v>
      </c>
      <c r="D677" s="626" t="s">
        <v>1180</v>
      </c>
      <c r="E677" s="573" t="s">
        <v>1235</v>
      </c>
      <c r="F677" s="497"/>
      <c r="G677" s="497"/>
      <c r="H677" s="497" t="s">
        <v>1634</v>
      </c>
      <c r="I677" s="132"/>
      <c r="J677" s="132"/>
      <c r="K677" s="132"/>
      <c r="L677" s="132"/>
      <c r="M677" s="132"/>
      <c r="N677" s="132"/>
      <c r="O677" s="132"/>
      <c r="P677" s="132"/>
      <c r="Q677" s="697" t="s">
        <v>1210</v>
      </c>
      <c r="R677" s="697" t="s">
        <v>1562</v>
      </c>
      <c r="S677" s="697" t="s">
        <v>1562</v>
      </c>
      <c r="T677" s="701" t="s">
        <v>1635</v>
      </c>
      <c r="U677" s="701" t="s">
        <v>1636</v>
      </c>
      <c r="V677" s="701" t="s">
        <v>1637</v>
      </c>
      <c r="W677" s="697" t="s">
        <v>1638</v>
      </c>
      <c r="X677" s="132"/>
      <c r="Y677" s="132"/>
      <c r="Z677" s="132"/>
      <c r="AA677" s="132"/>
      <c r="AB677" s="132"/>
      <c r="AC677" s="132"/>
    </row>
    <row r="678" ht="24.75" hidden="1" customHeight="1" outlineLevel="1">
      <c r="A678" s="561">
        <v>45653.0</v>
      </c>
      <c r="B678" s="702" t="s">
        <v>202</v>
      </c>
      <c r="C678" s="700"/>
      <c r="D678" s="626" t="s">
        <v>1180</v>
      </c>
      <c r="E678" s="573" t="s">
        <v>1235</v>
      </c>
      <c r="F678" s="497"/>
      <c r="G678" s="497"/>
      <c r="H678" s="497" t="s">
        <v>1634</v>
      </c>
      <c r="I678" s="132"/>
      <c r="J678" s="132"/>
      <c r="K678" s="132"/>
      <c r="L678" s="132"/>
      <c r="M678" s="132"/>
      <c r="N678" s="132"/>
      <c r="O678" s="132"/>
      <c r="P678" s="132"/>
      <c r="Q678" s="697" t="s">
        <v>1639</v>
      </c>
      <c r="R678" s="697" t="s">
        <v>1562</v>
      </c>
      <c r="S678" s="697" t="s">
        <v>1562</v>
      </c>
      <c r="T678" s="701" t="s">
        <v>1640</v>
      </c>
      <c r="U678" s="701" t="s">
        <v>1641</v>
      </c>
      <c r="V678" s="701" t="s">
        <v>1642</v>
      </c>
      <c r="W678" s="703"/>
      <c r="X678" s="132"/>
      <c r="Y678" s="132"/>
      <c r="Z678" s="132"/>
      <c r="AA678" s="132"/>
      <c r="AB678" s="132"/>
      <c r="AC678" s="132"/>
    </row>
    <row r="679" ht="24.75" hidden="1" customHeight="1" outlineLevel="1">
      <c r="A679" s="561">
        <v>45654.0</v>
      </c>
      <c r="B679" s="507" t="s">
        <v>1209</v>
      </c>
      <c r="C679" s="626" t="s">
        <v>1233</v>
      </c>
      <c r="D679" s="626" t="s">
        <v>1180</v>
      </c>
      <c r="E679" s="573" t="s">
        <v>1235</v>
      </c>
      <c r="F679" s="175"/>
      <c r="G679" s="175"/>
      <c r="H679" s="175" t="s">
        <v>1643</v>
      </c>
      <c r="I679" s="132"/>
      <c r="J679" s="132"/>
      <c r="K679" s="132"/>
      <c r="L679" s="132"/>
      <c r="M679" s="132"/>
      <c r="N679" s="132"/>
      <c r="O679" s="132"/>
      <c r="P679" s="132"/>
      <c r="Q679" s="697" t="s">
        <v>1644</v>
      </c>
      <c r="R679" s="697" t="s">
        <v>1562</v>
      </c>
      <c r="S679" s="697" t="s">
        <v>1562</v>
      </c>
      <c r="T679" s="701" t="s">
        <v>1645</v>
      </c>
      <c r="U679" s="701" t="s">
        <v>1641</v>
      </c>
      <c r="V679" s="701" t="s">
        <v>1642</v>
      </c>
      <c r="W679" s="704"/>
      <c r="X679" s="132"/>
      <c r="Y679" s="132"/>
      <c r="Z679" s="132"/>
      <c r="AA679" s="132"/>
      <c r="AB679" s="132"/>
      <c r="AC679" s="132"/>
    </row>
    <row r="680" ht="24.75" hidden="1" customHeight="1" outlineLevel="1">
      <c r="A680" s="561">
        <v>45654.0</v>
      </c>
      <c r="B680" s="606" t="s">
        <v>1210</v>
      </c>
      <c r="C680" s="626" t="s">
        <v>1646</v>
      </c>
      <c r="D680" s="626" t="s">
        <v>1647</v>
      </c>
      <c r="E680" s="573" t="s">
        <v>1235</v>
      </c>
      <c r="F680" s="175"/>
      <c r="G680" s="175"/>
      <c r="H680" s="175" t="s">
        <v>1648</v>
      </c>
      <c r="I680" s="175"/>
      <c r="J680" s="132"/>
      <c r="K680" s="132"/>
      <c r="L680" s="132"/>
      <c r="M680" s="132"/>
      <c r="N680" s="132"/>
      <c r="O680" s="132"/>
      <c r="P680" s="132"/>
      <c r="Q680" s="697" t="s">
        <v>1596</v>
      </c>
      <c r="R680" s="697" t="s">
        <v>1562</v>
      </c>
      <c r="S680" s="697" t="s">
        <v>1562</v>
      </c>
      <c r="T680" s="701" t="s">
        <v>1649</v>
      </c>
      <c r="U680" s="701" t="s">
        <v>1636</v>
      </c>
      <c r="V680" s="701" t="s">
        <v>1637</v>
      </c>
      <c r="W680" s="697" t="s">
        <v>1650</v>
      </c>
      <c r="X680" s="132"/>
      <c r="Y680" s="132"/>
      <c r="Z680" s="132"/>
      <c r="AA680" s="132"/>
      <c r="AB680" s="132"/>
      <c r="AC680" s="132"/>
    </row>
    <row r="681" ht="24.75" hidden="1" customHeight="1" outlineLevel="1">
      <c r="A681" s="561">
        <v>45654.0</v>
      </c>
      <c r="B681" s="606" t="s">
        <v>1213</v>
      </c>
      <c r="C681" s="626" t="s">
        <v>1651</v>
      </c>
      <c r="D681" s="626" t="s">
        <v>1180</v>
      </c>
      <c r="E681" s="573" t="s">
        <v>1235</v>
      </c>
      <c r="F681" s="175"/>
      <c r="G681" s="175"/>
      <c r="H681" s="175" t="s">
        <v>1652</v>
      </c>
      <c r="I681" s="132"/>
      <c r="J681" s="132"/>
      <c r="K681" s="132"/>
      <c r="L681" s="132"/>
      <c r="M681" s="132"/>
      <c r="N681" s="132"/>
      <c r="O681" s="132"/>
      <c r="P681" s="132"/>
      <c r="Q681" s="697" t="s">
        <v>1204</v>
      </c>
      <c r="R681" s="697" t="s">
        <v>1562</v>
      </c>
      <c r="S681" s="697" t="s">
        <v>1562</v>
      </c>
      <c r="T681" s="701" t="s">
        <v>1653</v>
      </c>
      <c r="U681" s="701" t="s">
        <v>1636</v>
      </c>
      <c r="V681" s="701" t="s">
        <v>1637</v>
      </c>
      <c r="W681" s="697" t="s">
        <v>1654</v>
      </c>
      <c r="X681" s="132"/>
      <c r="Y681" s="132"/>
      <c r="Z681" s="132"/>
      <c r="AA681" s="132"/>
      <c r="AB681" s="132"/>
      <c r="AC681" s="132"/>
    </row>
    <row r="682" hidden="1" outlineLevel="1">
      <c r="A682" s="561">
        <v>45655.0</v>
      </c>
      <c r="B682" s="705" t="s">
        <v>1655</v>
      </c>
      <c r="C682" s="626" t="s">
        <v>1656</v>
      </c>
      <c r="D682" s="626" t="s">
        <v>1657</v>
      </c>
      <c r="E682" s="573" t="s">
        <v>1235</v>
      </c>
      <c r="F682" s="175"/>
      <c r="G682" s="175"/>
      <c r="H682" s="175" t="s">
        <v>1658</v>
      </c>
      <c r="I682" s="132"/>
      <c r="J682" s="132"/>
      <c r="K682" s="132"/>
      <c r="L682" s="132"/>
      <c r="M682" s="132"/>
      <c r="N682" s="132"/>
      <c r="O682" s="132"/>
      <c r="P682" s="132"/>
      <c r="Q682" s="697" t="s">
        <v>1181</v>
      </c>
      <c r="R682" s="697" t="s">
        <v>1562</v>
      </c>
      <c r="S682" s="697" t="s">
        <v>1562</v>
      </c>
      <c r="T682" s="701" t="s">
        <v>1659</v>
      </c>
      <c r="U682" s="701" t="s">
        <v>1641</v>
      </c>
      <c r="V682" s="701" t="s">
        <v>1642</v>
      </c>
      <c r="W682" s="697" t="s">
        <v>1660</v>
      </c>
      <c r="X682" s="132"/>
      <c r="Y682" s="132"/>
      <c r="Z682" s="132"/>
      <c r="AA682" s="132"/>
      <c r="AB682" s="132"/>
      <c r="AC682" s="132"/>
    </row>
    <row r="683" ht="24.75" hidden="1" customHeight="1" outlineLevel="1">
      <c r="A683" s="561">
        <v>45655.0</v>
      </c>
      <c r="B683" s="706" t="s">
        <v>1661</v>
      </c>
      <c r="C683" s="707" t="s">
        <v>1662</v>
      </c>
      <c r="D683" s="707" t="s">
        <v>1663</v>
      </c>
      <c r="E683" s="708" t="s">
        <v>1221</v>
      </c>
      <c r="F683" s="175"/>
      <c r="G683" s="175"/>
      <c r="H683" s="175"/>
      <c r="I683" s="132"/>
      <c r="J683" s="132"/>
      <c r="K683" s="132"/>
      <c r="L683" s="132"/>
      <c r="M683" s="132"/>
      <c r="N683" s="132"/>
      <c r="O683" s="132"/>
      <c r="P683" s="132"/>
      <c r="Q683" s="697" t="s">
        <v>1664</v>
      </c>
      <c r="R683" s="709" t="s">
        <v>1562</v>
      </c>
      <c r="S683" s="709" t="s">
        <v>1562</v>
      </c>
      <c r="T683" s="710" t="s">
        <v>1665</v>
      </c>
      <c r="U683" s="710" t="s">
        <v>1641</v>
      </c>
      <c r="V683" s="710" t="s">
        <v>1642</v>
      </c>
      <c r="W683" s="697" t="s">
        <v>1666</v>
      </c>
      <c r="X683" s="132"/>
      <c r="Y683" s="132"/>
      <c r="Z683" s="132"/>
      <c r="AA683" s="132"/>
      <c r="AB683" s="132"/>
      <c r="AC683" s="132"/>
    </row>
    <row r="684" ht="24.75" hidden="1" customHeight="1" outlineLevel="1">
      <c r="A684" s="561">
        <v>45655.0</v>
      </c>
      <c r="B684" s="711" t="str">
        <f>HYPERLINK("https://docs.google.com/spreadsheets/d/14VRt1DzygoL3ldywdTGi4p4-5N6W0OO9Ugf6GEHXv1k/edit#gid=351252924","☆TP部メルマガ")</f>
        <v>☆TP部メルマガ</v>
      </c>
      <c r="C684" s="626" t="s">
        <v>1259</v>
      </c>
      <c r="D684" s="626" t="s">
        <v>1180</v>
      </c>
      <c r="E684" s="573" t="s">
        <v>1235</v>
      </c>
      <c r="F684" s="175"/>
      <c r="G684" s="175"/>
      <c r="H684" s="175" t="s">
        <v>1667</v>
      </c>
      <c r="I684" s="132"/>
      <c r="J684" s="132"/>
      <c r="K684" s="132"/>
      <c r="L684" s="132"/>
      <c r="M684" s="132"/>
      <c r="N684" s="132"/>
      <c r="O684" s="132"/>
      <c r="P684" s="132"/>
      <c r="Q684" s="697" t="s">
        <v>1668</v>
      </c>
      <c r="R684" s="712"/>
      <c r="S684" s="712"/>
      <c r="T684" s="712"/>
      <c r="U684" s="712"/>
      <c r="V684" s="712"/>
      <c r="W684" s="697" t="s">
        <v>1669</v>
      </c>
      <c r="X684" s="132"/>
      <c r="Y684" s="132"/>
      <c r="Z684" s="132"/>
      <c r="AA684" s="132"/>
      <c r="AB684" s="132"/>
      <c r="AC684" s="132"/>
    </row>
    <row r="685" ht="24.75" hidden="1" customHeight="1" outlineLevel="1">
      <c r="A685" s="561">
        <v>45656.0</v>
      </c>
      <c r="B685" s="713" t="s">
        <v>489</v>
      </c>
      <c r="C685" s="626" t="s">
        <v>1651</v>
      </c>
      <c r="D685" s="626" t="s">
        <v>1180</v>
      </c>
      <c r="E685" s="573" t="s">
        <v>1235</v>
      </c>
      <c r="F685" s="175"/>
      <c r="G685" s="175"/>
      <c r="H685" s="175" t="s">
        <v>1667</v>
      </c>
      <c r="I685" s="132"/>
      <c r="J685" s="132"/>
      <c r="K685" s="132"/>
      <c r="L685" s="132"/>
      <c r="M685" s="132"/>
      <c r="N685" s="132"/>
      <c r="O685" s="132"/>
      <c r="P685" s="132"/>
      <c r="Q685" s="175" t="s">
        <v>1670</v>
      </c>
      <c r="R685" s="132"/>
      <c r="S685" s="132"/>
      <c r="T685" s="132"/>
      <c r="U685" s="132"/>
      <c r="V685" s="132"/>
      <c r="W685" s="132"/>
      <c r="X685" s="132"/>
      <c r="Y685" s="132"/>
      <c r="Z685" s="132"/>
      <c r="AA685" s="132"/>
      <c r="AB685" s="132"/>
      <c r="AC685" s="132"/>
    </row>
    <row r="686" ht="24.75" hidden="1" customHeight="1" outlineLevel="1">
      <c r="A686" s="561">
        <v>45656.0</v>
      </c>
      <c r="B686" s="713" t="s">
        <v>450</v>
      </c>
      <c r="C686" s="626" t="s">
        <v>1259</v>
      </c>
      <c r="D686" s="626" t="s">
        <v>1180</v>
      </c>
      <c r="E686" s="573" t="s">
        <v>1235</v>
      </c>
      <c r="F686" s="175"/>
      <c r="G686" s="175"/>
      <c r="H686" s="175" t="s">
        <v>1671</v>
      </c>
      <c r="I686" s="175"/>
      <c r="J686" s="132"/>
      <c r="K686" s="132"/>
      <c r="L686" s="132"/>
      <c r="M686" s="132"/>
      <c r="N686" s="132"/>
      <c r="O686" s="132"/>
      <c r="P686" s="132"/>
      <c r="Q686" s="132"/>
      <c r="R686" s="132"/>
      <c r="S686" s="132"/>
      <c r="T686" s="132"/>
      <c r="U686" s="132"/>
      <c r="V686" s="132"/>
      <c r="W686" s="132"/>
      <c r="X686" s="132"/>
      <c r="Y686" s="132"/>
      <c r="Z686" s="132"/>
      <c r="AA686" s="132"/>
      <c r="AB686" s="132"/>
      <c r="AC686" s="132"/>
    </row>
    <row r="687" ht="24.75" hidden="1" customHeight="1" outlineLevel="1">
      <c r="A687" s="561">
        <v>45656.0</v>
      </c>
      <c r="B687" s="507" t="s">
        <v>629</v>
      </c>
      <c r="C687" s="507" t="s">
        <v>1233</v>
      </c>
      <c r="D687" s="626" t="s">
        <v>1180</v>
      </c>
      <c r="E687" s="573" t="s">
        <v>1235</v>
      </c>
      <c r="F687" s="175"/>
      <c r="G687" s="175"/>
      <c r="H687" s="175" t="s">
        <v>1672</v>
      </c>
      <c r="I687" s="132"/>
      <c r="J687" s="132"/>
      <c r="K687" s="132"/>
      <c r="L687" s="132"/>
      <c r="M687" s="132"/>
      <c r="N687" s="132"/>
      <c r="O687" s="132"/>
      <c r="P687" s="132"/>
      <c r="Q687" s="132"/>
      <c r="R687" s="132"/>
      <c r="S687" s="132"/>
      <c r="T687" s="132"/>
      <c r="U687" s="132"/>
      <c r="V687" s="132"/>
      <c r="W687" s="132"/>
      <c r="X687" s="132"/>
      <c r="Y687" s="132"/>
      <c r="Z687" s="132"/>
      <c r="AA687" s="132"/>
      <c r="AB687" s="132"/>
      <c r="AC687" s="132"/>
    </row>
    <row r="688" ht="24.75" hidden="1" customHeight="1" outlineLevel="1">
      <c r="A688" s="561">
        <v>45656.0</v>
      </c>
      <c r="B688" s="507" t="s">
        <v>1271</v>
      </c>
      <c r="C688" s="531" t="s">
        <v>1673</v>
      </c>
      <c r="D688" s="626" t="s">
        <v>1647</v>
      </c>
      <c r="E688" s="573" t="s">
        <v>1235</v>
      </c>
      <c r="F688" s="175"/>
      <c r="G688" s="175"/>
      <c r="H688" s="175" t="s">
        <v>1674</v>
      </c>
      <c r="I688" s="175" t="s">
        <v>1675</v>
      </c>
      <c r="J688" s="132"/>
      <c r="K688" s="132"/>
      <c r="L688" s="132"/>
      <c r="M688" s="132"/>
      <c r="N688" s="132"/>
      <c r="O688" s="132"/>
      <c r="P688" s="132"/>
      <c r="Q688" s="132"/>
      <c r="R688" s="132"/>
      <c r="S688" s="132"/>
      <c r="T688" s="132"/>
      <c r="U688" s="132"/>
      <c r="V688" s="132"/>
      <c r="W688" s="132"/>
      <c r="X688" s="132"/>
      <c r="Y688" s="132"/>
      <c r="Z688" s="132"/>
      <c r="AA688" s="132"/>
      <c r="AB688" s="132"/>
      <c r="AC688" s="132"/>
    </row>
    <row r="689" ht="24.75" hidden="1" customHeight="1" outlineLevel="1">
      <c r="A689" s="561">
        <v>45656.0</v>
      </c>
      <c r="B689" s="507" t="s">
        <v>1274</v>
      </c>
      <c r="C689" s="531" t="s">
        <v>1673</v>
      </c>
      <c r="D689" s="626" t="s">
        <v>1647</v>
      </c>
      <c r="E689" s="573" t="s">
        <v>1235</v>
      </c>
      <c r="F689" s="175"/>
      <c r="G689" s="175"/>
      <c r="H689" s="175" t="s">
        <v>1674</v>
      </c>
      <c r="I689" s="175" t="s">
        <v>1676</v>
      </c>
      <c r="J689" s="132"/>
      <c r="K689" s="132"/>
      <c r="L689" s="132"/>
      <c r="M689" s="132"/>
      <c r="N689" s="132"/>
      <c r="O689" s="132"/>
      <c r="P689" s="132"/>
      <c r="Q689" s="132"/>
      <c r="R689" s="132"/>
      <c r="S689" s="132"/>
      <c r="T689" s="132"/>
      <c r="U689" s="132"/>
      <c r="V689" s="132"/>
      <c r="W689" s="132"/>
      <c r="X689" s="132"/>
      <c r="Y689" s="132"/>
      <c r="Z689" s="132"/>
      <c r="AA689" s="132"/>
      <c r="AB689" s="132"/>
      <c r="AC689" s="132"/>
    </row>
    <row r="690" ht="24.75" hidden="1" customHeight="1" outlineLevel="1">
      <c r="A690" s="607">
        <v>45657.0</v>
      </c>
      <c r="B690" s="507" t="s">
        <v>38</v>
      </c>
      <c r="C690" s="507" t="s">
        <v>1233</v>
      </c>
      <c r="D690" s="626" t="s">
        <v>1180</v>
      </c>
      <c r="E690" s="573" t="s">
        <v>1235</v>
      </c>
      <c r="F690" s="175"/>
      <c r="G690" s="175"/>
      <c r="H690" s="175" t="s">
        <v>1677</v>
      </c>
      <c r="I690" s="132"/>
      <c r="J690" s="132"/>
      <c r="K690" s="132"/>
      <c r="L690" s="132"/>
      <c r="M690" s="132"/>
      <c r="N690" s="132"/>
      <c r="O690" s="132"/>
      <c r="P690" s="132"/>
      <c r="Q690" s="132"/>
      <c r="R690" s="132"/>
      <c r="S690" s="132"/>
      <c r="T690" s="132"/>
      <c r="U690" s="132"/>
      <c r="V690" s="132"/>
      <c r="W690" s="132"/>
      <c r="X690" s="132"/>
      <c r="Y690" s="132"/>
      <c r="Z690" s="132"/>
      <c r="AA690" s="132"/>
      <c r="AB690" s="132"/>
      <c r="AC690" s="132"/>
    </row>
    <row r="691" ht="24.75" hidden="1" customHeight="1" outlineLevel="1">
      <c r="A691" s="607">
        <v>45657.0</v>
      </c>
      <c r="B691" s="507" t="s">
        <v>1232</v>
      </c>
      <c r="C691" s="626" t="s">
        <v>1233</v>
      </c>
      <c r="D691" s="245" t="s">
        <v>1296</v>
      </c>
      <c r="E691" s="573" t="s">
        <v>1235</v>
      </c>
      <c r="F691" s="175"/>
      <c r="G691" s="175"/>
      <c r="H691" s="175" t="s">
        <v>1584</v>
      </c>
      <c r="I691" s="175" t="s">
        <v>1439</v>
      </c>
      <c r="J691" s="132"/>
      <c r="K691" s="132"/>
      <c r="L691" s="132"/>
      <c r="M691" s="132"/>
      <c r="N691" s="132"/>
      <c r="O691" s="132"/>
      <c r="P691" s="132"/>
      <c r="Q691" s="132"/>
      <c r="R691" s="132"/>
      <c r="S691" s="132"/>
      <c r="T691" s="132"/>
      <c r="U691" s="132"/>
      <c r="V691" s="132"/>
      <c r="W691" s="132"/>
      <c r="X691" s="132"/>
      <c r="Y691" s="132"/>
      <c r="Z691" s="132"/>
      <c r="AA691" s="132"/>
      <c r="AB691" s="132"/>
      <c r="AC691" s="132"/>
    </row>
    <row r="692" ht="24.75" hidden="1" customHeight="1" outlineLevel="1">
      <c r="A692" s="607">
        <v>45657.0</v>
      </c>
      <c r="B692" s="507" t="s">
        <v>1325</v>
      </c>
      <c r="C692" s="531" t="s">
        <v>1233</v>
      </c>
      <c r="D692" s="605" t="s">
        <v>1678</v>
      </c>
      <c r="E692" s="573" t="s">
        <v>1235</v>
      </c>
      <c r="F692" s="175"/>
      <c r="G692" s="175"/>
      <c r="H692" s="175" t="s">
        <v>1326</v>
      </c>
      <c r="I692" s="132"/>
      <c r="J692" s="132"/>
      <c r="K692" s="132"/>
      <c r="L692" s="132"/>
      <c r="M692" s="132"/>
      <c r="N692" s="132"/>
      <c r="O692" s="132"/>
      <c r="P692" s="132"/>
      <c r="Q692" s="132"/>
      <c r="R692" s="132"/>
      <c r="S692" s="132"/>
      <c r="T692" s="132"/>
      <c r="U692" s="132"/>
      <c r="V692" s="132"/>
      <c r="W692" s="132"/>
      <c r="X692" s="132"/>
      <c r="Y692" s="132"/>
      <c r="Z692" s="132"/>
      <c r="AA692" s="132"/>
      <c r="AB692" s="132"/>
      <c r="AC692" s="132"/>
    </row>
    <row r="693" ht="24.75" hidden="1" customHeight="1" outlineLevel="1">
      <c r="A693" s="607">
        <v>45657.0</v>
      </c>
      <c r="B693" s="507" t="s">
        <v>1254</v>
      </c>
      <c r="C693" s="626" t="s">
        <v>1656</v>
      </c>
      <c r="D693" s="605" t="s">
        <v>1679</v>
      </c>
      <c r="E693" s="573" t="s">
        <v>1562</v>
      </c>
      <c r="F693" s="132"/>
      <c r="G693" s="132"/>
      <c r="H693" s="132"/>
      <c r="I693" s="132"/>
      <c r="J693" s="132"/>
      <c r="K693" s="132"/>
      <c r="L693" s="132"/>
      <c r="M693" s="132"/>
      <c r="N693" s="132"/>
      <c r="O693" s="132"/>
      <c r="P693" s="132"/>
      <c r="Q693" s="132"/>
      <c r="R693" s="132"/>
      <c r="S693" s="132"/>
      <c r="T693" s="132"/>
      <c r="U693" s="132"/>
      <c r="V693" s="132"/>
      <c r="W693" s="132"/>
      <c r="X693" s="132"/>
      <c r="Y693" s="132"/>
      <c r="Z693" s="132"/>
      <c r="AA693" s="132"/>
      <c r="AB693" s="132"/>
      <c r="AC693" s="132"/>
    </row>
    <row r="694" ht="24.75" hidden="1" customHeight="1" outlineLevel="1">
      <c r="A694" s="607">
        <v>45658.0</v>
      </c>
      <c r="B694" s="507" t="s">
        <v>1198</v>
      </c>
      <c r="C694" s="626" t="s">
        <v>1233</v>
      </c>
      <c r="D694" s="605" t="s">
        <v>1680</v>
      </c>
      <c r="E694" s="573" t="s">
        <v>1235</v>
      </c>
      <c r="F694" s="132"/>
      <c r="G694" s="132"/>
      <c r="H694" s="132"/>
      <c r="I694" s="132"/>
      <c r="J694" s="132"/>
      <c r="K694" s="132"/>
      <c r="L694" s="132"/>
      <c r="M694" s="132"/>
      <c r="N694" s="132"/>
      <c r="O694" s="132"/>
      <c r="P694" s="132"/>
      <c r="Q694" s="132"/>
      <c r="R694" s="132"/>
      <c r="S694" s="132"/>
      <c r="T694" s="132"/>
      <c r="U694" s="132"/>
      <c r="V694" s="132"/>
      <c r="W694" s="132"/>
      <c r="X694" s="132"/>
      <c r="Y694" s="132"/>
      <c r="Z694" s="132"/>
      <c r="AA694" s="132"/>
      <c r="AB694" s="132"/>
      <c r="AC694" s="132"/>
    </row>
    <row r="695" ht="24.75" hidden="1" customHeight="1" outlineLevel="1">
      <c r="A695" s="607">
        <v>45658.0</v>
      </c>
      <c r="B695" s="711" t="s">
        <v>1226</v>
      </c>
      <c r="C695" s="626" t="s">
        <v>1651</v>
      </c>
      <c r="D695" s="605" t="s">
        <v>1681</v>
      </c>
      <c r="E695" s="573" t="s">
        <v>1562</v>
      </c>
      <c r="F695" s="175"/>
      <c r="G695" s="175"/>
      <c r="H695" s="175" t="s">
        <v>1682</v>
      </c>
      <c r="I695" s="132"/>
      <c r="J695" s="132"/>
      <c r="K695" s="132"/>
      <c r="L695" s="132"/>
      <c r="M695" s="132"/>
      <c r="N695" s="132"/>
      <c r="O695" s="132"/>
      <c r="P695" s="132"/>
      <c r="Q695" s="132"/>
      <c r="R695" s="132"/>
      <c r="S695" s="132"/>
      <c r="T695" s="132"/>
      <c r="U695" s="132"/>
      <c r="V695" s="132"/>
      <c r="W695" s="132"/>
      <c r="X695" s="132"/>
      <c r="Y695" s="132"/>
      <c r="Z695" s="132"/>
      <c r="AA695" s="132"/>
      <c r="AB695" s="132"/>
      <c r="AC695" s="132"/>
    </row>
    <row r="696" ht="24.75" hidden="1" customHeight="1" outlineLevel="1">
      <c r="A696" s="607">
        <v>45658.0</v>
      </c>
      <c r="B696" s="507" t="s">
        <v>1204</v>
      </c>
      <c r="C696" s="507" t="s">
        <v>1683</v>
      </c>
      <c r="D696" s="605" t="s">
        <v>1684</v>
      </c>
      <c r="E696" s="573" t="s">
        <v>1562</v>
      </c>
      <c r="F696" s="175"/>
      <c r="G696" s="175"/>
      <c r="H696" s="175" t="s">
        <v>1685</v>
      </c>
      <c r="I696" s="175"/>
      <c r="J696" s="132"/>
      <c r="K696" s="132"/>
      <c r="L696" s="132"/>
      <c r="M696" s="132"/>
      <c r="N696" s="132"/>
      <c r="O696" s="132"/>
      <c r="P696" s="132"/>
      <c r="Q696" s="132"/>
      <c r="R696" s="132"/>
      <c r="S696" s="132"/>
      <c r="T696" s="132"/>
      <c r="U696" s="132"/>
      <c r="V696" s="132"/>
      <c r="W696" s="132"/>
      <c r="X696" s="132"/>
      <c r="Y696" s="132"/>
      <c r="Z696" s="132"/>
      <c r="AA696" s="132"/>
      <c r="AB696" s="132"/>
      <c r="AC696" s="132"/>
    </row>
    <row r="697" ht="24.75" hidden="1" customHeight="1" outlineLevel="1">
      <c r="A697" s="607">
        <v>45658.0</v>
      </c>
      <c r="B697" s="507" t="s">
        <v>1261</v>
      </c>
      <c r="C697" s="626" t="s">
        <v>1656</v>
      </c>
      <c r="D697" s="605" t="s">
        <v>1686</v>
      </c>
      <c r="E697" s="573" t="s">
        <v>1562</v>
      </c>
      <c r="F697" s="616"/>
      <c r="G697" s="616"/>
      <c r="H697" s="616"/>
      <c r="I697" s="132"/>
      <c r="J697" s="132"/>
      <c r="K697" s="132"/>
      <c r="L697" s="132"/>
      <c r="M697" s="132"/>
      <c r="N697" s="132"/>
      <c r="O697" s="132"/>
      <c r="P697" s="132"/>
      <c r="Q697" s="132"/>
      <c r="R697" s="132"/>
      <c r="S697" s="132"/>
      <c r="T697" s="132"/>
      <c r="U697" s="132"/>
      <c r="V697" s="132"/>
      <c r="W697" s="132"/>
      <c r="X697" s="132"/>
      <c r="Y697" s="132"/>
      <c r="Z697" s="132"/>
      <c r="AA697" s="132"/>
      <c r="AB697" s="132"/>
      <c r="AC697" s="132"/>
    </row>
    <row r="698" ht="24.75" hidden="1" customHeight="1" outlineLevel="1">
      <c r="A698" s="607">
        <v>45659.0</v>
      </c>
      <c r="B698" s="714" t="s">
        <v>1537</v>
      </c>
      <c r="C698" s="626" t="s">
        <v>1259</v>
      </c>
      <c r="D698" s="605" t="s">
        <v>1687</v>
      </c>
      <c r="E698" s="573" t="s">
        <v>1562</v>
      </c>
      <c r="F698" s="132"/>
      <c r="G698" s="132"/>
      <c r="H698" s="132"/>
      <c r="I698" s="132"/>
      <c r="J698" s="132"/>
      <c r="K698" s="132"/>
      <c r="L698" s="132"/>
      <c r="M698" s="132"/>
      <c r="N698" s="132"/>
      <c r="O698" s="132"/>
      <c r="P698" s="132"/>
      <c r="Q698" s="132"/>
      <c r="R698" s="132"/>
      <c r="S698" s="132"/>
      <c r="T698" s="132"/>
      <c r="U698" s="132"/>
      <c r="V698" s="132"/>
      <c r="W698" s="132"/>
      <c r="X698" s="132"/>
      <c r="Y698" s="132"/>
      <c r="Z698" s="132"/>
      <c r="AA698" s="132"/>
      <c r="AB698" s="132"/>
      <c r="AC698" s="132"/>
    </row>
    <row r="699" ht="24.75" hidden="1" customHeight="1" outlineLevel="1">
      <c r="A699" s="607">
        <v>45659.0</v>
      </c>
      <c r="B699" s="507" t="s">
        <v>1263</v>
      </c>
      <c r="C699" s="626" t="s">
        <v>1656</v>
      </c>
      <c r="D699" s="605" t="s">
        <v>1688</v>
      </c>
      <c r="E699" s="573" t="s">
        <v>1562</v>
      </c>
      <c r="F699" s="132"/>
      <c r="G699" s="132"/>
      <c r="H699" s="132"/>
      <c r="I699" s="132"/>
      <c r="J699" s="132"/>
      <c r="K699" s="132"/>
      <c r="L699" s="132"/>
      <c r="M699" s="132"/>
      <c r="N699" s="132"/>
      <c r="O699" s="132"/>
      <c r="P699" s="132"/>
      <c r="Q699" s="132"/>
      <c r="R699" s="132"/>
      <c r="S699" s="132"/>
      <c r="T699" s="132"/>
      <c r="U699" s="132"/>
      <c r="V699" s="132"/>
      <c r="W699" s="132"/>
      <c r="X699" s="132"/>
      <c r="Y699" s="132"/>
      <c r="Z699" s="132"/>
      <c r="AA699" s="132"/>
      <c r="AB699" s="132"/>
      <c r="AC699" s="132"/>
    </row>
    <row r="700" ht="24.75" hidden="1" customHeight="1" outlineLevel="1">
      <c r="A700" s="607">
        <v>45660.0</v>
      </c>
      <c r="B700" s="507" t="s">
        <v>1232</v>
      </c>
      <c r="C700" s="626" t="s">
        <v>1233</v>
      </c>
      <c r="D700" s="245" t="s">
        <v>1296</v>
      </c>
      <c r="E700" s="573" t="s">
        <v>1235</v>
      </c>
      <c r="F700" s="175"/>
      <c r="G700" s="175"/>
      <c r="H700" s="175" t="s">
        <v>1584</v>
      </c>
      <c r="I700" s="175" t="s">
        <v>1439</v>
      </c>
      <c r="J700" s="132"/>
      <c r="K700" s="132"/>
      <c r="L700" s="132"/>
      <c r="M700" s="132"/>
      <c r="N700" s="132"/>
      <c r="O700" s="132"/>
      <c r="P700" s="132"/>
      <c r="Q700" s="132"/>
      <c r="R700" s="132"/>
      <c r="S700" s="132"/>
      <c r="T700" s="132"/>
      <c r="U700" s="132"/>
      <c r="V700" s="132"/>
      <c r="W700" s="132"/>
      <c r="X700" s="132"/>
      <c r="Y700" s="132"/>
      <c r="Z700" s="132"/>
      <c r="AA700" s="132"/>
      <c r="AB700" s="132"/>
      <c r="AC700" s="132"/>
    </row>
    <row r="701" ht="24.75" hidden="1" customHeight="1" outlineLevel="1">
      <c r="A701" s="607">
        <v>45660.0</v>
      </c>
      <c r="B701" s="507" t="s">
        <v>38</v>
      </c>
      <c r="C701" s="507" t="s">
        <v>1233</v>
      </c>
      <c r="D701" s="626" t="s">
        <v>1180</v>
      </c>
      <c r="E701" s="573" t="s">
        <v>1235</v>
      </c>
      <c r="F701" s="175"/>
      <c r="G701" s="175"/>
      <c r="H701" s="175" t="s">
        <v>1627</v>
      </c>
      <c r="I701" s="132"/>
      <c r="J701" s="132"/>
      <c r="K701" s="132"/>
      <c r="L701" s="132"/>
      <c r="M701" s="132"/>
      <c r="N701" s="132"/>
      <c r="O701" s="132"/>
      <c r="P701" s="132"/>
      <c r="Q701" s="132"/>
      <c r="R701" s="132"/>
      <c r="S701" s="132"/>
      <c r="T701" s="132"/>
      <c r="U701" s="132"/>
      <c r="V701" s="132"/>
      <c r="W701" s="132"/>
      <c r="X701" s="132"/>
      <c r="Y701" s="132"/>
      <c r="Z701" s="132"/>
      <c r="AA701" s="132"/>
      <c r="AB701" s="132"/>
      <c r="AC701" s="132"/>
    </row>
    <row r="702" ht="24.75" hidden="1" customHeight="1" outlineLevel="1">
      <c r="A702" s="607">
        <v>45660.0</v>
      </c>
      <c r="B702" s="507" t="s">
        <v>1181</v>
      </c>
      <c r="C702" s="664" t="s">
        <v>1428</v>
      </c>
      <c r="D702" s="605" t="s">
        <v>144</v>
      </c>
      <c r="E702" s="573" t="s">
        <v>1562</v>
      </c>
      <c r="F702" s="175"/>
      <c r="G702" s="175"/>
      <c r="H702" s="175"/>
      <c r="I702" s="175"/>
      <c r="J702" s="132"/>
      <c r="K702" s="132"/>
      <c r="L702" s="132"/>
      <c r="M702" s="132"/>
      <c r="N702" s="132"/>
      <c r="O702" s="132"/>
      <c r="P702" s="132"/>
      <c r="Q702" s="132"/>
      <c r="R702" s="132"/>
      <c r="S702" s="132"/>
      <c r="T702" s="132"/>
      <c r="U702" s="132"/>
      <c r="V702" s="132"/>
      <c r="W702" s="132"/>
      <c r="X702" s="132"/>
      <c r="Y702" s="132"/>
      <c r="Z702" s="132"/>
      <c r="AA702" s="132"/>
      <c r="AB702" s="132"/>
      <c r="AC702" s="132"/>
    </row>
    <row r="703" ht="24.75" hidden="1" customHeight="1" outlineLevel="1">
      <c r="A703" s="607">
        <v>45660.0</v>
      </c>
      <c r="B703" s="699" t="s">
        <v>167</v>
      </c>
      <c r="C703" s="700" t="s">
        <v>1233</v>
      </c>
      <c r="D703" s="626" t="s">
        <v>1180</v>
      </c>
      <c r="E703" s="573" t="s">
        <v>1235</v>
      </c>
      <c r="F703" s="497"/>
      <c r="G703" s="497"/>
      <c r="H703" s="497" t="s">
        <v>1634</v>
      </c>
      <c r="I703" s="132"/>
      <c r="J703" s="132"/>
      <c r="K703" s="132"/>
      <c r="L703" s="132"/>
      <c r="M703" s="132"/>
      <c r="N703" s="132"/>
      <c r="O703" s="132"/>
      <c r="P703" s="132"/>
      <c r="Q703" s="132"/>
      <c r="R703" s="132"/>
      <c r="S703" s="132"/>
      <c r="T703" s="132"/>
      <c r="U703" s="132"/>
      <c r="V703" s="132"/>
      <c r="W703" s="132"/>
      <c r="X703" s="132"/>
      <c r="Y703" s="132"/>
      <c r="Z703" s="132"/>
      <c r="AA703" s="132"/>
      <c r="AB703" s="132"/>
      <c r="AC703" s="132"/>
    </row>
    <row r="704" ht="24.75" hidden="1" customHeight="1" outlineLevel="1">
      <c r="A704" s="607">
        <v>45660.0</v>
      </c>
      <c r="B704" s="702" t="s">
        <v>202</v>
      </c>
      <c r="C704" s="700" t="s">
        <v>1233</v>
      </c>
      <c r="D704" s="626" t="s">
        <v>1180</v>
      </c>
      <c r="E704" s="573" t="s">
        <v>1235</v>
      </c>
      <c r="F704" s="497"/>
      <c r="G704" s="497"/>
      <c r="H704" s="497" t="s">
        <v>1634</v>
      </c>
      <c r="I704" s="132"/>
      <c r="J704" s="132"/>
      <c r="K704" s="132"/>
      <c r="L704" s="132"/>
      <c r="M704" s="132"/>
      <c r="N704" s="132"/>
      <c r="O704" s="132"/>
      <c r="P704" s="132"/>
      <c r="Q704" s="132"/>
      <c r="R704" s="132"/>
      <c r="S704" s="132"/>
      <c r="T704" s="132"/>
      <c r="U704" s="132"/>
      <c r="V704" s="132"/>
      <c r="W704" s="132"/>
      <c r="X704" s="132"/>
      <c r="Y704" s="132"/>
      <c r="Z704" s="132"/>
      <c r="AA704" s="132"/>
      <c r="AB704" s="132"/>
      <c r="AC704" s="132"/>
    </row>
    <row r="705" ht="24.75" hidden="1" customHeight="1" outlineLevel="1">
      <c r="A705" s="607">
        <v>45661.0</v>
      </c>
      <c r="B705" s="507" t="s">
        <v>1209</v>
      </c>
      <c r="C705" s="626" t="s">
        <v>1233</v>
      </c>
      <c r="D705" s="605" t="s">
        <v>144</v>
      </c>
      <c r="E705" s="573" t="s">
        <v>1235</v>
      </c>
      <c r="F705" s="175"/>
      <c r="G705" s="175"/>
      <c r="H705" s="175" t="s">
        <v>1643</v>
      </c>
      <c r="I705" s="132"/>
      <c r="J705" s="132"/>
      <c r="K705" s="132"/>
      <c r="L705" s="132"/>
      <c r="M705" s="132"/>
      <c r="N705" s="132"/>
      <c r="O705" s="132"/>
      <c r="P705" s="132"/>
      <c r="Q705" s="132"/>
      <c r="R705" s="132"/>
      <c r="S705" s="132"/>
      <c r="T705" s="132"/>
      <c r="U705" s="132"/>
      <c r="V705" s="132"/>
      <c r="W705" s="132"/>
      <c r="X705" s="132"/>
      <c r="Y705" s="132"/>
      <c r="Z705" s="132"/>
      <c r="AA705" s="132"/>
      <c r="AB705" s="132"/>
      <c r="AC705" s="132"/>
    </row>
    <row r="706" ht="24.75" hidden="1" customHeight="1" outlineLevel="1">
      <c r="A706" s="607">
        <v>45661.0</v>
      </c>
      <c r="B706" s="606" t="s">
        <v>1210</v>
      </c>
      <c r="C706" s="626" t="s">
        <v>1646</v>
      </c>
      <c r="D706" s="605" t="s">
        <v>144</v>
      </c>
      <c r="E706" s="573" t="s">
        <v>1562</v>
      </c>
      <c r="F706" s="175"/>
      <c r="G706" s="175"/>
      <c r="H706" s="175" t="s">
        <v>1648</v>
      </c>
      <c r="I706" s="175"/>
      <c r="J706" s="132"/>
      <c r="K706" s="132"/>
      <c r="L706" s="132"/>
      <c r="M706" s="132"/>
      <c r="N706" s="132"/>
      <c r="O706" s="132"/>
      <c r="P706" s="132"/>
      <c r="Q706" s="132"/>
      <c r="R706" s="132"/>
      <c r="S706" s="132"/>
      <c r="T706" s="132"/>
      <c r="U706" s="132"/>
      <c r="V706" s="132"/>
      <c r="W706" s="132"/>
      <c r="X706" s="132"/>
      <c r="Y706" s="132"/>
      <c r="Z706" s="132"/>
      <c r="AA706" s="132"/>
      <c r="AB706" s="132"/>
      <c r="AC706" s="132"/>
    </row>
    <row r="707" ht="24.75" hidden="1" customHeight="1" outlineLevel="1">
      <c r="A707" s="607">
        <v>45661.0</v>
      </c>
      <c r="B707" s="606" t="s">
        <v>1213</v>
      </c>
      <c r="C707" s="626" t="s">
        <v>1651</v>
      </c>
      <c r="D707" s="605" t="s">
        <v>144</v>
      </c>
      <c r="E707" s="573" t="s">
        <v>1562</v>
      </c>
      <c r="F707" s="175"/>
      <c r="G707" s="175"/>
      <c r="H707" s="175" t="s">
        <v>1652</v>
      </c>
      <c r="I707" s="132"/>
      <c r="J707" s="132"/>
      <c r="K707" s="132"/>
      <c r="L707" s="132"/>
      <c r="M707" s="132"/>
      <c r="N707" s="132"/>
      <c r="O707" s="132"/>
      <c r="P707" s="132"/>
      <c r="Q707" s="132"/>
      <c r="R707" s="132"/>
      <c r="S707" s="132"/>
      <c r="T707" s="132"/>
      <c r="U707" s="132"/>
      <c r="V707" s="132"/>
      <c r="W707" s="132"/>
      <c r="X707" s="132"/>
      <c r="Y707" s="132"/>
      <c r="Z707" s="132"/>
      <c r="AA707" s="132"/>
      <c r="AB707" s="132"/>
      <c r="AC707" s="132"/>
    </row>
    <row r="708" ht="24.75" hidden="1" customHeight="1" outlineLevel="1">
      <c r="A708" s="607">
        <v>45662.0</v>
      </c>
      <c r="B708" s="705" t="s">
        <v>1655</v>
      </c>
      <c r="C708" s="626" t="s">
        <v>1656</v>
      </c>
      <c r="D708" s="605" t="s">
        <v>144</v>
      </c>
      <c r="E708" s="573" t="s">
        <v>1562</v>
      </c>
      <c r="F708" s="175"/>
      <c r="G708" s="175"/>
      <c r="H708" s="175" t="s">
        <v>1652</v>
      </c>
      <c r="I708" s="132"/>
      <c r="J708" s="132"/>
      <c r="K708" s="132"/>
      <c r="L708" s="132"/>
      <c r="M708" s="132"/>
      <c r="N708" s="132"/>
      <c r="O708" s="132"/>
      <c r="P708" s="132"/>
      <c r="Q708" s="132"/>
      <c r="R708" s="132"/>
      <c r="S708" s="132"/>
      <c r="T708" s="132"/>
      <c r="U708" s="132"/>
      <c r="V708" s="132"/>
      <c r="W708" s="132"/>
      <c r="X708" s="132"/>
      <c r="Y708" s="132"/>
      <c r="Z708" s="132"/>
      <c r="AA708" s="132"/>
      <c r="AB708" s="132"/>
      <c r="AC708" s="132"/>
    </row>
    <row r="709" ht="24.75" hidden="1" customHeight="1" outlineLevel="1">
      <c r="A709" s="607">
        <v>45662.0</v>
      </c>
      <c r="B709" s="706" t="s">
        <v>1661</v>
      </c>
      <c r="C709" s="707" t="s">
        <v>1662</v>
      </c>
      <c r="D709" s="707" t="s">
        <v>1663</v>
      </c>
      <c r="E709" s="708" t="s">
        <v>1221</v>
      </c>
      <c r="F709" s="175"/>
      <c r="G709" s="175"/>
      <c r="H709" s="175"/>
      <c r="I709" s="132"/>
      <c r="J709" s="132"/>
      <c r="K709" s="132"/>
      <c r="L709" s="132"/>
      <c r="M709" s="132"/>
      <c r="N709" s="132"/>
      <c r="O709" s="132"/>
      <c r="P709" s="132"/>
      <c r="Q709" s="132"/>
      <c r="R709" s="132"/>
      <c r="S709" s="132"/>
      <c r="T709" s="132"/>
      <c r="U709" s="132"/>
      <c r="V709" s="132"/>
      <c r="W709" s="132"/>
      <c r="X709" s="132"/>
      <c r="Y709" s="132"/>
      <c r="Z709" s="132"/>
      <c r="AA709" s="132"/>
      <c r="AB709" s="132"/>
      <c r="AC709" s="132"/>
    </row>
    <row r="710" ht="24.75" hidden="1" customHeight="1" outlineLevel="1">
      <c r="A710" s="607">
        <v>45662.0</v>
      </c>
      <c r="B710" s="711" t="str">
        <f>HYPERLINK("https://docs.google.com/spreadsheets/d/14VRt1DzygoL3ldywdTGi4p4-5N6W0OO9Ugf6GEHXv1k/edit#gid=351252924","☆TP部メルマガ")</f>
        <v>☆TP部メルマガ</v>
      </c>
      <c r="C710" s="626" t="s">
        <v>1259</v>
      </c>
      <c r="D710" s="605" t="s">
        <v>144</v>
      </c>
      <c r="E710" s="573" t="s">
        <v>1562</v>
      </c>
      <c r="F710" s="175"/>
      <c r="G710" s="175"/>
      <c r="H710" s="175" t="s">
        <v>1667</v>
      </c>
      <c r="I710" s="132"/>
      <c r="J710" s="132"/>
      <c r="K710" s="132"/>
      <c r="L710" s="132"/>
      <c r="M710" s="132"/>
      <c r="N710" s="132"/>
      <c r="O710" s="132"/>
      <c r="P710" s="132"/>
      <c r="Q710" s="132"/>
      <c r="R710" s="132"/>
      <c r="S710" s="132"/>
      <c r="T710" s="132"/>
      <c r="U710" s="132"/>
      <c r="V710" s="132"/>
      <c r="W710" s="132"/>
      <c r="X710" s="132"/>
      <c r="Y710" s="132"/>
      <c r="Z710" s="132"/>
      <c r="AA710" s="132"/>
      <c r="AB710" s="132"/>
      <c r="AC710" s="132"/>
    </row>
    <row r="711" ht="24.75" hidden="1" customHeight="1" outlineLevel="1">
      <c r="A711" s="607">
        <v>45663.0</v>
      </c>
      <c r="B711" s="713" t="s">
        <v>489</v>
      </c>
      <c r="C711" s="626" t="s">
        <v>1651</v>
      </c>
      <c r="D711" s="605" t="s">
        <v>144</v>
      </c>
      <c r="E711" s="573" t="s">
        <v>1562</v>
      </c>
      <c r="F711" s="175"/>
      <c r="G711" s="175"/>
      <c r="H711" s="175" t="s">
        <v>1667</v>
      </c>
      <c r="I711" s="132"/>
      <c r="J711" s="132"/>
      <c r="K711" s="132"/>
      <c r="L711" s="132"/>
      <c r="M711" s="132"/>
      <c r="N711" s="132"/>
      <c r="O711" s="132"/>
      <c r="P711" s="132"/>
      <c r="Q711" s="132"/>
      <c r="R711" s="132"/>
      <c r="S711" s="132"/>
      <c r="T711" s="132"/>
      <c r="U711" s="132"/>
      <c r="V711" s="132"/>
      <c r="W711" s="132"/>
      <c r="X711" s="132"/>
      <c r="Y711" s="132"/>
      <c r="Z711" s="132"/>
      <c r="AA711" s="132"/>
      <c r="AB711" s="132"/>
      <c r="AC711" s="132"/>
    </row>
    <row r="712" ht="24.75" hidden="1" customHeight="1" outlineLevel="1">
      <c r="A712" s="607">
        <v>45663.0</v>
      </c>
      <c r="B712" s="713" t="s">
        <v>450</v>
      </c>
      <c r="C712" s="626" t="s">
        <v>1259</v>
      </c>
      <c r="D712" s="605" t="s">
        <v>1687</v>
      </c>
      <c r="E712" s="573" t="s">
        <v>1562</v>
      </c>
      <c r="F712" s="175"/>
      <c r="G712" s="175"/>
      <c r="H712" s="175" t="s">
        <v>1671</v>
      </c>
      <c r="I712" s="175"/>
      <c r="J712" s="132"/>
      <c r="K712" s="132"/>
      <c r="L712" s="132"/>
      <c r="M712" s="132"/>
      <c r="N712" s="132"/>
      <c r="O712" s="132"/>
      <c r="P712" s="132"/>
      <c r="Q712" s="132"/>
      <c r="R712" s="132"/>
      <c r="S712" s="132"/>
      <c r="T712" s="132"/>
      <c r="U712" s="132"/>
      <c r="V712" s="132"/>
      <c r="W712" s="132"/>
      <c r="X712" s="132"/>
      <c r="Y712" s="132"/>
      <c r="Z712" s="132"/>
      <c r="AA712" s="132"/>
      <c r="AB712" s="132"/>
      <c r="AC712" s="132"/>
    </row>
    <row r="713" ht="24.75" hidden="1" customHeight="1" outlineLevel="1">
      <c r="A713" s="607">
        <v>45663.0</v>
      </c>
      <c r="B713" s="507" t="s">
        <v>629</v>
      </c>
      <c r="C713" s="507" t="s">
        <v>1233</v>
      </c>
      <c r="D713" s="626" t="s">
        <v>1180</v>
      </c>
      <c r="E713" s="573" t="s">
        <v>1235</v>
      </c>
      <c r="F713" s="175"/>
      <c r="G713" s="175"/>
      <c r="H713" s="175" t="s">
        <v>1672</v>
      </c>
      <c r="I713" s="132"/>
      <c r="J713" s="132"/>
      <c r="K713" s="132"/>
      <c r="L713" s="132"/>
      <c r="M713" s="132"/>
      <c r="N713" s="132"/>
      <c r="O713" s="132"/>
      <c r="P713" s="132"/>
      <c r="Q713" s="132"/>
      <c r="R713" s="132"/>
      <c r="S713" s="132"/>
      <c r="T713" s="132"/>
      <c r="U713" s="132"/>
      <c r="V713" s="132"/>
      <c r="W713" s="132"/>
      <c r="X713" s="132"/>
      <c r="Y713" s="132"/>
      <c r="Z713" s="132"/>
      <c r="AA713" s="132"/>
      <c r="AB713" s="132"/>
      <c r="AC713" s="132"/>
    </row>
    <row r="714" ht="24.75" hidden="1" customHeight="1" outlineLevel="1">
      <c r="A714" s="607">
        <v>45663.0</v>
      </c>
      <c r="B714" s="507" t="s">
        <v>1271</v>
      </c>
      <c r="C714" s="531" t="s">
        <v>1673</v>
      </c>
      <c r="D714" s="605" t="s">
        <v>144</v>
      </c>
      <c r="E714" s="573" t="s">
        <v>1562</v>
      </c>
      <c r="F714" s="175"/>
      <c r="G714" s="175"/>
      <c r="H714" s="175" t="s">
        <v>1674</v>
      </c>
      <c r="I714" s="175" t="s">
        <v>1675</v>
      </c>
      <c r="J714" s="132"/>
      <c r="K714" s="132"/>
      <c r="L714" s="132"/>
      <c r="M714" s="132"/>
      <c r="N714" s="132"/>
      <c r="O714" s="132"/>
      <c r="P714" s="132"/>
      <c r="Q714" s="132"/>
      <c r="R714" s="132"/>
      <c r="S714" s="132"/>
      <c r="T714" s="132"/>
      <c r="U714" s="132"/>
      <c r="V714" s="132"/>
      <c r="W714" s="132"/>
      <c r="X714" s="132"/>
      <c r="Y714" s="132"/>
      <c r="Z714" s="132"/>
      <c r="AA714" s="132"/>
      <c r="AB714" s="132"/>
      <c r="AC714" s="132"/>
    </row>
    <row r="715" ht="24.75" hidden="1" customHeight="1" outlineLevel="1">
      <c r="A715" s="607">
        <v>45663.0</v>
      </c>
      <c r="B715" s="507" t="s">
        <v>1274</v>
      </c>
      <c r="C715" s="531" t="s">
        <v>1673</v>
      </c>
      <c r="D715" s="605" t="s">
        <v>144</v>
      </c>
      <c r="E715" s="573" t="s">
        <v>1562</v>
      </c>
      <c r="F715" s="175"/>
      <c r="G715" s="175"/>
      <c r="H715" s="175" t="s">
        <v>1674</v>
      </c>
      <c r="I715" s="175" t="s">
        <v>1676</v>
      </c>
      <c r="J715" s="132"/>
      <c r="K715" s="132"/>
      <c r="L715" s="132"/>
      <c r="M715" s="132"/>
      <c r="N715" s="132"/>
      <c r="O715" s="132"/>
      <c r="P715" s="132"/>
      <c r="Q715" s="132"/>
      <c r="R715" s="132"/>
      <c r="S715" s="132"/>
      <c r="T715" s="132"/>
      <c r="U715" s="132"/>
      <c r="V715" s="132"/>
      <c r="W715" s="132"/>
      <c r="X715" s="132"/>
      <c r="Y715" s="132"/>
      <c r="Z715" s="132"/>
      <c r="AA715" s="132"/>
      <c r="AB715" s="132"/>
      <c r="AC715" s="132"/>
    </row>
    <row r="716" ht="24.75" hidden="1" customHeight="1" outlineLevel="1">
      <c r="A716" s="621">
        <v>45664.0</v>
      </c>
      <c r="B716" s="507" t="s">
        <v>38</v>
      </c>
      <c r="C716" s="507" t="s">
        <v>1233</v>
      </c>
      <c r="D716" s="626" t="s">
        <v>1180</v>
      </c>
      <c r="E716" s="573" t="s">
        <v>1235</v>
      </c>
      <c r="F716" s="175"/>
      <c r="G716" s="175"/>
      <c r="H716" s="175" t="s">
        <v>1677</v>
      </c>
      <c r="I716" s="132"/>
      <c r="J716" s="132"/>
      <c r="K716" s="132"/>
      <c r="L716" s="132"/>
      <c r="M716" s="132"/>
      <c r="N716" s="132"/>
      <c r="O716" s="132"/>
      <c r="P716" s="132"/>
      <c r="Q716" s="132"/>
      <c r="R716" s="132"/>
      <c r="S716" s="132"/>
      <c r="T716" s="132"/>
      <c r="U716" s="132"/>
      <c r="V716" s="132"/>
      <c r="W716" s="132"/>
      <c r="X716" s="132"/>
      <c r="Y716" s="132"/>
      <c r="Z716" s="132"/>
      <c r="AA716" s="132"/>
      <c r="AB716" s="132"/>
      <c r="AC716" s="132"/>
    </row>
    <row r="717" ht="24.75" hidden="1" customHeight="1" outlineLevel="1">
      <c r="A717" s="621">
        <v>45664.0</v>
      </c>
      <c r="B717" s="507" t="s">
        <v>1232</v>
      </c>
      <c r="C717" s="626" t="s">
        <v>1233</v>
      </c>
      <c r="D717" s="626" t="s">
        <v>1180</v>
      </c>
      <c r="E717" s="573" t="s">
        <v>1235</v>
      </c>
      <c r="F717" s="175"/>
      <c r="G717" s="175"/>
      <c r="H717" s="175" t="s">
        <v>1584</v>
      </c>
      <c r="I717" s="175" t="s">
        <v>1439</v>
      </c>
      <c r="J717" s="132"/>
      <c r="K717" s="132"/>
      <c r="L717" s="132"/>
      <c r="M717" s="132"/>
      <c r="N717" s="132"/>
      <c r="O717" s="132"/>
      <c r="P717" s="132"/>
      <c r="Q717" s="132"/>
      <c r="R717" s="132"/>
      <c r="S717" s="132"/>
      <c r="T717" s="132"/>
      <c r="U717" s="132"/>
      <c r="V717" s="132"/>
      <c r="W717" s="132"/>
      <c r="X717" s="132"/>
      <c r="Y717" s="132"/>
      <c r="Z717" s="132"/>
      <c r="AA717" s="132"/>
      <c r="AB717" s="132"/>
      <c r="AC717" s="132"/>
    </row>
    <row r="718" ht="24.75" hidden="1" customHeight="1" outlineLevel="1">
      <c r="A718" s="621">
        <v>45664.0</v>
      </c>
      <c r="B718" s="507" t="s">
        <v>1325</v>
      </c>
      <c r="C718" s="531" t="s">
        <v>1233</v>
      </c>
      <c r="D718" s="626" t="s">
        <v>1180</v>
      </c>
      <c r="E718" s="573" t="s">
        <v>1235</v>
      </c>
      <c r="F718" s="175"/>
      <c r="G718" s="175"/>
      <c r="H718" s="175" t="s">
        <v>1326</v>
      </c>
      <c r="I718" s="132"/>
      <c r="J718" s="132"/>
      <c r="K718" s="132"/>
      <c r="L718" s="132"/>
      <c r="M718" s="132"/>
      <c r="N718" s="132"/>
      <c r="O718" s="132"/>
      <c r="P718" s="132"/>
      <c r="Q718" s="132"/>
      <c r="R718" s="132"/>
      <c r="S718" s="132"/>
      <c r="T718" s="132"/>
      <c r="U718" s="132"/>
      <c r="V718" s="132"/>
      <c r="W718" s="132"/>
      <c r="X718" s="132"/>
      <c r="Y718" s="132"/>
      <c r="Z718" s="132"/>
      <c r="AA718" s="132"/>
      <c r="AB718" s="132"/>
      <c r="AC718" s="132"/>
    </row>
    <row r="719" ht="24.75" hidden="1" customHeight="1" outlineLevel="1">
      <c r="A719" s="621">
        <v>45664.0</v>
      </c>
      <c r="B719" s="507" t="s">
        <v>1254</v>
      </c>
      <c r="C719" s="626" t="s">
        <v>1656</v>
      </c>
      <c r="D719" s="605" t="s">
        <v>1689</v>
      </c>
      <c r="E719" s="573" t="s">
        <v>1562</v>
      </c>
      <c r="F719" s="132"/>
      <c r="G719" s="132"/>
      <c r="H719" s="132"/>
      <c r="I719" s="132"/>
      <c r="J719" s="132"/>
      <c r="K719" s="132"/>
      <c r="L719" s="132"/>
      <c r="M719" s="132"/>
      <c r="N719" s="132"/>
      <c r="O719" s="132"/>
      <c r="P719" s="132"/>
      <c r="Q719" s="132"/>
      <c r="R719" s="132"/>
      <c r="S719" s="132"/>
      <c r="T719" s="132"/>
      <c r="U719" s="132"/>
      <c r="V719" s="132"/>
      <c r="W719" s="132"/>
      <c r="X719" s="132"/>
      <c r="Y719" s="132"/>
      <c r="Z719" s="132"/>
      <c r="AA719" s="132"/>
      <c r="AB719" s="132"/>
      <c r="AC719" s="132"/>
    </row>
    <row r="720" ht="24.75" hidden="1" customHeight="1" outlineLevel="1">
      <c r="A720" s="621">
        <v>45665.0</v>
      </c>
      <c r="B720" s="678" t="s">
        <v>1261</v>
      </c>
      <c r="C720" s="626" t="s">
        <v>1656</v>
      </c>
      <c r="D720" s="605" t="s">
        <v>1689</v>
      </c>
      <c r="E720" s="573" t="s">
        <v>1562</v>
      </c>
      <c r="F720" s="132"/>
      <c r="G720" s="132"/>
      <c r="H720" s="132"/>
      <c r="I720" s="132"/>
      <c r="J720" s="132"/>
      <c r="K720" s="132"/>
      <c r="L720" s="132"/>
      <c r="M720" s="132"/>
      <c r="N720" s="132"/>
      <c r="O720" s="132"/>
      <c r="P720" s="132"/>
      <c r="Q720" s="132"/>
      <c r="R720" s="132"/>
      <c r="S720" s="132"/>
      <c r="T720" s="132"/>
      <c r="U720" s="132"/>
      <c r="V720" s="132"/>
      <c r="W720" s="132"/>
      <c r="X720" s="132"/>
      <c r="Y720" s="132"/>
      <c r="Z720" s="132"/>
      <c r="AA720" s="132"/>
      <c r="AB720" s="132"/>
      <c r="AC720" s="132"/>
    </row>
    <row r="721" ht="24.75" hidden="1" customHeight="1" outlineLevel="1">
      <c r="A721" s="621">
        <v>45666.0</v>
      </c>
      <c r="B721" s="678" t="s">
        <v>1263</v>
      </c>
      <c r="C721" s="626" t="s">
        <v>1656</v>
      </c>
      <c r="D721" s="605" t="s">
        <v>1689</v>
      </c>
      <c r="E721" s="573" t="s">
        <v>1562</v>
      </c>
      <c r="F721" s="132"/>
      <c r="G721" s="132"/>
      <c r="H721" s="132"/>
      <c r="I721" s="132"/>
      <c r="J721" s="132"/>
      <c r="K721" s="132"/>
      <c r="L721" s="132"/>
      <c r="M721" s="132"/>
      <c r="N721" s="132"/>
      <c r="O721" s="132"/>
      <c r="P721" s="132"/>
      <c r="Q721" s="132"/>
      <c r="R721" s="132"/>
      <c r="S721" s="132"/>
      <c r="T721" s="132"/>
      <c r="U721" s="132"/>
      <c r="V721" s="132"/>
      <c r="W721" s="132"/>
      <c r="X721" s="132"/>
      <c r="Y721" s="132"/>
      <c r="Z721" s="132"/>
      <c r="AA721" s="132"/>
      <c r="AB721" s="132"/>
      <c r="AC721" s="132"/>
    </row>
    <row r="722" ht="24.75" customHeight="1">
      <c r="A722" s="132"/>
      <c r="B722" s="132"/>
      <c r="C722" s="132"/>
      <c r="D722" s="132"/>
      <c r="E722" s="496"/>
      <c r="F722" s="132"/>
      <c r="G722" s="132"/>
      <c r="H722" s="132"/>
      <c r="I722" s="132"/>
      <c r="J722" s="132"/>
      <c r="K722" s="132"/>
      <c r="L722" s="132"/>
      <c r="M722" s="132"/>
      <c r="N722" s="132"/>
      <c r="O722" s="132"/>
      <c r="P722" s="132"/>
      <c r="Q722" s="132"/>
      <c r="R722" s="132"/>
      <c r="S722" s="132"/>
      <c r="T722" s="132"/>
      <c r="U722" s="132"/>
      <c r="V722" s="132"/>
      <c r="W722" s="132"/>
      <c r="X722" s="132"/>
      <c r="Y722" s="132"/>
      <c r="Z722" s="132"/>
      <c r="AA722" s="132"/>
      <c r="AB722" s="132"/>
      <c r="AC722" s="132"/>
    </row>
    <row r="723" ht="24.75" customHeight="1" collapsed="1">
      <c r="A723" s="175" t="s">
        <v>1690</v>
      </c>
      <c r="B723" s="132"/>
      <c r="C723" s="132"/>
      <c r="D723" s="132"/>
      <c r="E723" s="496"/>
      <c r="F723" s="132"/>
      <c r="G723" s="132"/>
      <c r="H723" s="132"/>
      <c r="I723" s="132"/>
      <c r="J723" s="132"/>
      <c r="K723" s="132"/>
      <c r="L723" s="132"/>
      <c r="M723" s="132"/>
      <c r="N723" s="132"/>
      <c r="O723" s="132"/>
      <c r="P723" s="132"/>
      <c r="Q723" s="132"/>
      <c r="R723" s="132"/>
      <c r="S723" s="132"/>
      <c r="T723" s="132"/>
      <c r="U723" s="132"/>
      <c r="V723" s="132"/>
      <c r="W723" s="132"/>
      <c r="X723" s="132"/>
      <c r="Y723" s="132"/>
      <c r="Z723" s="132"/>
      <c r="AA723" s="132"/>
      <c r="AB723" s="132"/>
      <c r="AC723" s="132"/>
    </row>
    <row r="724" ht="24.75" hidden="1" customHeight="1" outlineLevel="1">
      <c r="A724" s="597" t="s">
        <v>1166</v>
      </c>
      <c r="B724" s="598" t="s">
        <v>1117</v>
      </c>
      <c r="C724" s="598" t="s">
        <v>1167</v>
      </c>
      <c r="D724" s="598" t="s">
        <v>1168</v>
      </c>
      <c r="E724" s="598" t="s">
        <v>1169</v>
      </c>
      <c r="F724" s="132"/>
      <c r="G724" s="132"/>
      <c r="H724" s="132"/>
      <c r="I724" s="132"/>
      <c r="J724" s="132"/>
      <c r="K724" s="132"/>
      <c r="L724" s="132"/>
      <c r="M724" s="132"/>
      <c r="N724" s="132"/>
      <c r="O724" s="132"/>
      <c r="P724" s="132"/>
      <c r="Q724" s="132"/>
      <c r="R724" s="132"/>
      <c r="S724" s="132"/>
      <c r="T724" s="132"/>
      <c r="U724" s="132"/>
      <c r="V724" s="132"/>
      <c r="W724" s="132"/>
      <c r="X724" s="132"/>
      <c r="Y724" s="132"/>
      <c r="Z724" s="132"/>
      <c r="AA724" s="132"/>
      <c r="AB724" s="132"/>
      <c r="AC724" s="132"/>
    </row>
    <row r="725" ht="24.75" hidden="1" customHeight="1" outlineLevel="1">
      <c r="A725" s="607">
        <v>45670.0</v>
      </c>
      <c r="B725" s="507" t="s">
        <v>1249</v>
      </c>
      <c r="C725" s="526" t="s">
        <v>1311</v>
      </c>
      <c r="D725" s="506" t="s">
        <v>1691</v>
      </c>
      <c r="E725" s="573" t="s">
        <v>1235</v>
      </c>
      <c r="F725" s="175"/>
      <c r="G725" s="175"/>
      <c r="H725" s="175"/>
      <c r="I725" s="132"/>
      <c r="J725" s="132"/>
      <c r="K725" s="132"/>
      <c r="L725" s="132"/>
      <c r="M725" s="132"/>
      <c r="N725" s="132"/>
      <c r="O725" s="132"/>
      <c r="P725" s="132"/>
      <c r="Q725" s="132"/>
      <c r="R725" s="132"/>
      <c r="S725" s="132"/>
      <c r="T725" s="132"/>
      <c r="U725" s="132"/>
      <c r="V725" s="132"/>
      <c r="W725" s="132"/>
      <c r="X725" s="132"/>
      <c r="Y725" s="132"/>
      <c r="Z725" s="132"/>
      <c r="AA725" s="132"/>
      <c r="AB725" s="132"/>
      <c r="AC725" s="132"/>
    </row>
    <row r="726" ht="24.75" hidden="1" customHeight="1" outlineLevel="1">
      <c r="A726" s="607">
        <v>45670.0</v>
      </c>
      <c r="B726" s="507" t="s">
        <v>629</v>
      </c>
      <c r="C726" s="507" t="s">
        <v>1233</v>
      </c>
      <c r="D726" s="601" t="s">
        <v>1180</v>
      </c>
      <c r="E726" s="573" t="s">
        <v>1235</v>
      </c>
      <c r="F726" s="175"/>
      <c r="G726" s="175"/>
      <c r="H726" s="175"/>
      <c r="I726" s="132"/>
      <c r="J726" s="132"/>
      <c r="K726" s="132"/>
      <c r="L726" s="132"/>
      <c r="M726" s="132"/>
      <c r="N726" s="132"/>
      <c r="O726" s="132"/>
      <c r="P726" s="132"/>
      <c r="Q726" s="132"/>
      <c r="R726" s="132"/>
      <c r="S726" s="132"/>
      <c r="T726" s="132"/>
      <c r="U726" s="132"/>
      <c r="V726" s="132"/>
      <c r="W726" s="132"/>
      <c r="X726" s="132"/>
      <c r="Y726" s="132"/>
      <c r="Z726" s="132"/>
      <c r="AA726" s="132"/>
      <c r="AB726" s="132"/>
      <c r="AC726" s="132"/>
    </row>
    <row r="727" ht="24.75" hidden="1" customHeight="1" outlineLevel="1">
      <c r="A727" s="607">
        <v>45670.0</v>
      </c>
      <c r="B727" s="523" t="s">
        <v>1217</v>
      </c>
      <c r="C727" s="531" t="s">
        <v>1451</v>
      </c>
      <c r="D727" s="506" t="s">
        <v>1692</v>
      </c>
      <c r="E727" s="573" t="s">
        <v>1235</v>
      </c>
      <c r="F727" s="175"/>
      <c r="G727" s="175"/>
      <c r="H727" s="175"/>
      <c r="I727" s="132"/>
      <c r="J727" s="132"/>
      <c r="K727" s="132"/>
      <c r="L727" s="132"/>
      <c r="M727" s="132"/>
      <c r="N727" s="132"/>
      <c r="O727" s="132"/>
      <c r="P727" s="132"/>
      <c r="Q727" s="132"/>
      <c r="R727" s="132"/>
      <c r="S727" s="132"/>
      <c r="T727" s="132"/>
      <c r="U727" s="132"/>
      <c r="V727" s="132"/>
      <c r="W727" s="132"/>
      <c r="X727" s="132"/>
      <c r="Y727" s="132"/>
      <c r="Z727" s="132"/>
      <c r="AA727" s="132"/>
      <c r="AB727" s="132"/>
      <c r="AC727" s="132"/>
    </row>
    <row r="728" ht="24.75" hidden="1" customHeight="1" outlineLevel="1">
      <c r="A728" s="621">
        <v>45671.0</v>
      </c>
      <c r="B728" s="507" t="s">
        <v>38</v>
      </c>
      <c r="C728" s="507" t="s">
        <v>1233</v>
      </c>
      <c r="D728" s="601" t="s">
        <v>1180</v>
      </c>
      <c r="E728" s="573" t="s">
        <v>1235</v>
      </c>
      <c r="F728" s="175"/>
      <c r="G728" s="175"/>
      <c r="H728" s="175"/>
      <c r="I728" s="132"/>
      <c r="J728" s="132"/>
      <c r="K728" s="132"/>
      <c r="L728" s="132"/>
      <c r="M728" s="132"/>
      <c r="N728" s="132"/>
      <c r="O728" s="132"/>
      <c r="P728" s="132"/>
      <c r="Q728" s="132"/>
      <c r="R728" s="132"/>
      <c r="S728" s="132"/>
      <c r="T728" s="132"/>
      <c r="U728" s="132"/>
      <c r="V728" s="132"/>
      <c r="W728" s="132"/>
      <c r="X728" s="132"/>
      <c r="Y728" s="132"/>
      <c r="Z728" s="132"/>
      <c r="AA728" s="132"/>
      <c r="AB728" s="132"/>
      <c r="AC728" s="132"/>
    </row>
    <row r="729" ht="24.75" hidden="1" customHeight="1" outlineLevel="1">
      <c r="A729" s="621">
        <v>45671.0</v>
      </c>
      <c r="B729" s="507" t="s">
        <v>1232</v>
      </c>
      <c r="C729" s="511" t="s">
        <v>1233</v>
      </c>
      <c r="D729" s="601" t="s">
        <v>1180</v>
      </c>
      <c r="E729" s="573" t="s">
        <v>1235</v>
      </c>
      <c r="F729" s="132"/>
      <c r="G729" s="132"/>
      <c r="H729" s="132"/>
      <c r="I729" s="175"/>
      <c r="J729" s="132"/>
      <c r="K729" s="132"/>
      <c r="L729" s="132"/>
      <c r="M729" s="132"/>
      <c r="N729" s="132"/>
      <c r="O729" s="132"/>
      <c r="P729" s="132"/>
      <c r="Q729" s="132"/>
      <c r="R729" s="132"/>
      <c r="S729" s="132"/>
      <c r="T729" s="132"/>
      <c r="U729" s="132"/>
      <c r="V729" s="132"/>
      <c r="W729" s="132"/>
      <c r="X729" s="132"/>
      <c r="Y729" s="132"/>
      <c r="Z729" s="132"/>
      <c r="AA729" s="132"/>
      <c r="AB729" s="132"/>
      <c r="AC729" s="132"/>
    </row>
    <row r="730" ht="24.75" hidden="1" customHeight="1" outlineLevel="1">
      <c r="A730" s="621">
        <v>45671.0</v>
      </c>
      <c r="B730" s="507" t="s">
        <v>1254</v>
      </c>
      <c r="C730" s="511" t="s">
        <v>1412</v>
      </c>
      <c r="D730" s="601" t="s">
        <v>1180</v>
      </c>
      <c r="E730" s="573" t="s">
        <v>1235</v>
      </c>
      <c r="F730" s="132"/>
      <c r="G730" s="132"/>
      <c r="H730" s="132"/>
      <c r="I730" s="132"/>
      <c r="J730" s="132"/>
      <c r="K730" s="132"/>
      <c r="L730" s="132"/>
      <c r="M730" s="132"/>
      <c r="N730" s="132"/>
      <c r="O730" s="132"/>
      <c r="P730" s="132"/>
      <c r="Q730" s="132"/>
      <c r="R730" s="132"/>
      <c r="S730" s="132"/>
      <c r="T730" s="132"/>
      <c r="U730" s="132"/>
      <c r="V730" s="132"/>
      <c r="W730" s="132"/>
      <c r="X730" s="132"/>
      <c r="Y730" s="132"/>
      <c r="Z730" s="132"/>
      <c r="AA730" s="132"/>
      <c r="AB730" s="132"/>
      <c r="AC730" s="132"/>
    </row>
    <row r="731" ht="24.75" hidden="1" customHeight="1" outlineLevel="1">
      <c r="A731" s="621">
        <v>45671.0</v>
      </c>
      <c r="B731" s="507" t="s">
        <v>1325</v>
      </c>
      <c r="C731" s="531" t="s">
        <v>1233</v>
      </c>
      <c r="D731" s="601" t="s">
        <v>1180</v>
      </c>
      <c r="E731" s="591" t="s">
        <v>1235</v>
      </c>
      <c r="F731" s="132"/>
      <c r="G731" s="132"/>
      <c r="H731" s="132"/>
      <c r="I731" s="132"/>
      <c r="J731" s="132"/>
      <c r="K731" s="132"/>
      <c r="L731" s="132"/>
      <c r="M731" s="132"/>
      <c r="N731" s="132"/>
      <c r="O731" s="132"/>
      <c r="P731" s="132"/>
      <c r="Q731" s="132"/>
      <c r="R731" s="132"/>
      <c r="S731" s="132"/>
      <c r="T731" s="132"/>
      <c r="U731" s="132"/>
      <c r="V731" s="132"/>
      <c r="W731" s="132"/>
      <c r="X731" s="132"/>
      <c r="Y731" s="132"/>
      <c r="Z731" s="132"/>
      <c r="AA731" s="132"/>
      <c r="AB731" s="132"/>
      <c r="AC731" s="132"/>
    </row>
    <row r="732" ht="24.75" customHeight="1">
      <c r="A732" s="132"/>
      <c r="B732" s="132"/>
      <c r="C732" s="132"/>
      <c r="D732" s="132"/>
      <c r="E732" s="496"/>
      <c r="F732" s="132"/>
      <c r="G732" s="132"/>
      <c r="H732" s="132"/>
      <c r="I732" s="132"/>
      <c r="J732" s="132"/>
      <c r="K732" s="132"/>
      <c r="L732" s="132"/>
      <c r="M732" s="132"/>
      <c r="N732" s="132"/>
      <c r="O732" s="132"/>
      <c r="P732" s="132"/>
      <c r="Q732" s="132"/>
      <c r="R732" s="132"/>
      <c r="S732" s="132"/>
      <c r="T732" s="132"/>
      <c r="U732" s="132"/>
      <c r="V732" s="132"/>
      <c r="W732" s="132"/>
      <c r="X732" s="132"/>
      <c r="Y732" s="132"/>
      <c r="Z732" s="132"/>
      <c r="AA732" s="132"/>
      <c r="AB732" s="132"/>
      <c r="AC732" s="132"/>
    </row>
    <row r="733" ht="24.75" customHeight="1" collapsed="1">
      <c r="A733" s="715" t="s">
        <v>1693</v>
      </c>
      <c r="B733" s="246"/>
      <c r="C733" s="246"/>
      <c r="D733" s="246"/>
      <c r="E733" s="246"/>
      <c r="F733" s="273"/>
      <c r="G733" s="273"/>
      <c r="H733" s="273"/>
      <c r="I733" s="132"/>
      <c r="J733" s="132"/>
      <c r="K733" s="132"/>
      <c r="L733" s="132"/>
      <c r="M733" s="132"/>
      <c r="N733" s="132"/>
      <c r="O733" s="132"/>
      <c r="P733" s="132"/>
      <c r="Q733" s="132"/>
      <c r="R733" s="132"/>
      <c r="S733" s="132"/>
      <c r="T733" s="132"/>
      <c r="U733" s="132"/>
      <c r="V733" s="132"/>
      <c r="W733" s="132"/>
      <c r="X733" s="132"/>
      <c r="Y733" s="132"/>
      <c r="Z733" s="132"/>
      <c r="AA733" s="132"/>
      <c r="AB733" s="132"/>
      <c r="AC733" s="132"/>
    </row>
    <row r="734" ht="24.75" hidden="1" customHeight="1" outlineLevel="1">
      <c r="A734" s="597" t="s">
        <v>1166</v>
      </c>
      <c r="B734" s="598" t="s">
        <v>1117</v>
      </c>
      <c r="C734" s="598" t="s">
        <v>1167</v>
      </c>
      <c r="D734" s="598" t="s">
        <v>1168</v>
      </c>
      <c r="E734" s="598" t="s">
        <v>1169</v>
      </c>
      <c r="F734" s="273"/>
      <c r="G734" s="273"/>
      <c r="H734" s="273"/>
      <c r="I734" s="132"/>
      <c r="J734" s="132"/>
      <c r="K734" s="132"/>
      <c r="L734" s="132"/>
      <c r="M734" s="132"/>
      <c r="N734" s="132"/>
      <c r="O734" s="132"/>
      <c r="P734" s="132"/>
      <c r="Q734" s="132"/>
      <c r="R734" s="132"/>
      <c r="S734" s="132"/>
      <c r="T734" s="132"/>
      <c r="U734" s="132"/>
      <c r="V734" s="132"/>
      <c r="W734" s="132"/>
      <c r="X734" s="132"/>
      <c r="Y734" s="132"/>
      <c r="Z734" s="132"/>
      <c r="AA734" s="132"/>
      <c r="AB734" s="132"/>
      <c r="AC734" s="132"/>
    </row>
    <row r="735" ht="24.75" hidden="1" customHeight="1" outlineLevel="1">
      <c r="A735" s="716">
        <v>45699.0</v>
      </c>
      <c r="B735" s="717" t="s">
        <v>1232</v>
      </c>
      <c r="C735" s="718" t="s">
        <v>1233</v>
      </c>
      <c r="D735" s="719" t="s">
        <v>1414</v>
      </c>
      <c r="E735" s="720" t="s">
        <v>1235</v>
      </c>
      <c r="F735" s="175"/>
      <c r="G735" s="175"/>
      <c r="H735" s="175" t="s">
        <v>1584</v>
      </c>
      <c r="I735" s="175" t="s">
        <v>1439</v>
      </c>
      <c r="J735" s="132"/>
      <c r="K735" s="132"/>
      <c r="L735" s="132"/>
      <c r="M735" s="132"/>
      <c r="N735" s="132"/>
      <c r="O735" s="132"/>
      <c r="P735" s="132"/>
      <c r="Q735" s="132"/>
      <c r="R735" s="132"/>
      <c r="S735" s="132"/>
      <c r="T735" s="132"/>
      <c r="U735" s="132"/>
      <c r="V735" s="132"/>
      <c r="W735" s="132"/>
      <c r="X735" s="132"/>
      <c r="Y735" s="132"/>
      <c r="Z735" s="132"/>
      <c r="AA735" s="132"/>
      <c r="AB735" s="132"/>
      <c r="AC735" s="132"/>
    </row>
    <row r="736" ht="24.75" hidden="1" customHeight="1" outlineLevel="1">
      <c r="A736" s="716">
        <v>45699.0</v>
      </c>
      <c r="B736" s="717" t="s">
        <v>38</v>
      </c>
      <c r="C736" s="717" t="s">
        <v>1233</v>
      </c>
      <c r="D736" s="721" t="s">
        <v>1180</v>
      </c>
      <c r="E736" s="722" t="s">
        <v>1235</v>
      </c>
      <c r="F736" s="273"/>
      <c r="G736" s="273"/>
      <c r="H736" s="273"/>
      <c r="I736" s="132"/>
      <c r="J736" s="132"/>
      <c r="K736" s="132"/>
      <c r="L736" s="132"/>
      <c r="M736" s="132"/>
      <c r="N736" s="132"/>
      <c r="O736" s="132"/>
      <c r="P736" s="132"/>
      <c r="Q736" s="132"/>
      <c r="R736" s="132"/>
      <c r="S736" s="132"/>
      <c r="T736" s="132"/>
      <c r="U736" s="132"/>
      <c r="V736" s="132"/>
      <c r="W736" s="132"/>
      <c r="X736" s="132"/>
      <c r="Y736" s="132"/>
      <c r="Z736" s="132"/>
      <c r="AA736" s="132"/>
      <c r="AB736" s="132"/>
      <c r="AC736" s="132"/>
    </row>
    <row r="737" ht="24.75" hidden="1" customHeight="1" outlineLevel="1">
      <c r="A737" s="716">
        <v>45699.0</v>
      </c>
      <c r="B737" s="717" t="s">
        <v>1415</v>
      </c>
      <c r="C737" s="718" t="s">
        <v>1233</v>
      </c>
      <c r="D737" s="721" t="s">
        <v>1180</v>
      </c>
      <c r="E737" s="722" t="s">
        <v>1235</v>
      </c>
      <c r="F737" s="273"/>
      <c r="G737" s="273"/>
      <c r="H737" s="273"/>
      <c r="I737" s="132"/>
      <c r="J737" s="132"/>
      <c r="K737" s="132"/>
      <c r="L737" s="132"/>
      <c r="M737" s="132"/>
      <c r="N737" s="132"/>
      <c r="O737" s="132"/>
      <c r="P737" s="132"/>
      <c r="Q737" s="132"/>
      <c r="R737" s="132"/>
      <c r="S737" s="132"/>
      <c r="T737" s="132"/>
      <c r="U737" s="132"/>
      <c r="V737" s="132"/>
      <c r="W737" s="132"/>
      <c r="X737" s="132"/>
      <c r="Y737" s="132"/>
      <c r="Z737" s="132"/>
      <c r="AA737" s="132"/>
      <c r="AB737" s="132"/>
      <c r="AC737" s="132"/>
    </row>
    <row r="738" ht="24.75" hidden="1" customHeight="1" outlineLevel="1">
      <c r="A738" s="716">
        <v>45699.0</v>
      </c>
      <c r="B738" s="717" t="s">
        <v>1254</v>
      </c>
      <c r="C738" s="718" t="s">
        <v>1412</v>
      </c>
      <c r="D738" s="721" t="s">
        <v>1180</v>
      </c>
      <c r="E738" s="722" t="s">
        <v>1235</v>
      </c>
      <c r="F738" s="273"/>
      <c r="G738" s="273"/>
      <c r="H738" s="273"/>
      <c r="I738" s="132"/>
      <c r="J738" s="132"/>
      <c r="K738" s="132"/>
      <c r="L738" s="132"/>
      <c r="M738" s="132"/>
      <c r="N738" s="132"/>
      <c r="O738" s="132"/>
      <c r="P738" s="132"/>
      <c r="Q738" s="132"/>
      <c r="R738" s="132"/>
      <c r="S738" s="132"/>
      <c r="T738" s="132"/>
      <c r="U738" s="132"/>
      <c r="V738" s="132"/>
      <c r="W738" s="132"/>
      <c r="X738" s="132"/>
      <c r="Y738" s="132"/>
      <c r="Z738" s="132"/>
      <c r="AA738" s="132"/>
      <c r="AB738" s="132"/>
      <c r="AC738" s="132"/>
    </row>
    <row r="739" ht="24.75" hidden="1" customHeight="1" outlineLevel="1">
      <c r="A739" s="716">
        <v>45700.0</v>
      </c>
      <c r="B739" s="717" t="s">
        <v>1226</v>
      </c>
      <c r="C739" s="626" t="s">
        <v>1651</v>
      </c>
      <c r="D739" s="723" t="s">
        <v>1694</v>
      </c>
      <c r="E739" s="724" t="s">
        <v>1203</v>
      </c>
      <c r="F739" s="273"/>
      <c r="G739" s="273"/>
      <c r="H739" s="273"/>
      <c r="I739" s="132"/>
      <c r="J739" s="132"/>
      <c r="K739" s="132"/>
      <c r="L739" s="132"/>
      <c r="M739" s="132"/>
      <c r="N739" s="132"/>
      <c r="O739" s="132"/>
      <c r="P739" s="132"/>
      <c r="Q739" s="132"/>
      <c r="R739" s="132"/>
      <c r="S739" s="132"/>
      <c r="T739" s="132"/>
      <c r="U739" s="132"/>
      <c r="V739" s="132"/>
      <c r="W739" s="132"/>
      <c r="X739" s="132"/>
      <c r="Y739" s="132"/>
      <c r="Z739" s="132"/>
      <c r="AA739" s="132"/>
      <c r="AB739" s="132"/>
      <c r="AC739" s="132"/>
    </row>
    <row r="740" ht="24.75" hidden="1" customHeight="1" outlineLevel="1">
      <c r="A740" s="716">
        <v>45700.0</v>
      </c>
      <c r="B740" s="717" t="s">
        <v>1204</v>
      </c>
      <c r="C740" s="718" t="s">
        <v>1401</v>
      </c>
      <c r="D740" s="723" t="s">
        <v>1694</v>
      </c>
      <c r="E740" s="724" t="s">
        <v>1203</v>
      </c>
      <c r="F740" s="273"/>
      <c r="G740" s="273"/>
      <c r="H740" s="273" t="s">
        <v>1422</v>
      </c>
      <c r="I740" s="132"/>
      <c r="J740" s="132"/>
      <c r="K740" s="132"/>
      <c r="L740" s="132"/>
      <c r="M740" s="132"/>
      <c r="N740" s="132"/>
      <c r="O740" s="132"/>
      <c r="P740" s="132"/>
      <c r="Q740" s="132"/>
      <c r="R740" s="132"/>
      <c r="S740" s="132"/>
      <c r="T740" s="132"/>
      <c r="U740" s="132"/>
      <c r="V740" s="132"/>
      <c r="W740" s="132"/>
      <c r="X740" s="132"/>
      <c r="Y740" s="132"/>
      <c r="Z740" s="132"/>
      <c r="AA740" s="132"/>
      <c r="AB740" s="132"/>
      <c r="AC740" s="132"/>
    </row>
    <row r="741" ht="24.75" hidden="1" customHeight="1" outlineLevel="1">
      <c r="A741" s="716">
        <v>45700.0</v>
      </c>
      <c r="B741" s="717" t="s">
        <v>1261</v>
      </c>
      <c r="C741" s="718" t="s">
        <v>1412</v>
      </c>
      <c r="D741" s="721" t="s">
        <v>1180</v>
      </c>
      <c r="E741" s="722" t="s">
        <v>1235</v>
      </c>
      <c r="F741" s="273"/>
      <c r="G741" s="273"/>
      <c r="H741" s="273"/>
      <c r="I741" s="132"/>
      <c r="J741" s="132"/>
      <c r="K741" s="132"/>
      <c r="L741" s="132"/>
      <c r="M741" s="132"/>
      <c r="N741" s="132"/>
      <c r="O741" s="132"/>
      <c r="P741" s="132"/>
      <c r="Q741" s="132"/>
      <c r="R741" s="132"/>
      <c r="S741" s="132"/>
      <c r="T741" s="132"/>
      <c r="U741" s="132"/>
      <c r="V741" s="132"/>
      <c r="W741" s="132"/>
      <c r="X741" s="132"/>
      <c r="Y741" s="132"/>
      <c r="Z741" s="132"/>
      <c r="AA741" s="132"/>
      <c r="AB741" s="132"/>
      <c r="AC741" s="132"/>
    </row>
    <row r="742" ht="24.75" hidden="1" customHeight="1" outlineLevel="1">
      <c r="A742" s="716">
        <v>45700.0</v>
      </c>
      <c r="B742" s="723" t="s">
        <v>270</v>
      </c>
      <c r="C742" s="718"/>
      <c r="D742" s="725" t="s">
        <v>1695</v>
      </c>
      <c r="E742" s="724" t="s">
        <v>1203</v>
      </c>
      <c r="F742" s="273"/>
      <c r="G742" s="273"/>
      <c r="H742" s="273"/>
      <c r="I742" s="132"/>
      <c r="J742" s="132"/>
      <c r="K742" s="132"/>
      <c r="L742" s="132"/>
      <c r="M742" s="132"/>
      <c r="N742" s="132"/>
      <c r="O742" s="132"/>
      <c r="P742" s="132"/>
      <c r="Q742" s="132"/>
      <c r="R742" s="132"/>
      <c r="S742" s="132"/>
      <c r="T742" s="132"/>
      <c r="U742" s="132"/>
      <c r="V742" s="132"/>
      <c r="W742" s="132"/>
      <c r="X742" s="132"/>
      <c r="Y742" s="132"/>
      <c r="Z742" s="132"/>
      <c r="AA742" s="132"/>
      <c r="AB742" s="132"/>
      <c r="AC742" s="132"/>
    </row>
    <row r="743" ht="24.75" hidden="1" customHeight="1" outlineLevel="1">
      <c r="A743" s="716">
        <v>45700.0</v>
      </c>
      <c r="B743" s="717" t="s">
        <v>1198</v>
      </c>
      <c r="C743" s="718" t="s">
        <v>1233</v>
      </c>
      <c r="D743" s="726" t="s">
        <v>1257</v>
      </c>
      <c r="E743" s="722" t="s">
        <v>1235</v>
      </c>
      <c r="F743" s="246"/>
      <c r="G743" s="246"/>
      <c r="H743" s="246"/>
      <c r="I743" s="132"/>
      <c r="J743" s="132"/>
      <c r="K743" s="132"/>
      <c r="L743" s="132"/>
      <c r="M743" s="132"/>
      <c r="N743" s="132"/>
      <c r="O743" s="132"/>
      <c r="P743" s="132"/>
      <c r="Q743" s="132"/>
      <c r="R743" s="132"/>
      <c r="S743" s="132"/>
      <c r="T743" s="132"/>
      <c r="U743" s="132"/>
      <c r="V743" s="132"/>
      <c r="W743" s="132"/>
      <c r="X743" s="132"/>
      <c r="Y743" s="132"/>
      <c r="Z743" s="132"/>
      <c r="AA743" s="132"/>
      <c r="AB743" s="132"/>
      <c r="AC743" s="132"/>
    </row>
    <row r="744" ht="24.75" customHeight="1">
      <c r="A744" s="132"/>
      <c r="B744" s="132"/>
      <c r="C744" s="132"/>
      <c r="D744" s="132"/>
      <c r="E744" s="496"/>
      <c r="F744" s="132"/>
      <c r="G744" s="132"/>
      <c r="H744" s="132"/>
      <c r="I744" s="132"/>
      <c r="J744" s="132"/>
      <c r="K744" s="132"/>
      <c r="L744" s="132"/>
      <c r="M744" s="132"/>
      <c r="N744" s="132"/>
      <c r="O744" s="132"/>
      <c r="P744" s="132"/>
      <c r="Q744" s="132"/>
      <c r="R744" s="132"/>
      <c r="S744" s="132"/>
      <c r="T744" s="132"/>
      <c r="U744" s="132"/>
      <c r="V744" s="132"/>
      <c r="W744" s="132"/>
      <c r="X744" s="132"/>
      <c r="Y744" s="132"/>
      <c r="Z744" s="132"/>
      <c r="AA744" s="132"/>
      <c r="AB744" s="132"/>
      <c r="AC744" s="132"/>
    </row>
    <row r="745" ht="24.75" customHeight="1" collapsed="1">
      <c r="A745" s="175" t="s">
        <v>1696</v>
      </c>
      <c r="B745" s="132"/>
      <c r="C745" s="132"/>
      <c r="D745" s="132"/>
      <c r="E745" s="496"/>
      <c r="F745" s="132"/>
      <c r="G745" s="132"/>
      <c r="H745" s="132"/>
      <c r="I745" s="132"/>
      <c r="J745" s="132"/>
      <c r="K745" s="132"/>
      <c r="L745" s="132"/>
      <c r="M745" s="132"/>
      <c r="N745" s="132"/>
      <c r="O745" s="132"/>
      <c r="P745" s="132"/>
      <c r="Q745" s="132"/>
      <c r="R745" s="132"/>
      <c r="S745" s="132"/>
      <c r="T745" s="132"/>
      <c r="U745" s="132"/>
      <c r="V745" s="132"/>
      <c r="W745" s="132"/>
      <c r="X745" s="132"/>
      <c r="Y745" s="132"/>
      <c r="Z745" s="132"/>
      <c r="AA745" s="132"/>
      <c r="AB745" s="132"/>
      <c r="AC745" s="132"/>
    </row>
    <row r="746" ht="24.75" hidden="1" customHeight="1" outlineLevel="1">
      <c r="A746" s="597" t="s">
        <v>1166</v>
      </c>
      <c r="B746" s="598" t="s">
        <v>1117</v>
      </c>
      <c r="C746" s="598" t="s">
        <v>1167</v>
      </c>
      <c r="D746" s="598" t="s">
        <v>1168</v>
      </c>
      <c r="E746" s="598" t="s">
        <v>1169</v>
      </c>
      <c r="F746" s="132"/>
      <c r="G746" s="132"/>
      <c r="H746" s="132"/>
      <c r="I746" s="132"/>
      <c r="J746" s="132"/>
      <c r="K746" s="132"/>
      <c r="L746" s="132"/>
      <c r="M746" s="132"/>
      <c r="N746" s="132"/>
      <c r="O746" s="132"/>
      <c r="P746" s="132"/>
      <c r="Q746" s="132"/>
      <c r="R746" s="132"/>
      <c r="S746" s="132"/>
      <c r="T746" s="132"/>
      <c r="U746" s="132"/>
      <c r="V746" s="132"/>
      <c r="W746" s="132"/>
      <c r="X746" s="132"/>
      <c r="Y746" s="132"/>
      <c r="Z746" s="132"/>
      <c r="AA746" s="132"/>
      <c r="AB746" s="132"/>
      <c r="AC746" s="132"/>
    </row>
    <row r="747" ht="24.75" hidden="1" customHeight="1" outlineLevel="1">
      <c r="A747" s="607">
        <v>45712.0</v>
      </c>
      <c r="B747" s="507" t="s">
        <v>1249</v>
      </c>
      <c r="C747" s="626" t="s">
        <v>1651</v>
      </c>
      <c r="D747" s="506" t="s">
        <v>1697</v>
      </c>
      <c r="E747" s="573" t="s">
        <v>1235</v>
      </c>
      <c r="F747" s="132"/>
      <c r="G747" s="132"/>
      <c r="H747" s="132"/>
      <c r="I747" s="132"/>
      <c r="J747" s="132"/>
      <c r="K747" s="132"/>
      <c r="L747" s="132"/>
      <c r="M747" s="132"/>
      <c r="N747" s="132"/>
      <c r="O747" s="132"/>
      <c r="P747" s="132"/>
      <c r="Q747" s="132"/>
      <c r="R747" s="132"/>
      <c r="S747" s="132"/>
      <c r="T747" s="132"/>
      <c r="U747" s="132"/>
      <c r="V747" s="132"/>
      <c r="W747" s="132"/>
      <c r="X747" s="132"/>
      <c r="Y747" s="132"/>
      <c r="Z747" s="132"/>
      <c r="AA747" s="132"/>
      <c r="AB747" s="132"/>
      <c r="AC747" s="132"/>
    </row>
    <row r="748" ht="24.75" hidden="1" customHeight="1" outlineLevel="1">
      <c r="A748" s="607">
        <v>45712.0</v>
      </c>
      <c r="B748" s="507" t="s">
        <v>629</v>
      </c>
      <c r="C748" s="507" t="s">
        <v>1233</v>
      </c>
      <c r="D748" s="601" t="s">
        <v>1180</v>
      </c>
      <c r="E748" s="573" t="s">
        <v>1235</v>
      </c>
      <c r="F748" s="132"/>
      <c r="G748" s="132"/>
      <c r="H748" s="132"/>
      <c r="I748" s="132"/>
      <c r="J748" s="132"/>
      <c r="K748" s="132"/>
      <c r="L748" s="132"/>
      <c r="M748" s="132"/>
      <c r="N748" s="132"/>
      <c r="O748" s="132"/>
      <c r="P748" s="132"/>
      <c r="Q748" s="132"/>
      <c r="R748" s="132"/>
      <c r="S748" s="132"/>
      <c r="T748" s="132"/>
      <c r="U748" s="132"/>
      <c r="V748" s="132"/>
      <c r="W748" s="132"/>
      <c r="X748" s="132"/>
      <c r="Y748" s="132"/>
      <c r="Z748" s="132"/>
      <c r="AA748" s="132"/>
      <c r="AB748" s="132"/>
      <c r="AC748" s="132"/>
    </row>
    <row r="749" ht="24.75" hidden="1" customHeight="1" outlineLevel="1">
      <c r="A749" s="607">
        <v>45712.0</v>
      </c>
      <c r="B749" s="523" t="s">
        <v>1217</v>
      </c>
      <c r="C749" s="531" t="s">
        <v>1451</v>
      </c>
      <c r="D749" s="506" t="s">
        <v>1698</v>
      </c>
      <c r="E749" s="573" t="s">
        <v>1235</v>
      </c>
      <c r="F749" s="132"/>
      <c r="G749" s="132"/>
      <c r="H749" s="132"/>
      <c r="I749" s="132"/>
      <c r="J749" s="132"/>
      <c r="K749" s="132"/>
      <c r="L749" s="132"/>
      <c r="M749" s="132"/>
      <c r="N749" s="132"/>
      <c r="O749" s="132"/>
      <c r="P749" s="132"/>
      <c r="Q749" s="132"/>
      <c r="R749" s="132"/>
      <c r="S749" s="132"/>
      <c r="T749" s="132"/>
      <c r="U749" s="132"/>
      <c r="V749" s="132"/>
      <c r="W749" s="132"/>
      <c r="X749" s="132"/>
      <c r="Y749" s="132"/>
      <c r="Z749" s="132"/>
      <c r="AA749" s="132"/>
      <c r="AB749" s="132"/>
      <c r="AC749" s="132"/>
    </row>
    <row r="750" ht="24.75" hidden="1" customHeight="1" outlineLevel="1">
      <c r="A750" s="621">
        <v>45713.0</v>
      </c>
      <c r="B750" s="507" t="s">
        <v>38</v>
      </c>
      <c r="C750" s="507" t="s">
        <v>1233</v>
      </c>
      <c r="D750" s="601" t="s">
        <v>1180</v>
      </c>
      <c r="E750" s="573" t="s">
        <v>1235</v>
      </c>
      <c r="F750" s="132"/>
      <c r="G750" s="132"/>
      <c r="H750" s="132"/>
      <c r="I750" s="132"/>
      <c r="J750" s="132"/>
      <c r="K750" s="132"/>
      <c r="L750" s="132"/>
      <c r="M750" s="132"/>
      <c r="N750" s="132"/>
      <c r="O750" s="132"/>
      <c r="P750" s="132"/>
      <c r="Q750" s="132"/>
      <c r="R750" s="132"/>
      <c r="S750" s="132"/>
      <c r="T750" s="132"/>
      <c r="U750" s="132"/>
      <c r="V750" s="132"/>
      <c r="W750" s="132"/>
      <c r="X750" s="132"/>
      <c r="Y750" s="132"/>
      <c r="Z750" s="132"/>
      <c r="AA750" s="132"/>
      <c r="AB750" s="132"/>
      <c r="AC750" s="132"/>
    </row>
    <row r="751" ht="24.75" hidden="1" customHeight="1" outlineLevel="1">
      <c r="A751" s="621">
        <v>45713.0</v>
      </c>
      <c r="B751" s="507" t="s">
        <v>1232</v>
      </c>
      <c r="C751" s="511" t="s">
        <v>1233</v>
      </c>
      <c r="D751" s="601" t="s">
        <v>1180</v>
      </c>
      <c r="E751" s="573" t="s">
        <v>1235</v>
      </c>
      <c r="F751" s="132"/>
      <c r="G751" s="132"/>
      <c r="H751" s="132"/>
      <c r="I751" s="132"/>
      <c r="J751" s="132"/>
      <c r="K751" s="132"/>
      <c r="L751" s="132"/>
      <c r="M751" s="132"/>
      <c r="N751" s="132"/>
      <c r="O751" s="132"/>
      <c r="P751" s="132"/>
      <c r="Q751" s="132"/>
      <c r="R751" s="132"/>
      <c r="S751" s="132"/>
      <c r="T751" s="132"/>
      <c r="U751" s="132"/>
      <c r="V751" s="132"/>
      <c r="W751" s="132"/>
      <c r="X751" s="132"/>
      <c r="Y751" s="132"/>
      <c r="Z751" s="132"/>
      <c r="AA751" s="132"/>
      <c r="AB751" s="132"/>
      <c r="AC751" s="132"/>
    </row>
    <row r="752" ht="24.75" hidden="1" customHeight="1" outlineLevel="1">
      <c r="A752" s="621">
        <v>45713.0</v>
      </c>
      <c r="B752" s="507" t="s">
        <v>1254</v>
      </c>
      <c r="C752" s="511" t="s">
        <v>1699</v>
      </c>
      <c r="D752" s="601" t="s">
        <v>1180</v>
      </c>
      <c r="E752" s="573" t="s">
        <v>1235</v>
      </c>
      <c r="F752" s="132"/>
      <c r="G752" s="132"/>
      <c r="H752" s="132"/>
      <c r="I752" s="132"/>
      <c r="J752" s="132"/>
      <c r="K752" s="132"/>
      <c r="L752" s="132"/>
      <c r="M752" s="132"/>
      <c r="N752" s="132"/>
      <c r="O752" s="132"/>
      <c r="P752" s="132"/>
      <c r="Q752" s="132"/>
      <c r="R752" s="132"/>
      <c r="S752" s="132"/>
      <c r="T752" s="132"/>
      <c r="U752" s="132"/>
      <c r="V752" s="132"/>
      <c r="W752" s="132"/>
      <c r="X752" s="132"/>
      <c r="Y752" s="132"/>
      <c r="Z752" s="132"/>
      <c r="AA752" s="132"/>
      <c r="AB752" s="132"/>
      <c r="AC752" s="132"/>
    </row>
    <row r="753" ht="24.75" hidden="1" customHeight="1" outlineLevel="1">
      <c r="A753" s="621">
        <v>45713.0</v>
      </c>
      <c r="B753" s="507" t="s">
        <v>1325</v>
      </c>
      <c r="C753" s="531" t="s">
        <v>1233</v>
      </c>
      <c r="D753" s="601" t="s">
        <v>1180</v>
      </c>
      <c r="E753" s="591" t="s">
        <v>1235</v>
      </c>
      <c r="F753" s="132"/>
      <c r="G753" s="132"/>
      <c r="H753" s="132"/>
      <c r="I753" s="132"/>
      <c r="J753" s="132"/>
      <c r="K753" s="132"/>
      <c r="L753" s="132"/>
      <c r="M753" s="132"/>
      <c r="N753" s="132"/>
      <c r="O753" s="132"/>
      <c r="P753" s="132"/>
      <c r="Q753" s="132"/>
      <c r="R753" s="132"/>
      <c r="S753" s="132"/>
      <c r="T753" s="132"/>
      <c r="U753" s="132"/>
      <c r="V753" s="132"/>
      <c r="W753" s="132"/>
      <c r="X753" s="132"/>
      <c r="Y753" s="132"/>
      <c r="Z753" s="132"/>
      <c r="AA753" s="132"/>
      <c r="AB753" s="132"/>
      <c r="AC753" s="132"/>
    </row>
    <row r="754" ht="24.75" customHeight="1">
      <c r="A754" s="132"/>
      <c r="B754" s="132"/>
      <c r="C754" s="132"/>
      <c r="D754" s="132"/>
      <c r="E754" s="496"/>
      <c r="F754" s="132"/>
      <c r="G754" s="132"/>
      <c r="H754" s="132"/>
      <c r="I754" s="132"/>
      <c r="J754" s="132"/>
      <c r="K754" s="132"/>
      <c r="L754" s="132"/>
      <c r="M754" s="132"/>
      <c r="N754" s="132"/>
      <c r="O754" s="132"/>
      <c r="P754" s="132"/>
      <c r="Q754" s="132"/>
      <c r="R754" s="132"/>
      <c r="S754" s="132"/>
      <c r="T754" s="132"/>
      <c r="U754" s="132"/>
      <c r="V754" s="132"/>
      <c r="W754" s="132"/>
      <c r="X754" s="132"/>
      <c r="Y754" s="132"/>
      <c r="Z754" s="132"/>
      <c r="AA754" s="132"/>
      <c r="AB754" s="132"/>
      <c r="AC754" s="132"/>
    </row>
    <row r="755" ht="24.75" customHeight="1" collapsed="1">
      <c r="A755" s="175" t="s">
        <v>1700</v>
      </c>
      <c r="B755" s="132"/>
      <c r="C755" s="132"/>
      <c r="D755" s="132"/>
      <c r="E755" s="496"/>
      <c r="F755" s="132"/>
      <c r="G755" s="132"/>
      <c r="H755" s="132"/>
      <c r="I755" s="132"/>
      <c r="J755" s="132"/>
      <c r="K755" s="132"/>
      <c r="L755" s="132"/>
      <c r="M755" s="132"/>
      <c r="N755" s="132"/>
      <c r="O755" s="132"/>
      <c r="P755" s="132"/>
      <c r="Q755" s="132"/>
      <c r="R755" s="132"/>
      <c r="S755" s="132"/>
      <c r="T755" s="132"/>
      <c r="U755" s="132"/>
      <c r="V755" s="132"/>
      <c r="W755" s="132"/>
      <c r="X755" s="132"/>
      <c r="Y755" s="132"/>
      <c r="Z755" s="132"/>
      <c r="AA755" s="132"/>
      <c r="AB755" s="132"/>
      <c r="AC755" s="132"/>
    </row>
    <row r="756" ht="24.75" hidden="1" customHeight="1" outlineLevel="1">
      <c r="A756" s="597" t="s">
        <v>1166</v>
      </c>
      <c r="B756" s="598" t="s">
        <v>1117</v>
      </c>
      <c r="C756" s="598" t="s">
        <v>1167</v>
      </c>
      <c r="D756" s="598" t="s">
        <v>1168</v>
      </c>
      <c r="E756" s="598" t="s">
        <v>1169</v>
      </c>
      <c r="F756" s="175"/>
      <c r="G756" s="175"/>
      <c r="H756" s="175" t="s">
        <v>1626</v>
      </c>
      <c r="I756" s="132"/>
      <c r="J756" s="132"/>
      <c r="K756" s="132"/>
      <c r="L756" s="132"/>
      <c r="M756" s="132"/>
      <c r="N756" s="132"/>
      <c r="O756" s="132"/>
      <c r="P756" s="132"/>
      <c r="Q756" s="132"/>
      <c r="R756" s="132"/>
      <c r="S756" s="132"/>
      <c r="T756" s="132"/>
      <c r="U756" s="132"/>
      <c r="V756" s="132"/>
      <c r="W756" s="132"/>
      <c r="X756" s="132"/>
      <c r="Y756" s="132"/>
      <c r="Z756" s="132"/>
      <c r="AA756" s="132"/>
      <c r="AB756" s="132"/>
      <c r="AC756" s="132"/>
    </row>
    <row r="757" ht="24.75" hidden="1" customHeight="1" outlineLevel="1">
      <c r="A757" s="551">
        <v>45737.0</v>
      </c>
      <c r="B757" s="507" t="s">
        <v>1232</v>
      </c>
      <c r="C757" s="626" t="s">
        <v>1233</v>
      </c>
      <c r="D757" s="664" t="s">
        <v>1180</v>
      </c>
      <c r="E757" s="573" t="s">
        <v>1235</v>
      </c>
      <c r="F757" s="175"/>
      <c r="G757" s="175"/>
      <c r="H757" s="175" t="s">
        <v>1584</v>
      </c>
      <c r="I757" s="175" t="s">
        <v>1439</v>
      </c>
      <c r="K757" s="175" t="s">
        <v>1701</v>
      </c>
      <c r="L757" s="132"/>
      <c r="M757" s="132"/>
      <c r="N757" s="132"/>
      <c r="O757" s="132"/>
      <c r="P757" s="132"/>
      <c r="Q757" s="132"/>
      <c r="R757" s="132"/>
      <c r="S757" s="132"/>
      <c r="T757" s="132"/>
      <c r="U757" s="132"/>
      <c r="V757" s="132"/>
      <c r="W757" s="132"/>
      <c r="X757" s="132"/>
      <c r="Y757" s="132"/>
      <c r="Z757" s="132"/>
      <c r="AA757" s="132"/>
      <c r="AB757" s="132"/>
      <c r="AC757" s="132"/>
    </row>
    <row r="758" ht="24.75" hidden="1" customHeight="1" outlineLevel="1">
      <c r="A758" s="551">
        <v>45737.0</v>
      </c>
      <c r="B758" s="507" t="s">
        <v>38</v>
      </c>
      <c r="C758" s="507" t="s">
        <v>1233</v>
      </c>
      <c r="D758" s="664" t="s">
        <v>1180</v>
      </c>
      <c r="E758" s="573" t="s">
        <v>1235</v>
      </c>
      <c r="F758" s="175"/>
      <c r="G758" s="175"/>
      <c r="H758" s="175" t="s">
        <v>1627</v>
      </c>
      <c r="I758" s="132"/>
      <c r="J758" s="132"/>
      <c r="K758" s="132"/>
      <c r="L758" s="132"/>
      <c r="M758" s="132"/>
      <c r="N758" s="132"/>
      <c r="O758" s="132"/>
      <c r="P758" s="132"/>
      <c r="Q758" s="132"/>
      <c r="R758" s="132"/>
      <c r="S758" s="132"/>
      <c r="T758" s="132"/>
      <c r="U758" s="132"/>
      <c r="V758" s="132"/>
      <c r="W758" s="132"/>
      <c r="X758" s="132"/>
      <c r="Y758" s="132"/>
      <c r="Z758" s="132"/>
      <c r="AA758" s="132"/>
      <c r="AB758" s="132"/>
      <c r="AC758" s="132"/>
    </row>
    <row r="759" ht="24.75" hidden="1" customHeight="1" outlineLevel="1">
      <c r="A759" s="551">
        <v>45737.0</v>
      </c>
      <c r="B759" s="507" t="s">
        <v>1181</v>
      </c>
      <c r="C759" s="664" t="s">
        <v>1428</v>
      </c>
      <c r="D759" s="664" t="s">
        <v>1702</v>
      </c>
      <c r="E759" s="727" t="s">
        <v>1203</v>
      </c>
      <c r="F759" s="175"/>
      <c r="G759" s="175"/>
      <c r="H759" s="175"/>
      <c r="I759" s="175"/>
      <c r="J759" s="132"/>
      <c r="K759" s="132"/>
      <c r="L759" s="132"/>
      <c r="M759" s="132"/>
      <c r="N759" s="132"/>
      <c r="O759" s="132"/>
      <c r="P759" s="132"/>
      <c r="Q759" s="175"/>
      <c r="R759" s="498"/>
      <c r="S759" s="498"/>
      <c r="T759" s="498"/>
      <c r="U759" s="498"/>
      <c r="V759" s="498"/>
      <c r="W759" s="175"/>
      <c r="X759" s="132"/>
      <c r="Y759" s="132"/>
      <c r="Z759" s="132"/>
      <c r="AA759" s="132"/>
      <c r="AB759" s="132"/>
      <c r="AC759" s="132"/>
    </row>
    <row r="760" ht="24.75" hidden="1" customHeight="1" outlineLevel="1">
      <c r="A760" s="551">
        <v>45737.0</v>
      </c>
      <c r="B760" s="699" t="s">
        <v>167</v>
      </c>
      <c r="C760" s="700" t="s">
        <v>1233</v>
      </c>
      <c r="D760" s="626" t="s">
        <v>1180</v>
      </c>
      <c r="E760" s="573" t="s">
        <v>1235</v>
      </c>
      <c r="F760" s="497"/>
      <c r="G760" s="497"/>
      <c r="H760" s="497" t="s">
        <v>1634</v>
      </c>
      <c r="I760" s="132"/>
      <c r="J760" s="132"/>
      <c r="K760" s="132"/>
      <c r="L760" s="132"/>
      <c r="M760" s="132"/>
      <c r="N760" s="132"/>
      <c r="O760" s="132"/>
      <c r="P760" s="132"/>
      <c r="Q760" s="175"/>
      <c r="R760" s="728"/>
      <c r="S760" s="728"/>
      <c r="T760" s="728"/>
      <c r="U760" s="728"/>
      <c r="V760" s="728"/>
      <c r="W760" s="175"/>
      <c r="X760" s="132"/>
      <c r="Y760" s="132"/>
      <c r="Z760" s="132"/>
      <c r="AA760" s="132"/>
      <c r="AB760" s="132"/>
      <c r="AC760" s="132"/>
    </row>
    <row r="761" ht="24.75" hidden="1" customHeight="1" outlineLevel="1">
      <c r="A761" s="551">
        <v>45737.0</v>
      </c>
      <c r="B761" s="702" t="s">
        <v>202</v>
      </c>
      <c r="C761" s="700"/>
      <c r="D761" s="626" t="s">
        <v>1180</v>
      </c>
      <c r="E761" s="573" t="s">
        <v>1235</v>
      </c>
      <c r="F761" s="497"/>
      <c r="G761" s="497"/>
      <c r="H761" s="497" t="s">
        <v>1634</v>
      </c>
      <c r="I761" s="132"/>
      <c r="J761" s="132"/>
      <c r="K761" s="132"/>
      <c r="L761" s="132"/>
      <c r="M761" s="132"/>
      <c r="N761" s="132"/>
      <c r="O761" s="132"/>
      <c r="P761" s="132"/>
      <c r="Q761" s="175"/>
      <c r="R761" s="728"/>
      <c r="S761" s="728"/>
      <c r="T761" s="728"/>
      <c r="U761" s="728"/>
      <c r="V761" s="728"/>
      <c r="W761" s="132"/>
      <c r="X761" s="132"/>
      <c r="Y761" s="132"/>
      <c r="Z761" s="132"/>
      <c r="AA761" s="132"/>
      <c r="AB761" s="132"/>
      <c r="AC761" s="132"/>
    </row>
    <row r="762" ht="24.75" hidden="1" customHeight="1" outlineLevel="1">
      <c r="A762" s="551">
        <v>45738.0</v>
      </c>
      <c r="B762" s="507" t="s">
        <v>1209</v>
      </c>
      <c r="C762" s="626" t="s">
        <v>1233</v>
      </c>
      <c r="D762" s="626" t="s">
        <v>1180</v>
      </c>
      <c r="E762" s="573" t="s">
        <v>1235</v>
      </c>
      <c r="F762" s="175"/>
      <c r="G762" s="175"/>
      <c r="H762" s="175" t="s">
        <v>1643</v>
      </c>
      <c r="I762" s="132"/>
      <c r="J762" s="132"/>
      <c r="K762" s="132"/>
      <c r="L762" s="132"/>
      <c r="M762" s="132"/>
      <c r="N762" s="132"/>
      <c r="O762" s="132"/>
      <c r="P762" s="132"/>
      <c r="Q762" s="175"/>
      <c r="R762" s="728"/>
      <c r="S762" s="728"/>
      <c r="T762" s="728"/>
      <c r="U762" s="728"/>
      <c r="V762" s="728"/>
      <c r="W762" s="729"/>
      <c r="X762" s="132"/>
      <c r="Y762" s="132"/>
      <c r="Z762" s="132"/>
      <c r="AA762" s="132"/>
      <c r="AB762" s="132"/>
      <c r="AC762" s="132"/>
    </row>
    <row r="763" ht="24.75" hidden="1" customHeight="1" outlineLevel="1">
      <c r="A763" s="551">
        <v>45738.0</v>
      </c>
      <c r="B763" s="606" t="s">
        <v>1210</v>
      </c>
      <c r="C763" s="626" t="s">
        <v>1646</v>
      </c>
      <c r="D763" s="626" t="s">
        <v>1180</v>
      </c>
      <c r="E763" s="573" t="s">
        <v>1235</v>
      </c>
      <c r="F763" s="175"/>
      <c r="G763" s="175"/>
      <c r="H763" s="175" t="s">
        <v>1648</v>
      </c>
      <c r="I763" s="175"/>
      <c r="J763" s="132"/>
      <c r="K763" s="132"/>
      <c r="L763" s="132"/>
      <c r="M763" s="132"/>
      <c r="N763" s="132"/>
      <c r="O763" s="132"/>
      <c r="P763" s="132"/>
      <c r="Q763" s="175"/>
      <c r="R763" s="728"/>
      <c r="S763" s="728"/>
      <c r="T763" s="728"/>
      <c r="U763" s="728"/>
      <c r="V763" s="728"/>
      <c r="W763" s="175"/>
      <c r="X763" s="132"/>
      <c r="Y763" s="132"/>
      <c r="Z763" s="132"/>
      <c r="AA763" s="132"/>
      <c r="AB763" s="132"/>
      <c r="AC763" s="132"/>
    </row>
    <row r="764" ht="24.75" hidden="1" customHeight="1" outlineLevel="1">
      <c r="A764" s="551">
        <v>45738.0</v>
      </c>
      <c r="B764" s="606" t="s">
        <v>1213</v>
      </c>
      <c r="C764" s="626" t="s">
        <v>1651</v>
      </c>
      <c r="D764" s="626" t="s">
        <v>1703</v>
      </c>
      <c r="E764" s="646" t="s">
        <v>1203</v>
      </c>
      <c r="F764" s="175"/>
      <c r="G764" s="175"/>
      <c r="H764" s="175" t="s">
        <v>1652</v>
      </c>
      <c r="I764" s="132"/>
      <c r="J764" s="132"/>
      <c r="K764" s="132"/>
      <c r="L764" s="132"/>
      <c r="M764" s="132"/>
      <c r="N764" s="132"/>
      <c r="O764" s="132"/>
      <c r="P764" s="132"/>
      <c r="Q764" s="175"/>
      <c r="R764" s="728"/>
      <c r="S764" s="728"/>
      <c r="T764" s="728"/>
      <c r="U764" s="728"/>
      <c r="V764" s="728"/>
      <c r="W764" s="175"/>
      <c r="X764" s="132"/>
      <c r="Y764" s="132"/>
      <c r="Z764" s="132"/>
      <c r="AA764" s="132"/>
      <c r="AB764" s="132"/>
      <c r="AC764" s="132"/>
    </row>
    <row r="765" hidden="1" outlineLevel="1">
      <c r="A765" s="551">
        <v>45739.0</v>
      </c>
      <c r="B765" s="638" t="s">
        <v>1655</v>
      </c>
      <c r="C765" s="626" t="s">
        <v>1704</v>
      </c>
      <c r="D765" s="626" t="s">
        <v>1703</v>
      </c>
      <c r="E765" s="646" t="s">
        <v>1203</v>
      </c>
      <c r="F765" s="175"/>
      <c r="G765" s="175"/>
      <c r="H765" s="175" t="s">
        <v>1705</v>
      </c>
      <c r="I765" s="132"/>
      <c r="J765" s="132"/>
      <c r="K765" s="132"/>
      <c r="L765" s="132"/>
      <c r="M765" s="132"/>
      <c r="N765" s="132"/>
      <c r="O765" s="132"/>
      <c r="P765" s="132"/>
      <c r="Q765" s="175"/>
      <c r="R765" s="728"/>
      <c r="S765" s="728"/>
      <c r="T765" s="728"/>
      <c r="U765" s="728"/>
      <c r="V765" s="728"/>
      <c r="W765" s="175"/>
      <c r="X765" s="132"/>
      <c r="Y765" s="132"/>
      <c r="Z765" s="132"/>
      <c r="AA765" s="132"/>
      <c r="AB765" s="132"/>
      <c r="AC765" s="132"/>
    </row>
    <row r="766" ht="24.75" hidden="1" customHeight="1" outlineLevel="1">
      <c r="A766" s="551">
        <v>45739.0</v>
      </c>
      <c r="B766" s="507" t="s">
        <v>1661</v>
      </c>
      <c r="C766" s="626" t="s">
        <v>1662</v>
      </c>
      <c r="D766" s="730" t="s">
        <v>1706</v>
      </c>
      <c r="E766" s="573" t="s">
        <v>1235</v>
      </c>
      <c r="F766" s="175"/>
      <c r="G766" s="175"/>
      <c r="H766" s="175" t="s">
        <v>1707</v>
      </c>
      <c r="I766" s="132"/>
      <c r="J766" s="132"/>
      <c r="K766" s="132"/>
      <c r="L766" s="132"/>
      <c r="M766" s="132"/>
      <c r="N766" s="132"/>
      <c r="O766" s="132"/>
      <c r="P766" s="132"/>
      <c r="Q766" s="175"/>
      <c r="R766" s="728"/>
      <c r="S766" s="728"/>
      <c r="T766" s="728"/>
      <c r="U766" s="728"/>
      <c r="V766" s="728"/>
      <c r="W766" s="175"/>
      <c r="X766" s="132"/>
      <c r="Y766" s="132"/>
      <c r="Z766" s="132"/>
      <c r="AA766" s="132"/>
      <c r="AB766" s="132"/>
      <c r="AC766" s="132"/>
    </row>
    <row r="767" ht="24.75" hidden="1" customHeight="1" outlineLevel="1">
      <c r="A767" s="551">
        <v>45739.0</v>
      </c>
      <c r="B767" s="731" t="str">
        <f>HYPERLINK("https://docs.google.com/spreadsheets/d/14VRt1DzygoL3ldywdTGi4p4-5N6W0OO9Ugf6GEHXv1k/edit#gid=351252924","☆TP部メルマガ")</f>
        <v>☆TP部メルマガ</v>
      </c>
      <c r="C767" s="626" t="s">
        <v>1259</v>
      </c>
      <c r="D767" s="626" t="s">
        <v>1180</v>
      </c>
      <c r="E767" s="573" t="s">
        <v>1235</v>
      </c>
      <c r="F767" s="175"/>
      <c r="G767" s="175"/>
      <c r="H767" s="175" t="s">
        <v>1667</v>
      </c>
      <c r="I767" s="132"/>
      <c r="J767" s="132"/>
      <c r="K767" s="132"/>
      <c r="L767" s="132"/>
      <c r="M767" s="132"/>
      <c r="N767" s="132"/>
      <c r="O767" s="132"/>
      <c r="P767" s="132"/>
      <c r="Q767" s="175"/>
      <c r="W767" s="175"/>
      <c r="X767" s="132"/>
      <c r="Y767" s="132"/>
      <c r="Z767" s="132"/>
      <c r="AA767" s="132"/>
      <c r="AB767" s="132"/>
      <c r="AC767" s="132"/>
    </row>
    <row r="768" ht="24.75" hidden="1" customHeight="1" outlineLevel="1">
      <c r="A768" s="551">
        <v>45740.0</v>
      </c>
      <c r="B768" s="732" t="s">
        <v>489</v>
      </c>
      <c r="C768" s="626" t="s">
        <v>1651</v>
      </c>
      <c r="D768" s="626" t="s">
        <v>1180</v>
      </c>
      <c r="E768" s="573" t="s">
        <v>1235</v>
      </c>
      <c r="F768" s="175"/>
      <c r="G768" s="175"/>
      <c r="H768" s="175" t="s">
        <v>1667</v>
      </c>
      <c r="I768" s="132"/>
      <c r="J768" s="132"/>
      <c r="K768" s="132"/>
      <c r="L768" s="132"/>
      <c r="M768" s="132"/>
      <c r="N768" s="132"/>
      <c r="O768" s="132"/>
      <c r="P768" s="132"/>
      <c r="Q768" s="175"/>
      <c r="R768" s="132"/>
      <c r="S768" s="132"/>
      <c r="T768" s="132"/>
      <c r="U768" s="132"/>
      <c r="V768" s="132"/>
      <c r="W768" s="132"/>
      <c r="X768" s="132"/>
      <c r="Y768" s="132"/>
      <c r="Z768" s="132"/>
      <c r="AA768" s="132"/>
      <c r="AB768" s="132"/>
      <c r="AC768" s="132"/>
    </row>
    <row r="769" ht="24.75" hidden="1" customHeight="1" outlineLevel="1">
      <c r="A769" s="551">
        <v>45740.0</v>
      </c>
      <c r="B769" s="732" t="s">
        <v>450</v>
      </c>
      <c r="C769" s="626" t="s">
        <v>1259</v>
      </c>
      <c r="D769" s="626" t="s">
        <v>1180</v>
      </c>
      <c r="E769" s="573" t="s">
        <v>1235</v>
      </c>
      <c r="F769" s="175"/>
      <c r="G769" s="175"/>
      <c r="H769" s="175" t="s">
        <v>1671</v>
      </c>
      <c r="I769" s="175"/>
      <c r="J769" s="132"/>
      <c r="K769" s="132"/>
      <c r="L769" s="132"/>
      <c r="M769" s="132"/>
      <c r="N769" s="132"/>
      <c r="O769" s="132"/>
      <c r="P769" s="132"/>
      <c r="Q769" s="132"/>
      <c r="R769" s="132"/>
      <c r="S769" s="132"/>
      <c r="T769" s="132"/>
      <c r="U769" s="132"/>
      <c r="V769" s="132"/>
      <c r="W769" s="132"/>
      <c r="X769" s="132"/>
      <c r="Y769" s="132"/>
      <c r="Z769" s="132"/>
      <c r="AA769" s="132"/>
      <c r="AB769" s="132"/>
      <c r="AC769" s="132"/>
    </row>
    <row r="770" ht="24.75" hidden="1" customHeight="1" outlineLevel="1">
      <c r="A770" s="551">
        <v>45740.0</v>
      </c>
      <c r="B770" s="507" t="s">
        <v>629</v>
      </c>
      <c r="C770" s="507" t="s">
        <v>1233</v>
      </c>
      <c r="D770" s="626" t="s">
        <v>1180</v>
      </c>
      <c r="E770" s="573" t="s">
        <v>1235</v>
      </c>
      <c r="F770" s="175"/>
      <c r="G770" s="175"/>
      <c r="H770" s="175" t="s">
        <v>1672</v>
      </c>
      <c r="I770" s="132"/>
      <c r="J770" s="132"/>
      <c r="K770" s="132"/>
      <c r="L770" s="132"/>
      <c r="M770" s="132"/>
      <c r="N770" s="132"/>
      <c r="O770" s="132"/>
      <c r="P770" s="132"/>
      <c r="Q770" s="132"/>
      <c r="R770" s="132"/>
      <c r="S770" s="132"/>
      <c r="T770" s="132"/>
      <c r="U770" s="132"/>
      <c r="V770" s="132"/>
      <c r="W770" s="132"/>
      <c r="X770" s="132"/>
      <c r="Y770" s="132"/>
      <c r="Z770" s="132"/>
      <c r="AA770" s="132"/>
      <c r="AB770" s="132"/>
      <c r="AC770" s="132"/>
    </row>
    <row r="771" ht="24.75" hidden="1" customHeight="1" outlineLevel="1">
      <c r="A771" s="551">
        <v>45740.0</v>
      </c>
      <c r="B771" s="507" t="s">
        <v>1271</v>
      </c>
      <c r="C771" s="531" t="s">
        <v>1673</v>
      </c>
      <c r="D771" s="626" t="s">
        <v>1708</v>
      </c>
      <c r="E771" s="727" t="s">
        <v>1203</v>
      </c>
      <c r="F771" s="175"/>
      <c r="G771" s="175"/>
      <c r="H771" s="175" t="s">
        <v>1674</v>
      </c>
      <c r="I771" s="175" t="s">
        <v>1675</v>
      </c>
      <c r="J771" s="132"/>
      <c r="K771" s="132"/>
      <c r="L771" s="132"/>
      <c r="M771" s="132"/>
      <c r="N771" s="132"/>
      <c r="O771" s="132"/>
      <c r="P771" s="132"/>
      <c r="Q771" s="132"/>
      <c r="R771" s="132"/>
      <c r="S771" s="132"/>
      <c r="T771" s="132"/>
      <c r="U771" s="132"/>
      <c r="V771" s="132"/>
      <c r="W771" s="132"/>
      <c r="X771" s="132"/>
      <c r="Y771" s="132"/>
      <c r="Z771" s="132"/>
      <c r="AA771" s="132"/>
      <c r="AB771" s="132"/>
      <c r="AC771" s="132"/>
    </row>
    <row r="772" ht="24.75" hidden="1" customHeight="1" outlineLevel="1">
      <c r="A772" s="551">
        <v>45740.0</v>
      </c>
      <c r="B772" s="507" t="s">
        <v>1274</v>
      </c>
      <c r="C772" s="531" t="s">
        <v>1673</v>
      </c>
      <c r="D772" s="626" t="s">
        <v>1708</v>
      </c>
      <c r="E772" s="727" t="s">
        <v>1203</v>
      </c>
      <c r="F772" s="175"/>
      <c r="G772" s="175"/>
      <c r="H772" s="175" t="s">
        <v>1674</v>
      </c>
      <c r="I772" s="175" t="s">
        <v>1709</v>
      </c>
      <c r="J772" s="132"/>
      <c r="K772" s="132"/>
      <c r="L772" s="132"/>
      <c r="M772" s="132"/>
      <c r="N772" s="132"/>
      <c r="O772" s="132"/>
      <c r="P772" s="132"/>
      <c r="Q772" s="132"/>
      <c r="R772" s="132"/>
      <c r="S772" s="132"/>
      <c r="T772" s="132"/>
      <c r="U772" s="132"/>
      <c r="V772" s="132"/>
      <c r="W772" s="132"/>
      <c r="X772" s="132"/>
      <c r="Y772" s="132"/>
      <c r="Z772" s="132"/>
      <c r="AA772" s="132"/>
      <c r="AB772" s="132"/>
      <c r="AC772" s="132"/>
    </row>
    <row r="773" ht="24.75" customHeight="1">
      <c r="A773" s="132"/>
      <c r="B773" s="132"/>
      <c r="C773" s="132"/>
      <c r="D773" s="132"/>
      <c r="E773" s="496"/>
      <c r="F773" s="132"/>
      <c r="G773" s="132"/>
      <c r="H773" s="132"/>
      <c r="I773" s="132"/>
      <c r="J773" s="132"/>
      <c r="K773" s="132"/>
      <c r="L773" s="132"/>
      <c r="M773" s="132"/>
      <c r="N773" s="132"/>
      <c r="O773" s="132"/>
      <c r="P773" s="132"/>
      <c r="Q773" s="132"/>
      <c r="R773" s="132"/>
      <c r="S773" s="132"/>
      <c r="T773" s="132"/>
      <c r="U773" s="132"/>
      <c r="V773" s="132"/>
      <c r="W773" s="132"/>
      <c r="X773" s="132"/>
      <c r="Y773" s="132"/>
      <c r="Z773" s="132"/>
      <c r="AA773" s="132"/>
      <c r="AB773" s="132"/>
      <c r="AC773" s="132"/>
    </row>
    <row r="774" ht="24.75" customHeight="1">
      <c r="A774" s="175" t="s">
        <v>1710</v>
      </c>
      <c r="B774" s="132"/>
      <c r="C774" s="132"/>
      <c r="D774" s="132"/>
      <c r="E774" s="496"/>
      <c r="F774" s="132"/>
      <c r="G774" s="132"/>
      <c r="H774" s="132"/>
      <c r="I774" s="132"/>
      <c r="J774" s="132"/>
      <c r="K774" s="132"/>
      <c r="L774" s="132"/>
      <c r="M774" s="132"/>
      <c r="N774" s="132"/>
      <c r="O774" s="132"/>
      <c r="P774" s="132"/>
      <c r="Q774" s="132"/>
      <c r="R774" s="132"/>
      <c r="S774" s="132"/>
      <c r="T774" s="132"/>
      <c r="U774" s="132"/>
      <c r="V774" s="132"/>
      <c r="W774" s="132"/>
      <c r="X774" s="132"/>
      <c r="Y774" s="132"/>
      <c r="Z774" s="132"/>
      <c r="AA774" s="132"/>
      <c r="AB774" s="132"/>
      <c r="AC774" s="132"/>
    </row>
    <row r="775" ht="24.75" customHeight="1" outlineLevel="1">
      <c r="A775" s="597" t="s">
        <v>1166</v>
      </c>
      <c r="B775" s="598" t="s">
        <v>1117</v>
      </c>
      <c r="C775" s="598" t="s">
        <v>1167</v>
      </c>
      <c r="D775" s="598" t="s">
        <v>1168</v>
      </c>
      <c r="E775" s="639" t="s">
        <v>1546</v>
      </c>
      <c r="F775" s="175"/>
      <c r="G775" s="175"/>
      <c r="H775" s="175"/>
      <c r="I775" s="132"/>
      <c r="J775" s="132"/>
      <c r="K775" s="132"/>
      <c r="L775" s="132"/>
      <c r="M775" s="132"/>
      <c r="N775" s="132"/>
      <c r="O775" s="132"/>
      <c r="P775" s="132"/>
      <c r="Q775" s="132"/>
      <c r="R775" s="132"/>
      <c r="S775" s="132"/>
      <c r="T775" s="132"/>
      <c r="U775" s="132"/>
      <c r="V775" s="132"/>
      <c r="W775" s="132"/>
      <c r="X775" s="132"/>
      <c r="Y775" s="132"/>
      <c r="Z775" s="132"/>
      <c r="AA775" s="132"/>
      <c r="AB775" s="132"/>
      <c r="AC775" s="132"/>
    </row>
    <row r="776" ht="24.75" customHeight="1" outlineLevel="1">
      <c r="A776" s="551">
        <v>45776.0</v>
      </c>
      <c r="B776" s="547" t="s">
        <v>38</v>
      </c>
      <c r="C776" s="626" t="s">
        <v>1233</v>
      </c>
      <c r="D776" s="626" t="s">
        <v>1180</v>
      </c>
      <c r="E776" s="733" t="s">
        <v>1235</v>
      </c>
      <c r="F776" s="175"/>
      <c r="G776" s="175"/>
      <c r="H776" s="175"/>
      <c r="I776" s="175"/>
      <c r="J776" s="132"/>
      <c r="K776" s="132"/>
      <c r="L776" s="132"/>
      <c r="M776" s="132"/>
      <c r="N776" s="132"/>
      <c r="O776" s="132"/>
      <c r="P776" s="132"/>
      <c r="Q776" s="132"/>
      <c r="R776" s="132"/>
      <c r="S776" s="132"/>
      <c r="T776" s="132"/>
      <c r="U776" s="132"/>
      <c r="V776" s="132"/>
      <c r="W776" s="132"/>
      <c r="X776" s="132"/>
      <c r="Y776" s="132"/>
      <c r="Z776" s="132"/>
      <c r="AA776" s="132"/>
      <c r="AB776" s="132"/>
      <c r="AC776" s="132"/>
    </row>
    <row r="777" ht="24.75" customHeight="1" outlineLevel="1">
      <c r="A777" s="551">
        <v>45776.0</v>
      </c>
      <c r="B777" s="507" t="s">
        <v>1232</v>
      </c>
      <c r="C777" s="626" t="s">
        <v>1233</v>
      </c>
      <c r="D777" s="734" t="s">
        <v>1711</v>
      </c>
      <c r="E777" s="545" t="s">
        <v>1235</v>
      </c>
      <c r="F777" s="175"/>
      <c r="G777" s="175"/>
      <c r="H777" s="175" t="s">
        <v>1584</v>
      </c>
      <c r="I777" s="175" t="s">
        <v>1439</v>
      </c>
      <c r="J777" s="132"/>
      <c r="K777" s="132"/>
      <c r="L777" s="132"/>
      <c r="M777" s="132"/>
      <c r="N777" s="132"/>
      <c r="O777" s="132"/>
      <c r="P777" s="132"/>
      <c r="Q777" s="132"/>
      <c r="R777" s="132"/>
      <c r="S777" s="132"/>
      <c r="T777" s="132"/>
      <c r="U777" s="132"/>
      <c r="V777" s="132"/>
      <c r="W777" s="132"/>
      <c r="X777" s="132"/>
      <c r="Y777" s="132"/>
      <c r="Z777" s="132"/>
      <c r="AA777" s="132"/>
      <c r="AB777" s="132"/>
      <c r="AC777" s="132"/>
    </row>
    <row r="778" ht="24.75" customHeight="1" outlineLevel="1">
      <c r="A778" s="551">
        <v>45776.0</v>
      </c>
      <c r="B778" s="507" t="s">
        <v>1325</v>
      </c>
      <c r="C778" s="531" t="s">
        <v>1233</v>
      </c>
      <c r="D778" s="626" t="s">
        <v>1180</v>
      </c>
      <c r="E778" s="545" t="s">
        <v>1235</v>
      </c>
      <c r="F778" s="175"/>
      <c r="G778" s="175"/>
      <c r="H778" s="175"/>
      <c r="I778" s="132"/>
      <c r="J778" s="132"/>
      <c r="K778" s="132"/>
      <c r="L778" s="132"/>
      <c r="M778" s="132"/>
      <c r="N778" s="132"/>
      <c r="O778" s="132"/>
      <c r="P778" s="132"/>
      <c r="Q778" s="132"/>
      <c r="R778" s="132"/>
      <c r="S778" s="132"/>
      <c r="T778" s="132"/>
      <c r="U778" s="132"/>
      <c r="V778" s="132"/>
      <c r="W778" s="132"/>
      <c r="X778" s="132"/>
      <c r="Y778" s="132"/>
      <c r="Z778" s="132"/>
      <c r="AA778" s="132"/>
      <c r="AB778" s="132"/>
      <c r="AC778" s="132"/>
    </row>
    <row r="779" ht="24.75" customHeight="1" outlineLevel="1">
      <c r="A779" s="551">
        <v>45776.0</v>
      </c>
      <c r="B779" s="735" t="s">
        <v>1254</v>
      </c>
      <c r="C779" s="736" t="s">
        <v>1712</v>
      </c>
      <c r="D779" s="736" t="s">
        <v>1180</v>
      </c>
      <c r="E779" s="545" t="s">
        <v>1235</v>
      </c>
      <c r="F779" s="175"/>
      <c r="G779" s="175"/>
      <c r="H779" s="175" t="s">
        <v>1713</v>
      </c>
      <c r="I779" s="132"/>
      <c r="J779" s="132"/>
      <c r="K779" s="132"/>
      <c r="L779" s="132"/>
      <c r="M779" s="132"/>
      <c r="N779" s="132"/>
      <c r="O779" s="132"/>
      <c r="P779" s="132"/>
      <c r="Q779" s="132"/>
      <c r="R779" s="132"/>
      <c r="S779" s="132"/>
      <c r="T779" s="132"/>
      <c r="U779" s="132"/>
      <c r="V779" s="132"/>
      <c r="W779" s="132"/>
      <c r="X779" s="132"/>
      <c r="Y779" s="132"/>
      <c r="Z779" s="132"/>
      <c r="AA779" s="132"/>
      <c r="AB779" s="132"/>
      <c r="AC779" s="132"/>
    </row>
    <row r="780" ht="24.75" customHeight="1" outlineLevel="1">
      <c r="A780" s="551">
        <v>45777.0</v>
      </c>
      <c r="B780" s="735" t="s">
        <v>1198</v>
      </c>
      <c r="C780" s="736" t="s">
        <v>1233</v>
      </c>
      <c r="D780" s="737" t="s">
        <v>1257</v>
      </c>
      <c r="E780" s="545" t="s">
        <v>1235</v>
      </c>
      <c r="F780" s="132"/>
      <c r="G780" s="132"/>
      <c r="H780" s="132"/>
      <c r="I780" s="132"/>
      <c r="J780" s="132"/>
      <c r="K780" s="132"/>
      <c r="L780" s="132"/>
      <c r="M780" s="132"/>
      <c r="N780" s="132"/>
      <c r="O780" s="132"/>
      <c r="P780" s="132"/>
      <c r="Q780" s="132"/>
      <c r="R780" s="132"/>
      <c r="S780" s="132"/>
      <c r="T780" s="132"/>
      <c r="U780" s="132"/>
      <c r="V780" s="132"/>
      <c r="W780" s="132"/>
      <c r="X780" s="132"/>
      <c r="Y780" s="132"/>
      <c r="Z780" s="132"/>
      <c r="AA780" s="132"/>
      <c r="AB780" s="132"/>
      <c r="AC780" s="132"/>
    </row>
    <row r="781" ht="24.75" customHeight="1" outlineLevel="1">
      <c r="A781" s="551">
        <v>45777.0</v>
      </c>
      <c r="B781" s="738" t="s">
        <v>1226</v>
      </c>
      <c r="C781" s="736" t="s">
        <v>1651</v>
      </c>
      <c r="D781" s="739" t="s">
        <v>1714</v>
      </c>
      <c r="E781" s="573" t="s">
        <v>1562</v>
      </c>
      <c r="F781" s="175"/>
      <c r="G781" s="175"/>
      <c r="H781" s="175" t="s">
        <v>1682</v>
      </c>
      <c r="I781" s="132"/>
      <c r="J781" s="132"/>
      <c r="K781" s="132"/>
      <c r="L781" s="132"/>
      <c r="M781" s="132"/>
      <c r="N781" s="132"/>
      <c r="O781" s="132"/>
      <c r="P781" s="132"/>
      <c r="Q781" s="132"/>
      <c r="R781" s="132"/>
      <c r="S781" s="132"/>
      <c r="T781" s="132"/>
      <c r="U781" s="132"/>
      <c r="V781" s="132"/>
      <c r="W781" s="132"/>
      <c r="X781" s="132"/>
      <c r="Y781" s="132"/>
      <c r="Z781" s="132"/>
      <c r="AA781" s="132"/>
      <c r="AB781" s="132"/>
      <c r="AC781" s="132"/>
    </row>
    <row r="782" ht="24.75" customHeight="1" outlineLevel="1">
      <c r="A782" s="551">
        <v>45777.0</v>
      </c>
      <c r="B782" s="735" t="s">
        <v>1204</v>
      </c>
      <c r="C782" s="740" t="s">
        <v>1715</v>
      </c>
      <c r="D782" s="739" t="s">
        <v>1716</v>
      </c>
      <c r="E782" s="573" t="s">
        <v>1562</v>
      </c>
      <c r="F782" s="596"/>
      <c r="G782" s="596"/>
      <c r="H782" s="596" t="s">
        <v>1685</v>
      </c>
      <c r="I782" s="175"/>
      <c r="J782" s="132"/>
      <c r="K782" s="132"/>
      <c r="L782" s="132"/>
      <c r="M782" s="132"/>
      <c r="N782" s="132"/>
      <c r="O782" s="132"/>
      <c r="P782" s="132"/>
      <c r="Q782" s="132"/>
      <c r="R782" s="132"/>
      <c r="S782" s="132"/>
      <c r="T782" s="132"/>
      <c r="U782" s="132"/>
      <c r="V782" s="132"/>
      <c r="W782" s="132"/>
      <c r="X782" s="132"/>
      <c r="Y782" s="132"/>
      <c r="Z782" s="132"/>
      <c r="AA782" s="132"/>
      <c r="AB782" s="132"/>
      <c r="AC782" s="132"/>
    </row>
    <row r="783" ht="24.75" customHeight="1" outlineLevel="1">
      <c r="A783" s="551">
        <v>45777.0</v>
      </c>
      <c r="B783" s="735" t="s">
        <v>1261</v>
      </c>
      <c r="C783" s="736" t="s">
        <v>1712</v>
      </c>
      <c r="D783" s="736" t="s">
        <v>1180</v>
      </c>
      <c r="E783" s="569" t="s">
        <v>1235</v>
      </c>
      <c r="F783" s="175"/>
      <c r="G783" s="175"/>
      <c r="H783" s="175" t="s">
        <v>1713</v>
      </c>
      <c r="I783" s="132"/>
      <c r="J783" s="132"/>
      <c r="K783" s="132"/>
      <c r="L783" s="132"/>
      <c r="M783" s="132"/>
      <c r="N783" s="132"/>
      <c r="O783" s="132"/>
      <c r="P783" s="132"/>
      <c r="Q783" s="132"/>
      <c r="R783" s="132"/>
      <c r="S783" s="132"/>
      <c r="T783" s="132"/>
      <c r="U783" s="132"/>
      <c r="V783" s="132"/>
      <c r="W783" s="132"/>
      <c r="X783" s="132"/>
      <c r="Y783" s="132"/>
      <c r="Z783" s="132"/>
      <c r="AA783" s="132"/>
      <c r="AB783" s="132"/>
      <c r="AC783" s="132"/>
    </row>
    <row r="784" ht="24.75" customHeight="1" outlineLevel="1">
      <c r="A784" s="551">
        <v>45777.0</v>
      </c>
      <c r="B784" s="741" t="s">
        <v>270</v>
      </c>
      <c r="C784" s="740" t="s">
        <v>1717</v>
      </c>
      <c r="D784" s="742" t="s">
        <v>1718</v>
      </c>
      <c r="E784" s="573" t="s">
        <v>1562</v>
      </c>
      <c r="F784" s="175"/>
      <c r="G784" s="175"/>
      <c r="H784" s="175" t="s">
        <v>1719</v>
      </c>
      <c r="I784" s="132"/>
      <c r="J784" s="132"/>
      <c r="K784" s="132"/>
      <c r="L784" s="132"/>
      <c r="M784" s="132"/>
      <c r="N784" s="132"/>
      <c r="O784" s="132"/>
      <c r="P784" s="132"/>
      <c r="Q784" s="132"/>
      <c r="R784" s="132"/>
      <c r="S784" s="132"/>
      <c r="T784" s="132"/>
      <c r="U784" s="132"/>
      <c r="V784" s="132"/>
      <c r="W784" s="132"/>
      <c r="X784" s="132"/>
      <c r="Y784" s="132"/>
      <c r="Z784" s="132"/>
      <c r="AA784" s="132"/>
      <c r="AB784" s="132"/>
      <c r="AC784" s="132"/>
    </row>
    <row r="785" ht="24.75" customHeight="1" outlineLevel="1">
      <c r="A785" s="551">
        <v>45778.0</v>
      </c>
      <c r="B785" s="743" t="s">
        <v>1537</v>
      </c>
      <c r="C785" s="736" t="s">
        <v>1259</v>
      </c>
      <c r="D785" s="744" t="s">
        <v>1720</v>
      </c>
      <c r="E785" s="573" t="s">
        <v>1562</v>
      </c>
      <c r="F785" s="175"/>
      <c r="G785" s="175"/>
      <c r="H785" s="175" t="s">
        <v>1682</v>
      </c>
      <c r="I785" s="132"/>
      <c r="J785" s="132"/>
      <c r="K785" s="132"/>
      <c r="L785" s="132"/>
      <c r="M785" s="132"/>
      <c r="N785" s="132"/>
      <c r="O785" s="132"/>
      <c r="P785" s="132"/>
      <c r="Q785" s="132"/>
      <c r="R785" s="132"/>
      <c r="S785" s="132"/>
      <c r="T785" s="132"/>
      <c r="U785" s="132"/>
      <c r="V785" s="132"/>
      <c r="W785" s="132"/>
      <c r="X785" s="132"/>
      <c r="Y785" s="132"/>
      <c r="Z785" s="132"/>
      <c r="AA785" s="132"/>
      <c r="AB785" s="132"/>
      <c r="AC785" s="132"/>
    </row>
    <row r="786" ht="14.25" customHeight="1" outlineLevel="1">
      <c r="A786" s="745" t="s">
        <v>1721</v>
      </c>
      <c r="B786" s="746"/>
      <c r="C786" s="747"/>
      <c r="D786" s="747"/>
      <c r="E786" s="498"/>
      <c r="F786" s="175"/>
      <c r="G786" s="175"/>
      <c r="H786" s="175"/>
      <c r="I786" s="132"/>
      <c r="J786" s="132"/>
      <c r="K786" s="132"/>
      <c r="L786" s="132"/>
      <c r="M786" s="132"/>
      <c r="N786" s="132"/>
      <c r="O786" s="132"/>
      <c r="P786" s="132"/>
      <c r="Q786" s="132"/>
      <c r="R786" s="132"/>
      <c r="S786" s="132"/>
      <c r="T786" s="132"/>
      <c r="U786" s="132"/>
      <c r="V786" s="132"/>
      <c r="W786" s="132"/>
      <c r="X786" s="132"/>
      <c r="Y786" s="132"/>
      <c r="Z786" s="132"/>
      <c r="AA786" s="132"/>
      <c r="AB786" s="132"/>
      <c r="AC786" s="132"/>
    </row>
    <row r="787" ht="24.75" customHeight="1" outlineLevel="1">
      <c r="A787" s="551">
        <v>45780.0</v>
      </c>
      <c r="B787" s="735" t="s">
        <v>1209</v>
      </c>
      <c r="C787" s="736" t="s">
        <v>1233</v>
      </c>
      <c r="D787" s="736" t="s">
        <v>1180</v>
      </c>
      <c r="E787" s="569" t="s">
        <v>1235</v>
      </c>
      <c r="F787" s="175"/>
      <c r="G787" s="175"/>
      <c r="H787" s="175" t="s">
        <v>1643</v>
      </c>
      <c r="I787" s="132"/>
      <c r="J787" s="132"/>
      <c r="K787" s="132"/>
      <c r="L787" s="132"/>
      <c r="M787" s="132"/>
      <c r="N787" s="132"/>
      <c r="O787" s="132"/>
      <c r="P787" s="132"/>
      <c r="Q787" s="132"/>
      <c r="R787" s="132"/>
      <c r="S787" s="132"/>
      <c r="T787" s="132"/>
      <c r="U787" s="132"/>
      <c r="V787" s="132"/>
      <c r="W787" s="132"/>
      <c r="X787" s="132"/>
      <c r="Y787" s="132"/>
      <c r="Z787" s="132"/>
      <c r="AA787" s="132"/>
      <c r="AB787" s="132"/>
      <c r="AC787" s="132"/>
    </row>
    <row r="788" outlineLevel="1">
      <c r="A788" s="551">
        <v>45780.0</v>
      </c>
      <c r="B788" s="748" t="s">
        <v>1210</v>
      </c>
      <c r="C788" s="736" t="s">
        <v>1722</v>
      </c>
      <c r="D788" s="736" t="s">
        <v>1180</v>
      </c>
      <c r="E788" s="569" t="s">
        <v>1235</v>
      </c>
      <c r="F788" s="175"/>
      <c r="G788" s="175"/>
      <c r="H788" s="175" t="s">
        <v>1648</v>
      </c>
      <c r="I788" s="175"/>
      <c r="J788" s="132"/>
      <c r="K788" s="132"/>
      <c r="L788" s="132"/>
      <c r="M788" s="132"/>
      <c r="N788" s="132"/>
      <c r="O788" s="132"/>
      <c r="P788" s="132"/>
      <c r="Q788" s="132"/>
      <c r="R788" s="132"/>
      <c r="S788" s="132"/>
      <c r="T788" s="132"/>
      <c r="U788" s="132"/>
      <c r="V788" s="132"/>
      <c r="W788" s="132"/>
      <c r="X788" s="132"/>
      <c r="Y788" s="132"/>
      <c r="Z788" s="132"/>
      <c r="AA788" s="132"/>
      <c r="AB788" s="132"/>
      <c r="AC788" s="132"/>
    </row>
    <row r="789" ht="24.75" customHeight="1" outlineLevel="1">
      <c r="A789" s="551">
        <v>45780.0</v>
      </c>
      <c r="B789" s="748" t="s">
        <v>1213</v>
      </c>
      <c r="C789" s="736" t="s">
        <v>1651</v>
      </c>
      <c r="D789" s="736" t="s">
        <v>1723</v>
      </c>
      <c r="E789" s="573" t="s">
        <v>1562</v>
      </c>
      <c r="F789" s="175"/>
      <c r="G789" s="175"/>
      <c r="H789" s="175" t="s">
        <v>1652</v>
      </c>
      <c r="I789" s="132"/>
      <c r="J789" s="132"/>
      <c r="K789" s="132"/>
      <c r="L789" s="132"/>
      <c r="M789" s="132"/>
      <c r="N789" s="132"/>
      <c r="O789" s="132"/>
      <c r="P789" s="132"/>
      <c r="Q789" s="132"/>
      <c r="R789" s="132"/>
      <c r="S789" s="132"/>
      <c r="T789" s="132"/>
      <c r="U789" s="132"/>
      <c r="V789" s="132"/>
      <c r="W789" s="132"/>
      <c r="X789" s="132"/>
      <c r="Y789" s="132"/>
      <c r="Z789" s="132"/>
      <c r="AA789" s="132"/>
      <c r="AB789" s="132"/>
      <c r="AC789" s="132"/>
    </row>
    <row r="790" ht="24.75" customHeight="1" outlineLevel="1">
      <c r="A790" s="551">
        <v>45781.0</v>
      </c>
      <c r="B790" s="749" t="s">
        <v>1655</v>
      </c>
      <c r="C790" s="736" t="s">
        <v>1712</v>
      </c>
      <c r="D790" s="736" t="s">
        <v>1180</v>
      </c>
      <c r="E790" s="569" t="s">
        <v>1235</v>
      </c>
      <c r="F790" s="175"/>
      <c r="G790" s="175"/>
      <c r="H790" s="175" t="s">
        <v>1652</v>
      </c>
      <c r="I790" s="132"/>
      <c r="J790" s="132"/>
      <c r="K790" s="132"/>
      <c r="L790" s="132"/>
      <c r="M790" s="132"/>
      <c r="N790" s="132"/>
      <c r="O790" s="132"/>
      <c r="P790" s="132"/>
      <c r="Q790" s="132"/>
      <c r="R790" s="132"/>
      <c r="S790" s="132"/>
      <c r="T790" s="132"/>
      <c r="U790" s="132"/>
      <c r="V790" s="132"/>
      <c r="W790" s="132"/>
      <c r="X790" s="132"/>
      <c r="Y790" s="132"/>
      <c r="Z790" s="132"/>
      <c r="AA790" s="132"/>
      <c r="AB790" s="132"/>
      <c r="AC790" s="132"/>
    </row>
    <row r="791" ht="24.75" customHeight="1" outlineLevel="1">
      <c r="A791" s="551">
        <v>45781.0</v>
      </c>
      <c r="B791" s="750" t="s">
        <v>1661</v>
      </c>
      <c r="C791" s="751" t="s">
        <v>1662</v>
      </c>
      <c r="D791" s="751" t="s">
        <v>1663</v>
      </c>
      <c r="E791" s="708" t="s">
        <v>1221</v>
      </c>
      <c r="F791" s="175"/>
      <c r="G791" s="175"/>
      <c r="H791" s="175"/>
      <c r="I791" s="132"/>
      <c r="J791" s="132"/>
      <c r="K791" s="132"/>
      <c r="L791" s="132"/>
      <c r="M791" s="132"/>
      <c r="N791" s="132"/>
      <c r="O791" s="132"/>
      <c r="P791" s="132"/>
      <c r="Q791" s="132"/>
      <c r="R791" s="132"/>
      <c r="S791" s="132"/>
      <c r="T791" s="132"/>
      <c r="U791" s="132"/>
      <c r="V791" s="132"/>
      <c r="W791" s="132"/>
      <c r="X791" s="132"/>
      <c r="Y791" s="132"/>
      <c r="Z791" s="132"/>
      <c r="AA791" s="132"/>
      <c r="AB791" s="132"/>
      <c r="AC791" s="132"/>
    </row>
    <row r="792" ht="24.75" customHeight="1" outlineLevel="1">
      <c r="A792" s="551">
        <v>45781.0</v>
      </c>
      <c r="B792" s="752" t="str">
        <f>HYPERLINK("https://docs.google.com/spreadsheets/d/14VRt1DzygoL3ldywdTGi4p4-5N6W0OO9Ugf6GEHXv1k/edit#gid=351252924","☆TP部メルマガ")</f>
        <v>☆TP部メルマガ</v>
      </c>
      <c r="C792" s="736" t="s">
        <v>1259</v>
      </c>
      <c r="D792" s="736" t="s">
        <v>1180</v>
      </c>
      <c r="E792" s="569" t="s">
        <v>1235</v>
      </c>
      <c r="F792" s="175"/>
      <c r="G792" s="175"/>
      <c r="H792" s="175" t="s">
        <v>1667</v>
      </c>
      <c r="I792" s="132"/>
      <c r="J792" s="132"/>
      <c r="K792" s="132"/>
      <c r="L792" s="132"/>
      <c r="M792" s="132"/>
      <c r="N792" s="132"/>
      <c r="O792" s="132"/>
      <c r="P792" s="132"/>
      <c r="Q792" s="132"/>
      <c r="R792" s="132"/>
      <c r="S792" s="132"/>
      <c r="T792" s="132"/>
      <c r="U792" s="132"/>
      <c r="V792" s="132"/>
      <c r="W792" s="132"/>
      <c r="X792" s="132"/>
      <c r="Y792" s="132"/>
      <c r="Z792" s="132"/>
      <c r="AA792" s="132"/>
      <c r="AB792" s="132"/>
      <c r="AC792" s="132"/>
    </row>
    <row r="793" ht="24.75" customHeight="1" outlineLevel="1">
      <c r="A793" s="551">
        <v>45782.0</v>
      </c>
      <c r="B793" s="753" t="s">
        <v>489</v>
      </c>
      <c r="C793" s="736" t="s">
        <v>1651</v>
      </c>
      <c r="D793" s="736" t="s">
        <v>1723</v>
      </c>
      <c r="E793" s="573" t="s">
        <v>1562</v>
      </c>
      <c r="F793" s="175"/>
      <c r="G793" s="175"/>
      <c r="H793" s="175" t="s">
        <v>1667</v>
      </c>
      <c r="I793" s="132"/>
      <c r="J793" s="132"/>
      <c r="K793" s="132"/>
      <c r="L793" s="132"/>
      <c r="M793" s="132"/>
      <c r="N793" s="132"/>
      <c r="O793" s="132"/>
      <c r="P793" s="132"/>
      <c r="Q793" s="132"/>
      <c r="R793" s="132"/>
      <c r="S793" s="132"/>
      <c r="T793" s="132"/>
      <c r="U793" s="132"/>
      <c r="V793" s="132"/>
      <c r="W793" s="132"/>
      <c r="X793" s="132"/>
      <c r="Y793" s="132"/>
      <c r="Z793" s="132"/>
      <c r="AA793" s="132"/>
      <c r="AB793" s="132"/>
      <c r="AC793" s="132"/>
    </row>
    <row r="794" ht="24.75" customHeight="1" outlineLevel="1">
      <c r="A794" s="551">
        <v>45782.0</v>
      </c>
      <c r="B794" s="753" t="s">
        <v>450</v>
      </c>
      <c r="C794" s="736" t="s">
        <v>1259</v>
      </c>
      <c r="D794" s="744" t="s">
        <v>1720</v>
      </c>
      <c r="E794" s="573" t="s">
        <v>1562</v>
      </c>
      <c r="F794" s="175"/>
      <c r="G794" s="175"/>
      <c r="H794" s="175" t="s">
        <v>1671</v>
      </c>
      <c r="I794" s="175"/>
      <c r="J794" s="132"/>
      <c r="K794" s="132"/>
      <c r="L794" s="132"/>
      <c r="M794" s="132"/>
      <c r="N794" s="132"/>
      <c r="O794" s="132"/>
      <c r="P794" s="132"/>
      <c r="Q794" s="132"/>
      <c r="R794" s="132"/>
      <c r="S794" s="132"/>
      <c r="T794" s="132"/>
      <c r="U794" s="132"/>
      <c r="V794" s="132"/>
      <c r="W794" s="132"/>
      <c r="X794" s="132"/>
      <c r="Y794" s="132"/>
      <c r="Z794" s="132"/>
      <c r="AA794" s="132"/>
      <c r="AB794" s="132"/>
      <c r="AC794" s="132"/>
    </row>
    <row r="795" ht="24.75" customHeight="1" outlineLevel="1">
      <c r="A795" s="551">
        <v>45782.0</v>
      </c>
      <c r="B795" s="735" t="s">
        <v>629</v>
      </c>
      <c r="C795" s="735" t="s">
        <v>611</v>
      </c>
      <c r="D795" s="754" t="s">
        <v>1550</v>
      </c>
      <c r="E795" s="569" t="s">
        <v>1235</v>
      </c>
      <c r="F795" s="175"/>
      <c r="G795" s="175"/>
      <c r="H795" s="175" t="s">
        <v>1672</v>
      </c>
      <c r="I795" s="132"/>
      <c r="J795" s="132"/>
      <c r="K795" s="132"/>
      <c r="L795" s="132"/>
      <c r="M795" s="132"/>
      <c r="N795" s="132"/>
      <c r="O795" s="132"/>
      <c r="P795" s="132"/>
      <c r="Q795" s="132"/>
      <c r="R795" s="132"/>
      <c r="S795" s="132"/>
      <c r="T795" s="132"/>
      <c r="U795" s="132"/>
      <c r="V795" s="132"/>
      <c r="W795" s="132"/>
      <c r="X795" s="132"/>
      <c r="Y795" s="132"/>
      <c r="Z795" s="132"/>
      <c r="AA795" s="132"/>
      <c r="AB795" s="132"/>
      <c r="AC795" s="132"/>
    </row>
    <row r="796" ht="24.75" customHeight="1" outlineLevel="1">
      <c r="A796" s="551">
        <v>45782.0</v>
      </c>
      <c r="B796" s="735" t="s">
        <v>1271</v>
      </c>
      <c r="C796" s="755" t="s">
        <v>1724</v>
      </c>
      <c r="D796" s="736" t="s">
        <v>1180</v>
      </c>
      <c r="E796" s="569" t="s">
        <v>1235</v>
      </c>
      <c r="F796" s="175"/>
      <c r="G796" s="175"/>
      <c r="H796" s="175" t="s">
        <v>1674</v>
      </c>
      <c r="I796" s="175" t="s">
        <v>1675</v>
      </c>
      <c r="J796" s="132"/>
      <c r="K796" s="132"/>
      <c r="L796" s="132"/>
      <c r="M796" s="132"/>
      <c r="N796" s="132"/>
      <c r="O796" s="132"/>
      <c r="P796" s="132"/>
      <c r="Q796" s="132"/>
      <c r="R796" s="132"/>
      <c r="S796" s="132"/>
      <c r="T796" s="132"/>
      <c r="U796" s="132"/>
      <c r="V796" s="132"/>
      <c r="W796" s="132"/>
      <c r="X796" s="132"/>
      <c r="Y796" s="132"/>
      <c r="Z796" s="132"/>
      <c r="AA796" s="132"/>
      <c r="AB796" s="132"/>
      <c r="AC796" s="132"/>
    </row>
    <row r="797" ht="24.75" customHeight="1" outlineLevel="1">
      <c r="A797" s="551">
        <v>45782.0</v>
      </c>
      <c r="B797" s="735" t="s">
        <v>1274</v>
      </c>
      <c r="C797" s="755" t="s">
        <v>1724</v>
      </c>
      <c r="D797" s="736" t="s">
        <v>1180</v>
      </c>
      <c r="E797" s="569" t="s">
        <v>1235</v>
      </c>
      <c r="F797" s="175"/>
      <c r="G797" s="175"/>
      <c r="H797" s="175" t="s">
        <v>1674</v>
      </c>
      <c r="I797" s="175" t="s">
        <v>1709</v>
      </c>
      <c r="J797" s="132"/>
      <c r="K797" s="132"/>
      <c r="L797" s="132"/>
      <c r="M797" s="132"/>
      <c r="N797" s="132"/>
      <c r="O797" s="132"/>
      <c r="P797" s="132"/>
      <c r="Q797" s="132"/>
      <c r="R797" s="132"/>
      <c r="S797" s="132"/>
      <c r="T797" s="132"/>
      <c r="U797" s="132"/>
      <c r="V797" s="132"/>
      <c r="W797" s="132"/>
      <c r="X797" s="132"/>
      <c r="Y797" s="132"/>
      <c r="Z797" s="132"/>
      <c r="AA797" s="132"/>
      <c r="AB797" s="132"/>
      <c r="AC797" s="132"/>
    </row>
    <row r="798" ht="24.75" customHeight="1" outlineLevel="1">
      <c r="A798" s="551">
        <v>45783.0</v>
      </c>
      <c r="B798" s="756" t="s">
        <v>38</v>
      </c>
      <c r="C798" s="736" t="s">
        <v>1233</v>
      </c>
      <c r="D798" s="736" t="s">
        <v>1725</v>
      </c>
      <c r="E798" s="569" t="s">
        <v>1235</v>
      </c>
      <c r="F798" s="175"/>
      <c r="G798" s="175"/>
      <c r="H798" s="175"/>
      <c r="I798" s="175"/>
      <c r="J798" s="132"/>
      <c r="K798" s="132"/>
      <c r="L798" s="132"/>
      <c r="M798" s="132"/>
      <c r="N798" s="132"/>
      <c r="O798" s="132"/>
      <c r="P798" s="132"/>
      <c r="Q798" s="132"/>
      <c r="R798" s="132"/>
      <c r="S798" s="132"/>
      <c r="T798" s="132"/>
      <c r="U798" s="132"/>
      <c r="V798" s="132"/>
      <c r="W798" s="132"/>
      <c r="X798" s="132"/>
      <c r="Y798" s="132"/>
      <c r="Z798" s="132"/>
      <c r="AA798" s="132"/>
      <c r="AB798" s="132"/>
      <c r="AC798" s="132"/>
    </row>
    <row r="799" ht="24.75" customHeight="1" outlineLevel="1">
      <c r="A799" s="551">
        <v>45783.0</v>
      </c>
      <c r="B799" s="735" t="s">
        <v>1232</v>
      </c>
      <c r="C799" s="736" t="s">
        <v>1233</v>
      </c>
      <c r="D799" s="739" t="s">
        <v>1711</v>
      </c>
      <c r="E799" s="569" t="s">
        <v>1235</v>
      </c>
      <c r="F799" s="175"/>
      <c r="G799" s="175"/>
      <c r="H799" s="175" t="s">
        <v>1584</v>
      </c>
      <c r="I799" s="175" t="s">
        <v>1439</v>
      </c>
      <c r="J799" s="132"/>
      <c r="K799" s="132"/>
      <c r="L799" s="132"/>
      <c r="M799" s="132"/>
      <c r="N799" s="132"/>
      <c r="O799" s="132"/>
      <c r="P799" s="132"/>
      <c r="Q799" s="132"/>
      <c r="R799" s="132"/>
      <c r="S799" s="132"/>
      <c r="T799" s="132"/>
      <c r="U799" s="132"/>
      <c r="V799" s="132"/>
      <c r="W799" s="132"/>
      <c r="X799" s="132"/>
      <c r="Y799" s="132"/>
      <c r="Z799" s="132"/>
      <c r="AA799" s="132"/>
      <c r="AB799" s="132"/>
      <c r="AC799" s="132"/>
    </row>
    <row r="800" ht="24.75" customHeight="1" outlineLevel="1">
      <c r="A800" s="551">
        <v>45783.0</v>
      </c>
      <c r="B800" s="735" t="s">
        <v>1325</v>
      </c>
      <c r="C800" s="755" t="s">
        <v>1233</v>
      </c>
      <c r="D800" s="736" t="s">
        <v>1726</v>
      </c>
      <c r="E800" s="569" t="s">
        <v>1235</v>
      </c>
      <c r="F800" s="175"/>
      <c r="G800" s="175"/>
      <c r="H800" s="175" t="s">
        <v>1727</v>
      </c>
      <c r="I800" s="132"/>
      <c r="J800" s="132"/>
      <c r="K800" s="132"/>
      <c r="L800" s="132"/>
      <c r="M800" s="132"/>
      <c r="N800" s="132"/>
      <c r="O800" s="132"/>
      <c r="P800" s="132"/>
      <c r="Q800" s="132"/>
      <c r="R800" s="132"/>
      <c r="S800" s="132"/>
      <c r="T800" s="132"/>
      <c r="U800" s="132"/>
      <c r="V800" s="132"/>
      <c r="W800" s="132"/>
      <c r="X800" s="132"/>
      <c r="Y800" s="132"/>
      <c r="Z800" s="132"/>
      <c r="AA800" s="132"/>
      <c r="AB800" s="132"/>
      <c r="AC800" s="132"/>
    </row>
    <row r="801" ht="24.75" customHeight="1" outlineLevel="1">
      <c r="A801" s="551">
        <v>45783.0</v>
      </c>
      <c r="B801" s="735" t="s">
        <v>1254</v>
      </c>
      <c r="C801" s="736" t="s">
        <v>1712</v>
      </c>
      <c r="D801" s="736" t="s">
        <v>1180</v>
      </c>
      <c r="E801" s="569" t="s">
        <v>1235</v>
      </c>
      <c r="F801" s="175"/>
      <c r="G801" s="175"/>
      <c r="H801" s="175" t="s">
        <v>1713</v>
      </c>
      <c r="I801" s="132"/>
      <c r="J801" s="132"/>
      <c r="K801" s="132"/>
      <c r="L801" s="132"/>
      <c r="M801" s="132"/>
      <c r="N801" s="132"/>
      <c r="O801" s="132"/>
      <c r="P801" s="132"/>
      <c r="Q801" s="132"/>
      <c r="R801" s="132"/>
      <c r="S801" s="132"/>
      <c r="T801" s="132"/>
      <c r="U801" s="132"/>
      <c r="V801" s="132"/>
      <c r="W801" s="132"/>
      <c r="X801" s="132"/>
      <c r="Y801" s="132"/>
      <c r="Z801" s="132"/>
      <c r="AA801" s="132"/>
      <c r="AB801" s="132"/>
      <c r="AC801" s="132"/>
    </row>
    <row r="802" ht="24.75" customHeight="1" outlineLevel="1">
      <c r="A802" s="551">
        <v>45784.0</v>
      </c>
      <c r="B802" s="735" t="s">
        <v>1198</v>
      </c>
      <c r="C802" s="736" t="s">
        <v>1233</v>
      </c>
      <c r="D802" s="757" t="s">
        <v>1257</v>
      </c>
      <c r="E802" s="569" t="s">
        <v>1235</v>
      </c>
      <c r="F802" s="132"/>
      <c r="G802" s="132"/>
      <c r="H802" s="132"/>
      <c r="I802" s="132"/>
      <c r="J802" s="132"/>
      <c r="K802" s="132"/>
      <c r="L802" s="132"/>
      <c r="M802" s="132"/>
      <c r="N802" s="132"/>
      <c r="O802" s="132"/>
      <c r="P802" s="132"/>
      <c r="Q802" s="132"/>
      <c r="R802" s="132"/>
      <c r="S802" s="132"/>
      <c r="T802" s="132"/>
      <c r="U802" s="132"/>
      <c r="V802" s="132"/>
      <c r="W802" s="132"/>
      <c r="X802" s="132"/>
      <c r="Y802" s="132"/>
      <c r="Z802" s="132"/>
      <c r="AA802" s="132"/>
      <c r="AB802" s="132"/>
      <c r="AC802" s="132"/>
    </row>
    <row r="803" ht="24.75" customHeight="1" outlineLevel="1">
      <c r="A803" s="551">
        <v>45784.0</v>
      </c>
      <c r="B803" s="738" t="s">
        <v>1226</v>
      </c>
      <c r="C803" s="736" t="s">
        <v>1651</v>
      </c>
      <c r="D803" s="739" t="s">
        <v>1524</v>
      </c>
      <c r="E803" s="573" t="s">
        <v>1562</v>
      </c>
      <c r="F803" s="175"/>
      <c r="G803" s="175"/>
      <c r="H803" s="175" t="s">
        <v>1682</v>
      </c>
      <c r="I803" s="132"/>
      <c r="J803" s="132"/>
      <c r="K803" s="132"/>
      <c r="L803" s="132"/>
      <c r="M803" s="132"/>
      <c r="N803" s="132"/>
      <c r="O803" s="132"/>
      <c r="P803" s="132"/>
      <c r="Q803" s="132"/>
      <c r="R803" s="132"/>
      <c r="S803" s="132"/>
      <c r="T803" s="132"/>
      <c r="U803" s="132"/>
      <c r="V803" s="132"/>
      <c r="W803" s="132"/>
      <c r="X803" s="132"/>
      <c r="Y803" s="132"/>
      <c r="Z803" s="132"/>
      <c r="AA803" s="132"/>
      <c r="AB803" s="132"/>
      <c r="AC803" s="132"/>
    </row>
    <row r="804" ht="24.75" customHeight="1" outlineLevel="1">
      <c r="A804" s="551">
        <v>45784.0</v>
      </c>
      <c r="B804" s="735" t="s">
        <v>1204</v>
      </c>
      <c r="C804" s="740" t="s">
        <v>1715</v>
      </c>
      <c r="D804" s="739" t="s">
        <v>1728</v>
      </c>
      <c r="E804" s="573" t="s">
        <v>1562</v>
      </c>
      <c r="F804" s="596"/>
      <c r="G804" s="596"/>
      <c r="H804" s="596" t="s">
        <v>1685</v>
      </c>
      <c r="I804" s="175"/>
      <c r="J804" s="132"/>
      <c r="K804" s="132"/>
      <c r="L804" s="132"/>
      <c r="M804" s="132"/>
      <c r="N804" s="132"/>
      <c r="O804" s="132"/>
      <c r="P804" s="132"/>
      <c r="Q804" s="132"/>
      <c r="R804" s="132"/>
      <c r="S804" s="132"/>
      <c r="T804" s="132"/>
      <c r="U804" s="132"/>
      <c r="V804" s="132"/>
      <c r="W804" s="132"/>
      <c r="X804" s="132"/>
      <c r="Y804" s="132"/>
      <c r="Z804" s="132"/>
      <c r="AA804" s="132"/>
      <c r="AB804" s="132"/>
      <c r="AC804" s="132"/>
    </row>
    <row r="805" ht="24.75" customHeight="1" outlineLevel="1">
      <c r="A805" s="551">
        <v>45784.0</v>
      </c>
      <c r="B805" s="735" t="s">
        <v>1261</v>
      </c>
      <c r="C805" s="736" t="s">
        <v>1712</v>
      </c>
      <c r="D805" s="736" t="s">
        <v>1180</v>
      </c>
      <c r="E805" s="569" t="s">
        <v>1235</v>
      </c>
      <c r="F805" s="175"/>
      <c r="G805" s="175"/>
      <c r="H805" s="175" t="s">
        <v>1713</v>
      </c>
      <c r="I805" s="132"/>
      <c r="J805" s="132"/>
      <c r="K805" s="132"/>
      <c r="L805" s="132"/>
      <c r="M805" s="132"/>
      <c r="N805" s="132"/>
      <c r="O805" s="132"/>
      <c r="P805" s="132"/>
      <c r="Q805" s="132"/>
      <c r="R805" s="132"/>
      <c r="S805" s="132"/>
      <c r="T805" s="132"/>
      <c r="U805" s="132"/>
      <c r="V805" s="132"/>
      <c r="W805" s="132"/>
      <c r="X805" s="132"/>
      <c r="Y805" s="132"/>
      <c r="Z805" s="132"/>
      <c r="AA805" s="132"/>
      <c r="AB805" s="132"/>
      <c r="AC805" s="132"/>
    </row>
    <row r="806" ht="24.75" customHeight="1" outlineLevel="1">
      <c r="A806" s="551">
        <v>45784.0</v>
      </c>
      <c r="B806" s="741" t="s">
        <v>270</v>
      </c>
      <c r="C806" s="740" t="s">
        <v>1717</v>
      </c>
      <c r="D806" s="742" t="s">
        <v>1729</v>
      </c>
      <c r="E806" s="573" t="s">
        <v>1562</v>
      </c>
      <c r="F806" s="175"/>
      <c r="G806" s="175"/>
      <c r="H806" s="175" t="s">
        <v>1719</v>
      </c>
      <c r="I806" s="132"/>
      <c r="J806" s="132"/>
      <c r="K806" s="132"/>
      <c r="L806" s="132"/>
      <c r="M806" s="132"/>
      <c r="N806" s="132"/>
      <c r="O806" s="132"/>
      <c r="P806" s="132"/>
      <c r="Q806" s="132"/>
      <c r="R806" s="132"/>
      <c r="S806" s="132"/>
      <c r="T806" s="132"/>
      <c r="U806" s="132"/>
      <c r="V806" s="132"/>
      <c r="W806" s="132"/>
      <c r="X806" s="132"/>
      <c r="Y806" s="132"/>
      <c r="Z806" s="132"/>
      <c r="AA806" s="132"/>
      <c r="AB806" s="132"/>
      <c r="AC806" s="132"/>
    </row>
    <row r="807" ht="24.75" customHeight="1" outlineLevel="1">
      <c r="A807" s="551">
        <v>45785.0</v>
      </c>
      <c r="B807" s="743" t="s">
        <v>1537</v>
      </c>
      <c r="C807" s="736" t="s">
        <v>1259</v>
      </c>
      <c r="D807" s="744" t="s">
        <v>1730</v>
      </c>
      <c r="E807" s="573" t="s">
        <v>1562</v>
      </c>
      <c r="F807" s="175"/>
      <c r="G807" s="175"/>
      <c r="H807" s="175" t="s">
        <v>1682</v>
      </c>
      <c r="I807" s="132"/>
      <c r="J807" s="132"/>
      <c r="K807" s="132"/>
      <c r="L807" s="132"/>
      <c r="M807" s="132"/>
      <c r="N807" s="132"/>
      <c r="O807" s="132"/>
      <c r="P807" s="132"/>
      <c r="Q807" s="132"/>
      <c r="R807" s="132"/>
      <c r="S807" s="132"/>
      <c r="T807" s="132"/>
      <c r="U807" s="132"/>
      <c r="V807" s="132"/>
      <c r="W807" s="132"/>
      <c r="X807" s="132"/>
      <c r="Y807" s="132"/>
      <c r="Z807" s="132"/>
      <c r="AA807" s="132"/>
      <c r="AB807" s="132"/>
      <c r="AC807" s="132"/>
    </row>
    <row r="808" ht="24.75" customHeight="1" outlineLevel="1">
      <c r="A808" s="175" t="s">
        <v>1731</v>
      </c>
      <c r="B808" s="132"/>
      <c r="C808" s="132"/>
      <c r="D808" s="132"/>
      <c r="E808" s="496"/>
      <c r="F808" s="132"/>
      <c r="G808" s="132"/>
      <c r="H808" s="132"/>
      <c r="I808" s="132"/>
      <c r="J808" s="132"/>
      <c r="K808" s="132"/>
      <c r="L808" s="132"/>
      <c r="M808" s="132"/>
      <c r="N808" s="132"/>
      <c r="O808" s="132"/>
      <c r="P808" s="132"/>
      <c r="Q808" s="132"/>
      <c r="R808" s="132"/>
      <c r="S808" s="132"/>
      <c r="T808" s="132"/>
      <c r="U808" s="132"/>
      <c r="V808" s="132"/>
      <c r="W808" s="132"/>
      <c r="X808" s="132"/>
      <c r="Y808" s="132"/>
      <c r="Z808" s="132"/>
      <c r="AA808" s="132"/>
      <c r="AB808" s="132"/>
      <c r="AC808" s="132"/>
    </row>
    <row r="809" ht="24.75" customHeight="1">
      <c r="A809" s="132"/>
      <c r="B809" s="132"/>
      <c r="C809" s="132"/>
      <c r="D809" s="132"/>
      <c r="E809" s="496"/>
      <c r="F809" s="132"/>
      <c r="G809" s="132"/>
      <c r="H809" s="132"/>
      <c r="I809" s="132"/>
      <c r="J809" s="132"/>
      <c r="K809" s="132"/>
      <c r="L809" s="132"/>
      <c r="M809" s="132"/>
      <c r="N809" s="132"/>
      <c r="O809" s="132"/>
      <c r="P809" s="132"/>
      <c r="Q809" s="132"/>
      <c r="R809" s="132"/>
      <c r="S809" s="132"/>
      <c r="T809" s="132"/>
      <c r="U809" s="132"/>
      <c r="V809" s="132"/>
      <c r="W809" s="132"/>
      <c r="X809" s="132"/>
      <c r="Y809" s="132"/>
      <c r="Z809" s="132"/>
      <c r="AA809" s="132"/>
      <c r="AB809" s="132"/>
      <c r="AC809" s="132"/>
    </row>
    <row r="810" ht="24.75" customHeight="1" collapsed="1">
      <c r="A810" s="175" t="s">
        <v>1732</v>
      </c>
      <c r="B810" s="132"/>
      <c r="C810" s="132"/>
      <c r="D810" s="132"/>
      <c r="E810" s="496"/>
      <c r="F810" s="132"/>
      <c r="G810" s="132"/>
      <c r="H810" s="132"/>
      <c r="I810" s="132"/>
      <c r="J810" s="132"/>
      <c r="K810" s="132"/>
      <c r="L810" s="132"/>
      <c r="M810" s="132"/>
      <c r="N810" s="132"/>
      <c r="O810" s="132"/>
      <c r="P810" s="132"/>
      <c r="Q810" s="132"/>
      <c r="R810" s="132"/>
      <c r="S810" s="132"/>
      <c r="T810" s="132"/>
      <c r="U810" s="132"/>
      <c r="V810" s="132"/>
      <c r="W810" s="132"/>
      <c r="X810" s="132"/>
      <c r="Y810" s="132"/>
      <c r="Z810" s="132"/>
      <c r="AA810" s="132"/>
      <c r="AB810" s="132"/>
      <c r="AC810" s="132"/>
    </row>
    <row r="811" ht="24.75" hidden="1" customHeight="1" outlineLevel="1">
      <c r="A811" s="597" t="s">
        <v>1166</v>
      </c>
      <c r="B811" s="598" t="s">
        <v>1117</v>
      </c>
      <c r="C811" s="598" t="s">
        <v>1167</v>
      </c>
      <c r="D811" s="598" t="s">
        <v>1168</v>
      </c>
      <c r="E811" s="598" t="s">
        <v>1169</v>
      </c>
      <c r="F811" s="132"/>
      <c r="G811" s="132"/>
      <c r="H811" s="132"/>
      <c r="I811" s="132"/>
      <c r="J811" s="132"/>
      <c r="K811" s="132"/>
      <c r="L811" s="132"/>
      <c r="M811" s="132"/>
      <c r="N811" s="132"/>
      <c r="O811" s="132"/>
      <c r="P811" s="132"/>
      <c r="Q811" s="132"/>
      <c r="R811" s="132"/>
      <c r="S811" s="132"/>
      <c r="T811" s="132"/>
      <c r="U811" s="132"/>
      <c r="V811" s="132"/>
      <c r="W811" s="132"/>
      <c r="X811" s="132"/>
      <c r="Y811" s="132"/>
      <c r="Z811" s="132"/>
      <c r="AA811" s="132"/>
      <c r="AB811" s="132"/>
      <c r="AC811" s="132"/>
    </row>
    <row r="812" ht="24.75" hidden="1" customHeight="1" outlineLevel="1">
      <c r="A812" s="551">
        <v>45859.0</v>
      </c>
      <c r="B812" s="753" t="s">
        <v>489</v>
      </c>
      <c r="C812" s="736" t="s">
        <v>1651</v>
      </c>
      <c r="D812" s="736" t="s">
        <v>1180</v>
      </c>
      <c r="E812" s="573" t="s">
        <v>1235</v>
      </c>
      <c r="F812" s="175"/>
      <c r="G812" s="175"/>
      <c r="H812" s="175" t="s">
        <v>1667</v>
      </c>
      <c r="I812" s="132"/>
      <c r="J812" s="132"/>
      <c r="K812" s="132"/>
      <c r="L812" s="132"/>
      <c r="M812" s="132"/>
      <c r="N812" s="132"/>
      <c r="O812" s="132"/>
      <c r="P812" s="132"/>
      <c r="Q812" s="132"/>
      <c r="R812" s="132"/>
      <c r="S812" s="132"/>
      <c r="T812" s="132"/>
      <c r="U812" s="132"/>
      <c r="V812" s="132"/>
      <c r="W812" s="132"/>
      <c r="X812" s="132"/>
      <c r="Y812" s="132"/>
      <c r="Z812" s="132"/>
      <c r="AA812" s="132"/>
      <c r="AB812" s="132"/>
      <c r="AC812" s="132"/>
    </row>
    <row r="813" ht="24.75" hidden="1" customHeight="1" outlineLevel="1">
      <c r="A813" s="551">
        <v>45859.0</v>
      </c>
      <c r="B813" s="753" t="s">
        <v>450</v>
      </c>
      <c r="C813" s="736" t="s">
        <v>1259</v>
      </c>
      <c r="D813" s="736" t="s">
        <v>1180</v>
      </c>
      <c r="E813" s="573" t="s">
        <v>1235</v>
      </c>
      <c r="F813" s="175"/>
      <c r="G813" s="175"/>
      <c r="H813" s="175" t="s">
        <v>1671</v>
      </c>
      <c r="I813" s="175"/>
      <c r="J813" s="132"/>
      <c r="K813" s="132"/>
      <c r="L813" s="132"/>
      <c r="M813" s="132"/>
      <c r="N813" s="132"/>
      <c r="O813" s="132"/>
      <c r="P813" s="132"/>
      <c r="Q813" s="132"/>
      <c r="R813" s="132"/>
      <c r="S813" s="132"/>
      <c r="T813" s="132"/>
      <c r="U813" s="132"/>
      <c r="V813" s="132"/>
      <c r="W813" s="132"/>
      <c r="X813" s="132"/>
      <c r="Y813" s="132"/>
      <c r="Z813" s="132"/>
      <c r="AA813" s="132"/>
      <c r="AB813" s="132"/>
      <c r="AC813" s="132"/>
    </row>
    <row r="814" ht="24.75" hidden="1" customHeight="1" outlineLevel="1">
      <c r="A814" s="551">
        <v>45859.0</v>
      </c>
      <c r="B814" s="735" t="s">
        <v>629</v>
      </c>
      <c r="C814" s="735" t="s">
        <v>611</v>
      </c>
      <c r="D814" s="754" t="s">
        <v>1550</v>
      </c>
      <c r="E814" s="573" t="s">
        <v>1235</v>
      </c>
      <c r="F814" s="175"/>
      <c r="G814" s="175"/>
      <c r="H814" s="175" t="s">
        <v>1672</v>
      </c>
      <c r="I814" s="132"/>
      <c r="J814" s="132"/>
      <c r="K814" s="132"/>
      <c r="L814" s="132"/>
      <c r="M814" s="132"/>
      <c r="N814" s="132"/>
      <c r="O814" s="132"/>
      <c r="P814" s="132"/>
      <c r="Q814" s="132"/>
      <c r="R814" s="132"/>
      <c r="S814" s="132"/>
      <c r="T814" s="132"/>
      <c r="U814" s="132"/>
      <c r="V814" s="132"/>
      <c r="W814" s="132"/>
      <c r="X814" s="132"/>
      <c r="Y814" s="132"/>
      <c r="Z814" s="132"/>
      <c r="AA814" s="132"/>
      <c r="AB814" s="132"/>
      <c r="AC814" s="132"/>
    </row>
    <row r="815" ht="24.75" hidden="1" customHeight="1" outlineLevel="1">
      <c r="A815" s="551">
        <v>45859.0</v>
      </c>
      <c r="B815" s="735" t="s">
        <v>1271</v>
      </c>
      <c r="C815" s="755" t="s">
        <v>1724</v>
      </c>
      <c r="D815" s="736" t="s">
        <v>1180</v>
      </c>
      <c r="E815" s="573" t="s">
        <v>1235</v>
      </c>
      <c r="F815" s="175"/>
      <c r="G815" s="175"/>
      <c r="H815" s="175" t="s">
        <v>1674</v>
      </c>
      <c r="I815" s="175" t="s">
        <v>1675</v>
      </c>
      <c r="J815" s="132"/>
      <c r="K815" s="132"/>
      <c r="L815" s="132"/>
      <c r="M815" s="132"/>
      <c r="N815" s="132"/>
      <c r="O815" s="132"/>
      <c r="P815" s="132"/>
      <c r="Q815" s="132"/>
      <c r="R815" s="132"/>
      <c r="S815" s="132"/>
      <c r="T815" s="132"/>
      <c r="U815" s="132"/>
      <c r="V815" s="132"/>
      <c r="W815" s="132"/>
      <c r="X815" s="132"/>
      <c r="Y815" s="132"/>
      <c r="Z815" s="132"/>
      <c r="AA815" s="132"/>
      <c r="AB815" s="132"/>
      <c r="AC815" s="132"/>
    </row>
    <row r="816" ht="24.75" hidden="1" customHeight="1" outlineLevel="1">
      <c r="A816" s="551">
        <v>45859.0</v>
      </c>
      <c r="B816" s="735" t="s">
        <v>1274</v>
      </c>
      <c r="C816" s="755" t="s">
        <v>1724</v>
      </c>
      <c r="D816" s="736" t="s">
        <v>1180</v>
      </c>
      <c r="E816" s="573" t="s">
        <v>1235</v>
      </c>
      <c r="F816" s="175"/>
      <c r="G816" s="175"/>
      <c r="H816" s="175" t="s">
        <v>1674</v>
      </c>
      <c r="I816" s="175" t="s">
        <v>1709</v>
      </c>
      <c r="J816" s="132"/>
      <c r="K816" s="132"/>
      <c r="L816" s="132"/>
      <c r="M816" s="132"/>
      <c r="N816" s="132"/>
      <c r="O816" s="132"/>
      <c r="P816" s="132"/>
      <c r="Q816" s="132"/>
      <c r="R816" s="132"/>
      <c r="S816" s="132"/>
      <c r="T816" s="132"/>
      <c r="U816" s="132"/>
      <c r="V816" s="132"/>
      <c r="W816" s="132"/>
      <c r="X816" s="132"/>
      <c r="Y816" s="132"/>
      <c r="Z816" s="132"/>
      <c r="AA816" s="132"/>
      <c r="AB816" s="132"/>
      <c r="AC816" s="132"/>
    </row>
    <row r="817" ht="24.75" hidden="1" customHeight="1" outlineLevel="1">
      <c r="A817" s="551">
        <v>45860.0</v>
      </c>
      <c r="B817" s="756" t="s">
        <v>38</v>
      </c>
      <c r="C817" s="736" t="s">
        <v>1233</v>
      </c>
      <c r="D817" s="736" t="s">
        <v>1733</v>
      </c>
      <c r="E817" s="573" t="s">
        <v>1235</v>
      </c>
      <c r="F817" s="175"/>
      <c r="G817" s="175"/>
      <c r="H817" s="175"/>
      <c r="I817" s="175"/>
      <c r="J817" s="132"/>
      <c r="K817" s="132"/>
      <c r="L817" s="132"/>
      <c r="M817" s="132"/>
      <c r="N817" s="132"/>
      <c r="O817" s="132"/>
      <c r="P817" s="132"/>
      <c r="Q817" s="132"/>
      <c r="R817" s="132"/>
      <c r="S817" s="132"/>
      <c r="T817" s="132"/>
      <c r="U817" s="132"/>
      <c r="V817" s="132"/>
      <c r="W817" s="132"/>
      <c r="X817" s="132"/>
      <c r="Y817" s="132"/>
      <c r="Z817" s="132"/>
      <c r="AA817" s="132"/>
      <c r="AB817" s="132"/>
      <c r="AC817" s="132"/>
    </row>
    <row r="818" ht="24.75" hidden="1" customHeight="1" outlineLevel="1">
      <c r="A818" s="551">
        <v>45860.0</v>
      </c>
      <c r="B818" s="735" t="s">
        <v>1232</v>
      </c>
      <c r="C818" s="736" t="s">
        <v>1233</v>
      </c>
      <c r="D818" s="736" t="s">
        <v>1180</v>
      </c>
      <c r="E818" s="573" t="s">
        <v>1235</v>
      </c>
      <c r="F818" s="175"/>
      <c r="G818" s="175"/>
      <c r="H818" s="175" t="s">
        <v>1584</v>
      </c>
      <c r="I818" s="175" t="s">
        <v>1439</v>
      </c>
      <c r="J818" s="132"/>
      <c r="K818" s="132"/>
      <c r="L818" s="132"/>
      <c r="M818" s="132"/>
      <c r="N818" s="132"/>
      <c r="O818" s="132"/>
      <c r="P818" s="132"/>
      <c r="Q818" s="132"/>
      <c r="R818" s="132"/>
      <c r="S818" s="132"/>
      <c r="T818" s="132"/>
      <c r="U818" s="132"/>
      <c r="V818" s="132"/>
      <c r="W818" s="132"/>
      <c r="X818" s="132"/>
      <c r="Y818" s="132"/>
      <c r="Z818" s="132"/>
      <c r="AA818" s="132"/>
      <c r="AB818" s="132"/>
      <c r="AC818" s="132"/>
    </row>
    <row r="819" ht="24.75" hidden="1" customHeight="1" outlineLevel="1">
      <c r="A819" s="551">
        <v>45860.0</v>
      </c>
      <c r="B819" s="735" t="s">
        <v>1325</v>
      </c>
      <c r="C819" s="755" t="s">
        <v>1233</v>
      </c>
      <c r="D819" s="736" t="s">
        <v>1734</v>
      </c>
      <c r="E819" s="573" t="s">
        <v>1235</v>
      </c>
      <c r="F819" s="175"/>
      <c r="G819" s="175"/>
      <c r="H819" s="175" t="s">
        <v>1727</v>
      </c>
      <c r="I819" s="132"/>
      <c r="J819" s="132"/>
      <c r="K819" s="132"/>
      <c r="L819" s="132"/>
      <c r="M819" s="132"/>
      <c r="N819" s="132"/>
      <c r="O819" s="132"/>
      <c r="P819" s="132"/>
      <c r="Q819" s="132"/>
      <c r="R819" s="132"/>
      <c r="S819" s="132"/>
      <c r="T819" s="132"/>
      <c r="U819" s="132"/>
      <c r="V819" s="132"/>
      <c r="W819" s="132"/>
      <c r="X819" s="132"/>
      <c r="Y819" s="132"/>
      <c r="Z819" s="132"/>
      <c r="AA819" s="132"/>
      <c r="AB819" s="132"/>
      <c r="AC819" s="132"/>
    </row>
    <row r="820" ht="24.75" hidden="1" customHeight="1" outlineLevel="1">
      <c r="A820" s="551">
        <v>45860.0</v>
      </c>
      <c r="B820" s="735" t="s">
        <v>1254</v>
      </c>
      <c r="C820" s="736" t="s">
        <v>1735</v>
      </c>
      <c r="D820" s="736" t="s">
        <v>1180</v>
      </c>
      <c r="E820" s="573" t="s">
        <v>1235</v>
      </c>
      <c r="F820" s="175"/>
      <c r="G820" s="175"/>
      <c r="H820" s="175" t="s">
        <v>1713</v>
      </c>
      <c r="I820" s="132"/>
      <c r="J820" s="132"/>
      <c r="K820" s="132"/>
      <c r="L820" s="132"/>
      <c r="M820" s="132"/>
      <c r="N820" s="132"/>
      <c r="O820" s="132"/>
      <c r="P820" s="132"/>
      <c r="Q820" s="132"/>
      <c r="R820" s="132"/>
      <c r="S820" s="132"/>
      <c r="T820" s="132"/>
      <c r="U820" s="132"/>
      <c r="V820" s="132"/>
      <c r="W820" s="132"/>
      <c r="X820" s="132"/>
      <c r="Y820" s="132"/>
      <c r="Z820" s="132"/>
      <c r="AA820" s="132"/>
      <c r="AB820" s="132"/>
      <c r="AC820" s="132"/>
    </row>
    <row r="821" ht="24.75" customHeight="1">
      <c r="A821" s="175"/>
      <c r="B821" s="132"/>
      <c r="C821" s="132"/>
      <c r="D821" s="132"/>
      <c r="E821" s="496"/>
      <c r="F821" s="132"/>
      <c r="G821" s="132"/>
      <c r="H821" s="132"/>
      <c r="I821" s="132"/>
      <c r="J821" s="132"/>
      <c r="K821" s="132"/>
      <c r="L821" s="132"/>
      <c r="M821" s="132"/>
      <c r="N821" s="132"/>
      <c r="O821" s="132"/>
      <c r="P821" s="132"/>
      <c r="Q821" s="132"/>
      <c r="R821" s="132"/>
      <c r="S821" s="132"/>
      <c r="T821" s="132"/>
      <c r="U821" s="132"/>
      <c r="V821" s="132"/>
      <c r="W821" s="132"/>
      <c r="X821" s="132"/>
      <c r="Y821" s="132"/>
      <c r="Z821" s="132"/>
      <c r="AA821" s="132"/>
      <c r="AB821" s="132"/>
      <c r="AC821" s="132"/>
    </row>
    <row r="822" ht="24.75" customHeight="1" collapsed="1">
      <c r="A822" s="758" t="s">
        <v>1736</v>
      </c>
      <c r="B822" s="759"/>
      <c r="C822" s="759"/>
      <c r="D822" s="759"/>
      <c r="E822" s="760"/>
      <c r="F822" s="759"/>
      <c r="G822" s="759"/>
      <c r="H822" s="759"/>
      <c r="I822" s="132"/>
      <c r="J822" s="132"/>
      <c r="K822" s="132"/>
      <c r="L822" s="132"/>
      <c r="M822" s="132"/>
      <c r="N822" s="132"/>
      <c r="O822" s="132"/>
      <c r="P822" s="132"/>
      <c r="Q822" s="132"/>
      <c r="R822" s="132"/>
      <c r="S822" s="132"/>
      <c r="T822" s="132"/>
      <c r="U822" s="132"/>
      <c r="V822" s="132"/>
      <c r="W822" s="132"/>
      <c r="X822" s="132"/>
      <c r="Y822" s="132"/>
      <c r="Z822" s="132"/>
      <c r="AA822" s="132"/>
      <c r="AB822" s="132"/>
      <c r="AC822" s="132"/>
    </row>
    <row r="823" ht="24.75" hidden="1" customHeight="1" outlineLevel="1">
      <c r="A823" s="761" t="s">
        <v>1166</v>
      </c>
      <c r="B823" s="762" t="s">
        <v>1117</v>
      </c>
      <c r="C823" s="762" t="s">
        <v>1167</v>
      </c>
      <c r="D823" s="762" t="s">
        <v>1168</v>
      </c>
      <c r="E823" s="763" t="s">
        <v>1169</v>
      </c>
      <c r="F823" s="758" t="s">
        <v>1737</v>
      </c>
      <c r="G823" s="758" t="s">
        <v>1738</v>
      </c>
      <c r="H823" s="758" t="s">
        <v>143</v>
      </c>
      <c r="I823" s="132"/>
      <c r="J823" s="132"/>
      <c r="K823" s="132"/>
      <c r="L823" s="132"/>
      <c r="M823" s="132"/>
      <c r="N823" s="132"/>
      <c r="O823" s="132"/>
      <c r="P823" s="132"/>
      <c r="Q823" s="132"/>
      <c r="R823" s="132"/>
      <c r="S823" s="132"/>
      <c r="T823" s="132"/>
      <c r="U823" s="132"/>
      <c r="V823" s="132"/>
      <c r="W823" s="132"/>
      <c r="X823" s="132"/>
      <c r="Y823" s="132"/>
      <c r="Z823" s="132"/>
      <c r="AA823" s="132"/>
      <c r="AB823" s="132"/>
      <c r="AC823" s="132"/>
    </row>
    <row r="824" ht="24.75" hidden="1" customHeight="1" outlineLevel="1">
      <c r="A824" s="764">
        <v>45877.0</v>
      </c>
      <c r="B824" s="650" t="s">
        <v>1232</v>
      </c>
      <c r="C824" s="642" t="s">
        <v>1233</v>
      </c>
      <c r="D824" s="642" t="s">
        <v>1180</v>
      </c>
      <c r="E824" s="765" t="s">
        <v>1235</v>
      </c>
      <c r="F824" s="758" t="s">
        <v>1598</v>
      </c>
      <c r="G824" s="758"/>
      <c r="H824" s="758" t="s">
        <v>1584</v>
      </c>
      <c r="I824" s="132"/>
      <c r="J824" s="132"/>
      <c r="K824" s="132"/>
      <c r="L824" s="132"/>
      <c r="M824" s="132"/>
      <c r="N824" s="132"/>
      <c r="O824" s="132"/>
      <c r="P824" s="132"/>
      <c r="Q824" s="132"/>
      <c r="R824" s="132"/>
      <c r="S824" s="132"/>
      <c r="T824" s="132"/>
      <c r="U824" s="132"/>
      <c r="V824" s="132"/>
      <c r="W824" s="132"/>
      <c r="X824" s="132"/>
      <c r="Y824" s="132"/>
      <c r="Z824" s="132"/>
      <c r="AA824" s="132"/>
      <c r="AB824" s="132"/>
    </row>
    <row r="825" ht="24.75" hidden="1" customHeight="1" outlineLevel="1">
      <c r="A825" s="764">
        <v>45877.0</v>
      </c>
      <c r="B825" s="766" t="s">
        <v>1739</v>
      </c>
      <c r="C825" s="650" t="s">
        <v>1233</v>
      </c>
      <c r="D825" s="642" t="s">
        <v>1180</v>
      </c>
      <c r="E825" s="765" t="s">
        <v>1235</v>
      </c>
      <c r="F825" s="758" t="s">
        <v>1598</v>
      </c>
      <c r="G825" s="758"/>
      <c r="H825" s="758" t="s">
        <v>1586</v>
      </c>
      <c r="I825" s="132"/>
      <c r="J825" s="132"/>
      <c r="K825" s="132"/>
      <c r="L825" s="132"/>
      <c r="M825" s="132"/>
      <c r="N825" s="132"/>
      <c r="O825" s="132"/>
      <c r="P825" s="132"/>
      <c r="Q825" s="132"/>
      <c r="R825" s="132"/>
      <c r="S825" s="132"/>
      <c r="T825" s="132"/>
      <c r="U825" s="132"/>
      <c r="V825" s="132"/>
      <c r="W825" s="132"/>
      <c r="X825" s="132"/>
      <c r="Y825" s="132"/>
      <c r="Z825" s="132"/>
      <c r="AA825" s="132"/>
      <c r="AB825" s="132"/>
    </row>
    <row r="826" ht="24.75" hidden="1" customHeight="1" outlineLevel="1">
      <c r="A826" s="764">
        <v>45877.0</v>
      </c>
      <c r="B826" s="650" t="s">
        <v>369</v>
      </c>
      <c r="C826" s="642" t="s">
        <v>1428</v>
      </c>
      <c r="D826" s="642" t="s">
        <v>1180</v>
      </c>
      <c r="E826" s="765" t="s">
        <v>1235</v>
      </c>
      <c r="F826" s="758" t="s">
        <v>1598</v>
      </c>
      <c r="G826" s="758"/>
      <c r="H826" s="758" t="s">
        <v>1740</v>
      </c>
      <c r="I826" s="132"/>
      <c r="J826" s="132"/>
      <c r="K826" s="132"/>
      <c r="L826" s="132"/>
      <c r="M826" s="132"/>
      <c r="N826" s="132"/>
      <c r="O826" s="132"/>
      <c r="P826" s="132"/>
      <c r="Q826" s="132"/>
      <c r="R826" s="132"/>
      <c r="S826" s="132"/>
      <c r="T826" s="132"/>
      <c r="U826" s="132"/>
      <c r="V826" s="132"/>
      <c r="W826" s="132"/>
      <c r="X826" s="132"/>
      <c r="Y826" s="132"/>
      <c r="Z826" s="132"/>
      <c r="AA826" s="132"/>
      <c r="AB826" s="132"/>
    </row>
    <row r="827" ht="24.75" hidden="1" customHeight="1" outlineLevel="1">
      <c r="A827" s="764">
        <v>45878.0</v>
      </c>
      <c r="B827" s="650" t="s">
        <v>394</v>
      </c>
      <c r="C827" s="642" t="s">
        <v>1233</v>
      </c>
      <c r="D827" s="642" t="s">
        <v>1180</v>
      </c>
      <c r="E827" s="765" t="s">
        <v>1235</v>
      </c>
      <c r="F827" s="758" t="s">
        <v>1598</v>
      </c>
      <c r="G827" s="758"/>
      <c r="H827" s="758" t="s">
        <v>1741</v>
      </c>
      <c r="I827" s="132"/>
      <c r="J827" s="132"/>
      <c r="K827" s="132"/>
      <c r="L827" s="132"/>
      <c r="M827" s="132"/>
      <c r="N827" s="132"/>
      <c r="O827" s="132"/>
      <c r="P827" s="132"/>
      <c r="Q827" s="132"/>
      <c r="R827" s="132"/>
      <c r="S827" s="132"/>
      <c r="T827" s="132"/>
      <c r="U827" s="132"/>
      <c r="V827" s="132"/>
      <c r="W827" s="132"/>
      <c r="X827" s="132"/>
      <c r="Y827" s="132"/>
      <c r="Z827" s="132"/>
      <c r="AA827" s="132"/>
      <c r="AB827" s="132"/>
    </row>
    <row r="828" ht="24.75" hidden="1" customHeight="1" outlineLevel="1">
      <c r="A828" s="764">
        <v>45878.0</v>
      </c>
      <c r="B828" s="767" t="str">
        <f>HYPERLINK("https://docs.google.com/spreadsheets/d/1v3B9E8Jeqx3_JGvRHJ2cXJ5OAGLvZiOXZru0niKH-QQ/edit?ts=56170761#gid=1991794180","☆横浜")</f>
        <v>☆横浜</v>
      </c>
      <c r="C828" s="736" t="s">
        <v>1722</v>
      </c>
      <c r="D828" s="736" t="s">
        <v>1742</v>
      </c>
      <c r="E828" s="765" t="s">
        <v>1235</v>
      </c>
      <c r="F828" s="758" t="s">
        <v>1598</v>
      </c>
      <c r="G828" s="758" t="s">
        <v>1598</v>
      </c>
      <c r="H828" s="758" t="s">
        <v>1648</v>
      </c>
      <c r="I828" s="132"/>
      <c r="J828" s="132"/>
      <c r="K828" s="132"/>
      <c r="L828" s="132"/>
      <c r="M828" s="132"/>
      <c r="N828" s="132"/>
      <c r="O828" s="132"/>
      <c r="P828" s="132"/>
      <c r="Q828" s="132"/>
      <c r="R828" s="132"/>
      <c r="S828" s="132"/>
      <c r="T828" s="132"/>
      <c r="U828" s="132"/>
      <c r="V828" s="132"/>
      <c r="W828" s="132"/>
      <c r="X828" s="132"/>
      <c r="Y828" s="132"/>
      <c r="Z828" s="132"/>
      <c r="AA828" s="132"/>
      <c r="AB828" s="132"/>
    </row>
    <row r="829" ht="24.75" hidden="1" customHeight="1" outlineLevel="1">
      <c r="A829" s="764">
        <v>45878.0</v>
      </c>
      <c r="B829" s="705" t="str">
        <f>HYPERLINK("https://docs.google.com/spreadsheets/d/1xrfsiAjLwPhBlveDsLSsUUfMnNpOidnkNLqHJabwWYo/edit?ts=56ea7063#gid=1283986028","☆救済メルマガ(UP10)")</f>
        <v>☆救済メルマガ(UP10)</v>
      </c>
      <c r="C829" s="642" t="s">
        <v>1743</v>
      </c>
      <c r="D829" s="642" t="s">
        <v>1744</v>
      </c>
      <c r="E829" s="768" t="s">
        <v>1745</v>
      </c>
      <c r="F829" s="758" t="s">
        <v>1598</v>
      </c>
      <c r="G829" s="758"/>
      <c r="H829" s="758" t="s">
        <v>1652</v>
      </c>
      <c r="I829" s="132"/>
      <c r="J829" s="132"/>
      <c r="K829" s="132"/>
      <c r="L829" s="132"/>
      <c r="M829" s="132"/>
      <c r="N829" s="132"/>
      <c r="O829" s="132"/>
      <c r="P829" s="132"/>
      <c r="Q829" s="132"/>
      <c r="R829" s="132"/>
      <c r="S829" s="132"/>
      <c r="T829" s="132"/>
      <c r="U829" s="132"/>
      <c r="V829" s="132"/>
      <c r="W829" s="132"/>
      <c r="X829" s="132"/>
      <c r="Y829" s="132"/>
      <c r="Z829" s="132"/>
      <c r="AA829" s="132"/>
      <c r="AB829" s="132"/>
    </row>
    <row r="830" ht="24.75" hidden="1" customHeight="1" outlineLevel="1">
      <c r="A830" s="764">
        <v>45879.0</v>
      </c>
      <c r="B830" s="705" t="s">
        <v>421</v>
      </c>
      <c r="C830" s="736" t="s">
        <v>1735</v>
      </c>
      <c r="D830" s="640" t="s">
        <v>1746</v>
      </c>
      <c r="E830" s="769" t="s">
        <v>1747</v>
      </c>
      <c r="F830" s="758" t="s">
        <v>1598</v>
      </c>
      <c r="G830" s="758"/>
      <c r="H830" s="758" t="s">
        <v>1652</v>
      </c>
      <c r="I830" s="132"/>
      <c r="J830" s="132"/>
      <c r="K830" s="132"/>
      <c r="L830" s="132"/>
      <c r="M830" s="132"/>
      <c r="N830" s="132"/>
      <c r="O830" s="132"/>
      <c r="P830" s="132"/>
      <c r="Q830" s="132"/>
      <c r="R830" s="132"/>
      <c r="S830" s="132"/>
      <c r="T830" s="132"/>
      <c r="U830" s="132"/>
      <c r="V830" s="132"/>
      <c r="W830" s="132"/>
      <c r="X830" s="132"/>
      <c r="Y830" s="132"/>
      <c r="Z830" s="132"/>
      <c r="AA830" s="132"/>
      <c r="AB830" s="132"/>
    </row>
    <row r="831" ht="24.75" hidden="1" customHeight="1" outlineLevel="1">
      <c r="A831" s="764">
        <v>45879.0</v>
      </c>
      <c r="B831" s="650" t="s">
        <v>42</v>
      </c>
      <c r="C831" s="642" t="s">
        <v>1748</v>
      </c>
      <c r="D831" s="642" t="s">
        <v>1180</v>
      </c>
      <c r="E831" s="765" t="s">
        <v>1235</v>
      </c>
      <c r="F831" s="758" t="s">
        <v>1598</v>
      </c>
      <c r="G831" s="758"/>
      <c r="H831" s="758" t="s">
        <v>1749</v>
      </c>
      <c r="I831" s="132"/>
      <c r="J831" s="132"/>
      <c r="K831" s="132"/>
      <c r="L831" s="132"/>
      <c r="M831" s="132"/>
      <c r="N831" s="132"/>
      <c r="O831" s="132"/>
      <c r="P831" s="132"/>
      <c r="Q831" s="132"/>
      <c r="R831" s="132"/>
      <c r="S831" s="132"/>
      <c r="T831" s="132"/>
      <c r="U831" s="132"/>
      <c r="V831" s="132"/>
      <c r="W831" s="132"/>
      <c r="X831" s="132"/>
      <c r="Y831" s="132"/>
      <c r="Z831" s="132"/>
      <c r="AA831" s="132"/>
      <c r="AB831" s="132"/>
    </row>
    <row r="832" ht="24.75" hidden="1" customHeight="1" outlineLevel="1">
      <c r="A832" s="764">
        <v>45879.0</v>
      </c>
      <c r="B832" s="770" t="str">
        <f>HYPERLINK("https://docs.google.com/spreadsheets/d/14VRt1DzygoL3ldywdTGi4p4-5N6W0OO9Ugf6GEHXv1k/edit#gid=351252924","☆TP部メルマガ")</f>
        <v>☆TP部メルマガ</v>
      </c>
      <c r="C832" s="736" t="s">
        <v>1259</v>
      </c>
      <c r="D832" s="642" t="s">
        <v>1750</v>
      </c>
      <c r="E832" s="771" t="s">
        <v>1751</v>
      </c>
      <c r="F832" s="758" t="s">
        <v>1598</v>
      </c>
      <c r="G832" s="758"/>
      <c r="H832" s="758" t="s">
        <v>1667</v>
      </c>
      <c r="I832" s="132"/>
      <c r="J832" s="132"/>
      <c r="K832" s="132"/>
      <c r="L832" s="132"/>
      <c r="M832" s="132"/>
      <c r="N832" s="132"/>
      <c r="O832" s="132"/>
      <c r="P832" s="132"/>
      <c r="Q832" s="132"/>
      <c r="R832" s="132"/>
      <c r="S832" s="132"/>
      <c r="T832" s="132"/>
      <c r="U832" s="132"/>
      <c r="V832" s="132"/>
      <c r="W832" s="132"/>
      <c r="X832" s="132"/>
      <c r="Y832" s="132"/>
      <c r="Z832" s="132"/>
      <c r="AA832" s="132"/>
      <c r="AB832" s="132"/>
    </row>
    <row r="833" ht="24.75" hidden="1" customHeight="1" outlineLevel="1">
      <c r="A833" s="764">
        <v>45880.0</v>
      </c>
      <c r="B833" s="772" t="s">
        <v>489</v>
      </c>
      <c r="C833" s="642" t="s">
        <v>1752</v>
      </c>
      <c r="D833" s="642" t="s">
        <v>1744</v>
      </c>
      <c r="E833" s="768" t="s">
        <v>1745</v>
      </c>
      <c r="F833" s="758" t="s">
        <v>1598</v>
      </c>
      <c r="G833" s="758"/>
      <c r="H833" s="758" t="s">
        <v>1753</v>
      </c>
      <c r="I833" s="668"/>
      <c r="J833" s="132"/>
      <c r="K833" s="132"/>
      <c r="L833" s="132"/>
      <c r="M833" s="132"/>
      <c r="N833" s="132"/>
      <c r="O833" s="132"/>
      <c r="P833" s="132"/>
      <c r="Q833" s="132"/>
      <c r="R833" s="132"/>
      <c r="S833" s="132"/>
      <c r="T833" s="132"/>
      <c r="U833" s="132"/>
      <c r="V833" s="132"/>
      <c r="W833" s="132"/>
      <c r="X833" s="132"/>
      <c r="Y833" s="132"/>
      <c r="Z833" s="132"/>
      <c r="AA833" s="132"/>
      <c r="AB833" s="132"/>
    </row>
    <row r="834" ht="24.75" hidden="1" customHeight="1" outlineLevel="1">
      <c r="A834" s="764">
        <v>45880.0</v>
      </c>
      <c r="B834" s="772" t="s">
        <v>450</v>
      </c>
      <c r="C834" s="642" t="s">
        <v>1259</v>
      </c>
      <c r="D834" s="642" t="s">
        <v>1750</v>
      </c>
      <c r="E834" s="771" t="s">
        <v>1751</v>
      </c>
      <c r="F834" s="758" t="s">
        <v>1598</v>
      </c>
      <c r="G834" s="758"/>
      <c r="H834" s="758" t="s">
        <v>1671</v>
      </c>
      <c r="I834" s="668"/>
      <c r="J834" s="132"/>
      <c r="K834" s="132"/>
      <c r="L834" s="132"/>
      <c r="M834" s="132"/>
      <c r="N834" s="132"/>
      <c r="O834" s="132"/>
      <c r="P834" s="132"/>
      <c r="Q834" s="132"/>
      <c r="R834" s="132"/>
      <c r="S834" s="132"/>
      <c r="T834" s="132"/>
      <c r="U834" s="132"/>
      <c r="V834" s="132"/>
      <c r="W834" s="132"/>
      <c r="X834" s="132"/>
      <c r="Y834" s="132"/>
      <c r="Z834" s="132"/>
      <c r="AA834" s="132"/>
      <c r="AB834" s="132"/>
    </row>
    <row r="835" ht="24.75" hidden="1" customHeight="1" outlineLevel="1">
      <c r="A835" s="764">
        <v>45880.0</v>
      </c>
      <c r="B835" s="650" t="s">
        <v>1271</v>
      </c>
      <c r="C835" s="755" t="s">
        <v>1724</v>
      </c>
      <c r="D835" s="736" t="s">
        <v>1742</v>
      </c>
      <c r="E835" s="765" t="s">
        <v>1235</v>
      </c>
      <c r="F835" s="758" t="s">
        <v>1598</v>
      </c>
      <c r="G835" s="758" t="s">
        <v>1598</v>
      </c>
      <c r="H835" s="758" t="s">
        <v>1674</v>
      </c>
      <c r="I835" s="175" t="s">
        <v>1675</v>
      </c>
      <c r="J835" s="132"/>
      <c r="K835" s="132"/>
      <c r="L835" s="132"/>
      <c r="M835" s="132"/>
      <c r="N835" s="132"/>
      <c r="O835" s="132"/>
      <c r="P835" s="132"/>
      <c r="Q835" s="132"/>
      <c r="R835" s="132"/>
      <c r="S835" s="132"/>
      <c r="T835" s="132"/>
      <c r="U835" s="132"/>
      <c r="V835" s="132"/>
      <c r="W835" s="132"/>
      <c r="X835" s="132"/>
      <c r="Y835" s="132"/>
      <c r="Z835" s="132"/>
      <c r="AA835" s="132"/>
      <c r="AB835" s="132"/>
    </row>
    <row r="836" ht="24.75" hidden="1" customHeight="1" outlineLevel="1">
      <c r="A836" s="764">
        <v>45880.0</v>
      </c>
      <c r="B836" s="650" t="s">
        <v>1274</v>
      </c>
      <c r="C836" s="755" t="s">
        <v>1724</v>
      </c>
      <c r="D836" s="736" t="s">
        <v>1742</v>
      </c>
      <c r="E836" s="765" t="s">
        <v>1235</v>
      </c>
      <c r="F836" s="758" t="s">
        <v>1598</v>
      </c>
      <c r="G836" s="758" t="s">
        <v>1598</v>
      </c>
      <c r="H836" s="758" t="s">
        <v>1674</v>
      </c>
      <c r="I836" s="175" t="s">
        <v>1709</v>
      </c>
      <c r="J836" s="132"/>
      <c r="K836" s="132"/>
      <c r="L836" s="132"/>
      <c r="M836" s="132"/>
      <c r="N836" s="132"/>
      <c r="O836" s="132"/>
      <c r="P836" s="132"/>
      <c r="Q836" s="132"/>
      <c r="R836" s="132"/>
      <c r="S836" s="132"/>
      <c r="T836" s="132"/>
      <c r="U836" s="132"/>
      <c r="V836" s="132"/>
      <c r="W836" s="132"/>
      <c r="X836" s="132"/>
      <c r="Y836" s="132"/>
      <c r="Z836" s="132"/>
      <c r="AA836" s="132"/>
      <c r="AB836" s="132"/>
    </row>
    <row r="837" ht="24.75" hidden="1" customHeight="1" outlineLevel="1">
      <c r="A837" s="764">
        <v>45880.0</v>
      </c>
      <c r="B837" s="650" t="s">
        <v>629</v>
      </c>
      <c r="C837" s="650" t="s">
        <v>1233</v>
      </c>
      <c r="D837" s="650" t="s">
        <v>1319</v>
      </c>
      <c r="E837" s="765" t="s">
        <v>1235</v>
      </c>
      <c r="F837" s="758" t="s">
        <v>1598</v>
      </c>
      <c r="G837" s="758"/>
      <c r="H837" s="773" t="s">
        <v>1320</v>
      </c>
      <c r="I837" s="132"/>
      <c r="J837" s="132"/>
      <c r="K837" s="132"/>
      <c r="L837" s="132"/>
      <c r="M837" s="132"/>
      <c r="N837" s="175" t="s">
        <v>1596</v>
      </c>
      <c r="O837" s="132"/>
      <c r="P837" s="132"/>
      <c r="Q837" s="132"/>
      <c r="R837" s="132"/>
      <c r="S837" s="132"/>
      <c r="T837" s="132"/>
      <c r="U837" s="132"/>
      <c r="V837" s="132"/>
      <c r="W837" s="132"/>
      <c r="X837" s="132"/>
      <c r="Y837" s="132"/>
      <c r="Z837" s="132"/>
      <c r="AA837" s="132"/>
      <c r="AB837" s="132"/>
    </row>
    <row r="838" ht="24.75" hidden="1" customHeight="1" outlineLevel="1">
      <c r="A838" s="764">
        <v>45881.0</v>
      </c>
      <c r="B838" s="774" t="s">
        <v>1739</v>
      </c>
      <c r="C838" s="775" t="s">
        <v>1233</v>
      </c>
      <c r="D838" s="640" t="s">
        <v>1180</v>
      </c>
      <c r="E838" s="765" t="s">
        <v>1235</v>
      </c>
      <c r="F838" s="758" t="s">
        <v>1598</v>
      </c>
      <c r="G838" s="758"/>
      <c r="H838" s="758" t="s">
        <v>1586</v>
      </c>
      <c r="I838" s="175"/>
      <c r="J838" s="132"/>
      <c r="K838" s="132"/>
      <c r="L838" s="132"/>
      <c r="M838" s="132"/>
      <c r="N838" s="175" t="s">
        <v>1599</v>
      </c>
      <c r="O838" s="132"/>
      <c r="P838" s="132"/>
      <c r="Q838" s="132"/>
      <c r="R838" s="132"/>
      <c r="S838" s="132"/>
      <c r="T838" s="132"/>
      <c r="U838" s="132"/>
      <c r="V838" s="132"/>
      <c r="W838" s="132"/>
      <c r="X838" s="132"/>
      <c r="Y838" s="132"/>
      <c r="Z838" s="132"/>
      <c r="AA838" s="132"/>
      <c r="AB838" s="132"/>
    </row>
    <row r="839" ht="24.75" hidden="1" customHeight="1" outlineLevel="1">
      <c r="A839" s="764">
        <v>45881.0</v>
      </c>
      <c r="B839" s="775" t="s">
        <v>1232</v>
      </c>
      <c r="C839" s="640" t="s">
        <v>1233</v>
      </c>
      <c r="D839" s="776" t="s">
        <v>1600</v>
      </c>
      <c r="E839" s="765" t="s">
        <v>1235</v>
      </c>
      <c r="F839" s="758" t="s">
        <v>1598</v>
      </c>
      <c r="G839" s="758"/>
      <c r="H839" s="758" t="s">
        <v>1584</v>
      </c>
      <c r="I839" s="175"/>
      <c r="J839" s="132"/>
      <c r="K839" s="132"/>
      <c r="L839" s="132"/>
      <c r="M839" s="132"/>
      <c r="N839" s="132"/>
      <c r="O839" s="132"/>
      <c r="P839" s="132"/>
      <c r="Q839" s="132"/>
      <c r="R839" s="132"/>
      <c r="S839" s="132"/>
      <c r="T839" s="132"/>
      <c r="U839" s="132"/>
      <c r="V839" s="132"/>
      <c r="W839" s="132"/>
      <c r="X839" s="132"/>
      <c r="Y839" s="132"/>
      <c r="Z839" s="132"/>
      <c r="AA839" s="132"/>
      <c r="AB839" s="132"/>
    </row>
    <row r="840" ht="24.75" hidden="1" customHeight="1" outlineLevel="1">
      <c r="A840" s="764">
        <v>45881.0</v>
      </c>
      <c r="B840" s="775" t="s">
        <v>1325</v>
      </c>
      <c r="C840" s="777" t="s">
        <v>1233</v>
      </c>
      <c r="D840" s="775" t="s">
        <v>1319</v>
      </c>
      <c r="E840" s="765" t="s">
        <v>1235</v>
      </c>
      <c r="F840" s="758" t="s">
        <v>1598</v>
      </c>
      <c r="G840" s="758"/>
      <c r="H840" s="758" t="s">
        <v>1754</v>
      </c>
      <c r="I840" s="175"/>
      <c r="J840" s="132"/>
      <c r="K840" s="132"/>
      <c r="L840" s="132"/>
      <c r="M840" s="132"/>
      <c r="N840" s="132"/>
      <c r="O840" s="132"/>
      <c r="P840" s="132"/>
      <c r="Q840" s="132"/>
      <c r="R840" s="132"/>
      <c r="S840" s="132"/>
      <c r="T840" s="132"/>
      <c r="U840" s="132"/>
      <c r="V840" s="132"/>
      <c r="W840" s="132"/>
      <c r="X840" s="132"/>
      <c r="Y840" s="132"/>
      <c r="Z840" s="132"/>
      <c r="AA840" s="132"/>
      <c r="AB840" s="132"/>
    </row>
    <row r="841" ht="24.75" hidden="1" customHeight="1" outlineLevel="1">
      <c r="A841" s="764">
        <v>45881.0</v>
      </c>
      <c r="B841" s="775" t="s">
        <v>1755</v>
      </c>
      <c r="C841" s="736" t="s">
        <v>1735</v>
      </c>
      <c r="D841" s="640" t="s">
        <v>1746</v>
      </c>
      <c r="E841" s="769" t="s">
        <v>1747</v>
      </c>
      <c r="F841" s="758" t="s">
        <v>1598</v>
      </c>
      <c r="G841" s="758"/>
      <c r="H841" s="758" t="s">
        <v>1756</v>
      </c>
      <c r="I841" s="175"/>
      <c r="J841" s="132"/>
      <c r="K841" s="132"/>
      <c r="L841" s="132"/>
      <c r="M841" s="132"/>
      <c r="N841" s="132"/>
      <c r="O841" s="132"/>
      <c r="P841" s="132"/>
      <c r="Q841" s="132"/>
      <c r="R841" s="132"/>
      <c r="S841" s="132"/>
      <c r="T841" s="132"/>
      <c r="U841" s="132"/>
      <c r="V841" s="132"/>
      <c r="W841" s="132"/>
      <c r="X841" s="132"/>
      <c r="Y841" s="132"/>
      <c r="Z841" s="132"/>
      <c r="AA841" s="132"/>
      <c r="AB841" s="132"/>
    </row>
    <row r="842" ht="24.75" hidden="1" customHeight="1" outlineLevel="1">
      <c r="A842" s="764">
        <v>45882.0</v>
      </c>
      <c r="B842" s="775" t="s">
        <v>274</v>
      </c>
      <c r="C842" s="640" t="s">
        <v>1233</v>
      </c>
      <c r="D842" s="778" t="s">
        <v>1757</v>
      </c>
      <c r="E842" s="765" t="s">
        <v>1235</v>
      </c>
      <c r="F842" s="758" t="s">
        <v>1598</v>
      </c>
      <c r="G842" s="759"/>
      <c r="H842" s="758" t="s">
        <v>1758</v>
      </c>
      <c r="I842" s="175"/>
      <c r="J842" s="132"/>
      <c r="K842" s="132"/>
      <c r="L842" s="132"/>
      <c r="M842" s="132"/>
      <c r="N842" s="132"/>
      <c r="O842" s="132"/>
      <c r="P842" s="132"/>
      <c r="Q842" s="132"/>
      <c r="R842" s="132"/>
      <c r="S842" s="132"/>
      <c r="T842" s="132"/>
      <c r="U842" s="132"/>
      <c r="V842" s="132"/>
      <c r="W842" s="132"/>
      <c r="X842" s="132"/>
      <c r="Y842" s="132"/>
      <c r="Z842" s="132"/>
      <c r="AA842" s="132"/>
      <c r="AB842" s="132"/>
    </row>
    <row r="843" ht="24.75" hidden="1" customHeight="1" outlineLevel="1">
      <c r="A843" s="764">
        <v>45882.0</v>
      </c>
      <c r="B843" s="770" t="s">
        <v>271</v>
      </c>
      <c r="C843" s="640" t="s">
        <v>1743</v>
      </c>
      <c r="D843" s="779" t="s">
        <v>144</v>
      </c>
      <c r="E843" s="768" t="s">
        <v>1745</v>
      </c>
      <c r="F843" s="758" t="s">
        <v>1598</v>
      </c>
      <c r="G843" s="758"/>
      <c r="H843" s="758" t="s">
        <v>1603</v>
      </c>
      <c r="I843" s="175"/>
      <c r="J843" s="132"/>
      <c r="K843" s="132"/>
      <c r="L843" s="132"/>
      <c r="M843" s="132"/>
      <c r="N843" s="132"/>
      <c r="O843" s="132"/>
      <c r="P843" s="132"/>
      <c r="Q843" s="132"/>
      <c r="R843" s="132"/>
      <c r="S843" s="132"/>
      <c r="T843" s="132"/>
      <c r="U843" s="132"/>
      <c r="V843" s="132"/>
      <c r="W843" s="132"/>
      <c r="X843" s="132"/>
      <c r="Y843" s="132"/>
      <c r="Z843" s="132"/>
      <c r="AA843" s="132"/>
      <c r="AB843" s="132"/>
    </row>
    <row r="844" ht="24.75" hidden="1" customHeight="1" outlineLevel="1">
      <c r="A844" s="764">
        <v>45882.0</v>
      </c>
      <c r="B844" s="775" t="s">
        <v>1759</v>
      </c>
      <c r="C844" s="736" t="s">
        <v>1735</v>
      </c>
      <c r="D844" s="640" t="s">
        <v>1746</v>
      </c>
      <c r="E844" s="769" t="s">
        <v>1747</v>
      </c>
      <c r="F844" s="758" t="s">
        <v>1598</v>
      </c>
      <c r="G844" s="759"/>
      <c r="H844" s="758" t="s">
        <v>1756</v>
      </c>
      <c r="I844" s="175"/>
      <c r="J844" s="132"/>
      <c r="K844" s="132"/>
      <c r="L844" s="132"/>
      <c r="M844" s="132"/>
      <c r="N844" s="132"/>
      <c r="O844" s="132"/>
      <c r="P844" s="132"/>
      <c r="Q844" s="132"/>
      <c r="R844" s="132"/>
      <c r="S844" s="132"/>
      <c r="T844" s="132"/>
      <c r="U844" s="132"/>
      <c r="V844" s="132"/>
      <c r="W844" s="132"/>
      <c r="X844" s="132"/>
      <c r="Y844" s="132"/>
      <c r="Z844" s="132"/>
      <c r="AA844" s="132"/>
      <c r="AB844" s="132"/>
    </row>
    <row r="845" ht="24.75" hidden="1" customHeight="1" outlineLevel="1">
      <c r="A845" s="764">
        <v>45882.0</v>
      </c>
      <c r="B845" s="775" t="s">
        <v>277</v>
      </c>
      <c r="C845" s="740" t="s">
        <v>1715</v>
      </c>
      <c r="D845" s="779" t="s">
        <v>144</v>
      </c>
      <c r="E845" s="780" t="s">
        <v>1760</v>
      </c>
      <c r="F845" s="758" t="s">
        <v>1598</v>
      </c>
      <c r="G845" s="758" t="s">
        <v>1598</v>
      </c>
      <c r="H845" s="758" t="s">
        <v>1685</v>
      </c>
      <c r="I845" s="668"/>
      <c r="J845" s="132"/>
      <c r="K845" s="132"/>
      <c r="L845" s="132"/>
      <c r="M845" s="132"/>
      <c r="N845" s="132"/>
      <c r="O845" s="132"/>
      <c r="P845" s="132"/>
      <c r="Q845" s="132"/>
      <c r="R845" s="132"/>
      <c r="S845" s="132"/>
      <c r="T845" s="132"/>
      <c r="U845" s="132"/>
      <c r="V845" s="132"/>
      <c r="W845" s="132"/>
      <c r="X845" s="132"/>
      <c r="Y845" s="132"/>
      <c r="Z845" s="132"/>
      <c r="AA845" s="132"/>
      <c r="AB845" s="132"/>
    </row>
    <row r="846" ht="24.75" hidden="1" customHeight="1" outlineLevel="1">
      <c r="A846" s="764">
        <v>45882.0</v>
      </c>
      <c r="B846" s="741" t="s">
        <v>270</v>
      </c>
      <c r="C846" s="740" t="s">
        <v>1717</v>
      </c>
      <c r="D846" s="742" t="s">
        <v>144</v>
      </c>
      <c r="E846" s="781" t="s">
        <v>1761</v>
      </c>
      <c r="F846" s="758" t="s">
        <v>1598</v>
      </c>
      <c r="G846" s="758"/>
      <c r="H846" s="758" t="s">
        <v>1719</v>
      </c>
      <c r="I846" s="668"/>
      <c r="J846" s="132"/>
      <c r="K846" s="132"/>
      <c r="L846" s="132"/>
      <c r="M846" s="132"/>
      <c r="N846" s="132"/>
      <c r="O846" s="132"/>
      <c r="P846" s="132"/>
      <c r="Q846" s="132"/>
      <c r="R846" s="132"/>
      <c r="S846" s="132"/>
      <c r="T846" s="132"/>
      <c r="U846" s="132"/>
      <c r="V846" s="132"/>
      <c r="W846" s="132"/>
      <c r="X846" s="132"/>
      <c r="Y846" s="132"/>
      <c r="Z846" s="132"/>
      <c r="AA846" s="132"/>
      <c r="AB846" s="132"/>
    </row>
    <row r="847" ht="24.75" hidden="1" customHeight="1" outlineLevel="1">
      <c r="A847" s="764">
        <v>45883.0</v>
      </c>
      <c r="B847" s="705" t="s">
        <v>317</v>
      </c>
      <c r="C847" s="640" t="s">
        <v>1259</v>
      </c>
      <c r="D847" s="742" t="s">
        <v>144</v>
      </c>
      <c r="E847" s="771" t="s">
        <v>1751</v>
      </c>
      <c r="F847" s="758" t="s">
        <v>1598</v>
      </c>
      <c r="G847" s="759"/>
      <c r="H847" s="758" t="s">
        <v>1671</v>
      </c>
      <c r="I847" s="668"/>
      <c r="J847" s="132"/>
      <c r="K847" s="132"/>
      <c r="L847" s="132"/>
      <c r="M847" s="132"/>
      <c r="N847" s="132"/>
      <c r="O847" s="132"/>
      <c r="P847" s="132"/>
      <c r="Q847" s="132"/>
      <c r="R847" s="132"/>
      <c r="S847" s="132"/>
      <c r="T847" s="132"/>
      <c r="U847" s="132"/>
      <c r="V847" s="132"/>
      <c r="W847" s="132"/>
      <c r="X847" s="132"/>
      <c r="Y847" s="132"/>
      <c r="Z847" s="132"/>
      <c r="AA847" s="132"/>
      <c r="AB847" s="132"/>
    </row>
    <row r="848" ht="24.75" hidden="1" customHeight="1" outlineLevel="1">
      <c r="A848" s="764">
        <v>45883.0</v>
      </c>
      <c r="B848" s="775" t="s">
        <v>1762</v>
      </c>
      <c r="C848" s="736" t="s">
        <v>1735</v>
      </c>
      <c r="D848" s="640" t="s">
        <v>1746</v>
      </c>
      <c r="E848" s="769" t="s">
        <v>1747</v>
      </c>
      <c r="F848" s="758" t="s">
        <v>1598</v>
      </c>
      <c r="G848" s="759"/>
      <c r="H848" s="758" t="s">
        <v>1756</v>
      </c>
      <c r="I848" s="175"/>
      <c r="J848" s="132"/>
      <c r="K848" s="132"/>
      <c r="L848" s="132"/>
      <c r="M848" s="132"/>
      <c r="N848" s="132"/>
      <c r="O848" s="132"/>
      <c r="P848" s="132"/>
      <c r="Q848" s="132"/>
      <c r="R848" s="132"/>
      <c r="S848" s="132"/>
      <c r="T848" s="132"/>
      <c r="U848" s="132"/>
      <c r="V848" s="132"/>
      <c r="W848" s="132"/>
      <c r="X848" s="132"/>
      <c r="Y848" s="132"/>
      <c r="Z848" s="132"/>
      <c r="AA848" s="132"/>
      <c r="AB848" s="132"/>
    </row>
    <row r="849" ht="24.75" hidden="1" customHeight="1" outlineLevel="1">
      <c r="A849" s="764">
        <v>45884.0</v>
      </c>
      <c r="B849" s="775" t="s">
        <v>1232</v>
      </c>
      <c r="C849" s="640" t="s">
        <v>1233</v>
      </c>
      <c r="D849" s="776" t="s">
        <v>1600</v>
      </c>
      <c r="E849" s="765" t="s">
        <v>1235</v>
      </c>
      <c r="F849" s="758" t="s">
        <v>1598</v>
      </c>
      <c r="G849" s="758"/>
      <c r="H849" s="758" t="s">
        <v>1584</v>
      </c>
      <c r="I849" s="175"/>
      <c r="J849" s="132"/>
      <c r="K849" s="132"/>
      <c r="L849" s="132"/>
      <c r="M849" s="132"/>
      <c r="N849" s="132"/>
      <c r="O849" s="132"/>
      <c r="P849" s="132"/>
      <c r="Q849" s="132"/>
      <c r="R849" s="132"/>
      <c r="S849" s="132"/>
      <c r="T849" s="132"/>
      <c r="U849" s="132"/>
      <c r="V849" s="132"/>
      <c r="W849" s="132"/>
      <c r="X849" s="132"/>
      <c r="Y849" s="132"/>
      <c r="Z849" s="132"/>
      <c r="AA849" s="132"/>
      <c r="AB849" s="132"/>
    </row>
    <row r="850" ht="24.75" hidden="1" customHeight="1" outlineLevel="1">
      <c r="A850" s="764">
        <v>45884.0</v>
      </c>
      <c r="B850" s="766" t="s">
        <v>1739</v>
      </c>
      <c r="C850" s="650" t="s">
        <v>1233</v>
      </c>
      <c r="D850" s="642" t="s">
        <v>1180</v>
      </c>
      <c r="E850" s="765" t="s">
        <v>1235</v>
      </c>
      <c r="F850" s="758" t="s">
        <v>1598</v>
      </c>
      <c r="G850" s="758"/>
      <c r="H850" s="758" t="s">
        <v>1586</v>
      </c>
      <c r="I850" s="175"/>
      <c r="J850" s="132"/>
      <c r="K850" s="132"/>
      <c r="L850" s="132"/>
      <c r="M850" s="132"/>
      <c r="N850" s="132"/>
      <c r="O850" s="132"/>
      <c r="P850" s="132"/>
      <c r="Q850" s="132"/>
      <c r="R850" s="132"/>
      <c r="S850" s="132"/>
      <c r="T850" s="132"/>
      <c r="U850" s="132"/>
      <c r="V850" s="132"/>
      <c r="W850" s="132"/>
      <c r="X850" s="132"/>
      <c r="Y850" s="132"/>
      <c r="Z850" s="132"/>
      <c r="AA850" s="132"/>
      <c r="AB850" s="132"/>
    </row>
    <row r="851" ht="24.75" hidden="1" customHeight="1" outlineLevel="1">
      <c r="A851" s="764">
        <v>45884.0</v>
      </c>
      <c r="B851" s="650" t="s">
        <v>369</v>
      </c>
      <c r="C851" s="642" t="s">
        <v>1763</v>
      </c>
      <c r="D851" s="742" t="s">
        <v>144</v>
      </c>
      <c r="E851" s="782" t="s">
        <v>1764</v>
      </c>
      <c r="F851" s="758" t="s">
        <v>1598</v>
      </c>
      <c r="G851" s="758"/>
      <c r="H851" s="758" t="s">
        <v>1740</v>
      </c>
      <c r="I851" s="175"/>
      <c r="J851" s="132"/>
      <c r="K851" s="132"/>
      <c r="L851" s="132"/>
      <c r="M851" s="132"/>
      <c r="N851" s="132"/>
      <c r="O851" s="132"/>
      <c r="P851" s="132"/>
      <c r="Q851" s="132"/>
      <c r="R851" s="132"/>
      <c r="S851" s="132"/>
      <c r="T851" s="132"/>
      <c r="U851" s="132"/>
      <c r="V851" s="132"/>
      <c r="W851" s="132"/>
      <c r="X851" s="132"/>
      <c r="Y851" s="132"/>
      <c r="Z851" s="132"/>
      <c r="AA851" s="132"/>
      <c r="AB851" s="132"/>
    </row>
    <row r="852" ht="24.75" hidden="1" customHeight="1" outlineLevel="1">
      <c r="A852" s="764">
        <v>45885.0</v>
      </c>
      <c r="B852" s="775" t="s">
        <v>394</v>
      </c>
      <c r="C852" s="640" t="s">
        <v>1233</v>
      </c>
      <c r="D852" s="778" t="s">
        <v>1765</v>
      </c>
      <c r="E852" s="765" t="s">
        <v>1235</v>
      </c>
      <c r="F852" s="758" t="s">
        <v>1598</v>
      </c>
      <c r="G852" s="759"/>
      <c r="H852" s="758" t="s">
        <v>1741</v>
      </c>
      <c r="I852" s="175"/>
      <c r="J852" s="132"/>
      <c r="K852" s="132"/>
      <c r="L852" s="132"/>
      <c r="M852" s="132"/>
      <c r="N852" s="132"/>
      <c r="O852" s="132"/>
      <c r="P852" s="132"/>
      <c r="Q852" s="132"/>
      <c r="R852" s="132"/>
      <c r="S852" s="132"/>
      <c r="T852" s="132"/>
      <c r="U852" s="132"/>
      <c r="V852" s="132"/>
      <c r="W852" s="132"/>
      <c r="X852" s="132"/>
      <c r="Y852" s="132"/>
      <c r="Z852" s="132"/>
      <c r="AA852" s="132"/>
      <c r="AB852" s="132"/>
    </row>
    <row r="853" ht="24.75" hidden="1" customHeight="1" outlineLevel="1">
      <c r="A853" s="764">
        <v>45885.0</v>
      </c>
      <c r="B853" s="767" t="str">
        <f>HYPERLINK("https://docs.google.com/spreadsheets/d/1v3B9E8Jeqx3_JGvRHJ2cXJ5OAGLvZiOXZru0niKH-QQ/edit?ts=56170761#gid=1991794180","☆横浜")</f>
        <v>☆横浜</v>
      </c>
      <c r="C853" s="736" t="s">
        <v>1722</v>
      </c>
      <c r="D853" s="742" t="s">
        <v>144</v>
      </c>
      <c r="E853" s="783" t="s">
        <v>1766</v>
      </c>
      <c r="F853" s="758" t="s">
        <v>1598</v>
      </c>
      <c r="G853" s="758" t="s">
        <v>1598</v>
      </c>
      <c r="H853" s="758" t="s">
        <v>1648</v>
      </c>
      <c r="I853" s="668"/>
      <c r="J853" s="132"/>
      <c r="K853" s="132"/>
      <c r="L853" s="132"/>
      <c r="M853" s="132"/>
      <c r="N853" s="132"/>
      <c r="O853" s="132"/>
      <c r="P853" s="132"/>
      <c r="Q853" s="132"/>
      <c r="R853" s="132"/>
      <c r="S853" s="132"/>
      <c r="T853" s="132"/>
      <c r="U853" s="132"/>
      <c r="V853" s="132"/>
      <c r="W853" s="132"/>
      <c r="X853" s="132"/>
      <c r="Y853" s="132"/>
      <c r="Z853" s="132"/>
      <c r="AA853" s="132"/>
      <c r="AB853" s="132"/>
    </row>
    <row r="854" ht="24.75" hidden="1" customHeight="1" outlineLevel="1">
      <c r="A854" s="764">
        <v>45885.0</v>
      </c>
      <c r="B854" s="705" t="str">
        <f>HYPERLINK("https://docs.google.com/spreadsheets/d/1xrfsiAjLwPhBlveDsLSsUUfMnNpOidnkNLqHJabwWYo/edit?ts=56ea7063#gid=1283986028","☆救済メルマガ(UP10)")</f>
        <v>☆救済メルマガ(UP10)</v>
      </c>
      <c r="C854" s="642" t="s">
        <v>1743</v>
      </c>
      <c r="D854" s="742" t="s">
        <v>144</v>
      </c>
      <c r="E854" s="768" t="s">
        <v>1745</v>
      </c>
      <c r="F854" s="758" t="s">
        <v>1598</v>
      </c>
      <c r="G854" s="758"/>
      <c r="H854" s="758" t="s">
        <v>1652</v>
      </c>
      <c r="I854" s="668"/>
      <c r="J854" s="132"/>
      <c r="K854" s="132"/>
      <c r="L854" s="132"/>
      <c r="M854" s="132"/>
      <c r="N854" s="132"/>
      <c r="O854" s="132"/>
      <c r="P854" s="132"/>
      <c r="Q854" s="132"/>
      <c r="R854" s="132"/>
      <c r="S854" s="132"/>
      <c r="T854" s="132"/>
      <c r="U854" s="132"/>
      <c r="V854" s="132"/>
      <c r="W854" s="132"/>
      <c r="X854" s="132"/>
      <c r="Y854" s="132"/>
      <c r="Z854" s="132"/>
      <c r="AA854" s="132"/>
      <c r="AB854" s="132"/>
    </row>
    <row r="855" ht="24.75" hidden="1" customHeight="1" outlineLevel="1">
      <c r="A855" s="764">
        <v>45886.0</v>
      </c>
      <c r="B855" s="705" t="s">
        <v>421</v>
      </c>
      <c r="C855" s="736" t="s">
        <v>1735</v>
      </c>
      <c r="D855" s="742" t="s">
        <v>144</v>
      </c>
      <c r="E855" s="769" t="s">
        <v>1747</v>
      </c>
      <c r="F855" s="758" t="s">
        <v>1598</v>
      </c>
      <c r="G855" s="758"/>
      <c r="H855" s="758" t="s">
        <v>1652</v>
      </c>
      <c r="I855" s="668"/>
      <c r="J855" s="132"/>
      <c r="K855" s="132"/>
      <c r="L855" s="132"/>
      <c r="M855" s="132"/>
      <c r="N855" s="132"/>
      <c r="O855" s="132"/>
      <c r="P855" s="132"/>
      <c r="Q855" s="132"/>
      <c r="R855" s="132"/>
      <c r="S855" s="132"/>
      <c r="T855" s="132"/>
      <c r="U855" s="132"/>
      <c r="V855" s="132"/>
      <c r="W855" s="132"/>
      <c r="X855" s="132"/>
      <c r="Y855" s="132"/>
      <c r="Z855" s="132"/>
      <c r="AA855" s="132"/>
      <c r="AB855" s="132"/>
    </row>
    <row r="856" ht="24.75" hidden="1" customHeight="1" outlineLevel="1">
      <c r="A856" s="784">
        <v>45886.0</v>
      </c>
      <c r="B856" s="775" t="s">
        <v>42</v>
      </c>
      <c r="C856" s="640" t="s">
        <v>1748</v>
      </c>
      <c r="D856" s="742" t="s">
        <v>144</v>
      </c>
      <c r="E856" s="785" t="s">
        <v>1767</v>
      </c>
      <c r="F856" s="786" t="s">
        <v>1598</v>
      </c>
      <c r="G856" s="786" t="s">
        <v>1598</v>
      </c>
      <c r="H856" s="786" t="s">
        <v>1749</v>
      </c>
      <c r="I856" s="668" t="s">
        <v>1768</v>
      </c>
      <c r="J856" s="787"/>
      <c r="K856" s="787"/>
      <c r="L856" s="787"/>
      <c r="M856" s="787"/>
      <c r="N856" s="787"/>
      <c r="O856" s="788"/>
      <c r="P856" s="788"/>
      <c r="Q856" s="788"/>
      <c r="R856" s="788"/>
      <c r="S856" s="788"/>
      <c r="T856" s="788"/>
      <c r="U856" s="788"/>
      <c r="V856" s="788"/>
      <c r="W856" s="788"/>
      <c r="X856" s="788"/>
      <c r="Y856" s="788"/>
      <c r="Z856" s="788"/>
      <c r="AA856" s="788"/>
      <c r="AB856" s="788"/>
      <c r="AC856" s="789"/>
    </row>
    <row r="857" ht="24.75" hidden="1" customHeight="1" outlineLevel="1">
      <c r="A857" s="764">
        <v>45886.0</v>
      </c>
      <c r="B857" s="770" t="str">
        <f>HYPERLINK("https://docs.google.com/spreadsheets/d/14VRt1DzygoL3ldywdTGi4p4-5N6W0OO9Ugf6GEHXv1k/edit#gid=351252924","☆TP部メルマガ")</f>
        <v>☆TP部メルマガ</v>
      </c>
      <c r="C857" s="736" t="s">
        <v>1259</v>
      </c>
      <c r="D857" s="742" t="s">
        <v>144</v>
      </c>
      <c r="E857" s="771" t="s">
        <v>1751</v>
      </c>
      <c r="F857" s="758" t="s">
        <v>1598</v>
      </c>
      <c r="G857" s="758"/>
      <c r="H857" s="758" t="s">
        <v>1667</v>
      </c>
      <c r="I857" s="668"/>
      <c r="J857" s="132"/>
      <c r="K857" s="132"/>
      <c r="L857" s="132"/>
      <c r="M857" s="132"/>
      <c r="N857" s="132"/>
      <c r="O857" s="132"/>
      <c r="P857" s="132"/>
      <c r="Q857" s="132"/>
      <c r="R857" s="132"/>
      <c r="S857" s="132"/>
      <c r="T857" s="132"/>
      <c r="U857" s="132"/>
      <c r="V857" s="132"/>
      <c r="W857" s="132"/>
      <c r="X857" s="132"/>
      <c r="Y857" s="132"/>
      <c r="Z857" s="132"/>
      <c r="AA857" s="132"/>
      <c r="AB857" s="132"/>
    </row>
    <row r="858" ht="24.75" hidden="1" customHeight="1" outlineLevel="1">
      <c r="A858" s="764">
        <v>45887.0</v>
      </c>
      <c r="B858" s="772" t="s">
        <v>489</v>
      </c>
      <c r="C858" s="642" t="s">
        <v>1752</v>
      </c>
      <c r="D858" s="742" t="s">
        <v>144</v>
      </c>
      <c r="E858" s="768" t="s">
        <v>1745</v>
      </c>
      <c r="F858" s="758" t="s">
        <v>1598</v>
      </c>
      <c r="G858" s="758"/>
      <c r="H858" s="758" t="s">
        <v>1753</v>
      </c>
      <c r="I858" s="668"/>
      <c r="J858" s="132"/>
      <c r="K858" s="132"/>
      <c r="L858" s="132"/>
      <c r="M858" s="132"/>
      <c r="N858" s="132"/>
      <c r="O858" s="132"/>
      <c r="P858" s="132"/>
      <c r="Q858" s="132"/>
      <c r="R858" s="132"/>
      <c r="S858" s="132"/>
      <c r="T858" s="132"/>
      <c r="U858" s="132"/>
      <c r="V858" s="132"/>
      <c r="W858" s="132"/>
      <c r="X858" s="132"/>
      <c r="Y858" s="132"/>
      <c r="Z858" s="132"/>
      <c r="AA858" s="132"/>
      <c r="AB858" s="132"/>
    </row>
    <row r="859" ht="24.75" hidden="1" customHeight="1" outlineLevel="1">
      <c r="A859" s="764">
        <v>45887.0</v>
      </c>
      <c r="B859" s="772" t="s">
        <v>450</v>
      </c>
      <c r="C859" s="642" t="s">
        <v>1259</v>
      </c>
      <c r="D859" s="742" t="s">
        <v>144</v>
      </c>
      <c r="E859" s="771" t="s">
        <v>1751</v>
      </c>
      <c r="F859" s="758" t="s">
        <v>1598</v>
      </c>
      <c r="G859" s="758"/>
      <c r="H859" s="758" t="s">
        <v>1671</v>
      </c>
      <c r="I859" s="668"/>
      <c r="J859" s="132"/>
      <c r="K859" s="132"/>
      <c r="L859" s="132"/>
      <c r="M859" s="132"/>
      <c r="N859" s="132"/>
      <c r="O859" s="132"/>
      <c r="P859" s="132"/>
      <c r="Q859" s="132"/>
      <c r="R859" s="132"/>
      <c r="S859" s="132"/>
      <c r="T859" s="132"/>
      <c r="U859" s="132"/>
      <c r="V859" s="132"/>
      <c r="W859" s="132"/>
      <c r="X859" s="132"/>
      <c r="Y859" s="132"/>
      <c r="Z859" s="132"/>
      <c r="AA859" s="132"/>
      <c r="AB859" s="132"/>
    </row>
    <row r="860" ht="24.75" hidden="1" customHeight="1" outlineLevel="1">
      <c r="A860" s="764">
        <v>45887.0</v>
      </c>
      <c r="B860" s="650" t="s">
        <v>1271</v>
      </c>
      <c r="C860" s="755" t="s">
        <v>1724</v>
      </c>
      <c r="D860" s="742" t="s">
        <v>144</v>
      </c>
      <c r="E860" s="790" t="s">
        <v>1769</v>
      </c>
      <c r="F860" s="758" t="s">
        <v>1598</v>
      </c>
      <c r="G860" s="758" t="s">
        <v>1598</v>
      </c>
      <c r="H860" s="758" t="s">
        <v>1770</v>
      </c>
      <c r="I860" s="175" t="s">
        <v>1675</v>
      </c>
      <c r="J860" s="132"/>
      <c r="K860" s="132"/>
      <c r="L860" s="132"/>
      <c r="M860" s="132"/>
      <c r="N860" s="132"/>
      <c r="O860" s="132"/>
      <c r="P860" s="132"/>
      <c r="Q860" s="132"/>
      <c r="R860" s="132"/>
      <c r="S860" s="132"/>
      <c r="T860" s="132"/>
      <c r="U860" s="132"/>
      <c r="V860" s="132"/>
      <c r="W860" s="132"/>
      <c r="X860" s="132"/>
      <c r="Y860" s="132"/>
      <c r="Z860" s="132"/>
      <c r="AA860" s="132"/>
      <c r="AB860" s="132"/>
    </row>
    <row r="861" ht="24.75" hidden="1" customHeight="1" outlineLevel="1">
      <c r="A861" s="764">
        <v>45887.0</v>
      </c>
      <c r="B861" s="650" t="s">
        <v>1274</v>
      </c>
      <c r="C861" s="755" t="s">
        <v>1724</v>
      </c>
      <c r="D861" s="742" t="s">
        <v>144</v>
      </c>
      <c r="E861" s="790" t="s">
        <v>1769</v>
      </c>
      <c r="F861" s="758" t="s">
        <v>1598</v>
      </c>
      <c r="G861" s="758" t="s">
        <v>1598</v>
      </c>
      <c r="H861" s="758" t="s">
        <v>1770</v>
      </c>
      <c r="I861" s="175" t="s">
        <v>1709</v>
      </c>
      <c r="J861" s="132"/>
      <c r="K861" s="132"/>
      <c r="L861" s="132"/>
      <c r="M861" s="132"/>
      <c r="N861" s="132"/>
      <c r="O861" s="132"/>
      <c r="P861" s="132"/>
      <c r="Q861" s="132"/>
      <c r="R861" s="132"/>
      <c r="S861" s="132"/>
      <c r="T861" s="132"/>
      <c r="U861" s="132"/>
      <c r="V861" s="132"/>
      <c r="W861" s="132"/>
      <c r="X861" s="132"/>
      <c r="Y861" s="132"/>
      <c r="Z861" s="132"/>
      <c r="AA861" s="132"/>
      <c r="AB861" s="132"/>
    </row>
    <row r="862" ht="24.75" hidden="1" customHeight="1" outlineLevel="1">
      <c r="A862" s="764">
        <v>45887.0</v>
      </c>
      <c r="B862" s="650" t="s">
        <v>629</v>
      </c>
      <c r="C862" s="650" t="s">
        <v>1233</v>
      </c>
      <c r="D862" s="650" t="s">
        <v>1319</v>
      </c>
      <c r="E862" s="765" t="s">
        <v>1235</v>
      </c>
      <c r="F862" s="758" t="s">
        <v>1598</v>
      </c>
      <c r="G862" s="758"/>
      <c r="H862" s="773" t="s">
        <v>1320</v>
      </c>
      <c r="I862" s="132"/>
      <c r="J862" s="132"/>
      <c r="K862" s="132"/>
      <c r="L862" s="132"/>
      <c r="M862" s="132"/>
      <c r="N862" s="175" t="s">
        <v>1596</v>
      </c>
      <c r="O862" s="132"/>
      <c r="P862" s="132"/>
      <c r="Q862" s="132"/>
      <c r="R862" s="132"/>
      <c r="S862" s="132"/>
      <c r="T862" s="132"/>
      <c r="U862" s="132"/>
      <c r="V862" s="132"/>
      <c r="W862" s="132"/>
      <c r="X862" s="132"/>
      <c r="Y862" s="132"/>
      <c r="Z862" s="132"/>
      <c r="AA862" s="132"/>
      <c r="AB862" s="132"/>
    </row>
    <row r="863" ht="24.75" hidden="1" customHeight="1" outlineLevel="1">
      <c r="A863" s="764">
        <v>45888.0</v>
      </c>
      <c r="B863" s="774" t="s">
        <v>1739</v>
      </c>
      <c r="C863" s="775" t="s">
        <v>1233</v>
      </c>
      <c r="D863" s="640" t="s">
        <v>1180</v>
      </c>
      <c r="E863" s="765" t="s">
        <v>1235</v>
      </c>
      <c r="F863" s="758" t="s">
        <v>1598</v>
      </c>
      <c r="G863" s="758"/>
      <c r="H863" s="758" t="s">
        <v>1586</v>
      </c>
      <c r="I863" s="175"/>
      <c r="J863" s="132"/>
      <c r="K863" s="132"/>
      <c r="L863" s="132"/>
      <c r="M863" s="132"/>
      <c r="N863" s="175" t="s">
        <v>1599</v>
      </c>
      <c r="O863" s="132"/>
      <c r="P863" s="132"/>
      <c r="Q863" s="132"/>
      <c r="R863" s="132"/>
      <c r="S863" s="132"/>
      <c r="T863" s="132"/>
      <c r="U863" s="132"/>
      <c r="V863" s="132"/>
      <c r="W863" s="132"/>
      <c r="X863" s="132"/>
      <c r="Y863" s="132"/>
      <c r="Z863" s="132"/>
      <c r="AA863" s="132"/>
      <c r="AB863" s="132"/>
    </row>
    <row r="864" ht="24.75" hidden="1" customHeight="1" outlineLevel="1">
      <c r="A864" s="764">
        <v>45888.0</v>
      </c>
      <c r="B864" s="775" t="s">
        <v>1232</v>
      </c>
      <c r="C864" s="640" t="s">
        <v>1233</v>
      </c>
      <c r="D864" s="640" t="s">
        <v>1180</v>
      </c>
      <c r="E864" s="765" t="s">
        <v>1235</v>
      </c>
      <c r="F864" s="758" t="s">
        <v>1598</v>
      </c>
      <c r="G864" s="758"/>
      <c r="H864" s="758" t="s">
        <v>1584</v>
      </c>
      <c r="I864" s="175"/>
      <c r="J864" s="132"/>
      <c r="K864" s="132"/>
      <c r="L864" s="132"/>
      <c r="M864" s="132"/>
      <c r="N864" s="132"/>
      <c r="O864" s="132"/>
      <c r="P864" s="132"/>
      <c r="Q864" s="132"/>
      <c r="R864" s="132"/>
      <c r="S864" s="132"/>
      <c r="T864" s="132"/>
      <c r="U864" s="132"/>
      <c r="V864" s="132"/>
      <c r="W864" s="132"/>
      <c r="X864" s="132"/>
      <c r="Y864" s="132"/>
      <c r="Z864" s="132"/>
      <c r="AA864" s="132"/>
      <c r="AB864" s="132"/>
    </row>
    <row r="865" ht="24.75" hidden="1" customHeight="1" outlineLevel="1">
      <c r="A865" s="764">
        <v>45888.0</v>
      </c>
      <c r="B865" s="775" t="s">
        <v>1325</v>
      </c>
      <c r="C865" s="777" t="s">
        <v>1233</v>
      </c>
      <c r="D865" s="775" t="s">
        <v>1319</v>
      </c>
      <c r="E865" s="765" t="s">
        <v>1235</v>
      </c>
      <c r="F865" s="758" t="s">
        <v>1598</v>
      </c>
      <c r="G865" s="758"/>
      <c r="H865" s="758" t="s">
        <v>1754</v>
      </c>
      <c r="I865" s="175"/>
      <c r="J865" s="132"/>
      <c r="K865" s="132"/>
      <c r="L865" s="132"/>
      <c r="M865" s="132"/>
      <c r="N865" s="132"/>
      <c r="O865" s="132"/>
      <c r="P865" s="132"/>
      <c r="Q865" s="132"/>
      <c r="R865" s="132"/>
      <c r="S865" s="132"/>
      <c r="T865" s="132"/>
      <c r="U865" s="132"/>
      <c r="V865" s="132"/>
      <c r="W865" s="132"/>
      <c r="X865" s="132"/>
      <c r="Y865" s="132"/>
      <c r="Z865" s="132"/>
      <c r="AA865" s="132"/>
      <c r="AB865" s="132"/>
    </row>
    <row r="866" ht="24.75" hidden="1" customHeight="1" outlineLevel="1">
      <c r="A866" s="764">
        <v>45888.0</v>
      </c>
      <c r="B866" s="775" t="s">
        <v>1755</v>
      </c>
      <c r="C866" s="736" t="s">
        <v>1735</v>
      </c>
      <c r="D866" s="640" t="s">
        <v>1771</v>
      </c>
      <c r="E866" s="769" t="s">
        <v>1747</v>
      </c>
      <c r="F866" s="758" t="s">
        <v>1598</v>
      </c>
      <c r="G866" s="758"/>
      <c r="H866" s="758" t="s">
        <v>1756</v>
      </c>
      <c r="I866" s="175"/>
      <c r="J866" s="132"/>
      <c r="K866" s="132"/>
      <c r="L866" s="132"/>
      <c r="M866" s="132"/>
      <c r="N866" s="132"/>
      <c r="O866" s="132"/>
      <c r="P866" s="132"/>
      <c r="Q866" s="132"/>
      <c r="R866" s="132"/>
      <c r="S866" s="132"/>
      <c r="T866" s="132"/>
      <c r="U866" s="132"/>
      <c r="V866" s="132"/>
      <c r="W866" s="132"/>
      <c r="X866" s="132"/>
      <c r="Y866" s="132"/>
      <c r="Z866" s="132"/>
      <c r="AA866" s="132"/>
      <c r="AB866" s="132"/>
    </row>
    <row r="867" ht="24.75" hidden="1" customHeight="1" outlineLevel="1">
      <c r="A867" s="764">
        <v>45889.0</v>
      </c>
      <c r="B867" s="775" t="s">
        <v>1759</v>
      </c>
      <c r="C867" s="736" t="s">
        <v>1735</v>
      </c>
      <c r="D867" s="640" t="s">
        <v>1771</v>
      </c>
      <c r="E867" s="769" t="s">
        <v>1747</v>
      </c>
      <c r="F867" s="758" t="s">
        <v>1598</v>
      </c>
      <c r="G867" s="759"/>
      <c r="H867" s="758" t="s">
        <v>1756</v>
      </c>
      <c r="I867" s="668"/>
      <c r="J867" s="132"/>
      <c r="K867" s="132"/>
      <c r="L867" s="132"/>
      <c r="M867" s="132"/>
      <c r="N867" s="132"/>
      <c r="O867" s="132"/>
      <c r="P867" s="132"/>
      <c r="Q867" s="132"/>
      <c r="R867" s="132"/>
      <c r="S867" s="132"/>
      <c r="T867" s="132"/>
      <c r="U867" s="132"/>
      <c r="V867" s="132"/>
      <c r="W867" s="132"/>
      <c r="X867" s="132"/>
      <c r="Y867" s="132"/>
      <c r="Z867" s="132"/>
      <c r="AA867" s="132"/>
      <c r="AB867" s="132"/>
    </row>
    <row r="868" ht="24.75" hidden="1" customHeight="1" outlineLevel="1">
      <c r="A868" s="764">
        <v>45890.0</v>
      </c>
      <c r="B868" s="775" t="s">
        <v>1762</v>
      </c>
      <c r="C868" s="736" t="s">
        <v>1735</v>
      </c>
      <c r="D868" s="640" t="s">
        <v>1771</v>
      </c>
      <c r="E868" s="769" t="s">
        <v>1747</v>
      </c>
      <c r="F868" s="758" t="s">
        <v>1598</v>
      </c>
      <c r="G868" s="759"/>
      <c r="H868" s="758" t="s">
        <v>1756</v>
      </c>
      <c r="I868" s="668"/>
      <c r="J868" s="132"/>
      <c r="K868" s="132"/>
      <c r="L868" s="132"/>
      <c r="M868" s="132"/>
      <c r="N868" s="132"/>
      <c r="O868" s="132"/>
      <c r="P868" s="132"/>
      <c r="Q868" s="132"/>
      <c r="R868" s="132"/>
      <c r="S868" s="132"/>
      <c r="T868" s="132"/>
      <c r="U868" s="132"/>
      <c r="V868" s="132"/>
      <c r="W868" s="132"/>
      <c r="X868" s="132"/>
      <c r="Y868" s="132"/>
      <c r="Z868" s="132"/>
      <c r="AA868" s="132"/>
      <c r="AB868" s="132"/>
    </row>
    <row r="869" ht="24.75" customHeight="1">
      <c r="A869" s="175" t="s">
        <v>1772</v>
      </c>
      <c r="B869" s="132"/>
      <c r="C869" s="132"/>
      <c r="D869" s="132"/>
      <c r="E869" s="496"/>
      <c r="F869" s="132"/>
      <c r="G869" s="132"/>
      <c r="H869" s="132"/>
      <c r="I869" s="132"/>
      <c r="J869" s="132"/>
      <c r="K869" s="132"/>
      <c r="L869" s="132"/>
      <c r="M869" s="132"/>
      <c r="N869" s="132"/>
      <c r="O869" s="132"/>
      <c r="P869" s="132"/>
      <c r="Q869" s="132"/>
      <c r="R869" s="132"/>
      <c r="S869" s="132"/>
      <c r="T869" s="132"/>
      <c r="U869" s="132"/>
      <c r="V869" s="132"/>
      <c r="W869" s="132"/>
      <c r="X869" s="132"/>
      <c r="Y869" s="132"/>
      <c r="Z869" s="132"/>
      <c r="AA869" s="132"/>
      <c r="AB869" s="132"/>
      <c r="AC869" s="132"/>
    </row>
    <row r="870" ht="24.75" customHeight="1">
      <c r="A870" s="132"/>
      <c r="B870" s="132"/>
      <c r="C870" s="132"/>
      <c r="D870" s="132"/>
      <c r="E870" s="496"/>
      <c r="F870" s="132"/>
      <c r="G870" s="132"/>
      <c r="H870" s="132"/>
      <c r="I870" s="132"/>
      <c r="J870" s="132"/>
      <c r="K870" s="132"/>
      <c r="L870" s="132"/>
      <c r="M870" s="132"/>
      <c r="N870" s="132"/>
      <c r="O870" s="132"/>
      <c r="P870" s="132"/>
      <c r="Q870" s="132"/>
      <c r="R870" s="132"/>
      <c r="S870" s="132"/>
      <c r="T870" s="132"/>
      <c r="U870" s="132"/>
      <c r="V870" s="132"/>
      <c r="W870" s="132"/>
      <c r="X870" s="132"/>
      <c r="Y870" s="132"/>
      <c r="Z870" s="132"/>
      <c r="AA870" s="132"/>
      <c r="AB870" s="132"/>
      <c r="AC870" s="132"/>
    </row>
    <row r="871" ht="24.75" customHeight="1" collapsed="1">
      <c r="A871" s="175" t="s">
        <v>1773</v>
      </c>
      <c r="B871" s="132"/>
      <c r="C871" s="132"/>
      <c r="D871" s="132"/>
      <c r="E871" s="496"/>
      <c r="F871" s="132"/>
      <c r="G871" s="132"/>
      <c r="H871" s="132"/>
      <c r="I871" s="132"/>
      <c r="J871" s="132"/>
      <c r="K871" s="132"/>
      <c r="L871" s="132"/>
      <c r="M871" s="132"/>
      <c r="N871" s="132"/>
      <c r="O871" s="132"/>
      <c r="P871" s="132"/>
      <c r="Q871" s="132"/>
      <c r="R871" s="132"/>
      <c r="S871" s="132"/>
      <c r="T871" s="132"/>
      <c r="U871" s="132"/>
      <c r="V871" s="132"/>
      <c r="W871" s="132"/>
      <c r="X871" s="132"/>
      <c r="Y871" s="132"/>
      <c r="Z871" s="132"/>
      <c r="AA871" s="132"/>
      <c r="AB871" s="132"/>
      <c r="AC871" s="132"/>
    </row>
    <row r="872" ht="24.75" hidden="1" customHeight="1" outlineLevel="1">
      <c r="A872" s="533" t="s">
        <v>1166</v>
      </c>
      <c r="B872" s="534" t="s">
        <v>1117</v>
      </c>
      <c r="C872" s="534" t="s">
        <v>1167</v>
      </c>
      <c r="D872" s="534" t="s">
        <v>1168</v>
      </c>
      <c r="E872" s="534" t="s">
        <v>1169</v>
      </c>
      <c r="F872" s="132"/>
      <c r="G872" s="132"/>
      <c r="H872" s="132"/>
      <c r="I872" s="132"/>
      <c r="J872" s="132"/>
      <c r="K872" s="132"/>
      <c r="L872" s="132"/>
      <c r="M872" s="132"/>
      <c r="N872" s="132"/>
      <c r="O872" s="132"/>
      <c r="P872" s="132"/>
      <c r="Q872" s="132"/>
      <c r="R872" s="132"/>
      <c r="S872" s="132"/>
      <c r="T872" s="132"/>
      <c r="U872" s="132"/>
      <c r="V872" s="132"/>
      <c r="W872" s="132"/>
      <c r="X872" s="132"/>
      <c r="Y872" s="132"/>
      <c r="Z872" s="132"/>
      <c r="AA872" s="132"/>
      <c r="AB872" s="132"/>
      <c r="AC872" s="132"/>
    </row>
    <row r="873" ht="24.75" hidden="1" customHeight="1" outlineLevel="1">
      <c r="A873" s="607">
        <v>45915.0</v>
      </c>
      <c r="B873" s="679" t="s">
        <v>1249</v>
      </c>
      <c r="C873" s="526" t="s">
        <v>1578</v>
      </c>
      <c r="D873" s="680" t="s">
        <v>1615</v>
      </c>
      <c r="E873" s="681" t="s">
        <v>1235</v>
      </c>
      <c r="F873" s="132"/>
      <c r="G873" s="132"/>
      <c r="H873" s="132"/>
      <c r="I873" s="132"/>
      <c r="J873" s="132"/>
      <c r="K873" s="132"/>
      <c r="L873" s="132"/>
      <c r="M873" s="132"/>
      <c r="N873" s="132"/>
      <c r="O873" s="132"/>
      <c r="P873" s="132"/>
      <c r="Q873" s="132"/>
      <c r="R873" s="132"/>
      <c r="S873" s="132"/>
      <c r="T873" s="132"/>
      <c r="U873" s="132"/>
      <c r="V873" s="132"/>
      <c r="W873" s="132"/>
      <c r="X873" s="132"/>
      <c r="Y873" s="132"/>
      <c r="Z873" s="132"/>
      <c r="AA873" s="132"/>
      <c r="AB873" s="132"/>
      <c r="AC873" s="132"/>
    </row>
    <row r="874" ht="24.75" hidden="1" customHeight="1" outlineLevel="1">
      <c r="A874" s="607">
        <v>45915.0</v>
      </c>
      <c r="B874" s="679" t="s">
        <v>1526</v>
      </c>
      <c r="C874" s="523" t="s">
        <v>1239</v>
      </c>
      <c r="D874" s="687" t="s">
        <v>1580</v>
      </c>
      <c r="E874" s="681" t="s">
        <v>1235</v>
      </c>
      <c r="F874" s="132"/>
      <c r="G874" s="132"/>
      <c r="H874" s="132"/>
      <c r="I874" s="132"/>
      <c r="J874" s="132"/>
      <c r="K874" s="132"/>
      <c r="L874" s="132"/>
      <c r="M874" s="132"/>
      <c r="N874" s="132"/>
      <c r="O874" s="132"/>
      <c r="P874" s="132"/>
      <c r="Q874" s="132"/>
      <c r="R874" s="132"/>
      <c r="S874" s="132"/>
      <c r="T874" s="132"/>
      <c r="U874" s="132"/>
      <c r="V874" s="132"/>
      <c r="W874" s="132"/>
      <c r="X874" s="132"/>
      <c r="Y874" s="132"/>
      <c r="Z874" s="132"/>
      <c r="AA874" s="132"/>
      <c r="AB874" s="132"/>
      <c r="AC874" s="132"/>
    </row>
    <row r="875" ht="24.75" hidden="1" customHeight="1" outlineLevel="1">
      <c r="A875" s="607">
        <v>45915.0</v>
      </c>
      <c r="B875" s="523" t="s">
        <v>629</v>
      </c>
      <c r="C875" s="523" t="s">
        <v>1221</v>
      </c>
      <c r="D875" s="688" t="s">
        <v>1550</v>
      </c>
      <c r="E875" s="681" t="s">
        <v>1235</v>
      </c>
      <c r="F875" s="132"/>
      <c r="G875" s="132"/>
      <c r="H875" s="132"/>
      <c r="I875" s="132"/>
      <c r="J875" s="132"/>
      <c r="K875" s="132"/>
      <c r="L875" s="132"/>
      <c r="M875" s="132"/>
      <c r="N875" s="132"/>
      <c r="O875" s="132"/>
      <c r="P875" s="132"/>
      <c r="Q875" s="132"/>
      <c r="R875" s="132"/>
      <c r="S875" s="132"/>
      <c r="T875" s="132"/>
      <c r="U875" s="132"/>
      <c r="V875" s="132"/>
      <c r="W875" s="132"/>
      <c r="X875" s="132"/>
      <c r="Y875" s="132"/>
      <c r="Z875" s="132"/>
      <c r="AA875" s="132"/>
      <c r="AB875" s="132"/>
      <c r="AC875" s="132"/>
    </row>
    <row r="876" ht="24.75" hidden="1" customHeight="1" outlineLevel="1">
      <c r="A876" s="607">
        <v>45915.0</v>
      </c>
      <c r="B876" s="523" t="s">
        <v>1217</v>
      </c>
      <c r="C876" s="523" t="s">
        <v>1451</v>
      </c>
      <c r="D876" s="680" t="s">
        <v>1354</v>
      </c>
      <c r="E876" s="681" t="s">
        <v>1235</v>
      </c>
      <c r="F876" s="132"/>
      <c r="G876" s="132"/>
      <c r="H876" s="132"/>
      <c r="I876" s="132"/>
      <c r="J876" s="132"/>
      <c r="K876" s="132"/>
      <c r="L876" s="132"/>
      <c r="M876" s="132"/>
      <c r="N876" s="132"/>
      <c r="O876" s="132"/>
      <c r="P876" s="132"/>
      <c r="Q876" s="132"/>
      <c r="R876" s="132"/>
      <c r="S876" s="132"/>
      <c r="T876" s="132"/>
      <c r="U876" s="132"/>
      <c r="V876" s="132"/>
      <c r="W876" s="132"/>
      <c r="X876" s="132"/>
      <c r="Y876" s="132"/>
      <c r="Z876" s="132"/>
      <c r="AA876" s="132"/>
      <c r="AB876" s="132"/>
      <c r="AC876" s="132"/>
    </row>
    <row r="877" ht="24.75" hidden="1" customHeight="1" outlineLevel="1">
      <c r="A877" s="621">
        <v>45916.0</v>
      </c>
      <c r="B877" s="679" t="s">
        <v>38</v>
      </c>
      <c r="C877" s="523" t="s">
        <v>1221</v>
      </c>
      <c r="D877" s="688" t="s">
        <v>1552</v>
      </c>
      <c r="E877" s="681" t="s">
        <v>1235</v>
      </c>
      <c r="F877" s="132"/>
      <c r="G877" s="132"/>
      <c r="H877" s="132"/>
      <c r="I877" s="132"/>
      <c r="J877" s="132"/>
      <c r="K877" s="132"/>
      <c r="L877" s="132"/>
      <c r="M877" s="132"/>
      <c r="N877" s="132"/>
      <c r="O877" s="132"/>
      <c r="P877" s="132"/>
      <c r="Q877" s="132"/>
      <c r="R877" s="132"/>
      <c r="S877" s="132"/>
      <c r="T877" s="132"/>
      <c r="U877" s="132"/>
      <c r="V877" s="132"/>
      <c r="W877" s="132"/>
      <c r="X877" s="132"/>
      <c r="Y877" s="132"/>
      <c r="Z877" s="132"/>
      <c r="AA877" s="132"/>
      <c r="AB877" s="132"/>
      <c r="AC877" s="132"/>
    </row>
    <row r="878" ht="24.75" hidden="1" customHeight="1" outlineLevel="1">
      <c r="A878" s="621">
        <v>45916.0</v>
      </c>
      <c r="B878" s="523" t="s">
        <v>1232</v>
      </c>
      <c r="C878" s="690" t="s">
        <v>1774</v>
      </c>
      <c r="D878" s="688" t="s">
        <v>1180</v>
      </c>
      <c r="E878" s="681" t="s">
        <v>1235</v>
      </c>
      <c r="F878" s="132"/>
      <c r="G878" s="132"/>
      <c r="H878" s="132"/>
      <c r="I878" s="132"/>
      <c r="J878" s="132"/>
      <c r="K878" s="132"/>
      <c r="L878" s="132"/>
      <c r="M878" s="132"/>
      <c r="N878" s="132"/>
      <c r="O878" s="132"/>
      <c r="P878" s="132"/>
      <c r="Q878" s="132"/>
      <c r="R878" s="132"/>
      <c r="S878" s="132"/>
      <c r="T878" s="132"/>
      <c r="U878" s="132"/>
      <c r="V878" s="132"/>
      <c r="W878" s="132"/>
      <c r="X878" s="132"/>
      <c r="Y878" s="132"/>
      <c r="Z878" s="132"/>
      <c r="AA878" s="132"/>
      <c r="AB878" s="132"/>
      <c r="AC878" s="132"/>
    </row>
    <row r="879" ht="24.75" hidden="1" customHeight="1" outlineLevel="1">
      <c r="A879" s="621">
        <v>45916.0</v>
      </c>
      <c r="B879" s="523" t="s">
        <v>1325</v>
      </c>
      <c r="C879" s="523" t="s">
        <v>1221</v>
      </c>
      <c r="D879" s="688" t="s">
        <v>1180</v>
      </c>
      <c r="E879" s="681" t="s">
        <v>1235</v>
      </c>
      <c r="F879" s="132"/>
      <c r="G879" s="132"/>
      <c r="H879" s="132"/>
      <c r="I879" s="132"/>
      <c r="J879" s="132"/>
      <c r="K879" s="132"/>
      <c r="L879" s="132"/>
      <c r="M879" s="132"/>
      <c r="N879" s="132"/>
      <c r="O879" s="132"/>
      <c r="P879" s="132"/>
      <c r="Q879" s="132"/>
      <c r="R879" s="132"/>
      <c r="S879" s="132"/>
      <c r="T879" s="132"/>
      <c r="U879" s="132"/>
      <c r="V879" s="132"/>
      <c r="W879" s="132"/>
      <c r="X879" s="132"/>
      <c r="Y879" s="132"/>
      <c r="Z879" s="132"/>
      <c r="AA879" s="132"/>
      <c r="AB879" s="132"/>
      <c r="AC879" s="132"/>
    </row>
    <row r="880" ht="24.75" hidden="1" customHeight="1" outlineLevel="1">
      <c r="A880" s="621">
        <v>45916.0</v>
      </c>
      <c r="B880" s="679" t="s">
        <v>1254</v>
      </c>
      <c r="C880" s="692" t="s">
        <v>1590</v>
      </c>
      <c r="D880" s="688" t="s">
        <v>1557</v>
      </c>
      <c r="E880" s="681" t="s">
        <v>1235</v>
      </c>
      <c r="F880" s="132"/>
      <c r="G880" s="132"/>
      <c r="H880" s="132"/>
      <c r="I880" s="132"/>
      <c r="J880" s="132"/>
      <c r="K880" s="132"/>
      <c r="L880" s="132"/>
      <c r="M880" s="132"/>
      <c r="N880" s="132"/>
      <c r="O880" s="132"/>
      <c r="P880" s="132"/>
      <c r="Q880" s="132"/>
      <c r="R880" s="132"/>
      <c r="S880" s="132"/>
      <c r="T880" s="132"/>
      <c r="U880" s="132"/>
      <c r="V880" s="132"/>
      <c r="W880" s="132"/>
      <c r="X880" s="132"/>
      <c r="Y880" s="132"/>
      <c r="Z880" s="132"/>
      <c r="AA880" s="132"/>
      <c r="AB880" s="132"/>
      <c r="AC880" s="132"/>
    </row>
    <row r="881" ht="24.75" hidden="1" customHeight="1" outlineLevel="1">
      <c r="A881" s="621">
        <v>45916.0</v>
      </c>
      <c r="B881" s="523" t="s">
        <v>236</v>
      </c>
      <c r="C881" s="523" t="s">
        <v>1221</v>
      </c>
      <c r="D881" s="688" t="s">
        <v>1558</v>
      </c>
      <c r="E881" s="681" t="s">
        <v>1235</v>
      </c>
      <c r="F881" s="132"/>
      <c r="G881" s="132"/>
      <c r="H881" s="132"/>
      <c r="I881" s="132"/>
      <c r="J881" s="132"/>
      <c r="K881" s="132"/>
      <c r="L881" s="132"/>
      <c r="M881" s="132"/>
      <c r="N881" s="132"/>
      <c r="O881" s="132"/>
      <c r="P881" s="132"/>
      <c r="Q881" s="132"/>
      <c r="R881" s="132"/>
      <c r="S881" s="132"/>
      <c r="T881" s="132"/>
      <c r="U881" s="132"/>
      <c r="V881" s="132"/>
      <c r="W881" s="132"/>
      <c r="X881" s="132"/>
      <c r="Y881" s="132"/>
      <c r="Z881" s="132"/>
      <c r="AA881" s="132"/>
      <c r="AB881" s="132"/>
      <c r="AC881" s="132"/>
    </row>
    <row r="882" ht="24.75" customHeight="1">
      <c r="A882" s="132"/>
      <c r="B882" s="132"/>
      <c r="C882" s="132"/>
      <c r="D882" s="132"/>
      <c r="E882" s="496"/>
      <c r="F882" s="132"/>
      <c r="G882" s="132"/>
      <c r="H882" s="132"/>
      <c r="I882" s="132"/>
      <c r="J882" s="132"/>
      <c r="K882" s="132"/>
      <c r="L882" s="132"/>
      <c r="M882" s="132"/>
      <c r="N882" s="132"/>
      <c r="O882" s="132"/>
      <c r="P882" s="132"/>
      <c r="Q882" s="132"/>
      <c r="R882" s="132"/>
      <c r="S882" s="132"/>
      <c r="T882" s="132"/>
      <c r="U882" s="132"/>
      <c r="V882" s="132"/>
      <c r="W882" s="132"/>
      <c r="X882" s="132"/>
      <c r="Y882" s="132"/>
      <c r="Z882" s="132"/>
      <c r="AA882" s="132"/>
      <c r="AB882" s="132"/>
      <c r="AC882" s="132"/>
    </row>
    <row r="883" ht="24.75" customHeight="1" collapsed="1">
      <c r="A883" s="715" t="s">
        <v>1775</v>
      </c>
      <c r="B883" s="246"/>
      <c r="C883" s="246"/>
      <c r="D883" s="246"/>
      <c r="E883" s="246"/>
      <c r="F883" s="273"/>
      <c r="G883" s="273"/>
      <c r="H883" s="273"/>
      <c r="I883" s="132"/>
      <c r="J883" s="132"/>
      <c r="K883" s="132"/>
      <c r="L883" s="132"/>
      <c r="M883" s="132"/>
      <c r="N883" s="132"/>
      <c r="O883" s="132"/>
      <c r="P883" s="132"/>
      <c r="Q883" s="132"/>
      <c r="R883" s="132"/>
      <c r="S883" s="132"/>
      <c r="T883" s="132"/>
      <c r="U883" s="132"/>
      <c r="V883" s="132"/>
      <c r="W883" s="132"/>
      <c r="X883" s="132"/>
      <c r="Y883" s="132"/>
      <c r="Z883" s="132"/>
      <c r="AA883" s="132"/>
      <c r="AB883" s="132"/>
      <c r="AC883" s="132"/>
    </row>
    <row r="884" ht="24.75" hidden="1" customHeight="1" outlineLevel="1">
      <c r="A884" s="597" t="s">
        <v>1166</v>
      </c>
      <c r="B884" s="598" t="s">
        <v>1117</v>
      </c>
      <c r="C884" s="598" t="s">
        <v>1167</v>
      </c>
      <c r="D884" s="598" t="s">
        <v>1168</v>
      </c>
      <c r="E884" s="598" t="s">
        <v>1169</v>
      </c>
      <c r="F884" s="273"/>
      <c r="G884" s="273"/>
      <c r="H884" s="273"/>
      <c r="I884" s="132"/>
      <c r="J884" s="132"/>
      <c r="K884" s="132"/>
      <c r="L884" s="132"/>
      <c r="M884" s="132"/>
      <c r="N884" s="132"/>
      <c r="O884" s="132"/>
      <c r="P884" s="132"/>
      <c r="Q884" s="132"/>
      <c r="R884" s="132"/>
      <c r="S884" s="132"/>
      <c r="T884" s="132"/>
      <c r="U884" s="132"/>
      <c r="V884" s="132"/>
      <c r="W884" s="132"/>
      <c r="X884" s="132"/>
      <c r="Y884" s="132"/>
      <c r="Z884" s="132"/>
      <c r="AA884" s="132"/>
      <c r="AB884" s="132"/>
      <c r="AC884" s="132"/>
    </row>
    <row r="885" ht="24.75" hidden="1" customHeight="1" outlineLevel="1">
      <c r="A885" s="716">
        <v>45923.0</v>
      </c>
      <c r="B885" s="717" t="s">
        <v>1232</v>
      </c>
      <c r="C885" s="718" t="s">
        <v>1233</v>
      </c>
      <c r="D885" s="719" t="s">
        <v>1776</v>
      </c>
      <c r="E885" s="720" t="s">
        <v>1235</v>
      </c>
      <c r="F885" s="175"/>
      <c r="G885" s="175"/>
      <c r="H885" s="175" t="s">
        <v>1584</v>
      </c>
      <c r="I885" s="132"/>
      <c r="J885" s="132"/>
      <c r="K885" s="132"/>
      <c r="L885" s="132"/>
      <c r="M885" s="132"/>
      <c r="N885" s="132"/>
      <c r="O885" s="132"/>
      <c r="P885" s="132"/>
      <c r="Q885" s="132"/>
      <c r="R885" s="132"/>
      <c r="S885" s="132"/>
      <c r="T885" s="132"/>
      <c r="U885" s="132"/>
      <c r="V885" s="132"/>
      <c r="W885" s="132"/>
      <c r="X885" s="132"/>
      <c r="Y885" s="132"/>
      <c r="Z885" s="132"/>
      <c r="AA885" s="132"/>
      <c r="AB885" s="132"/>
      <c r="AC885" s="132"/>
    </row>
    <row r="886" ht="24.75" hidden="1" customHeight="1" outlineLevel="1">
      <c r="A886" s="716">
        <v>45923.0</v>
      </c>
      <c r="B886" s="717" t="s">
        <v>38</v>
      </c>
      <c r="C886" s="717" t="s">
        <v>1233</v>
      </c>
      <c r="D886" s="721" t="s">
        <v>1180</v>
      </c>
      <c r="E886" s="722" t="s">
        <v>1235</v>
      </c>
      <c r="F886" s="273"/>
      <c r="G886" s="273"/>
      <c r="H886" s="273"/>
      <c r="I886" s="132"/>
      <c r="J886" s="132"/>
      <c r="K886" s="132"/>
      <c r="L886" s="132"/>
      <c r="M886" s="132"/>
      <c r="N886" s="132"/>
      <c r="O886" s="132"/>
      <c r="P886" s="132"/>
      <c r="Q886" s="132"/>
      <c r="R886" s="132"/>
      <c r="S886" s="132"/>
      <c r="T886" s="132"/>
      <c r="U886" s="132"/>
      <c r="V886" s="132"/>
      <c r="W886" s="132"/>
      <c r="X886" s="132"/>
      <c r="Y886" s="132"/>
      <c r="Z886" s="132"/>
      <c r="AA886" s="132"/>
      <c r="AB886" s="132"/>
      <c r="AC886" s="132"/>
    </row>
    <row r="887" ht="24.75" hidden="1" customHeight="1" outlineLevel="1">
      <c r="A887" s="716">
        <v>45923.0</v>
      </c>
      <c r="B887" s="717" t="s">
        <v>1415</v>
      </c>
      <c r="C887" s="718" t="s">
        <v>1233</v>
      </c>
      <c r="D887" s="721" t="s">
        <v>1180</v>
      </c>
      <c r="E887" s="722" t="s">
        <v>1235</v>
      </c>
      <c r="F887" s="273"/>
      <c r="G887" s="273"/>
      <c r="H887" s="273"/>
      <c r="I887" s="132"/>
      <c r="J887" s="132"/>
      <c r="K887" s="132"/>
      <c r="L887" s="132"/>
      <c r="M887" s="132"/>
      <c r="N887" s="132"/>
      <c r="O887" s="132"/>
      <c r="P887" s="132"/>
      <c r="Q887" s="132"/>
      <c r="R887" s="132"/>
      <c r="S887" s="132"/>
      <c r="T887" s="132"/>
      <c r="U887" s="132"/>
      <c r="V887" s="132"/>
      <c r="W887" s="132"/>
      <c r="X887" s="132"/>
      <c r="Y887" s="132"/>
      <c r="Z887" s="132"/>
      <c r="AA887" s="132"/>
      <c r="AB887" s="132"/>
      <c r="AC887" s="132"/>
    </row>
    <row r="888" ht="24.75" hidden="1" customHeight="1" outlineLevel="1">
      <c r="A888" s="716">
        <v>45923.0</v>
      </c>
      <c r="B888" s="717" t="s">
        <v>1254</v>
      </c>
      <c r="C888" s="718" t="s">
        <v>1412</v>
      </c>
      <c r="D888" s="721" t="s">
        <v>1180</v>
      </c>
      <c r="E888" s="722" t="s">
        <v>1235</v>
      </c>
      <c r="F888" s="273"/>
      <c r="G888" s="273"/>
      <c r="H888" s="273"/>
      <c r="I888" s="132"/>
      <c r="J888" s="132"/>
      <c r="K888" s="132"/>
      <c r="L888" s="132"/>
      <c r="M888" s="132"/>
      <c r="N888" s="132"/>
      <c r="O888" s="132"/>
      <c r="P888" s="132"/>
      <c r="Q888" s="132"/>
      <c r="R888" s="132"/>
      <c r="S888" s="132"/>
      <c r="T888" s="132"/>
      <c r="U888" s="132"/>
      <c r="V888" s="132"/>
      <c r="W888" s="132"/>
      <c r="X888" s="132"/>
      <c r="Y888" s="132"/>
      <c r="Z888" s="132"/>
      <c r="AA888" s="132"/>
      <c r="AB888" s="132"/>
      <c r="AC888" s="132"/>
    </row>
    <row r="889" ht="24.75" hidden="1" customHeight="1" outlineLevel="1">
      <c r="A889" s="716">
        <v>45924.0</v>
      </c>
      <c r="B889" s="717" t="s">
        <v>1226</v>
      </c>
      <c r="C889" s="626" t="s">
        <v>1651</v>
      </c>
      <c r="D889" s="723" t="s">
        <v>1777</v>
      </c>
      <c r="E889" s="724" t="s">
        <v>1203</v>
      </c>
      <c r="F889" s="273"/>
      <c r="G889" s="273"/>
      <c r="H889" s="273"/>
      <c r="I889" s="132"/>
      <c r="J889" s="132"/>
      <c r="K889" s="132"/>
      <c r="L889" s="132"/>
      <c r="M889" s="132"/>
      <c r="N889" s="132"/>
      <c r="O889" s="132"/>
      <c r="P889" s="132"/>
      <c r="Q889" s="132"/>
      <c r="R889" s="132"/>
      <c r="S889" s="132"/>
      <c r="T889" s="132"/>
      <c r="U889" s="132"/>
      <c r="V889" s="132"/>
      <c r="W889" s="132"/>
      <c r="X889" s="132"/>
      <c r="Y889" s="132"/>
      <c r="Z889" s="132"/>
      <c r="AA889" s="132"/>
      <c r="AB889" s="132"/>
      <c r="AC889" s="132"/>
    </row>
    <row r="890" ht="24.75" hidden="1" customHeight="1" outlineLevel="1">
      <c r="A890" s="716">
        <v>45924.0</v>
      </c>
      <c r="B890" s="717" t="s">
        <v>1204</v>
      </c>
      <c r="C890" s="740" t="s">
        <v>1715</v>
      </c>
      <c r="D890" s="723" t="s">
        <v>1777</v>
      </c>
      <c r="E890" s="724" t="s">
        <v>1203</v>
      </c>
      <c r="F890" s="273"/>
      <c r="G890" s="273"/>
      <c r="H890" s="273" t="s">
        <v>1422</v>
      </c>
      <c r="I890" s="132"/>
      <c r="J890" s="132"/>
      <c r="K890" s="132"/>
      <c r="L890" s="132"/>
      <c r="M890" s="132"/>
      <c r="N890" s="132"/>
      <c r="O890" s="132"/>
      <c r="P890" s="132"/>
      <c r="Q890" s="132"/>
      <c r="R890" s="132"/>
      <c r="S890" s="132"/>
      <c r="T890" s="132"/>
      <c r="U890" s="132"/>
      <c r="V890" s="132"/>
      <c r="W890" s="132"/>
      <c r="X890" s="132"/>
      <c r="Y890" s="132"/>
      <c r="Z890" s="132"/>
      <c r="AA890" s="132"/>
      <c r="AB890" s="132"/>
      <c r="AC890" s="132"/>
    </row>
    <row r="891" ht="24.75" hidden="1" customHeight="1" outlineLevel="1">
      <c r="A891" s="716">
        <v>45924.0</v>
      </c>
      <c r="B891" s="717" t="s">
        <v>1261</v>
      </c>
      <c r="C891" s="718" t="s">
        <v>1412</v>
      </c>
      <c r="D891" s="721" t="s">
        <v>1180</v>
      </c>
      <c r="E891" s="722" t="s">
        <v>1235</v>
      </c>
      <c r="F891" s="273"/>
      <c r="G891" s="273"/>
      <c r="H891" s="273"/>
      <c r="I891" s="132"/>
      <c r="J891" s="132"/>
      <c r="K891" s="132"/>
      <c r="L891" s="132"/>
      <c r="M891" s="132"/>
      <c r="N891" s="132"/>
      <c r="O891" s="132"/>
      <c r="P891" s="132"/>
      <c r="Q891" s="132"/>
      <c r="R891" s="132"/>
      <c r="S891" s="132"/>
      <c r="T891" s="132"/>
      <c r="U891" s="132"/>
      <c r="V891" s="132"/>
      <c r="W891" s="132"/>
      <c r="X891" s="132"/>
      <c r="Y891" s="132"/>
      <c r="Z891" s="132"/>
      <c r="AA891" s="132"/>
      <c r="AB891" s="132"/>
      <c r="AC891" s="132"/>
    </row>
    <row r="892" ht="24.75" hidden="1" customHeight="1" outlineLevel="1">
      <c r="A892" s="716">
        <v>45924.0</v>
      </c>
      <c r="B892" s="723" t="s">
        <v>270</v>
      </c>
      <c r="C892" s="718"/>
      <c r="D892" s="725" t="s">
        <v>1778</v>
      </c>
      <c r="E892" s="724" t="s">
        <v>1203</v>
      </c>
      <c r="F892" s="273"/>
      <c r="G892" s="273"/>
      <c r="H892" s="273"/>
      <c r="I892" s="132"/>
      <c r="J892" s="132"/>
      <c r="K892" s="132"/>
      <c r="L892" s="132"/>
      <c r="M892" s="132"/>
      <c r="N892" s="132"/>
      <c r="O892" s="132"/>
      <c r="P892" s="132"/>
      <c r="Q892" s="132"/>
      <c r="R892" s="132"/>
      <c r="S892" s="132"/>
      <c r="T892" s="132"/>
      <c r="U892" s="132"/>
      <c r="V892" s="132"/>
      <c r="W892" s="132"/>
      <c r="X892" s="132"/>
      <c r="Y892" s="132"/>
      <c r="Z892" s="132"/>
      <c r="AA892" s="132"/>
      <c r="AB892" s="132"/>
      <c r="AC892" s="132"/>
    </row>
    <row r="893" ht="24.75" hidden="1" customHeight="1" outlineLevel="1">
      <c r="A893" s="716">
        <v>45924.0</v>
      </c>
      <c r="B893" s="717" t="s">
        <v>1198</v>
      </c>
      <c r="C893" s="718" t="s">
        <v>1233</v>
      </c>
      <c r="D893" s="726" t="s">
        <v>1257</v>
      </c>
      <c r="E893" s="722" t="s">
        <v>1235</v>
      </c>
      <c r="F893" s="246"/>
      <c r="G893" s="246"/>
      <c r="H893" s="246"/>
      <c r="I893" s="132"/>
      <c r="J893" s="132"/>
      <c r="K893" s="132"/>
      <c r="L893" s="132"/>
      <c r="M893" s="132"/>
      <c r="N893" s="132"/>
      <c r="O893" s="132"/>
      <c r="P893" s="132"/>
      <c r="Q893" s="132"/>
      <c r="R893" s="132"/>
      <c r="S893" s="132"/>
      <c r="T893" s="132"/>
      <c r="U893" s="132"/>
      <c r="V893" s="132"/>
      <c r="W893" s="132"/>
      <c r="X893" s="132"/>
      <c r="Y893" s="132"/>
      <c r="Z893" s="132"/>
      <c r="AA893" s="132"/>
      <c r="AB893" s="132"/>
      <c r="AC893" s="132"/>
    </row>
    <row r="894" ht="24.75" customHeight="1">
      <c r="A894" s="132"/>
      <c r="B894" s="132"/>
      <c r="C894" s="132"/>
      <c r="D894" s="132"/>
      <c r="E894" s="496"/>
      <c r="F894" s="132"/>
      <c r="G894" s="132"/>
      <c r="H894" s="132"/>
      <c r="I894" s="132"/>
      <c r="J894" s="132"/>
      <c r="K894" s="132"/>
      <c r="L894" s="132"/>
      <c r="M894" s="132"/>
      <c r="N894" s="132"/>
      <c r="O894" s="132"/>
      <c r="P894" s="132"/>
      <c r="Q894" s="132"/>
      <c r="R894" s="132"/>
      <c r="S894" s="132"/>
      <c r="T894" s="132"/>
      <c r="U894" s="132"/>
      <c r="V894" s="132"/>
      <c r="W894" s="132"/>
      <c r="X894" s="132"/>
      <c r="Y894" s="132"/>
      <c r="Z894" s="132"/>
      <c r="AA894" s="132"/>
      <c r="AB894" s="132"/>
      <c r="AC894" s="132"/>
    </row>
    <row r="895" ht="24.75" customHeight="1" collapsed="1">
      <c r="A895" s="175" t="s">
        <v>1779</v>
      </c>
      <c r="B895" s="132"/>
      <c r="C895" s="132"/>
      <c r="D895" s="132"/>
      <c r="E895" s="496"/>
      <c r="F895" s="132"/>
      <c r="G895" s="132"/>
      <c r="H895" s="132"/>
      <c r="I895" s="132"/>
      <c r="J895" s="132"/>
      <c r="K895" s="132"/>
      <c r="L895" s="132"/>
      <c r="M895" s="132"/>
      <c r="N895" s="132"/>
      <c r="O895" s="132"/>
      <c r="P895" s="132"/>
      <c r="Q895" s="132"/>
      <c r="R895" s="132"/>
      <c r="S895" s="132"/>
      <c r="T895" s="132"/>
      <c r="U895" s="132"/>
      <c r="V895" s="132"/>
      <c r="W895" s="132"/>
      <c r="X895" s="132"/>
      <c r="Y895" s="132"/>
      <c r="Z895" s="132"/>
      <c r="AA895" s="132"/>
      <c r="AB895" s="132"/>
      <c r="AC895" s="132"/>
    </row>
    <row r="896" ht="24.75" hidden="1" customHeight="1" outlineLevel="1">
      <c r="A896" s="533" t="s">
        <v>1166</v>
      </c>
      <c r="B896" s="534" t="s">
        <v>1117</v>
      </c>
      <c r="C896" s="534" t="s">
        <v>1167</v>
      </c>
      <c r="D896" s="534" t="s">
        <v>1168</v>
      </c>
      <c r="E896" s="534" t="s">
        <v>1169</v>
      </c>
      <c r="F896" s="132"/>
      <c r="G896" s="132"/>
      <c r="H896" s="132"/>
      <c r="I896" s="132"/>
      <c r="J896" s="132"/>
      <c r="K896" s="132"/>
      <c r="L896" s="132"/>
      <c r="M896" s="132"/>
      <c r="N896" s="132"/>
      <c r="O896" s="132"/>
      <c r="P896" s="132"/>
      <c r="Q896" s="132"/>
      <c r="R896" s="132"/>
      <c r="S896" s="132"/>
      <c r="T896" s="132"/>
      <c r="U896" s="132"/>
      <c r="V896" s="132"/>
      <c r="W896" s="132"/>
      <c r="X896" s="132"/>
      <c r="Y896" s="132"/>
      <c r="Z896" s="132"/>
      <c r="AA896" s="132"/>
      <c r="AB896" s="132"/>
      <c r="AC896" s="132"/>
    </row>
    <row r="897" ht="24.75" hidden="1" customHeight="1" outlineLevel="1">
      <c r="A897" s="607">
        <v>45943.0</v>
      </c>
      <c r="B897" s="679" t="s">
        <v>1249</v>
      </c>
      <c r="C897" s="526" t="s">
        <v>1578</v>
      </c>
      <c r="D897" s="680" t="s">
        <v>1615</v>
      </c>
      <c r="E897" s="681" t="s">
        <v>1235</v>
      </c>
      <c r="F897" s="132"/>
      <c r="G897" s="132"/>
      <c r="H897" s="132"/>
      <c r="I897" s="132"/>
      <c r="J897" s="132"/>
      <c r="K897" s="132"/>
      <c r="L897" s="132"/>
      <c r="M897" s="132"/>
      <c r="N897" s="132"/>
      <c r="O897" s="132"/>
      <c r="P897" s="132"/>
      <c r="Q897" s="132"/>
      <c r="R897" s="132"/>
      <c r="S897" s="132"/>
      <c r="T897" s="132"/>
      <c r="U897" s="132"/>
      <c r="V897" s="132"/>
      <c r="W897" s="132"/>
      <c r="X897" s="132"/>
      <c r="Y897" s="132"/>
      <c r="Z897" s="132"/>
      <c r="AA897" s="132"/>
      <c r="AB897" s="132"/>
      <c r="AC897" s="132"/>
    </row>
    <row r="898" ht="24.75" hidden="1" customHeight="1" outlineLevel="1">
      <c r="A898" s="607">
        <v>45943.0</v>
      </c>
      <c r="B898" s="679" t="s">
        <v>1526</v>
      </c>
      <c r="C898" s="523" t="s">
        <v>1239</v>
      </c>
      <c r="D898" s="687" t="s">
        <v>1580</v>
      </c>
      <c r="E898" s="681" t="s">
        <v>1235</v>
      </c>
      <c r="F898" s="132"/>
      <c r="G898" s="132"/>
      <c r="H898" s="132"/>
      <c r="I898" s="132"/>
      <c r="J898" s="132"/>
      <c r="K898" s="132"/>
      <c r="L898" s="132"/>
      <c r="M898" s="132"/>
      <c r="N898" s="132"/>
      <c r="O898" s="132"/>
      <c r="P898" s="132"/>
      <c r="Q898" s="132"/>
      <c r="R898" s="132"/>
      <c r="S898" s="132"/>
      <c r="T898" s="132"/>
      <c r="U898" s="132"/>
      <c r="V898" s="132"/>
      <c r="W898" s="132"/>
      <c r="X898" s="132"/>
      <c r="Y898" s="132"/>
      <c r="Z898" s="132"/>
      <c r="AA898" s="132"/>
      <c r="AB898" s="132"/>
      <c r="AC898" s="132"/>
    </row>
    <row r="899" ht="24.75" hidden="1" customHeight="1" outlineLevel="1">
      <c r="A899" s="607">
        <v>45943.0</v>
      </c>
      <c r="B899" s="523" t="s">
        <v>629</v>
      </c>
      <c r="C899" s="523" t="s">
        <v>1221</v>
      </c>
      <c r="D899" s="688" t="s">
        <v>1550</v>
      </c>
      <c r="E899" s="681" t="s">
        <v>1235</v>
      </c>
      <c r="F899" s="132"/>
      <c r="G899" s="132"/>
      <c r="H899" s="132"/>
      <c r="I899" s="132"/>
      <c r="J899" s="132"/>
      <c r="K899" s="132"/>
      <c r="L899" s="132"/>
      <c r="M899" s="132"/>
      <c r="N899" s="132"/>
      <c r="O899" s="132"/>
      <c r="P899" s="132"/>
      <c r="Q899" s="132"/>
      <c r="R899" s="132"/>
      <c r="S899" s="132"/>
      <c r="T899" s="132"/>
      <c r="U899" s="132"/>
      <c r="V899" s="132"/>
      <c r="W899" s="132"/>
      <c r="X899" s="132"/>
      <c r="Y899" s="132"/>
      <c r="Z899" s="132"/>
      <c r="AA899" s="132"/>
      <c r="AB899" s="132"/>
      <c r="AC899" s="132"/>
    </row>
    <row r="900" ht="24.75" hidden="1" customHeight="1" outlineLevel="1">
      <c r="A900" s="607">
        <v>45943.0</v>
      </c>
      <c r="B900" s="523" t="s">
        <v>1217</v>
      </c>
      <c r="C900" s="523" t="s">
        <v>1451</v>
      </c>
      <c r="D900" s="680" t="s">
        <v>1354</v>
      </c>
      <c r="E900" s="681" t="s">
        <v>1235</v>
      </c>
      <c r="F900" s="132"/>
      <c r="G900" s="132"/>
      <c r="H900" s="132"/>
      <c r="I900" s="132"/>
      <c r="J900" s="132"/>
      <c r="K900" s="132"/>
      <c r="L900" s="132"/>
      <c r="M900" s="132"/>
      <c r="N900" s="132"/>
      <c r="O900" s="132"/>
      <c r="P900" s="132"/>
      <c r="Q900" s="132"/>
      <c r="R900" s="132"/>
      <c r="S900" s="132"/>
      <c r="T900" s="132"/>
      <c r="U900" s="132"/>
      <c r="V900" s="132"/>
      <c r="W900" s="132"/>
      <c r="X900" s="132"/>
      <c r="Y900" s="132"/>
      <c r="Z900" s="132"/>
      <c r="AA900" s="132"/>
      <c r="AB900" s="132"/>
      <c r="AC900" s="132"/>
    </row>
    <row r="901" ht="24.75" hidden="1" customHeight="1" outlineLevel="1">
      <c r="A901" s="621">
        <v>45944.0</v>
      </c>
      <c r="B901" s="679" t="s">
        <v>38</v>
      </c>
      <c r="C901" s="523" t="s">
        <v>1221</v>
      </c>
      <c r="D901" s="688" t="s">
        <v>1552</v>
      </c>
      <c r="E901" s="681" t="s">
        <v>1235</v>
      </c>
      <c r="F901" s="132"/>
      <c r="G901" s="132"/>
      <c r="H901" s="132"/>
      <c r="I901" s="132"/>
      <c r="J901" s="132"/>
      <c r="K901" s="132"/>
      <c r="L901" s="132"/>
      <c r="M901" s="132"/>
      <c r="N901" s="132"/>
      <c r="O901" s="132"/>
      <c r="P901" s="132"/>
      <c r="Q901" s="132"/>
      <c r="R901" s="132"/>
      <c r="S901" s="132"/>
      <c r="T901" s="132"/>
      <c r="U901" s="132"/>
      <c r="V901" s="132"/>
      <c r="W901" s="132"/>
      <c r="X901" s="132"/>
      <c r="Y901" s="132"/>
      <c r="Z901" s="132"/>
      <c r="AA901" s="132"/>
      <c r="AB901" s="132"/>
      <c r="AC901" s="132"/>
    </row>
    <row r="902" ht="24.75" hidden="1" customHeight="1" outlineLevel="1">
      <c r="A902" s="621">
        <v>45944.0</v>
      </c>
      <c r="B902" s="523" t="s">
        <v>1232</v>
      </c>
      <c r="C902" s="690" t="s">
        <v>1780</v>
      </c>
      <c r="D902" s="688" t="s">
        <v>1180</v>
      </c>
      <c r="E902" s="681" t="s">
        <v>1235</v>
      </c>
      <c r="F902" s="132"/>
      <c r="G902" s="132"/>
      <c r="H902" s="132"/>
      <c r="I902" s="132"/>
      <c r="J902" s="132"/>
      <c r="K902" s="132"/>
      <c r="L902" s="132"/>
      <c r="M902" s="132"/>
      <c r="N902" s="132"/>
      <c r="O902" s="132"/>
      <c r="P902" s="132"/>
      <c r="Q902" s="132"/>
      <c r="R902" s="132"/>
      <c r="S902" s="132"/>
      <c r="T902" s="132"/>
      <c r="U902" s="132"/>
      <c r="V902" s="132"/>
      <c r="W902" s="132"/>
      <c r="X902" s="132"/>
      <c r="Y902" s="132"/>
      <c r="Z902" s="132"/>
      <c r="AA902" s="132"/>
      <c r="AB902" s="132"/>
      <c r="AC902" s="132"/>
    </row>
    <row r="903" ht="24.75" hidden="1" customHeight="1" outlineLevel="1">
      <c r="A903" s="621">
        <v>45944.0</v>
      </c>
      <c r="B903" s="523" t="s">
        <v>1325</v>
      </c>
      <c r="C903" s="523" t="s">
        <v>1221</v>
      </c>
      <c r="D903" s="688" t="s">
        <v>1180</v>
      </c>
      <c r="E903" s="681" t="s">
        <v>1235</v>
      </c>
      <c r="F903" s="132"/>
      <c r="G903" s="132"/>
      <c r="H903" s="132"/>
      <c r="I903" s="132"/>
      <c r="J903" s="132"/>
      <c r="K903" s="132"/>
      <c r="L903" s="132"/>
      <c r="M903" s="132"/>
      <c r="N903" s="132"/>
      <c r="O903" s="132"/>
      <c r="P903" s="132"/>
      <c r="Q903" s="132"/>
      <c r="R903" s="132"/>
      <c r="S903" s="132"/>
      <c r="T903" s="132"/>
      <c r="U903" s="132"/>
      <c r="V903" s="132"/>
      <c r="W903" s="132"/>
      <c r="X903" s="132"/>
      <c r="Y903" s="132"/>
      <c r="Z903" s="132"/>
      <c r="AA903" s="132"/>
      <c r="AB903" s="132"/>
      <c r="AC903" s="132"/>
    </row>
    <row r="904" ht="24.75" hidden="1" customHeight="1" outlineLevel="1">
      <c r="A904" s="621">
        <v>45944.0</v>
      </c>
      <c r="B904" s="679" t="s">
        <v>1254</v>
      </c>
      <c r="C904" s="692" t="s">
        <v>1590</v>
      </c>
      <c r="D904" s="688" t="s">
        <v>1557</v>
      </c>
      <c r="E904" s="681" t="s">
        <v>1235</v>
      </c>
      <c r="F904" s="132"/>
      <c r="G904" s="132"/>
      <c r="H904" s="132"/>
      <c r="I904" s="132"/>
      <c r="J904" s="132"/>
      <c r="K904" s="132"/>
      <c r="L904" s="132"/>
      <c r="M904" s="132"/>
      <c r="N904" s="132"/>
      <c r="O904" s="132"/>
      <c r="P904" s="132"/>
      <c r="Q904" s="132"/>
      <c r="R904" s="132"/>
      <c r="S904" s="132"/>
      <c r="T904" s="132"/>
      <c r="U904" s="132"/>
      <c r="V904" s="132"/>
      <c r="W904" s="132"/>
      <c r="X904" s="132"/>
      <c r="Y904" s="132"/>
      <c r="Z904" s="132"/>
      <c r="AA904" s="132"/>
      <c r="AB904" s="132"/>
      <c r="AC904" s="132"/>
    </row>
    <row r="905" ht="24.75" hidden="1" customHeight="1" outlineLevel="1">
      <c r="A905" s="621">
        <v>45944.0</v>
      </c>
      <c r="B905" s="523" t="s">
        <v>236</v>
      </c>
      <c r="C905" s="523" t="s">
        <v>1221</v>
      </c>
      <c r="D905" s="688" t="s">
        <v>1558</v>
      </c>
      <c r="E905" s="681" t="s">
        <v>1235</v>
      </c>
      <c r="F905" s="132"/>
      <c r="G905" s="132"/>
      <c r="H905" s="132"/>
      <c r="I905" s="132"/>
      <c r="J905" s="132"/>
      <c r="K905" s="132"/>
      <c r="L905" s="132"/>
      <c r="M905" s="132"/>
      <c r="N905" s="132"/>
      <c r="O905" s="132"/>
      <c r="P905" s="132"/>
      <c r="Q905" s="132"/>
      <c r="R905" s="132"/>
      <c r="S905" s="132"/>
      <c r="T905" s="132"/>
      <c r="U905" s="132"/>
      <c r="V905" s="132"/>
      <c r="W905" s="132"/>
      <c r="X905" s="132"/>
      <c r="Y905" s="132"/>
      <c r="Z905" s="132"/>
      <c r="AA905" s="132"/>
      <c r="AB905" s="132"/>
      <c r="AC905" s="132"/>
    </row>
    <row r="906" ht="24.75" customHeight="1">
      <c r="A906" s="132"/>
      <c r="B906" s="132"/>
      <c r="C906" s="132"/>
      <c r="D906" s="132"/>
      <c r="E906" s="496"/>
      <c r="F906" s="132"/>
      <c r="G906" s="132"/>
      <c r="H906" s="132"/>
      <c r="I906" s="132"/>
      <c r="J906" s="132"/>
      <c r="K906" s="132"/>
      <c r="L906" s="132"/>
      <c r="M906" s="132"/>
      <c r="N906" s="132"/>
      <c r="O906" s="132"/>
      <c r="P906" s="132"/>
      <c r="Q906" s="132"/>
      <c r="R906" s="132"/>
      <c r="S906" s="132"/>
      <c r="T906" s="132"/>
      <c r="U906" s="132"/>
      <c r="V906" s="132"/>
      <c r="W906" s="132"/>
      <c r="X906" s="132"/>
      <c r="Y906" s="132"/>
      <c r="Z906" s="132"/>
      <c r="AA906" s="132"/>
      <c r="AB906" s="132"/>
      <c r="AC906" s="132"/>
    </row>
    <row r="907" ht="24.75" customHeight="1" collapsed="1">
      <c r="A907" s="175" t="s">
        <v>1781</v>
      </c>
      <c r="B907" s="132"/>
      <c r="C907" s="132"/>
      <c r="D907" s="132"/>
      <c r="E907" s="496"/>
      <c r="F907" s="132"/>
      <c r="G907" s="132"/>
      <c r="H907" s="132"/>
      <c r="I907" s="132"/>
      <c r="J907" s="132"/>
      <c r="K907" s="132"/>
      <c r="L907" s="132"/>
      <c r="M907" s="132"/>
      <c r="N907" s="132"/>
      <c r="O907" s="132"/>
      <c r="P907" s="132"/>
      <c r="Q907" s="132"/>
      <c r="R907" s="132"/>
      <c r="S907" s="132"/>
      <c r="T907" s="132"/>
      <c r="U907" s="132"/>
      <c r="V907" s="132"/>
      <c r="W907" s="132"/>
      <c r="X907" s="132"/>
      <c r="Y907" s="132"/>
      <c r="Z907" s="132"/>
      <c r="AA907" s="132"/>
      <c r="AB907" s="132"/>
      <c r="AC907" s="132"/>
    </row>
    <row r="908" ht="24.75" hidden="1" customHeight="1" outlineLevel="1">
      <c r="A908" s="533" t="s">
        <v>1166</v>
      </c>
      <c r="B908" s="534" t="s">
        <v>1117</v>
      </c>
      <c r="C908" s="534" t="s">
        <v>1167</v>
      </c>
      <c r="D908" s="534" t="s">
        <v>1168</v>
      </c>
      <c r="E908" s="534" t="s">
        <v>1169</v>
      </c>
      <c r="F908" s="132"/>
      <c r="G908" s="132"/>
      <c r="H908" s="132"/>
      <c r="I908" s="132"/>
      <c r="J908" s="132"/>
      <c r="K908" s="132"/>
      <c r="L908" s="132"/>
      <c r="M908" s="132"/>
      <c r="N908" s="132"/>
      <c r="O908" s="132"/>
      <c r="P908" s="132"/>
      <c r="Q908" s="132"/>
      <c r="R908" s="132"/>
      <c r="S908" s="132"/>
      <c r="T908" s="132"/>
      <c r="U908" s="132"/>
      <c r="V908" s="132"/>
      <c r="W908" s="132"/>
      <c r="X908" s="132"/>
      <c r="Y908" s="132"/>
      <c r="Z908" s="132"/>
      <c r="AA908" s="132"/>
      <c r="AB908" s="132"/>
      <c r="AC908" s="132"/>
    </row>
    <row r="909" ht="24.75" hidden="1" customHeight="1" outlineLevel="1">
      <c r="A909" s="607">
        <v>45964.0</v>
      </c>
      <c r="B909" s="679" t="s">
        <v>1249</v>
      </c>
      <c r="C909" s="526" t="s">
        <v>1578</v>
      </c>
      <c r="D909" s="680" t="s">
        <v>1615</v>
      </c>
      <c r="E909" s="681" t="s">
        <v>1235</v>
      </c>
      <c r="F909" s="132"/>
      <c r="G909" s="132"/>
      <c r="H909" s="132"/>
      <c r="I909" s="132"/>
      <c r="J909" s="132"/>
      <c r="K909" s="132"/>
      <c r="L909" s="132"/>
      <c r="M909" s="132"/>
      <c r="N909" s="132"/>
      <c r="O909" s="132"/>
      <c r="P909" s="132"/>
      <c r="Q909" s="132"/>
      <c r="R909" s="132"/>
      <c r="S909" s="132"/>
      <c r="T909" s="132"/>
      <c r="U909" s="132"/>
      <c r="V909" s="132"/>
      <c r="W909" s="132"/>
      <c r="X909" s="132"/>
      <c r="Y909" s="132"/>
      <c r="Z909" s="132"/>
      <c r="AA909" s="132"/>
      <c r="AB909" s="132"/>
      <c r="AC909" s="132"/>
    </row>
    <row r="910" ht="24.75" hidden="1" customHeight="1" outlineLevel="1">
      <c r="A910" s="607">
        <v>45964.0</v>
      </c>
      <c r="B910" s="679" t="s">
        <v>1526</v>
      </c>
      <c r="C910" s="523" t="s">
        <v>1239</v>
      </c>
      <c r="D910" s="687" t="s">
        <v>1580</v>
      </c>
      <c r="E910" s="681" t="s">
        <v>1235</v>
      </c>
      <c r="F910" s="132"/>
      <c r="G910" s="132"/>
      <c r="H910" s="132"/>
      <c r="I910" s="132"/>
      <c r="J910" s="132"/>
      <c r="K910" s="132"/>
      <c r="L910" s="132"/>
      <c r="M910" s="132"/>
      <c r="N910" s="132"/>
      <c r="O910" s="132"/>
      <c r="P910" s="132"/>
      <c r="Q910" s="132"/>
      <c r="R910" s="132"/>
      <c r="S910" s="132"/>
      <c r="T910" s="132"/>
      <c r="U910" s="132"/>
      <c r="V910" s="132"/>
      <c r="W910" s="132"/>
      <c r="X910" s="132"/>
      <c r="Y910" s="132"/>
      <c r="Z910" s="132"/>
      <c r="AA910" s="132"/>
      <c r="AB910" s="132"/>
      <c r="AC910" s="132"/>
    </row>
    <row r="911" ht="24.75" hidden="1" customHeight="1" outlineLevel="1">
      <c r="A911" s="607">
        <v>45964.0</v>
      </c>
      <c r="B911" s="523" t="s">
        <v>629</v>
      </c>
      <c r="C911" s="523" t="s">
        <v>1221</v>
      </c>
      <c r="D911" s="688" t="s">
        <v>1550</v>
      </c>
      <c r="E911" s="681" t="s">
        <v>1235</v>
      </c>
      <c r="F911" s="132"/>
      <c r="G911" s="132"/>
      <c r="H911" s="132"/>
      <c r="I911" s="132"/>
      <c r="J911" s="132"/>
      <c r="K911" s="132"/>
      <c r="L911" s="132"/>
      <c r="M911" s="132"/>
      <c r="N911" s="132"/>
      <c r="O911" s="132"/>
      <c r="P911" s="132"/>
      <c r="Q911" s="132"/>
      <c r="R911" s="132"/>
      <c r="S911" s="132"/>
      <c r="T911" s="132"/>
      <c r="U911" s="132"/>
      <c r="V911" s="132"/>
      <c r="W911" s="132"/>
      <c r="X911" s="132"/>
      <c r="Y911" s="132"/>
      <c r="Z911" s="132"/>
      <c r="AA911" s="132"/>
      <c r="AB911" s="132"/>
      <c r="AC911" s="132"/>
    </row>
    <row r="912" ht="24.75" hidden="1" customHeight="1" outlineLevel="1">
      <c r="A912" s="607">
        <v>45964.0</v>
      </c>
      <c r="B912" s="523" t="s">
        <v>1217</v>
      </c>
      <c r="C912" s="523" t="s">
        <v>1451</v>
      </c>
      <c r="D912" s="680" t="s">
        <v>1354</v>
      </c>
      <c r="E912" s="681" t="s">
        <v>1235</v>
      </c>
      <c r="F912" s="132"/>
      <c r="G912" s="132"/>
      <c r="H912" s="132"/>
      <c r="I912" s="132"/>
      <c r="J912" s="132"/>
      <c r="K912" s="132"/>
      <c r="L912" s="132"/>
      <c r="M912" s="132"/>
      <c r="N912" s="132"/>
      <c r="O912" s="132"/>
      <c r="P912" s="132"/>
      <c r="Q912" s="132"/>
      <c r="R912" s="132"/>
      <c r="S912" s="132"/>
      <c r="T912" s="132"/>
      <c r="U912" s="132"/>
      <c r="V912" s="132"/>
      <c r="W912" s="132"/>
      <c r="X912" s="132"/>
      <c r="Y912" s="132"/>
      <c r="Z912" s="132"/>
      <c r="AA912" s="132"/>
      <c r="AB912" s="132"/>
      <c r="AC912" s="132"/>
    </row>
    <row r="913" ht="24.75" hidden="1" customHeight="1" outlineLevel="1">
      <c r="A913" s="621">
        <v>45965.0</v>
      </c>
      <c r="B913" s="679" t="s">
        <v>38</v>
      </c>
      <c r="C913" s="523" t="s">
        <v>1221</v>
      </c>
      <c r="D913" s="688" t="s">
        <v>1552</v>
      </c>
      <c r="E913" s="681" t="s">
        <v>1235</v>
      </c>
      <c r="F913" s="132"/>
      <c r="G913" s="132"/>
      <c r="H913" s="132"/>
      <c r="I913" s="132"/>
      <c r="J913" s="132"/>
      <c r="K913" s="132"/>
      <c r="L913" s="132"/>
      <c r="M913" s="132"/>
      <c r="N913" s="132"/>
      <c r="O913" s="132"/>
      <c r="P913" s="132"/>
      <c r="Q913" s="132"/>
      <c r="R913" s="132"/>
      <c r="S913" s="132"/>
      <c r="T913" s="132"/>
      <c r="U913" s="132"/>
      <c r="V913" s="132"/>
      <c r="W913" s="132"/>
      <c r="X913" s="132"/>
      <c r="Y913" s="132"/>
      <c r="Z913" s="132"/>
      <c r="AA913" s="132"/>
      <c r="AB913" s="132"/>
      <c r="AC913" s="132"/>
    </row>
    <row r="914" ht="24.75" hidden="1" customHeight="1" outlineLevel="1">
      <c r="A914" s="621">
        <v>45965.0</v>
      </c>
      <c r="B914" s="523" t="s">
        <v>1232</v>
      </c>
      <c r="C914" s="690" t="s">
        <v>1782</v>
      </c>
      <c r="D914" s="688" t="s">
        <v>1180</v>
      </c>
      <c r="E914" s="681" t="s">
        <v>1235</v>
      </c>
      <c r="F914" s="132"/>
      <c r="G914" s="132"/>
      <c r="H914" s="132"/>
      <c r="I914" s="132"/>
      <c r="J914" s="132"/>
      <c r="K914" s="132"/>
      <c r="L914" s="132"/>
      <c r="M914" s="132"/>
      <c r="N914" s="132"/>
      <c r="O914" s="132"/>
      <c r="P914" s="132"/>
      <c r="Q914" s="132"/>
      <c r="R914" s="132"/>
      <c r="S914" s="132"/>
      <c r="T914" s="132"/>
      <c r="U914" s="132"/>
      <c r="V914" s="132"/>
      <c r="W914" s="132"/>
      <c r="X914" s="132"/>
      <c r="Y914" s="132"/>
      <c r="Z914" s="132"/>
      <c r="AA914" s="132"/>
      <c r="AB914" s="132"/>
      <c r="AC914" s="132"/>
    </row>
    <row r="915" ht="24.75" hidden="1" customHeight="1" outlineLevel="1">
      <c r="A915" s="621">
        <v>45965.0</v>
      </c>
      <c r="B915" s="523" t="s">
        <v>1325</v>
      </c>
      <c r="C915" s="523" t="s">
        <v>1221</v>
      </c>
      <c r="D915" s="688" t="s">
        <v>1180</v>
      </c>
      <c r="E915" s="681" t="s">
        <v>1235</v>
      </c>
      <c r="F915" s="132"/>
      <c r="G915" s="132"/>
      <c r="H915" s="132"/>
      <c r="I915" s="132"/>
      <c r="J915" s="132"/>
      <c r="K915" s="132"/>
      <c r="L915" s="132"/>
      <c r="M915" s="132"/>
      <c r="N915" s="132"/>
      <c r="O915" s="132"/>
      <c r="P915" s="132"/>
      <c r="Q915" s="132"/>
      <c r="R915" s="132"/>
      <c r="S915" s="132"/>
      <c r="T915" s="132"/>
      <c r="U915" s="132"/>
      <c r="V915" s="132"/>
      <c r="W915" s="132"/>
      <c r="X915" s="132"/>
      <c r="Y915" s="132"/>
      <c r="Z915" s="132"/>
      <c r="AA915" s="132"/>
      <c r="AB915" s="132"/>
      <c r="AC915" s="132"/>
    </row>
    <row r="916" ht="24.75" hidden="1" customHeight="1" outlineLevel="1">
      <c r="A916" s="621">
        <v>45965.0</v>
      </c>
      <c r="B916" s="679" t="s">
        <v>1254</v>
      </c>
      <c r="C916" s="692" t="s">
        <v>1590</v>
      </c>
      <c r="D916" s="688" t="s">
        <v>1557</v>
      </c>
      <c r="E916" s="681" t="s">
        <v>1235</v>
      </c>
      <c r="F916" s="132"/>
      <c r="G916" s="132"/>
      <c r="H916" s="132"/>
      <c r="I916" s="132"/>
      <c r="J916" s="132"/>
      <c r="K916" s="132"/>
      <c r="L916" s="132"/>
      <c r="M916" s="132"/>
      <c r="N916" s="132"/>
      <c r="O916" s="132"/>
      <c r="P916" s="132"/>
      <c r="Q916" s="132"/>
      <c r="R916" s="132"/>
      <c r="S916" s="132"/>
      <c r="T916" s="132"/>
      <c r="U916" s="132"/>
      <c r="V916" s="132"/>
      <c r="W916" s="132"/>
      <c r="X916" s="132"/>
      <c r="Y916" s="132"/>
      <c r="Z916" s="132"/>
      <c r="AA916" s="132"/>
      <c r="AB916" s="132"/>
      <c r="AC916" s="132"/>
    </row>
    <row r="917" ht="24.75" hidden="1" customHeight="1" outlineLevel="1">
      <c r="A917" s="621">
        <v>45965.0</v>
      </c>
      <c r="B917" s="523" t="s">
        <v>236</v>
      </c>
      <c r="C917" s="523" t="s">
        <v>1221</v>
      </c>
      <c r="D917" s="688" t="s">
        <v>1558</v>
      </c>
      <c r="E917" s="681" t="s">
        <v>1235</v>
      </c>
      <c r="F917" s="132"/>
      <c r="G917" s="132"/>
      <c r="H917" s="132"/>
      <c r="I917" s="132"/>
      <c r="J917" s="132"/>
      <c r="K917" s="132"/>
      <c r="L917" s="132"/>
      <c r="M917" s="132"/>
      <c r="N917" s="132"/>
      <c r="O917" s="132"/>
      <c r="P917" s="132"/>
      <c r="Q917" s="132"/>
      <c r="R917" s="132"/>
      <c r="S917" s="132"/>
      <c r="T917" s="132"/>
      <c r="U917" s="132"/>
      <c r="V917" s="132"/>
      <c r="W917" s="132"/>
      <c r="X917" s="132"/>
      <c r="Y917" s="132"/>
      <c r="Z917" s="132"/>
      <c r="AA917" s="132"/>
      <c r="AB917" s="132"/>
      <c r="AC917" s="132"/>
    </row>
    <row r="918" ht="24.75" customHeight="1">
      <c r="A918" s="132"/>
      <c r="B918" s="132"/>
      <c r="C918" s="132"/>
      <c r="D918" s="132"/>
      <c r="E918" s="496"/>
      <c r="F918" s="132"/>
      <c r="G918" s="132"/>
      <c r="H918" s="132"/>
      <c r="I918" s="132"/>
      <c r="J918" s="132"/>
      <c r="K918" s="132"/>
      <c r="L918" s="132"/>
      <c r="M918" s="132"/>
      <c r="N918" s="132"/>
      <c r="O918" s="132"/>
      <c r="P918" s="132"/>
      <c r="Q918" s="132"/>
      <c r="R918" s="132"/>
      <c r="S918" s="132"/>
      <c r="T918" s="132"/>
      <c r="U918" s="132"/>
      <c r="V918" s="132"/>
      <c r="W918" s="132"/>
      <c r="X918" s="132"/>
      <c r="Y918" s="132"/>
      <c r="Z918" s="132"/>
      <c r="AA918" s="132"/>
      <c r="AB918" s="132"/>
      <c r="AC918" s="132"/>
    </row>
    <row r="919" ht="24.75" customHeight="1" collapsed="1">
      <c r="A919" s="599" t="s">
        <v>1783</v>
      </c>
      <c r="B919" s="132"/>
      <c r="C919" s="132"/>
      <c r="D919" s="132"/>
      <c r="E919" s="496"/>
      <c r="F919" s="132"/>
      <c r="G919" s="132"/>
      <c r="H919" s="132"/>
      <c r="I919" s="132"/>
      <c r="J919" s="132"/>
      <c r="K919" s="132"/>
      <c r="L919" s="132"/>
      <c r="M919" s="132"/>
      <c r="N919" s="132"/>
      <c r="O919" s="132"/>
      <c r="P919" s="132"/>
      <c r="Q919" s="132"/>
      <c r="R919" s="132"/>
      <c r="S919" s="132"/>
      <c r="T919" s="132"/>
      <c r="U919" s="132"/>
      <c r="V919" s="132"/>
      <c r="W919" s="132"/>
      <c r="X919" s="132"/>
      <c r="Y919" s="132"/>
      <c r="Z919" s="132"/>
      <c r="AA919" s="132"/>
      <c r="AB919" s="132"/>
      <c r="AC919" s="132"/>
    </row>
    <row r="920" ht="24.75" hidden="1" customHeight="1" outlineLevel="1">
      <c r="A920" s="533" t="s">
        <v>1166</v>
      </c>
      <c r="B920" s="534" t="s">
        <v>1117</v>
      </c>
      <c r="C920" s="534" t="s">
        <v>1167</v>
      </c>
      <c r="D920" s="534" t="s">
        <v>1168</v>
      </c>
      <c r="E920" s="534" t="s">
        <v>1169</v>
      </c>
      <c r="F920" s="132"/>
      <c r="G920" s="132"/>
      <c r="H920" s="132"/>
      <c r="I920" s="132"/>
      <c r="J920" s="132"/>
      <c r="K920" s="132"/>
      <c r="L920" s="132"/>
      <c r="M920" s="132"/>
      <c r="N920" s="132"/>
      <c r="O920" s="132"/>
      <c r="P920" s="132"/>
      <c r="Q920" s="132"/>
      <c r="R920" s="132"/>
      <c r="S920" s="132"/>
      <c r="T920" s="132"/>
      <c r="U920" s="132"/>
      <c r="V920" s="132"/>
      <c r="W920" s="132"/>
      <c r="X920" s="132"/>
      <c r="Y920" s="132"/>
      <c r="Z920" s="132"/>
      <c r="AA920" s="132"/>
      <c r="AB920" s="132"/>
      <c r="AC920" s="132"/>
    </row>
    <row r="921" ht="24.75" hidden="1" customHeight="1" outlineLevel="1">
      <c r="A921" s="791">
        <v>45985.0</v>
      </c>
      <c r="B921" s="679" t="s">
        <v>1249</v>
      </c>
      <c r="C921" s="526" t="s">
        <v>1578</v>
      </c>
      <c r="D921" s="680" t="s">
        <v>1615</v>
      </c>
      <c r="E921" s="681" t="s">
        <v>1235</v>
      </c>
      <c r="F921" s="132"/>
      <c r="G921" s="132"/>
      <c r="H921" s="132"/>
      <c r="I921" s="132"/>
      <c r="J921" s="132"/>
      <c r="K921" s="132"/>
      <c r="L921" s="132"/>
      <c r="M921" s="132"/>
      <c r="N921" s="132"/>
      <c r="O921" s="132"/>
      <c r="P921" s="132"/>
      <c r="Q921" s="132"/>
      <c r="R921" s="132"/>
      <c r="S921" s="132"/>
      <c r="T921" s="132"/>
      <c r="U921" s="132"/>
      <c r="V921" s="132"/>
      <c r="W921" s="132"/>
      <c r="X921" s="132"/>
      <c r="Y921" s="132"/>
      <c r="Z921" s="132"/>
      <c r="AA921" s="132"/>
      <c r="AB921" s="132"/>
      <c r="AC921" s="132"/>
    </row>
    <row r="922" ht="24.75" hidden="1" customHeight="1" outlineLevel="1">
      <c r="A922" s="791">
        <v>45985.0</v>
      </c>
      <c r="B922" s="679" t="s">
        <v>1526</v>
      </c>
      <c r="C922" s="523" t="s">
        <v>1239</v>
      </c>
      <c r="D922" s="687" t="s">
        <v>1580</v>
      </c>
      <c r="E922" s="681" t="s">
        <v>1235</v>
      </c>
      <c r="F922" s="132"/>
      <c r="G922" s="132"/>
      <c r="H922" s="132"/>
      <c r="I922" s="132"/>
      <c r="J922" s="132"/>
      <c r="K922" s="132"/>
      <c r="L922" s="132"/>
      <c r="M922" s="132"/>
      <c r="N922" s="132"/>
      <c r="O922" s="132"/>
      <c r="P922" s="132"/>
      <c r="Q922" s="132"/>
      <c r="R922" s="132"/>
      <c r="S922" s="132"/>
      <c r="T922" s="132"/>
      <c r="U922" s="132"/>
      <c r="V922" s="132"/>
      <c r="W922" s="132"/>
      <c r="X922" s="132"/>
      <c r="Y922" s="132"/>
      <c r="Z922" s="132"/>
      <c r="AA922" s="132"/>
      <c r="AB922" s="132"/>
      <c r="AC922" s="132"/>
    </row>
    <row r="923" ht="24.75" hidden="1" customHeight="1" outlineLevel="1">
      <c r="A923" s="791">
        <v>45985.0</v>
      </c>
      <c r="B923" s="523" t="s">
        <v>629</v>
      </c>
      <c r="C923" s="523" t="s">
        <v>1221</v>
      </c>
      <c r="D923" s="688" t="s">
        <v>1550</v>
      </c>
      <c r="E923" s="681" t="s">
        <v>1235</v>
      </c>
      <c r="F923" s="132"/>
      <c r="G923" s="132"/>
      <c r="H923" s="132"/>
      <c r="I923" s="132"/>
      <c r="J923" s="132"/>
      <c r="K923" s="132"/>
      <c r="L923" s="132"/>
      <c r="M923" s="132"/>
      <c r="N923" s="132"/>
      <c r="O923" s="132"/>
      <c r="P923" s="132"/>
      <c r="Q923" s="132"/>
      <c r="R923" s="132"/>
      <c r="S923" s="132"/>
      <c r="T923" s="132"/>
      <c r="U923" s="132"/>
      <c r="V923" s="132"/>
      <c r="W923" s="132"/>
      <c r="X923" s="132"/>
      <c r="Y923" s="132"/>
      <c r="Z923" s="132"/>
      <c r="AA923" s="132"/>
      <c r="AB923" s="132"/>
      <c r="AC923" s="132"/>
    </row>
    <row r="924" ht="24.75" hidden="1" customHeight="1" outlineLevel="1">
      <c r="A924" s="791">
        <v>45985.0</v>
      </c>
      <c r="B924" s="523" t="s">
        <v>1217</v>
      </c>
      <c r="C924" s="523" t="s">
        <v>1451</v>
      </c>
      <c r="D924" s="680" t="s">
        <v>1354</v>
      </c>
      <c r="E924" s="681" t="s">
        <v>1235</v>
      </c>
      <c r="F924" s="132"/>
      <c r="G924" s="132"/>
      <c r="H924" s="132"/>
      <c r="I924" s="132"/>
      <c r="J924" s="132"/>
      <c r="K924" s="132"/>
      <c r="L924" s="132"/>
      <c r="M924" s="132"/>
      <c r="N924" s="132"/>
      <c r="O924" s="132"/>
      <c r="P924" s="132"/>
      <c r="Q924" s="132"/>
      <c r="R924" s="132"/>
      <c r="S924" s="132"/>
      <c r="T924" s="132"/>
      <c r="U924" s="132"/>
      <c r="V924" s="132"/>
      <c r="W924" s="132"/>
      <c r="X924" s="132"/>
      <c r="Y924" s="132"/>
      <c r="Z924" s="132"/>
      <c r="AA924" s="132"/>
      <c r="AB924" s="132"/>
      <c r="AC924" s="132"/>
    </row>
    <row r="925" ht="24.75" hidden="1" customHeight="1" outlineLevel="1">
      <c r="A925" s="792">
        <v>45986.0</v>
      </c>
      <c r="B925" s="679" t="s">
        <v>38</v>
      </c>
      <c r="C925" s="523" t="s">
        <v>1221</v>
      </c>
      <c r="D925" s="688" t="s">
        <v>1552</v>
      </c>
      <c r="E925" s="681" t="s">
        <v>1235</v>
      </c>
      <c r="F925" s="132"/>
      <c r="G925" s="132"/>
      <c r="H925" s="132"/>
      <c r="I925" s="132"/>
      <c r="J925" s="132"/>
      <c r="K925" s="132"/>
      <c r="L925" s="132"/>
      <c r="M925" s="132"/>
      <c r="N925" s="132"/>
      <c r="O925" s="132"/>
      <c r="P925" s="132"/>
      <c r="Q925" s="132"/>
      <c r="R925" s="132"/>
      <c r="S925" s="132"/>
      <c r="T925" s="132"/>
      <c r="U925" s="132"/>
      <c r="V925" s="132"/>
      <c r="W925" s="132"/>
      <c r="X925" s="132"/>
      <c r="Y925" s="132"/>
      <c r="Z925" s="132"/>
      <c r="AA925" s="132"/>
      <c r="AB925" s="132"/>
      <c r="AC925" s="132"/>
    </row>
    <row r="926" ht="24.75" hidden="1" customHeight="1" outlineLevel="1">
      <c r="A926" s="792">
        <v>45986.0</v>
      </c>
      <c r="B926" s="523" t="s">
        <v>1232</v>
      </c>
      <c r="C926" s="690" t="s">
        <v>1784</v>
      </c>
      <c r="D926" s="688" t="s">
        <v>1180</v>
      </c>
      <c r="E926" s="681" t="s">
        <v>1235</v>
      </c>
      <c r="F926" s="132"/>
      <c r="G926" s="132"/>
      <c r="H926" s="132"/>
      <c r="I926" s="132"/>
      <c r="J926" s="132"/>
      <c r="K926" s="132"/>
      <c r="L926" s="132"/>
      <c r="M926" s="132"/>
      <c r="N926" s="132"/>
      <c r="O926" s="132"/>
      <c r="P926" s="132"/>
      <c r="Q926" s="132"/>
      <c r="R926" s="132"/>
      <c r="S926" s="132"/>
      <c r="T926" s="132"/>
      <c r="U926" s="132"/>
      <c r="V926" s="132"/>
      <c r="W926" s="132"/>
      <c r="X926" s="132"/>
      <c r="Y926" s="132"/>
      <c r="Z926" s="132"/>
      <c r="AA926" s="132"/>
      <c r="AB926" s="132"/>
      <c r="AC926" s="132"/>
    </row>
    <row r="927" ht="24.75" hidden="1" customHeight="1" outlineLevel="1">
      <c r="A927" s="792">
        <v>45986.0</v>
      </c>
      <c r="B927" s="523" t="s">
        <v>1325</v>
      </c>
      <c r="C927" s="523" t="s">
        <v>1221</v>
      </c>
      <c r="D927" s="688" t="s">
        <v>1180</v>
      </c>
      <c r="E927" s="681" t="s">
        <v>1235</v>
      </c>
      <c r="F927" s="132"/>
      <c r="G927" s="132"/>
      <c r="H927" s="132"/>
      <c r="I927" s="132"/>
      <c r="J927" s="132"/>
      <c r="K927" s="132"/>
      <c r="L927" s="132"/>
      <c r="M927" s="132"/>
      <c r="N927" s="132"/>
      <c r="O927" s="132"/>
      <c r="P927" s="132"/>
      <c r="Q927" s="132"/>
      <c r="R927" s="132"/>
      <c r="S927" s="132"/>
      <c r="T927" s="132"/>
      <c r="U927" s="132"/>
      <c r="V927" s="132"/>
      <c r="W927" s="132"/>
      <c r="X927" s="132"/>
      <c r="Y927" s="132"/>
      <c r="Z927" s="132"/>
      <c r="AA927" s="132"/>
      <c r="AB927" s="132"/>
      <c r="AC927" s="132"/>
    </row>
    <row r="928" ht="24.75" hidden="1" customHeight="1" outlineLevel="1">
      <c r="A928" s="792">
        <v>45986.0</v>
      </c>
      <c r="B928" s="679" t="s">
        <v>1254</v>
      </c>
      <c r="C928" s="692" t="s">
        <v>1590</v>
      </c>
      <c r="D928" s="688" t="s">
        <v>1557</v>
      </c>
      <c r="E928" s="681" t="s">
        <v>1235</v>
      </c>
      <c r="F928" s="132"/>
      <c r="G928" s="132"/>
      <c r="H928" s="132"/>
      <c r="I928" s="132"/>
      <c r="J928" s="132"/>
      <c r="K928" s="132"/>
      <c r="L928" s="132"/>
      <c r="M928" s="132"/>
      <c r="N928" s="132"/>
      <c r="O928" s="132"/>
      <c r="P928" s="132"/>
      <c r="Q928" s="132"/>
      <c r="R928" s="132"/>
      <c r="S928" s="132"/>
      <c r="T928" s="132"/>
      <c r="U928" s="132"/>
      <c r="V928" s="132"/>
      <c r="W928" s="132"/>
      <c r="X928" s="132"/>
      <c r="Y928" s="132"/>
      <c r="Z928" s="132"/>
      <c r="AA928" s="132"/>
      <c r="AB928" s="132"/>
      <c r="AC928" s="132"/>
    </row>
    <row r="929" ht="24.75" hidden="1" customHeight="1" outlineLevel="1">
      <c r="A929" s="792">
        <v>45986.0</v>
      </c>
      <c r="B929" s="523" t="s">
        <v>236</v>
      </c>
      <c r="C929" s="523" t="s">
        <v>1221</v>
      </c>
      <c r="D929" s="688" t="s">
        <v>1558</v>
      </c>
      <c r="E929" s="681" t="s">
        <v>1235</v>
      </c>
      <c r="F929" s="132"/>
      <c r="G929" s="132"/>
      <c r="H929" s="132"/>
      <c r="I929" s="132"/>
      <c r="J929" s="132"/>
      <c r="K929" s="132"/>
      <c r="L929" s="132"/>
      <c r="M929" s="132"/>
      <c r="N929" s="132"/>
      <c r="O929" s="132"/>
      <c r="P929" s="132"/>
      <c r="Q929" s="132"/>
      <c r="R929" s="132"/>
      <c r="S929" s="132"/>
      <c r="T929" s="132"/>
      <c r="U929" s="132"/>
      <c r="V929" s="132"/>
      <c r="W929" s="132"/>
      <c r="X929" s="132"/>
      <c r="Y929" s="132"/>
      <c r="Z929" s="132"/>
      <c r="AA929" s="132"/>
      <c r="AB929" s="132"/>
      <c r="AC929" s="132"/>
    </row>
    <row r="930" ht="24.75" customHeight="1">
      <c r="A930" s="132"/>
      <c r="B930" s="132"/>
      <c r="C930" s="132"/>
      <c r="D930" s="132"/>
      <c r="E930" s="496"/>
      <c r="F930" s="132"/>
      <c r="G930" s="132"/>
      <c r="H930" s="132"/>
      <c r="I930" s="132"/>
      <c r="J930" s="132"/>
      <c r="K930" s="132"/>
      <c r="L930" s="132"/>
      <c r="M930" s="132"/>
      <c r="N930" s="132"/>
      <c r="O930" s="132"/>
      <c r="P930" s="132"/>
      <c r="Q930" s="132"/>
      <c r="R930" s="132"/>
      <c r="S930" s="132"/>
      <c r="T930" s="132"/>
      <c r="U930" s="132"/>
      <c r="V930" s="132"/>
      <c r="W930" s="132"/>
      <c r="X930" s="132"/>
      <c r="Y930" s="132"/>
      <c r="Z930" s="132"/>
      <c r="AA930" s="132"/>
      <c r="AB930" s="132"/>
      <c r="AC930" s="132"/>
    </row>
    <row r="931" ht="24.75" customHeight="1">
      <c r="A931" s="758" t="s">
        <v>1785</v>
      </c>
      <c r="B931" s="759"/>
      <c r="C931" s="759"/>
      <c r="D931" s="759"/>
      <c r="E931" s="760"/>
      <c r="F931" s="759"/>
      <c r="G931" s="759"/>
      <c r="H931" s="759"/>
      <c r="I931" s="132"/>
      <c r="J931" s="132"/>
      <c r="K931" s="132"/>
      <c r="L931" s="132"/>
      <c r="M931" s="132"/>
      <c r="N931" s="132"/>
      <c r="O931" s="132"/>
      <c r="P931" s="132"/>
      <c r="Q931" s="132"/>
      <c r="R931" s="132"/>
      <c r="S931" s="132"/>
      <c r="T931" s="132"/>
      <c r="U931" s="132"/>
      <c r="V931" s="132"/>
      <c r="W931" s="132"/>
      <c r="X931" s="132"/>
      <c r="Y931" s="132"/>
      <c r="Z931" s="132"/>
      <c r="AA931" s="132"/>
      <c r="AB931" s="132"/>
      <c r="AC931" s="132"/>
    </row>
    <row r="932" ht="24.75" customHeight="1" outlineLevel="1">
      <c r="A932" s="761" t="s">
        <v>1166</v>
      </c>
      <c r="B932" s="762" t="s">
        <v>1117</v>
      </c>
      <c r="C932" s="762" t="s">
        <v>1167</v>
      </c>
      <c r="D932" s="762" t="s">
        <v>1168</v>
      </c>
      <c r="E932" s="763" t="s">
        <v>1169</v>
      </c>
      <c r="F932" s="758" t="s">
        <v>1737</v>
      </c>
      <c r="G932" s="758" t="s">
        <v>1738</v>
      </c>
      <c r="H932" s="758" t="s">
        <v>143</v>
      </c>
      <c r="I932" s="132"/>
      <c r="J932" s="132"/>
      <c r="K932" s="132"/>
      <c r="L932" s="132"/>
      <c r="M932" s="132"/>
      <c r="N932" s="132"/>
      <c r="O932" s="132"/>
      <c r="P932" s="132"/>
      <c r="Q932" s="132"/>
      <c r="R932" s="132"/>
      <c r="S932" s="132"/>
      <c r="T932" s="132"/>
      <c r="U932" s="132"/>
      <c r="V932" s="132"/>
      <c r="W932" s="132"/>
      <c r="X932" s="132"/>
      <c r="Y932" s="132"/>
      <c r="Z932" s="132"/>
      <c r="AA932" s="132"/>
      <c r="AB932" s="132"/>
      <c r="AC932" s="132"/>
    </row>
    <row r="933" ht="24.75" customHeight="1" outlineLevel="1">
      <c r="A933" s="764">
        <v>46017.0</v>
      </c>
      <c r="B933" s="650" t="s">
        <v>1232</v>
      </c>
      <c r="C933" s="642" t="s">
        <v>1233</v>
      </c>
      <c r="D933" s="642" t="s">
        <v>1180</v>
      </c>
      <c r="E933" s="765" t="s">
        <v>1235</v>
      </c>
      <c r="F933" s="758" t="s">
        <v>1598</v>
      </c>
      <c r="G933" s="758"/>
      <c r="H933" s="758" t="s">
        <v>1584</v>
      </c>
      <c r="I933" s="132"/>
      <c r="J933" s="132"/>
      <c r="K933" s="132"/>
      <c r="L933" s="132"/>
      <c r="M933" s="132"/>
      <c r="N933" s="132"/>
      <c r="O933" s="132"/>
      <c r="P933" s="132"/>
      <c r="Q933" s="132"/>
      <c r="R933" s="132"/>
      <c r="S933" s="132"/>
      <c r="T933" s="132"/>
      <c r="U933" s="132"/>
      <c r="V933" s="132"/>
      <c r="W933" s="132"/>
      <c r="X933" s="132"/>
      <c r="Y933" s="132"/>
      <c r="Z933" s="132"/>
      <c r="AA933" s="132"/>
      <c r="AB933" s="132"/>
    </row>
    <row r="934" ht="24.75" customHeight="1" outlineLevel="1">
      <c r="A934" s="764">
        <v>46017.0</v>
      </c>
      <c r="B934" s="766" t="s">
        <v>1739</v>
      </c>
      <c r="C934" s="650" t="s">
        <v>1233</v>
      </c>
      <c r="D934" s="642" t="s">
        <v>1180</v>
      </c>
      <c r="E934" s="765" t="s">
        <v>1235</v>
      </c>
      <c r="F934" s="758" t="s">
        <v>1598</v>
      </c>
      <c r="G934" s="758"/>
      <c r="H934" s="758" t="s">
        <v>1586</v>
      </c>
      <c r="I934" s="132"/>
      <c r="J934" s="132"/>
      <c r="K934" s="132"/>
      <c r="L934" s="132"/>
      <c r="M934" s="132"/>
      <c r="N934" s="132"/>
      <c r="O934" s="132"/>
      <c r="P934" s="132"/>
      <c r="Q934" s="132"/>
      <c r="R934" s="132"/>
      <c r="S934" s="132"/>
      <c r="T934" s="132"/>
      <c r="U934" s="132"/>
      <c r="V934" s="132"/>
      <c r="W934" s="132"/>
      <c r="X934" s="132"/>
      <c r="Y934" s="132"/>
      <c r="Z934" s="132"/>
      <c r="AA934" s="132"/>
      <c r="AB934" s="132"/>
    </row>
    <row r="935" ht="24.75" customHeight="1" outlineLevel="1">
      <c r="A935" s="764">
        <v>46017.0</v>
      </c>
      <c r="B935" s="650" t="s">
        <v>369</v>
      </c>
      <c r="C935" s="642" t="s">
        <v>1786</v>
      </c>
      <c r="D935" s="642" t="s">
        <v>1180</v>
      </c>
      <c r="E935" s="765" t="s">
        <v>1235</v>
      </c>
      <c r="F935" s="758" t="s">
        <v>1598</v>
      </c>
      <c r="G935" s="758"/>
      <c r="H935" s="758" t="s">
        <v>1740</v>
      </c>
      <c r="I935" s="132"/>
      <c r="J935" s="132"/>
      <c r="K935" s="132"/>
      <c r="L935" s="132"/>
      <c r="M935" s="132"/>
      <c r="N935" s="132"/>
      <c r="O935" s="132"/>
      <c r="P935" s="132"/>
      <c r="Q935" s="132"/>
      <c r="R935" s="132"/>
      <c r="S935" s="132"/>
      <c r="T935" s="132"/>
      <c r="U935" s="132"/>
      <c r="V935" s="132"/>
      <c r="W935" s="132"/>
      <c r="X935" s="132"/>
      <c r="Y935" s="132"/>
      <c r="Z935" s="132"/>
      <c r="AA935" s="132"/>
      <c r="AB935" s="132"/>
    </row>
    <row r="936" ht="24.75" customHeight="1" outlineLevel="1">
      <c r="A936" s="764">
        <v>46018.0</v>
      </c>
      <c r="B936" s="650" t="s">
        <v>394</v>
      </c>
      <c r="C936" s="642" t="s">
        <v>1233</v>
      </c>
      <c r="D936" s="642" t="s">
        <v>1180</v>
      </c>
      <c r="E936" s="765" t="s">
        <v>1235</v>
      </c>
      <c r="F936" s="758" t="s">
        <v>1598</v>
      </c>
      <c r="G936" s="758"/>
      <c r="H936" s="758" t="s">
        <v>1741</v>
      </c>
      <c r="I936" s="132"/>
      <c r="J936" s="132"/>
      <c r="K936" s="132"/>
      <c r="L936" s="132"/>
      <c r="M936" s="132"/>
      <c r="N936" s="132"/>
      <c r="O936" s="132"/>
      <c r="P936" s="132"/>
      <c r="Q936" s="132"/>
      <c r="R936" s="132"/>
      <c r="S936" s="132"/>
      <c r="T936" s="132"/>
      <c r="U936" s="132"/>
      <c r="V936" s="132"/>
      <c r="W936" s="132"/>
      <c r="X936" s="132"/>
      <c r="Y936" s="132"/>
      <c r="Z936" s="132"/>
      <c r="AA936" s="132"/>
      <c r="AB936" s="132"/>
    </row>
    <row r="937" ht="24.75" customHeight="1" outlineLevel="1">
      <c r="A937" s="764">
        <v>46018.0</v>
      </c>
      <c r="B937" s="767" t="str">
        <f>HYPERLINK("https://docs.google.com/spreadsheets/d/1v3B9E8Jeqx3_JGvRHJ2cXJ5OAGLvZiOXZru0niKH-QQ/edit?ts=56170761#gid=1991794180","☆横浜")</f>
        <v>☆横浜</v>
      </c>
      <c r="C937" s="736" t="s">
        <v>1722</v>
      </c>
      <c r="D937" s="793" t="s">
        <v>1787</v>
      </c>
      <c r="E937" s="783" t="s">
        <v>1788</v>
      </c>
      <c r="F937" s="758" t="s">
        <v>1598</v>
      </c>
      <c r="G937" s="758" t="s">
        <v>1598</v>
      </c>
      <c r="H937" s="758" t="s">
        <v>1648</v>
      </c>
      <c r="I937" s="132"/>
      <c r="J937" s="132"/>
      <c r="K937" s="132"/>
      <c r="L937" s="132"/>
      <c r="M937" s="132"/>
      <c r="N937" s="132"/>
      <c r="O937" s="132"/>
      <c r="P937" s="132"/>
      <c r="Q937" s="132"/>
      <c r="R937" s="132"/>
      <c r="S937" s="132"/>
      <c r="T937" s="132"/>
      <c r="U937" s="132"/>
      <c r="V937" s="132"/>
      <c r="W937" s="132"/>
      <c r="X937" s="132"/>
      <c r="Y937" s="132"/>
      <c r="Z937" s="132"/>
      <c r="AA937" s="132"/>
      <c r="AB937" s="132"/>
    </row>
    <row r="938" ht="24.75" customHeight="1" outlineLevel="1">
      <c r="A938" s="764">
        <v>46018.0</v>
      </c>
      <c r="B938" s="705" t="str">
        <f>HYPERLINK("https://docs.google.com/spreadsheets/d/1xrfsiAjLwPhBlveDsLSsUUfMnNpOidnkNLqHJabwWYo/edit?ts=56ea7063#gid=1283986028","☆救済メルマガ(UP10)")</f>
        <v>☆救済メルマガ(UP10)</v>
      </c>
      <c r="C938" s="642" t="s">
        <v>1743</v>
      </c>
      <c r="D938" s="642" t="s">
        <v>1744</v>
      </c>
      <c r="E938" s="768" t="s">
        <v>1789</v>
      </c>
      <c r="F938" s="758" t="s">
        <v>1598</v>
      </c>
      <c r="G938" s="758"/>
      <c r="H938" s="758" t="s">
        <v>1652</v>
      </c>
      <c r="I938" s="132"/>
      <c r="J938" s="132"/>
      <c r="K938" s="132"/>
      <c r="L938" s="132"/>
      <c r="M938" s="132"/>
      <c r="N938" s="132"/>
      <c r="O938" s="132"/>
      <c r="P938" s="132"/>
      <c r="Q938" s="132"/>
      <c r="R938" s="132"/>
      <c r="S938" s="132"/>
      <c r="T938" s="132"/>
      <c r="U938" s="132"/>
      <c r="V938" s="132"/>
      <c r="W938" s="132"/>
      <c r="X938" s="132"/>
      <c r="Y938" s="132"/>
      <c r="Z938" s="132"/>
      <c r="AA938" s="132"/>
      <c r="AB938" s="132"/>
    </row>
    <row r="939" ht="24.75" customHeight="1" outlineLevel="1">
      <c r="A939" s="764">
        <v>46019.0</v>
      </c>
      <c r="B939" s="705" t="s">
        <v>421</v>
      </c>
      <c r="C939" s="736" t="s">
        <v>1790</v>
      </c>
      <c r="D939" s="640" t="s">
        <v>1746</v>
      </c>
      <c r="E939" s="769" t="s">
        <v>1791</v>
      </c>
      <c r="F939" s="758" t="s">
        <v>1598</v>
      </c>
      <c r="G939" s="758"/>
      <c r="H939" s="758" t="s">
        <v>1652</v>
      </c>
      <c r="I939" s="132"/>
      <c r="J939" s="132"/>
      <c r="K939" s="132"/>
      <c r="L939" s="132"/>
      <c r="M939" s="132"/>
      <c r="N939" s="132"/>
      <c r="O939" s="132"/>
      <c r="P939" s="132"/>
      <c r="Q939" s="132"/>
      <c r="R939" s="132"/>
      <c r="S939" s="132"/>
      <c r="T939" s="132"/>
      <c r="U939" s="132"/>
      <c r="V939" s="132"/>
      <c r="W939" s="132"/>
      <c r="X939" s="132"/>
      <c r="Y939" s="132"/>
      <c r="Z939" s="132"/>
      <c r="AA939" s="132"/>
      <c r="AB939" s="132"/>
    </row>
    <row r="940" ht="24.75" customHeight="1" outlineLevel="1">
      <c r="A940" s="764">
        <v>46019.0</v>
      </c>
      <c r="B940" s="650" t="s">
        <v>42</v>
      </c>
      <c r="C940" s="642" t="s">
        <v>1792</v>
      </c>
      <c r="D940" s="642" t="s">
        <v>1793</v>
      </c>
      <c r="E940" s="785" t="s">
        <v>1794</v>
      </c>
      <c r="F940" s="758" t="s">
        <v>1598</v>
      </c>
      <c r="G940" s="758"/>
      <c r="H940" s="758" t="s">
        <v>1749</v>
      </c>
      <c r="I940" s="132"/>
      <c r="J940" s="132"/>
      <c r="K940" s="132"/>
      <c r="L940" s="132"/>
      <c r="M940" s="132"/>
      <c r="N940" s="132"/>
      <c r="O940" s="132"/>
      <c r="P940" s="132"/>
      <c r="Q940" s="132"/>
      <c r="R940" s="132"/>
      <c r="S940" s="132"/>
      <c r="T940" s="132"/>
      <c r="U940" s="132"/>
      <c r="V940" s="132"/>
      <c r="W940" s="132"/>
      <c r="X940" s="132"/>
      <c r="Y940" s="132"/>
      <c r="Z940" s="132"/>
      <c r="AA940" s="132"/>
      <c r="AB940" s="132"/>
    </row>
    <row r="941" ht="24.75" customHeight="1" outlineLevel="1">
      <c r="A941" s="764">
        <v>46019.0</v>
      </c>
      <c r="B941" s="770" t="str">
        <f>HYPERLINK("https://docs.google.com/spreadsheets/d/14VRt1DzygoL3ldywdTGi4p4-5N6W0OO9Ugf6GEHXv1k/edit#gid=351252924","☆TP部メルマガ")</f>
        <v>☆TP部メルマガ</v>
      </c>
      <c r="C941" s="736" t="s">
        <v>1259</v>
      </c>
      <c r="D941" s="642" t="s">
        <v>1750</v>
      </c>
      <c r="E941" s="771" t="s">
        <v>1795</v>
      </c>
      <c r="F941" s="758" t="s">
        <v>1598</v>
      </c>
      <c r="G941" s="758"/>
      <c r="H941" s="758" t="s">
        <v>1667</v>
      </c>
      <c r="I941" s="132"/>
      <c r="J941" s="132"/>
      <c r="K941" s="132"/>
      <c r="L941" s="132"/>
      <c r="M941" s="132"/>
      <c r="N941" s="132"/>
      <c r="O941" s="132"/>
      <c r="P941" s="132"/>
      <c r="Q941" s="132"/>
      <c r="R941" s="132"/>
      <c r="S941" s="132"/>
      <c r="T941" s="132"/>
      <c r="U941" s="132"/>
      <c r="V941" s="132"/>
      <c r="W941" s="132"/>
      <c r="X941" s="132"/>
      <c r="Y941" s="132"/>
      <c r="Z941" s="132"/>
      <c r="AA941" s="132"/>
      <c r="AB941" s="132"/>
    </row>
    <row r="942" ht="24.75" customHeight="1" outlineLevel="1">
      <c r="A942" s="764">
        <v>46020.0</v>
      </c>
      <c r="B942" s="772" t="s">
        <v>489</v>
      </c>
      <c r="C942" s="642" t="s">
        <v>1752</v>
      </c>
      <c r="D942" s="642" t="s">
        <v>1744</v>
      </c>
      <c r="E942" s="768" t="s">
        <v>1789</v>
      </c>
      <c r="F942" s="758" t="s">
        <v>1598</v>
      </c>
      <c r="G942" s="758"/>
      <c r="H942" s="758" t="s">
        <v>1753</v>
      </c>
      <c r="I942" s="668"/>
      <c r="J942" s="132"/>
      <c r="K942" s="132"/>
      <c r="L942" s="132"/>
      <c r="M942" s="132"/>
      <c r="N942" s="132"/>
      <c r="O942" s="132"/>
      <c r="P942" s="132"/>
      <c r="Q942" s="132"/>
      <c r="R942" s="132"/>
      <c r="S942" s="132"/>
      <c r="T942" s="132"/>
      <c r="U942" s="132"/>
      <c r="V942" s="132"/>
      <c r="W942" s="132"/>
      <c r="X942" s="132"/>
      <c r="Y942" s="132"/>
      <c r="Z942" s="132"/>
      <c r="AA942" s="132"/>
      <c r="AB942" s="132"/>
    </row>
    <row r="943" ht="24.75" customHeight="1" outlineLevel="1">
      <c r="A943" s="764">
        <v>46020.0</v>
      </c>
      <c r="B943" s="772" t="s">
        <v>450</v>
      </c>
      <c r="C943" s="642" t="s">
        <v>1259</v>
      </c>
      <c r="D943" s="642" t="s">
        <v>1796</v>
      </c>
      <c r="E943" s="765" t="s">
        <v>1235</v>
      </c>
      <c r="F943" s="758" t="s">
        <v>1598</v>
      </c>
      <c r="G943" s="758"/>
      <c r="H943" s="758" t="s">
        <v>1671</v>
      </c>
      <c r="I943" s="668"/>
      <c r="J943" s="132"/>
      <c r="K943" s="132"/>
      <c r="L943" s="132"/>
      <c r="M943" s="132"/>
      <c r="N943" s="132"/>
      <c r="O943" s="132"/>
      <c r="P943" s="132"/>
      <c r="Q943" s="132"/>
      <c r="R943" s="132"/>
      <c r="S943" s="132"/>
      <c r="T943" s="132"/>
      <c r="U943" s="132"/>
      <c r="V943" s="132"/>
      <c r="W943" s="132"/>
      <c r="X943" s="132"/>
      <c r="Y943" s="132"/>
      <c r="Z943" s="132"/>
      <c r="AA943" s="132"/>
      <c r="AB943" s="132"/>
    </row>
    <row r="944" ht="24.75" customHeight="1" outlineLevel="1">
      <c r="A944" s="764">
        <v>46020.0</v>
      </c>
      <c r="B944" s="650" t="s">
        <v>1271</v>
      </c>
      <c r="C944" s="755" t="s">
        <v>1724</v>
      </c>
      <c r="D944" s="793" t="s">
        <v>1797</v>
      </c>
      <c r="E944" s="790" t="s">
        <v>1798</v>
      </c>
      <c r="F944" s="758" t="s">
        <v>1598</v>
      </c>
      <c r="G944" s="758" t="s">
        <v>1598</v>
      </c>
      <c r="H944" s="758" t="s">
        <v>1674</v>
      </c>
      <c r="I944" s="175" t="s">
        <v>1675</v>
      </c>
      <c r="J944" s="132"/>
      <c r="K944" s="132"/>
      <c r="L944" s="132"/>
      <c r="M944" s="132"/>
      <c r="N944" s="132"/>
      <c r="O944" s="132"/>
      <c r="P944" s="132"/>
      <c r="Q944" s="132"/>
      <c r="R944" s="132"/>
      <c r="S944" s="132"/>
      <c r="T944" s="132"/>
      <c r="U944" s="132"/>
      <c r="V944" s="132"/>
      <c r="W944" s="132"/>
      <c r="X944" s="132"/>
      <c r="Y944" s="132"/>
      <c r="Z944" s="132"/>
      <c r="AA944" s="132"/>
      <c r="AB944" s="132"/>
    </row>
    <row r="945" ht="24.75" customHeight="1" outlineLevel="1">
      <c r="A945" s="764">
        <v>46020.0</v>
      </c>
      <c r="B945" s="650" t="s">
        <v>1274</v>
      </c>
      <c r="C945" s="755" t="s">
        <v>1724</v>
      </c>
      <c r="D945" s="793" t="s">
        <v>1797</v>
      </c>
      <c r="E945" s="790" t="s">
        <v>1798</v>
      </c>
      <c r="F945" s="758" t="s">
        <v>1598</v>
      </c>
      <c r="G945" s="758" t="s">
        <v>1598</v>
      </c>
      <c r="H945" s="758" t="s">
        <v>1674</v>
      </c>
      <c r="I945" s="175" t="s">
        <v>1709</v>
      </c>
      <c r="J945" s="132"/>
      <c r="K945" s="132"/>
      <c r="L945" s="132"/>
      <c r="M945" s="132"/>
      <c r="N945" s="132"/>
      <c r="O945" s="132"/>
      <c r="P945" s="132"/>
      <c r="Q945" s="132"/>
      <c r="R945" s="132"/>
      <c r="S945" s="132"/>
      <c r="T945" s="132"/>
      <c r="U945" s="132"/>
      <c r="V945" s="132"/>
      <c r="W945" s="132"/>
      <c r="X945" s="132"/>
      <c r="Y945" s="132"/>
      <c r="Z945" s="132"/>
      <c r="AA945" s="132"/>
      <c r="AB945" s="132"/>
    </row>
    <row r="946" ht="24.75" customHeight="1" outlineLevel="1">
      <c r="A946" s="764">
        <v>46020.0</v>
      </c>
      <c r="B946" s="650" t="s">
        <v>629</v>
      </c>
      <c r="C946" s="650" t="s">
        <v>1233</v>
      </c>
      <c r="D946" s="650" t="s">
        <v>1319</v>
      </c>
      <c r="E946" s="765" t="s">
        <v>1235</v>
      </c>
      <c r="F946" s="758" t="s">
        <v>1598</v>
      </c>
      <c r="G946" s="758"/>
      <c r="H946" s="773" t="s">
        <v>1320</v>
      </c>
      <c r="I946" s="132"/>
      <c r="J946" s="132"/>
      <c r="K946" s="132"/>
      <c r="L946" s="132"/>
      <c r="M946" s="132"/>
      <c r="N946" s="175" t="s">
        <v>1596</v>
      </c>
      <c r="O946" s="132"/>
      <c r="P946" s="132"/>
      <c r="Q946" s="132"/>
      <c r="R946" s="132"/>
      <c r="S946" s="132"/>
      <c r="T946" s="132"/>
      <c r="U946" s="132"/>
      <c r="V946" s="132"/>
      <c r="W946" s="132"/>
      <c r="X946" s="132"/>
      <c r="Y946" s="132"/>
      <c r="Z946" s="132"/>
      <c r="AA946" s="132"/>
      <c r="AB946" s="132"/>
    </row>
    <row r="947" ht="24.75" customHeight="1" outlineLevel="1">
      <c r="A947" s="764">
        <v>46021.0</v>
      </c>
      <c r="B947" s="774" t="s">
        <v>1739</v>
      </c>
      <c r="C947" s="775" t="s">
        <v>1233</v>
      </c>
      <c r="D947" s="640" t="s">
        <v>1180</v>
      </c>
      <c r="E947" s="765" t="s">
        <v>1235</v>
      </c>
      <c r="F947" s="758" t="s">
        <v>1598</v>
      </c>
      <c r="G947" s="758"/>
      <c r="H947" s="758" t="s">
        <v>1586</v>
      </c>
      <c r="I947" s="175"/>
      <c r="J947" s="132"/>
      <c r="K947" s="132"/>
      <c r="L947" s="132"/>
      <c r="M947" s="132"/>
      <c r="N947" s="175" t="s">
        <v>1599</v>
      </c>
      <c r="O947" s="132"/>
      <c r="P947" s="132"/>
      <c r="Q947" s="132"/>
      <c r="R947" s="132"/>
      <c r="S947" s="132"/>
      <c r="T947" s="132"/>
      <c r="U947" s="132"/>
      <c r="V947" s="132"/>
      <c r="W947" s="132"/>
      <c r="X947" s="132"/>
      <c r="Y947" s="132"/>
      <c r="Z947" s="132"/>
      <c r="AA947" s="132"/>
      <c r="AB947" s="132"/>
    </row>
    <row r="948" ht="24.75" customHeight="1" outlineLevel="1">
      <c r="A948" s="764">
        <v>46021.0</v>
      </c>
      <c r="B948" s="775" t="s">
        <v>1232</v>
      </c>
      <c r="C948" s="640" t="s">
        <v>1233</v>
      </c>
      <c r="D948" s="776" t="s">
        <v>1600</v>
      </c>
      <c r="E948" s="765" t="s">
        <v>1235</v>
      </c>
      <c r="F948" s="758" t="s">
        <v>1598</v>
      </c>
      <c r="G948" s="758"/>
      <c r="H948" s="758" t="s">
        <v>1584</v>
      </c>
      <c r="I948" s="175"/>
      <c r="J948" s="132"/>
      <c r="K948" s="132"/>
      <c r="L948" s="132"/>
      <c r="M948" s="132"/>
      <c r="N948" s="132"/>
      <c r="O948" s="132"/>
      <c r="P948" s="132"/>
      <c r="Q948" s="132"/>
      <c r="R948" s="132"/>
      <c r="S948" s="132"/>
      <c r="T948" s="132"/>
      <c r="U948" s="132"/>
      <c r="V948" s="132"/>
      <c r="W948" s="132"/>
      <c r="X948" s="132"/>
      <c r="Y948" s="132"/>
      <c r="Z948" s="132"/>
      <c r="AA948" s="132"/>
      <c r="AB948" s="132"/>
    </row>
    <row r="949" ht="24.75" customHeight="1" outlineLevel="1">
      <c r="A949" s="764">
        <v>46021.0</v>
      </c>
      <c r="B949" s="775" t="s">
        <v>1325</v>
      </c>
      <c r="C949" s="777" t="s">
        <v>1233</v>
      </c>
      <c r="D949" s="775" t="s">
        <v>1319</v>
      </c>
      <c r="E949" s="765" t="s">
        <v>1235</v>
      </c>
      <c r="F949" s="758" t="s">
        <v>1598</v>
      </c>
      <c r="G949" s="758"/>
      <c r="H949" s="758" t="s">
        <v>1754</v>
      </c>
      <c r="I949" s="175"/>
      <c r="J949" s="132"/>
      <c r="K949" s="132"/>
      <c r="L949" s="132"/>
      <c r="M949" s="132"/>
      <c r="N949" s="132"/>
      <c r="O949" s="132"/>
      <c r="P949" s="132"/>
      <c r="Q949" s="132"/>
      <c r="R949" s="132"/>
      <c r="S949" s="132"/>
      <c r="T949" s="132"/>
      <c r="U949" s="132"/>
      <c r="V949" s="132"/>
      <c r="W949" s="132"/>
      <c r="X949" s="132"/>
      <c r="Y949" s="132"/>
      <c r="Z949" s="132"/>
      <c r="AA949" s="132"/>
      <c r="AB949" s="132"/>
    </row>
    <row r="950" ht="24.75" customHeight="1" outlineLevel="1">
      <c r="A950" s="764">
        <v>46021.0</v>
      </c>
      <c r="B950" s="775" t="s">
        <v>1755</v>
      </c>
      <c r="C950" s="736" t="s">
        <v>1790</v>
      </c>
      <c r="D950" s="640" t="s">
        <v>1799</v>
      </c>
      <c r="E950" s="769" t="s">
        <v>1791</v>
      </c>
      <c r="F950" s="758" t="s">
        <v>1598</v>
      </c>
      <c r="G950" s="758"/>
      <c r="H950" s="758" t="s">
        <v>1756</v>
      </c>
      <c r="I950" s="175"/>
      <c r="J950" s="132"/>
      <c r="K950" s="132"/>
      <c r="L950" s="132"/>
      <c r="M950" s="132"/>
      <c r="N950" s="132"/>
      <c r="O950" s="132"/>
      <c r="P950" s="132"/>
      <c r="Q950" s="132"/>
      <c r="R950" s="132"/>
      <c r="S950" s="132"/>
      <c r="T950" s="132"/>
      <c r="U950" s="132"/>
      <c r="V950" s="132"/>
      <c r="W950" s="132"/>
      <c r="X950" s="132"/>
      <c r="Y950" s="132"/>
      <c r="Z950" s="132"/>
      <c r="AA950" s="132"/>
      <c r="AB950" s="132"/>
    </row>
    <row r="951" ht="24.75" customHeight="1" outlineLevel="1">
      <c r="A951" s="764">
        <v>46022.0</v>
      </c>
      <c r="B951" s="775" t="s">
        <v>274</v>
      </c>
      <c r="C951" s="640" t="s">
        <v>1233</v>
      </c>
      <c r="D951" s="778" t="s">
        <v>1757</v>
      </c>
      <c r="E951" s="765" t="s">
        <v>1235</v>
      </c>
      <c r="F951" s="758" t="s">
        <v>1598</v>
      </c>
      <c r="G951" s="759"/>
      <c r="H951" s="758" t="s">
        <v>1758</v>
      </c>
      <c r="I951" s="175"/>
      <c r="J951" s="132"/>
      <c r="K951" s="132"/>
      <c r="L951" s="132"/>
      <c r="M951" s="132"/>
      <c r="N951" s="132"/>
      <c r="O951" s="132"/>
      <c r="P951" s="132"/>
      <c r="Q951" s="132"/>
      <c r="R951" s="132"/>
      <c r="S951" s="132"/>
      <c r="T951" s="132"/>
      <c r="U951" s="132"/>
      <c r="V951" s="132"/>
      <c r="W951" s="132"/>
      <c r="X951" s="132"/>
      <c r="Y951" s="132"/>
      <c r="Z951" s="132"/>
      <c r="AA951" s="132"/>
      <c r="AB951" s="132"/>
    </row>
    <row r="952" ht="24.75" customHeight="1" outlineLevel="1">
      <c r="A952" s="764">
        <v>46022.0</v>
      </c>
      <c r="B952" s="770" t="s">
        <v>271</v>
      </c>
      <c r="C952" s="640" t="s">
        <v>1743</v>
      </c>
      <c r="D952" s="779" t="s">
        <v>1800</v>
      </c>
      <c r="E952" s="768" t="s">
        <v>1789</v>
      </c>
      <c r="F952" s="758" t="s">
        <v>1598</v>
      </c>
      <c r="G952" s="758"/>
      <c r="H952" s="758" t="s">
        <v>1603</v>
      </c>
      <c r="I952" s="175"/>
      <c r="J952" s="132"/>
      <c r="K952" s="132"/>
      <c r="L952" s="132"/>
      <c r="M952" s="132"/>
      <c r="N952" s="132"/>
      <c r="O952" s="132"/>
      <c r="P952" s="132"/>
      <c r="Q952" s="132"/>
      <c r="R952" s="132"/>
      <c r="S952" s="132"/>
      <c r="T952" s="132"/>
      <c r="U952" s="132"/>
      <c r="V952" s="132"/>
      <c r="W952" s="132"/>
      <c r="X952" s="132"/>
      <c r="Y952" s="132"/>
      <c r="Z952" s="132"/>
      <c r="AA952" s="132"/>
      <c r="AB952" s="132"/>
    </row>
    <row r="953" ht="24.75" customHeight="1" outlineLevel="1">
      <c r="A953" s="764">
        <v>46022.0</v>
      </c>
      <c r="B953" s="775" t="s">
        <v>901</v>
      </c>
      <c r="C953" s="740"/>
      <c r="D953" s="605" t="s">
        <v>1801</v>
      </c>
      <c r="E953" s="765" t="s">
        <v>1235</v>
      </c>
      <c r="F953" s="758"/>
      <c r="G953" s="758"/>
      <c r="H953" s="758" t="s">
        <v>1802</v>
      </c>
      <c r="I953" s="668"/>
      <c r="J953" s="132"/>
      <c r="K953" s="132"/>
      <c r="L953" s="132"/>
      <c r="M953" s="132"/>
      <c r="N953" s="132"/>
      <c r="O953" s="132"/>
      <c r="P953" s="132"/>
      <c r="Q953" s="132"/>
      <c r="R953" s="132"/>
      <c r="S953" s="132"/>
      <c r="T953" s="132"/>
      <c r="U953" s="132"/>
      <c r="V953" s="132"/>
      <c r="W953" s="132"/>
      <c r="X953" s="132"/>
      <c r="Y953" s="132"/>
      <c r="Z953" s="132"/>
      <c r="AA953" s="132"/>
      <c r="AB953" s="132"/>
    </row>
    <row r="954" ht="24.75" customHeight="1" outlineLevel="1">
      <c r="A954" s="764">
        <v>46022.0</v>
      </c>
      <c r="B954" s="775" t="s">
        <v>277</v>
      </c>
      <c r="C954" s="740" t="s">
        <v>1715</v>
      </c>
      <c r="D954" s="605" t="s">
        <v>1803</v>
      </c>
      <c r="E954" s="780" t="s">
        <v>1804</v>
      </c>
      <c r="F954" s="758" t="s">
        <v>1598</v>
      </c>
      <c r="G954" s="758" t="s">
        <v>1598</v>
      </c>
      <c r="H954" s="758" t="s">
        <v>1685</v>
      </c>
      <c r="I954" s="668"/>
      <c r="J954" s="132"/>
      <c r="K954" s="132"/>
      <c r="L954" s="132"/>
      <c r="M954" s="132"/>
      <c r="N954" s="132"/>
      <c r="O954" s="132"/>
      <c r="P954" s="132"/>
      <c r="Q954" s="132"/>
      <c r="R954" s="132"/>
      <c r="S954" s="132"/>
      <c r="T954" s="132"/>
      <c r="U954" s="132"/>
      <c r="V954" s="132"/>
      <c r="W954" s="132"/>
      <c r="X954" s="132"/>
      <c r="Y954" s="132"/>
      <c r="Z954" s="132"/>
      <c r="AA954" s="132"/>
      <c r="AB954" s="132"/>
    </row>
    <row r="955" ht="24.75" customHeight="1" outlineLevel="1">
      <c r="A955" s="764">
        <v>46022.0</v>
      </c>
      <c r="B955" s="775" t="s">
        <v>1759</v>
      </c>
      <c r="C955" s="736" t="s">
        <v>1790</v>
      </c>
      <c r="D955" s="605" t="s">
        <v>1805</v>
      </c>
      <c r="E955" s="769" t="s">
        <v>1791</v>
      </c>
      <c r="F955" s="758" t="s">
        <v>1598</v>
      </c>
      <c r="G955" s="759"/>
      <c r="H955" s="758" t="s">
        <v>1756</v>
      </c>
      <c r="I955" s="175"/>
      <c r="J955" s="132"/>
      <c r="K955" s="132"/>
      <c r="L955" s="132"/>
      <c r="M955" s="132"/>
      <c r="N955" s="132"/>
      <c r="O955" s="132"/>
      <c r="P955" s="132"/>
      <c r="Q955" s="132"/>
      <c r="R955" s="132"/>
      <c r="S955" s="132"/>
      <c r="T955" s="132"/>
      <c r="U955" s="132"/>
      <c r="V955" s="132"/>
      <c r="W955" s="132"/>
      <c r="X955" s="132"/>
      <c r="Y955" s="132"/>
      <c r="Z955" s="132"/>
      <c r="AA955" s="132"/>
      <c r="AB955" s="132"/>
    </row>
    <row r="956" ht="24.75" customHeight="1" outlineLevel="1">
      <c r="A956" s="764">
        <v>46022.0</v>
      </c>
      <c r="B956" s="741" t="s">
        <v>270</v>
      </c>
      <c r="C956" s="740" t="s">
        <v>1717</v>
      </c>
      <c r="D956" s="605" t="s">
        <v>1806</v>
      </c>
      <c r="E956" s="781" t="s">
        <v>1807</v>
      </c>
      <c r="F956" s="758" t="s">
        <v>1598</v>
      </c>
      <c r="G956" s="758"/>
      <c r="H956" s="758" t="s">
        <v>1719</v>
      </c>
      <c r="I956" s="668"/>
      <c r="J956" s="132"/>
      <c r="K956" s="132"/>
      <c r="L956" s="132"/>
      <c r="M956" s="132"/>
      <c r="N956" s="132"/>
      <c r="O956" s="132"/>
      <c r="P956" s="132"/>
      <c r="Q956" s="132"/>
      <c r="R956" s="132"/>
      <c r="S956" s="132"/>
      <c r="T956" s="132"/>
      <c r="U956" s="132"/>
      <c r="V956" s="132"/>
      <c r="W956" s="132"/>
      <c r="X956" s="132"/>
      <c r="Y956" s="132"/>
      <c r="Z956" s="132"/>
      <c r="AA956" s="132"/>
      <c r="AB956" s="132"/>
    </row>
    <row r="957" ht="24.75" customHeight="1" outlineLevel="1">
      <c r="A957" s="764">
        <v>46023.0</v>
      </c>
      <c r="B957" s="705" t="s">
        <v>317</v>
      </c>
      <c r="C957" s="640" t="s">
        <v>1259</v>
      </c>
      <c r="D957" s="605" t="s">
        <v>1808</v>
      </c>
      <c r="E957" s="771" t="s">
        <v>1795</v>
      </c>
      <c r="F957" s="758" t="s">
        <v>1598</v>
      </c>
      <c r="G957" s="759"/>
      <c r="H957" s="758" t="s">
        <v>1671</v>
      </c>
      <c r="I957" s="668"/>
      <c r="J957" s="132"/>
      <c r="K957" s="132"/>
      <c r="L957" s="132"/>
      <c r="M957" s="132"/>
      <c r="N957" s="132"/>
      <c r="O957" s="132"/>
      <c r="P957" s="132"/>
      <c r="Q957" s="132"/>
      <c r="R957" s="132"/>
      <c r="S957" s="132"/>
      <c r="T957" s="132"/>
      <c r="U957" s="132"/>
      <c r="V957" s="132"/>
      <c r="W957" s="132"/>
      <c r="X957" s="132"/>
      <c r="Y957" s="132"/>
      <c r="Z957" s="132"/>
      <c r="AA957" s="132"/>
      <c r="AB957" s="132"/>
    </row>
    <row r="958" ht="24.75" customHeight="1" outlineLevel="1">
      <c r="A958" s="764">
        <v>46023.0</v>
      </c>
      <c r="B958" s="775" t="s">
        <v>1762</v>
      </c>
      <c r="C958" s="736" t="s">
        <v>1790</v>
      </c>
      <c r="D958" s="605" t="s">
        <v>1805</v>
      </c>
      <c r="E958" s="769" t="s">
        <v>1791</v>
      </c>
      <c r="F958" s="758" t="s">
        <v>1598</v>
      </c>
      <c r="G958" s="759"/>
      <c r="H958" s="758" t="s">
        <v>1756</v>
      </c>
      <c r="I958" s="175"/>
      <c r="J958" s="132"/>
      <c r="K958" s="132"/>
      <c r="L958" s="132"/>
      <c r="M958" s="132"/>
      <c r="N958" s="132"/>
      <c r="O958" s="132"/>
      <c r="P958" s="132"/>
      <c r="Q958" s="132"/>
      <c r="R958" s="132"/>
      <c r="S958" s="132"/>
      <c r="T958" s="132"/>
      <c r="U958" s="132"/>
      <c r="V958" s="132"/>
      <c r="W958" s="132"/>
      <c r="X958" s="132"/>
      <c r="Y958" s="132"/>
      <c r="Z958" s="132"/>
      <c r="AA958" s="132"/>
      <c r="AB958" s="132"/>
    </row>
    <row r="959" ht="24.75" customHeight="1" outlineLevel="1">
      <c r="A959" s="764">
        <v>46024.0</v>
      </c>
      <c r="B959" s="775" t="s">
        <v>1232</v>
      </c>
      <c r="C959" s="640" t="s">
        <v>1233</v>
      </c>
      <c r="D959" s="776" t="s">
        <v>1600</v>
      </c>
      <c r="E959" s="765" t="s">
        <v>1235</v>
      </c>
      <c r="F959" s="758" t="s">
        <v>1598</v>
      </c>
      <c r="G959" s="758"/>
      <c r="H959" s="758" t="s">
        <v>1584</v>
      </c>
      <c r="I959" s="175"/>
      <c r="J959" s="132"/>
      <c r="K959" s="132"/>
      <c r="L959" s="132"/>
      <c r="M959" s="132"/>
      <c r="N959" s="132"/>
      <c r="O959" s="132"/>
      <c r="P959" s="132"/>
      <c r="Q959" s="132"/>
      <c r="R959" s="132"/>
      <c r="S959" s="132"/>
      <c r="T959" s="132"/>
      <c r="U959" s="132"/>
      <c r="V959" s="132"/>
      <c r="W959" s="132"/>
      <c r="X959" s="132"/>
      <c r="Y959" s="132"/>
      <c r="Z959" s="132"/>
      <c r="AA959" s="132"/>
      <c r="AB959" s="132"/>
    </row>
    <row r="960" ht="24.75" customHeight="1" outlineLevel="1">
      <c r="A960" s="764">
        <v>46024.0</v>
      </c>
      <c r="B960" s="766" t="s">
        <v>1739</v>
      </c>
      <c r="C960" s="650" t="s">
        <v>1233</v>
      </c>
      <c r="D960" s="642" t="s">
        <v>1180</v>
      </c>
      <c r="E960" s="765" t="s">
        <v>1235</v>
      </c>
      <c r="F960" s="758" t="s">
        <v>1598</v>
      </c>
      <c r="G960" s="758"/>
      <c r="H960" s="758" t="s">
        <v>1586</v>
      </c>
      <c r="I960" s="175"/>
      <c r="J960" s="132"/>
      <c r="K960" s="132"/>
      <c r="L960" s="132"/>
      <c r="M960" s="132"/>
      <c r="N960" s="132"/>
      <c r="O960" s="132"/>
      <c r="P960" s="132"/>
      <c r="Q960" s="132"/>
      <c r="R960" s="132"/>
      <c r="S960" s="132"/>
      <c r="T960" s="132"/>
      <c r="U960" s="132"/>
      <c r="V960" s="132"/>
      <c r="W960" s="132"/>
      <c r="X960" s="132"/>
      <c r="Y960" s="132"/>
      <c r="Z960" s="132"/>
      <c r="AA960" s="132"/>
      <c r="AB960" s="132"/>
    </row>
    <row r="961" ht="24.75" customHeight="1" outlineLevel="1">
      <c r="A961" s="764">
        <v>46024.0</v>
      </c>
      <c r="B961" s="650" t="s">
        <v>369</v>
      </c>
      <c r="C961" s="642" t="s">
        <v>1786</v>
      </c>
      <c r="D961" s="742" t="s">
        <v>1809</v>
      </c>
      <c r="E961" s="782" t="s">
        <v>1810</v>
      </c>
      <c r="F961" s="758" t="s">
        <v>1598</v>
      </c>
      <c r="G961" s="758"/>
      <c r="H961" s="758" t="s">
        <v>1740</v>
      </c>
      <c r="I961" s="175"/>
      <c r="J961" s="132"/>
      <c r="K961" s="132"/>
      <c r="L961" s="132"/>
      <c r="M961" s="132"/>
      <c r="N961" s="132"/>
      <c r="O961" s="132"/>
      <c r="P961" s="132"/>
      <c r="Q961" s="132"/>
      <c r="R961" s="132"/>
      <c r="S961" s="132"/>
      <c r="T961" s="132"/>
      <c r="U961" s="132"/>
      <c r="V961" s="132"/>
      <c r="W961" s="132"/>
      <c r="X961" s="132"/>
      <c r="Y961" s="132"/>
      <c r="Z961" s="132"/>
      <c r="AA961" s="132"/>
      <c r="AB961" s="132"/>
    </row>
    <row r="962" ht="24.75" customHeight="1" outlineLevel="1">
      <c r="A962" s="764">
        <v>46025.0</v>
      </c>
      <c r="B962" s="775" t="s">
        <v>394</v>
      </c>
      <c r="C962" s="640" t="s">
        <v>1233</v>
      </c>
      <c r="D962" s="778" t="s">
        <v>1765</v>
      </c>
      <c r="E962" s="765" t="s">
        <v>1235</v>
      </c>
      <c r="F962" s="758" t="s">
        <v>1598</v>
      </c>
      <c r="G962" s="759"/>
      <c r="H962" s="758" t="s">
        <v>1741</v>
      </c>
      <c r="I962" s="175"/>
      <c r="J962" s="132"/>
      <c r="K962" s="132"/>
      <c r="L962" s="132"/>
      <c r="M962" s="132"/>
      <c r="N962" s="132"/>
      <c r="O962" s="132"/>
      <c r="P962" s="132"/>
      <c r="Q962" s="132"/>
      <c r="R962" s="132"/>
      <c r="S962" s="132"/>
      <c r="T962" s="132"/>
      <c r="U962" s="132"/>
      <c r="V962" s="132"/>
      <c r="W962" s="132"/>
      <c r="X962" s="132"/>
      <c r="Y962" s="132"/>
      <c r="Z962" s="132"/>
      <c r="AA962" s="132"/>
      <c r="AB962" s="132"/>
    </row>
    <row r="963" ht="24.75" customHeight="1" outlineLevel="1">
      <c r="A963" s="764">
        <v>46025.0</v>
      </c>
      <c r="B963" s="767" t="str">
        <f>HYPERLINK("https://docs.google.com/spreadsheets/d/1v3B9E8Jeqx3_JGvRHJ2cXJ5OAGLvZiOXZru0niKH-QQ/edit?ts=56170761#gid=1991794180","☆横浜")</f>
        <v>☆横浜</v>
      </c>
      <c r="C963" s="736" t="s">
        <v>1722</v>
      </c>
      <c r="D963" s="742" t="s">
        <v>1811</v>
      </c>
      <c r="E963" s="783" t="s">
        <v>1788</v>
      </c>
      <c r="F963" s="758" t="s">
        <v>1598</v>
      </c>
      <c r="G963" s="758" t="s">
        <v>1598</v>
      </c>
      <c r="H963" s="758" t="s">
        <v>1648</v>
      </c>
      <c r="I963" s="668"/>
      <c r="J963" s="132"/>
      <c r="K963" s="132"/>
      <c r="L963" s="132"/>
      <c r="M963" s="132"/>
      <c r="N963" s="132"/>
      <c r="O963" s="132"/>
      <c r="P963" s="132"/>
      <c r="Q963" s="132"/>
      <c r="R963" s="132"/>
      <c r="S963" s="132"/>
      <c r="T963" s="132"/>
      <c r="U963" s="132"/>
      <c r="V963" s="132"/>
      <c r="W963" s="132"/>
      <c r="X963" s="132"/>
      <c r="Y963" s="132"/>
      <c r="Z963" s="132"/>
      <c r="AA963" s="132"/>
      <c r="AB963" s="132"/>
    </row>
    <row r="964" ht="24.75" customHeight="1" outlineLevel="1">
      <c r="A964" s="764">
        <v>46025.0</v>
      </c>
      <c r="B964" s="705" t="str">
        <f>HYPERLINK("https://docs.google.com/spreadsheets/d/1xrfsiAjLwPhBlveDsLSsUUfMnNpOidnkNLqHJabwWYo/edit?ts=56ea7063#gid=1283986028","☆救済メルマガ(UP10)")</f>
        <v>☆救済メルマガ(UP10)</v>
      </c>
      <c r="C964" s="642" t="s">
        <v>1743</v>
      </c>
      <c r="D964" s="742" t="s">
        <v>1800</v>
      </c>
      <c r="E964" s="768" t="s">
        <v>1789</v>
      </c>
      <c r="F964" s="758" t="s">
        <v>1598</v>
      </c>
      <c r="G964" s="758"/>
      <c r="H964" s="758" t="s">
        <v>1652</v>
      </c>
      <c r="I964" s="668"/>
      <c r="J964" s="132"/>
      <c r="K964" s="132"/>
      <c r="L964" s="132"/>
      <c r="M964" s="132"/>
      <c r="N964" s="132"/>
      <c r="O964" s="132"/>
      <c r="P964" s="132"/>
      <c r="Q964" s="132"/>
      <c r="R964" s="132"/>
      <c r="S964" s="132"/>
      <c r="T964" s="132"/>
      <c r="U964" s="132"/>
      <c r="V964" s="132"/>
      <c r="W964" s="132"/>
      <c r="X964" s="132"/>
      <c r="Y964" s="132"/>
      <c r="Z964" s="132"/>
      <c r="AA964" s="132"/>
      <c r="AB964" s="132"/>
    </row>
    <row r="965" ht="24.75" customHeight="1" outlineLevel="1">
      <c r="A965" s="764">
        <v>46026.0</v>
      </c>
      <c r="B965" s="705" t="s">
        <v>421</v>
      </c>
      <c r="C965" s="736" t="s">
        <v>1790</v>
      </c>
      <c r="D965" s="742" t="s">
        <v>1812</v>
      </c>
      <c r="E965" s="769" t="s">
        <v>1791</v>
      </c>
      <c r="F965" s="758" t="s">
        <v>1598</v>
      </c>
      <c r="G965" s="758"/>
      <c r="H965" s="758" t="s">
        <v>1652</v>
      </c>
      <c r="I965" s="668"/>
      <c r="J965" s="132"/>
      <c r="K965" s="132"/>
      <c r="L965" s="132"/>
      <c r="M965" s="132"/>
      <c r="N965" s="132"/>
      <c r="O965" s="132"/>
      <c r="P965" s="132"/>
      <c r="Q965" s="132"/>
      <c r="R965" s="132"/>
      <c r="S965" s="132"/>
      <c r="T965" s="132"/>
      <c r="U965" s="132"/>
      <c r="V965" s="132"/>
      <c r="W965" s="132"/>
      <c r="X965" s="132"/>
      <c r="Y965" s="132"/>
      <c r="Z965" s="132"/>
      <c r="AA965" s="132"/>
      <c r="AB965" s="132"/>
    </row>
    <row r="966" ht="24.75" customHeight="1" outlineLevel="1">
      <c r="A966" s="764">
        <v>46026.0</v>
      </c>
      <c r="B966" s="775" t="s">
        <v>42</v>
      </c>
      <c r="C966" s="642" t="s">
        <v>1792</v>
      </c>
      <c r="D966" s="742" t="s">
        <v>1813</v>
      </c>
      <c r="E966" s="785" t="s">
        <v>1794</v>
      </c>
      <c r="F966" s="786" t="s">
        <v>1598</v>
      </c>
      <c r="G966" s="786"/>
      <c r="H966" s="786" t="s">
        <v>1749</v>
      </c>
      <c r="I966" s="668" t="s">
        <v>1768</v>
      </c>
      <c r="J966" s="787"/>
      <c r="K966" s="787"/>
      <c r="L966" s="787"/>
      <c r="M966" s="787"/>
      <c r="N966" s="787"/>
      <c r="O966" s="788"/>
      <c r="P966" s="788"/>
      <c r="Q966" s="788"/>
      <c r="R966" s="788"/>
      <c r="S966" s="788"/>
      <c r="T966" s="788"/>
      <c r="U966" s="788"/>
      <c r="V966" s="788"/>
      <c r="W966" s="788"/>
      <c r="X966" s="788"/>
      <c r="Y966" s="788"/>
      <c r="Z966" s="788"/>
      <c r="AA966" s="788"/>
      <c r="AB966" s="788"/>
      <c r="AC966" s="789"/>
    </row>
    <row r="967" ht="24.75" customHeight="1" outlineLevel="1">
      <c r="A967" s="764">
        <v>46026.0</v>
      </c>
      <c r="B967" s="770" t="str">
        <f>HYPERLINK("https://docs.google.com/spreadsheets/d/14VRt1DzygoL3ldywdTGi4p4-5N6W0OO9Ugf6GEHXv1k/edit#gid=351252924","☆TP部メルマガ")</f>
        <v>☆TP部メルマガ</v>
      </c>
      <c r="C967" s="736" t="s">
        <v>1259</v>
      </c>
      <c r="D967" s="742" t="s">
        <v>1814</v>
      </c>
      <c r="E967" s="771" t="s">
        <v>1795</v>
      </c>
      <c r="F967" s="758" t="s">
        <v>1598</v>
      </c>
      <c r="G967" s="758"/>
      <c r="H967" s="758" t="s">
        <v>1667</v>
      </c>
      <c r="I967" s="668"/>
      <c r="J967" s="132"/>
      <c r="K967" s="132"/>
      <c r="L967" s="132"/>
      <c r="M967" s="132"/>
      <c r="N967" s="132"/>
      <c r="O967" s="132"/>
      <c r="P967" s="132"/>
      <c r="Q967" s="132"/>
      <c r="R967" s="132"/>
      <c r="S967" s="132"/>
      <c r="T967" s="132"/>
      <c r="U967" s="132"/>
      <c r="V967" s="132"/>
      <c r="W967" s="132"/>
      <c r="X967" s="132"/>
      <c r="Y967" s="132"/>
      <c r="Z967" s="132"/>
      <c r="AA967" s="132"/>
      <c r="AB967" s="132"/>
    </row>
    <row r="968" ht="24.75" customHeight="1" outlineLevel="1">
      <c r="A968" s="764">
        <v>46027.0</v>
      </c>
      <c r="B968" s="772" t="s">
        <v>489</v>
      </c>
      <c r="C968" s="642" t="s">
        <v>1752</v>
      </c>
      <c r="D968" s="742" t="s">
        <v>1800</v>
      </c>
      <c r="E968" s="768" t="s">
        <v>1789</v>
      </c>
      <c r="F968" s="758" t="s">
        <v>1598</v>
      </c>
      <c r="G968" s="758"/>
      <c r="H968" s="758" t="s">
        <v>1753</v>
      </c>
      <c r="I968" s="668"/>
      <c r="J968" s="132"/>
      <c r="K968" s="132"/>
      <c r="L968" s="132"/>
      <c r="M968" s="132"/>
      <c r="N968" s="132"/>
      <c r="O968" s="132"/>
      <c r="P968" s="132"/>
      <c r="Q968" s="132"/>
      <c r="R968" s="132"/>
      <c r="S968" s="132"/>
      <c r="T968" s="132"/>
      <c r="U968" s="132"/>
      <c r="V968" s="132"/>
      <c r="W968" s="132"/>
      <c r="X968" s="132"/>
      <c r="Y968" s="132"/>
      <c r="Z968" s="132"/>
      <c r="AA968" s="132"/>
      <c r="AB968" s="132"/>
    </row>
    <row r="969" ht="24.75" customHeight="1" outlineLevel="1">
      <c r="A969" s="764">
        <v>46027.0</v>
      </c>
      <c r="B969" s="772" t="s">
        <v>450</v>
      </c>
      <c r="C969" s="642" t="s">
        <v>1259</v>
      </c>
      <c r="D969" s="742" t="s">
        <v>1814</v>
      </c>
      <c r="E969" s="771" t="s">
        <v>1795</v>
      </c>
      <c r="F969" s="758" t="s">
        <v>1598</v>
      </c>
      <c r="G969" s="758"/>
      <c r="H969" s="758" t="s">
        <v>1671</v>
      </c>
      <c r="I969" s="668"/>
      <c r="J969" s="132"/>
      <c r="K969" s="132"/>
      <c r="L969" s="132"/>
      <c r="M969" s="132"/>
      <c r="N969" s="132"/>
      <c r="O969" s="132"/>
      <c r="P969" s="132"/>
      <c r="Q969" s="132"/>
      <c r="R969" s="132"/>
      <c r="S969" s="132"/>
      <c r="T969" s="132"/>
      <c r="U969" s="132"/>
      <c r="V969" s="132"/>
      <c r="W969" s="132"/>
      <c r="X969" s="132"/>
      <c r="Y969" s="132"/>
      <c r="Z969" s="132"/>
      <c r="AA969" s="132"/>
      <c r="AB969" s="132"/>
    </row>
    <row r="970" ht="24.75" customHeight="1" outlineLevel="1">
      <c r="A970" s="764">
        <v>46027.0</v>
      </c>
      <c r="B970" s="650" t="s">
        <v>1271</v>
      </c>
      <c r="C970" s="755" t="s">
        <v>1724</v>
      </c>
      <c r="D970" s="742" t="s">
        <v>1815</v>
      </c>
      <c r="E970" s="790" t="s">
        <v>1798</v>
      </c>
      <c r="F970" s="758" t="s">
        <v>1598</v>
      </c>
      <c r="G970" s="758" t="s">
        <v>1598</v>
      </c>
      <c r="H970" s="758" t="s">
        <v>1770</v>
      </c>
      <c r="I970" s="175" t="s">
        <v>1675</v>
      </c>
      <c r="J970" s="132"/>
      <c r="K970" s="132"/>
      <c r="L970" s="132"/>
      <c r="M970" s="132"/>
      <c r="N970" s="132"/>
      <c r="O970" s="132"/>
      <c r="P970" s="132"/>
      <c r="Q970" s="132"/>
      <c r="R970" s="132"/>
      <c r="S970" s="132"/>
      <c r="T970" s="132"/>
      <c r="U970" s="132"/>
      <c r="V970" s="132"/>
      <c r="W970" s="132"/>
      <c r="X970" s="132"/>
      <c r="Y970" s="132"/>
      <c r="Z970" s="132"/>
      <c r="AA970" s="132"/>
      <c r="AB970" s="132"/>
    </row>
    <row r="971" ht="24.75" customHeight="1" outlineLevel="1">
      <c r="A971" s="764">
        <v>46027.0</v>
      </c>
      <c r="B971" s="650" t="s">
        <v>1274</v>
      </c>
      <c r="C971" s="755" t="s">
        <v>1724</v>
      </c>
      <c r="D971" s="742" t="s">
        <v>1815</v>
      </c>
      <c r="E971" s="790" t="s">
        <v>1798</v>
      </c>
      <c r="F971" s="758" t="s">
        <v>1598</v>
      </c>
      <c r="G971" s="758" t="s">
        <v>1598</v>
      </c>
      <c r="H971" s="758" t="s">
        <v>1770</v>
      </c>
      <c r="I971" s="175" t="s">
        <v>1709</v>
      </c>
      <c r="J971" s="132"/>
      <c r="K971" s="132"/>
      <c r="L971" s="132"/>
      <c r="M971" s="132"/>
      <c r="N971" s="132"/>
      <c r="O971" s="132"/>
      <c r="P971" s="132"/>
      <c r="Q971" s="132"/>
      <c r="R971" s="132"/>
      <c r="S971" s="132"/>
      <c r="T971" s="132"/>
      <c r="U971" s="132"/>
      <c r="V971" s="132"/>
      <c r="W971" s="132"/>
      <c r="X971" s="132"/>
      <c r="Y971" s="132"/>
      <c r="Z971" s="132"/>
      <c r="AA971" s="132"/>
      <c r="AB971" s="132"/>
    </row>
    <row r="972" ht="24.75" customHeight="1" outlineLevel="1">
      <c r="A972" s="764">
        <v>46027.0</v>
      </c>
      <c r="B972" s="650" t="s">
        <v>629</v>
      </c>
      <c r="C972" s="650" t="s">
        <v>1233</v>
      </c>
      <c r="D972" s="650" t="s">
        <v>1319</v>
      </c>
      <c r="E972" s="765" t="s">
        <v>1235</v>
      </c>
      <c r="F972" s="758" t="s">
        <v>1598</v>
      </c>
      <c r="G972" s="758"/>
      <c r="H972" s="773" t="s">
        <v>1320</v>
      </c>
      <c r="I972" s="132"/>
      <c r="J972" s="132"/>
      <c r="K972" s="132"/>
      <c r="L972" s="132"/>
      <c r="M972" s="132"/>
      <c r="N972" s="175" t="s">
        <v>1596</v>
      </c>
      <c r="O972" s="132"/>
      <c r="P972" s="132"/>
      <c r="Q972" s="132"/>
      <c r="R972" s="132"/>
      <c r="S972" s="132"/>
      <c r="T972" s="132"/>
      <c r="U972" s="132"/>
      <c r="V972" s="132"/>
      <c r="W972" s="132"/>
      <c r="X972" s="132"/>
      <c r="Y972" s="132"/>
      <c r="Z972" s="132"/>
      <c r="AA972" s="132"/>
      <c r="AB972" s="132"/>
    </row>
    <row r="973" ht="24.75" customHeight="1" outlineLevel="1">
      <c r="A973" s="764">
        <v>46028.0</v>
      </c>
      <c r="B973" s="774" t="s">
        <v>1739</v>
      </c>
      <c r="C973" s="775" t="s">
        <v>1233</v>
      </c>
      <c r="D973" s="640" t="s">
        <v>1180</v>
      </c>
      <c r="E973" s="765" t="s">
        <v>1235</v>
      </c>
      <c r="F973" s="758" t="s">
        <v>1598</v>
      </c>
      <c r="G973" s="758"/>
      <c r="H973" s="758" t="s">
        <v>1586</v>
      </c>
      <c r="I973" s="175"/>
      <c r="J973" s="132"/>
      <c r="K973" s="132"/>
      <c r="L973" s="132"/>
      <c r="M973" s="132"/>
      <c r="N973" s="175" t="s">
        <v>1599</v>
      </c>
      <c r="O973" s="132"/>
      <c r="P973" s="132"/>
      <c r="Q973" s="132"/>
      <c r="R973" s="132"/>
      <c r="S973" s="132"/>
      <c r="T973" s="132"/>
      <c r="U973" s="132"/>
      <c r="V973" s="132"/>
      <c r="W973" s="132"/>
      <c r="X973" s="132"/>
      <c r="Y973" s="132"/>
      <c r="Z973" s="132"/>
      <c r="AA973" s="132"/>
      <c r="AB973" s="132"/>
    </row>
    <row r="974" ht="24.75" customHeight="1" outlineLevel="1">
      <c r="A974" s="764">
        <v>46028.0</v>
      </c>
      <c r="B974" s="775" t="s">
        <v>1232</v>
      </c>
      <c r="C974" s="640" t="s">
        <v>1233</v>
      </c>
      <c r="D974" s="640" t="s">
        <v>1180</v>
      </c>
      <c r="E974" s="765" t="s">
        <v>1235</v>
      </c>
      <c r="F974" s="758" t="s">
        <v>1598</v>
      </c>
      <c r="G974" s="758"/>
      <c r="H974" s="758" t="s">
        <v>1584</v>
      </c>
      <c r="I974" s="175"/>
      <c r="J974" s="132"/>
      <c r="K974" s="132"/>
      <c r="L974" s="132"/>
      <c r="M974" s="132"/>
      <c r="N974" s="132"/>
      <c r="O974" s="132"/>
      <c r="P974" s="132"/>
      <c r="Q974" s="132"/>
      <c r="R974" s="132"/>
      <c r="S974" s="132"/>
      <c r="T974" s="132"/>
      <c r="U974" s="132"/>
      <c r="V974" s="132"/>
      <c r="W974" s="132"/>
      <c r="X974" s="132"/>
      <c r="Y974" s="132"/>
      <c r="Z974" s="132"/>
      <c r="AA974" s="132"/>
      <c r="AB974" s="132"/>
    </row>
    <row r="975" ht="24.75" customHeight="1" outlineLevel="1">
      <c r="A975" s="764">
        <v>46028.0</v>
      </c>
      <c r="B975" s="775" t="s">
        <v>1325</v>
      </c>
      <c r="C975" s="777" t="s">
        <v>1233</v>
      </c>
      <c r="D975" s="775" t="s">
        <v>1319</v>
      </c>
      <c r="E975" s="765" t="s">
        <v>1235</v>
      </c>
      <c r="F975" s="758" t="s">
        <v>1598</v>
      </c>
      <c r="G975" s="758"/>
      <c r="H975" s="758" t="s">
        <v>1754</v>
      </c>
      <c r="I975" s="175"/>
      <c r="J975" s="132"/>
      <c r="K975" s="132"/>
      <c r="L975" s="132"/>
      <c r="M975" s="132"/>
      <c r="N975" s="132"/>
      <c r="O975" s="132"/>
      <c r="P975" s="132"/>
      <c r="Q975" s="132"/>
      <c r="R975" s="132"/>
      <c r="S975" s="132"/>
      <c r="T975" s="132"/>
      <c r="U975" s="132"/>
      <c r="V975" s="132"/>
      <c r="W975" s="132"/>
      <c r="X975" s="132"/>
      <c r="Y975" s="132"/>
      <c r="Z975" s="132"/>
      <c r="AA975" s="132"/>
      <c r="AB975" s="132"/>
    </row>
    <row r="976" ht="24.75" customHeight="1" outlineLevel="1">
      <c r="A976" s="764">
        <v>46028.0</v>
      </c>
      <c r="B976" s="775" t="s">
        <v>1755</v>
      </c>
      <c r="C976" s="736" t="s">
        <v>1790</v>
      </c>
      <c r="D976" s="794" t="s">
        <v>1816</v>
      </c>
      <c r="E976" s="769" t="s">
        <v>1791</v>
      </c>
      <c r="F976" s="758" t="s">
        <v>1598</v>
      </c>
      <c r="G976" s="758"/>
      <c r="H976" s="758" t="s">
        <v>1756</v>
      </c>
      <c r="I976" s="175"/>
      <c r="J976" s="132"/>
      <c r="K976" s="132"/>
      <c r="L976" s="132"/>
      <c r="M976" s="132"/>
      <c r="N976" s="132"/>
      <c r="O976" s="132"/>
      <c r="P976" s="132"/>
      <c r="Q976" s="132"/>
      <c r="R976" s="132"/>
      <c r="S976" s="132"/>
      <c r="T976" s="132"/>
      <c r="U976" s="132"/>
      <c r="V976" s="132"/>
      <c r="W976" s="132"/>
      <c r="X976" s="132"/>
      <c r="Y976" s="132"/>
      <c r="Z976" s="132"/>
      <c r="AA976" s="132"/>
      <c r="AB976" s="132"/>
    </row>
    <row r="977" ht="24.75" customHeight="1" outlineLevel="1">
      <c r="A977" s="764">
        <v>46029.0</v>
      </c>
      <c r="B977" s="775" t="s">
        <v>1759</v>
      </c>
      <c r="C977" s="736" t="s">
        <v>1790</v>
      </c>
      <c r="D977" s="794" t="s">
        <v>1816</v>
      </c>
      <c r="E977" s="769" t="s">
        <v>1791</v>
      </c>
      <c r="F977" s="758" t="s">
        <v>1598</v>
      </c>
      <c r="G977" s="759"/>
      <c r="H977" s="758" t="s">
        <v>1756</v>
      </c>
      <c r="I977" s="668"/>
      <c r="J977" s="132"/>
      <c r="K977" s="132"/>
      <c r="L977" s="132"/>
      <c r="M977" s="132"/>
      <c r="N977" s="132"/>
      <c r="O977" s="132"/>
      <c r="P977" s="132"/>
      <c r="Q977" s="132"/>
      <c r="R977" s="132"/>
      <c r="S977" s="132"/>
      <c r="T977" s="132"/>
      <c r="U977" s="132"/>
      <c r="V977" s="132"/>
      <c r="W977" s="132"/>
      <c r="X977" s="132"/>
      <c r="Y977" s="132"/>
      <c r="Z977" s="132"/>
      <c r="AA977" s="132"/>
      <c r="AB977" s="132"/>
    </row>
    <row r="978" ht="24.75" customHeight="1" outlineLevel="1">
      <c r="A978" s="764">
        <v>46030.0</v>
      </c>
      <c r="B978" s="775" t="s">
        <v>1762</v>
      </c>
      <c r="C978" s="736" t="s">
        <v>1790</v>
      </c>
      <c r="D978" s="794" t="s">
        <v>1816</v>
      </c>
      <c r="E978" s="769" t="s">
        <v>1791</v>
      </c>
      <c r="F978" s="758" t="s">
        <v>1598</v>
      </c>
      <c r="G978" s="759"/>
      <c r="H978" s="758" t="s">
        <v>1756</v>
      </c>
      <c r="I978" s="668"/>
      <c r="J978" s="132"/>
      <c r="K978" s="132"/>
      <c r="L978" s="132"/>
      <c r="M978" s="132"/>
      <c r="N978" s="132"/>
      <c r="O978" s="132"/>
      <c r="P978" s="132"/>
      <c r="Q978" s="132"/>
      <c r="R978" s="132"/>
      <c r="S978" s="132"/>
      <c r="T978" s="132"/>
      <c r="U978" s="132"/>
      <c r="V978" s="132"/>
      <c r="W978" s="132"/>
      <c r="X978" s="132"/>
      <c r="Y978" s="132"/>
      <c r="Z978" s="132"/>
      <c r="AA978" s="132"/>
      <c r="AB978" s="132"/>
    </row>
    <row r="979" ht="24.75" customHeight="1">
      <c r="A979" s="175" t="s">
        <v>1817</v>
      </c>
      <c r="B979" s="132"/>
      <c r="C979" s="132"/>
      <c r="D979" s="132"/>
      <c r="E979" s="496"/>
      <c r="F979" s="132"/>
      <c r="G979" s="132"/>
      <c r="H979" s="132"/>
      <c r="I979" s="132"/>
      <c r="J979" s="132"/>
      <c r="K979" s="132"/>
      <c r="L979" s="132"/>
      <c r="M979" s="132"/>
      <c r="N979" s="132"/>
      <c r="O979" s="132"/>
      <c r="P979" s="132"/>
      <c r="Q979" s="132"/>
      <c r="R979" s="132"/>
      <c r="S979" s="132"/>
      <c r="T979" s="132"/>
      <c r="U979" s="132"/>
      <c r="V979" s="132"/>
      <c r="W979" s="132"/>
      <c r="X979" s="132"/>
      <c r="Y979" s="132"/>
      <c r="Z979" s="132"/>
      <c r="AA979" s="132"/>
      <c r="AB979" s="132"/>
      <c r="AC979" s="132"/>
    </row>
    <row r="980" ht="24.75" customHeight="1">
      <c r="A980" s="132"/>
      <c r="B980" s="132"/>
      <c r="C980" s="132"/>
      <c r="D980" s="132"/>
      <c r="E980" s="496"/>
      <c r="F980" s="132"/>
      <c r="G980" s="132"/>
      <c r="H980" s="132"/>
      <c r="I980" s="132"/>
      <c r="J980" s="132"/>
      <c r="K980" s="132"/>
      <c r="L980" s="132"/>
      <c r="M980" s="132"/>
      <c r="N980" s="132"/>
      <c r="O980" s="132"/>
      <c r="P980" s="132"/>
      <c r="Q980" s="132"/>
      <c r="R980" s="132"/>
      <c r="S980" s="132"/>
      <c r="T980" s="132"/>
      <c r="U980" s="132"/>
      <c r="V980" s="132"/>
      <c r="W980" s="132"/>
      <c r="X980" s="132"/>
      <c r="Y980" s="132"/>
      <c r="Z980" s="132"/>
      <c r="AA980" s="132"/>
      <c r="AB980" s="132"/>
      <c r="AC980" s="132"/>
    </row>
    <row r="981" ht="24.75" customHeight="1" collapsed="1">
      <c r="A981" s="599" t="s">
        <v>1818</v>
      </c>
      <c r="B981" s="132"/>
      <c r="C981" s="132"/>
      <c r="D981" s="132"/>
      <c r="E981" s="496"/>
      <c r="F981" s="132"/>
      <c r="G981" s="132"/>
      <c r="H981" s="132"/>
      <c r="I981" s="132"/>
      <c r="J981" s="132"/>
      <c r="K981" s="132"/>
      <c r="L981" s="132"/>
      <c r="M981" s="132"/>
      <c r="N981" s="132"/>
      <c r="O981" s="132"/>
      <c r="P981" s="132"/>
      <c r="Q981" s="132"/>
      <c r="R981" s="132"/>
      <c r="S981" s="132"/>
      <c r="T981" s="132"/>
      <c r="U981" s="132"/>
      <c r="V981" s="132"/>
      <c r="W981" s="132"/>
      <c r="X981" s="132"/>
      <c r="Y981" s="132"/>
      <c r="Z981" s="132"/>
      <c r="AA981" s="132"/>
      <c r="AB981" s="132"/>
      <c r="AC981" s="132"/>
    </row>
    <row r="982" ht="24.75" hidden="1" customHeight="1" outlineLevel="1">
      <c r="A982" s="533" t="s">
        <v>1166</v>
      </c>
      <c r="B982" s="534" t="s">
        <v>1117</v>
      </c>
      <c r="C982" s="534" t="s">
        <v>1167</v>
      </c>
      <c r="D982" s="534" t="s">
        <v>1168</v>
      </c>
      <c r="E982" s="534" t="s">
        <v>1169</v>
      </c>
      <c r="F982" s="132"/>
      <c r="G982" s="132"/>
      <c r="H982" s="132"/>
      <c r="I982" s="132"/>
      <c r="J982" s="132"/>
      <c r="K982" s="132"/>
      <c r="L982" s="132"/>
      <c r="M982" s="132"/>
      <c r="N982" s="132"/>
      <c r="O982" s="132"/>
      <c r="P982" s="132"/>
      <c r="Q982" s="132"/>
      <c r="R982" s="132"/>
      <c r="S982" s="132"/>
      <c r="T982" s="132"/>
      <c r="U982" s="132"/>
      <c r="V982" s="132"/>
      <c r="W982" s="132"/>
      <c r="X982" s="132"/>
      <c r="Y982" s="132"/>
      <c r="Z982" s="132"/>
      <c r="AA982" s="132"/>
      <c r="AB982" s="132"/>
      <c r="AC982" s="132"/>
    </row>
    <row r="983" ht="24.75" hidden="1" customHeight="1" outlineLevel="1">
      <c r="A983" s="791">
        <v>46034.0</v>
      </c>
      <c r="B983" s="679" t="s">
        <v>1249</v>
      </c>
      <c r="C983" s="526" t="s">
        <v>1578</v>
      </c>
      <c r="D983" s="680" t="s">
        <v>1615</v>
      </c>
      <c r="E983" s="681" t="s">
        <v>1235</v>
      </c>
      <c r="F983" s="132"/>
      <c r="G983" s="132"/>
      <c r="H983" s="132"/>
      <c r="I983" s="132"/>
      <c r="J983" s="132"/>
      <c r="K983" s="132"/>
      <c r="L983" s="132"/>
      <c r="M983" s="132"/>
      <c r="N983" s="132"/>
      <c r="O983" s="132"/>
      <c r="P983" s="132"/>
      <c r="Q983" s="132"/>
      <c r="R983" s="132"/>
      <c r="S983" s="132"/>
      <c r="T983" s="132"/>
      <c r="U983" s="132"/>
      <c r="V983" s="132"/>
      <c r="W983" s="132"/>
      <c r="X983" s="132"/>
      <c r="Y983" s="132"/>
      <c r="Z983" s="132"/>
      <c r="AA983" s="132"/>
      <c r="AB983" s="132"/>
      <c r="AC983" s="132"/>
    </row>
    <row r="984" ht="24.75" hidden="1" customHeight="1" outlineLevel="1">
      <c r="A984" s="791">
        <v>46034.0</v>
      </c>
      <c r="B984" s="679" t="s">
        <v>1526</v>
      </c>
      <c r="C984" s="523" t="s">
        <v>1239</v>
      </c>
      <c r="D984" s="687" t="s">
        <v>1580</v>
      </c>
      <c r="E984" s="681" t="s">
        <v>1235</v>
      </c>
      <c r="F984" s="132"/>
      <c r="G984" s="132"/>
      <c r="H984" s="132"/>
      <c r="I984" s="132"/>
      <c r="J984" s="132"/>
      <c r="K984" s="132"/>
      <c r="L984" s="132"/>
      <c r="M984" s="132"/>
      <c r="N984" s="132"/>
      <c r="O984" s="132"/>
      <c r="P984" s="132"/>
      <c r="Q984" s="132"/>
      <c r="R984" s="132"/>
      <c r="S984" s="132"/>
      <c r="T984" s="132"/>
      <c r="U984" s="132"/>
      <c r="V984" s="132"/>
      <c r="W984" s="132"/>
      <c r="X984" s="132"/>
      <c r="Y984" s="132"/>
      <c r="Z984" s="132"/>
      <c r="AA984" s="132"/>
      <c r="AB984" s="132"/>
      <c r="AC984" s="132"/>
    </row>
    <row r="985" ht="24.75" hidden="1" customHeight="1" outlineLevel="1">
      <c r="A985" s="791">
        <v>46034.0</v>
      </c>
      <c r="B985" s="523" t="s">
        <v>629</v>
      </c>
      <c r="C985" s="523" t="s">
        <v>1221</v>
      </c>
      <c r="D985" s="688" t="s">
        <v>1550</v>
      </c>
      <c r="E985" s="681" t="s">
        <v>1235</v>
      </c>
      <c r="F985" s="132"/>
      <c r="G985" s="132"/>
      <c r="H985" s="132"/>
      <c r="I985" s="132"/>
      <c r="J985" s="132"/>
      <c r="K985" s="132"/>
      <c r="L985" s="132"/>
      <c r="M985" s="132"/>
      <c r="N985" s="132"/>
      <c r="O985" s="132"/>
      <c r="P985" s="132"/>
      <c r="Q985" s="132"/>
      <c r="R985" s="132"/>
      <c r="S985" s="132"/>
      <c r="T985" s="132"/>
      <c r="U985" s="132"/>
      <c r="V985" s="132"/>
      <c r="W985" s="132"/>
      <c r="X985" s="132"/>
      <c r="Y985" s="132"/>
      <c r="Z985" s="132"/>
      <c r="AA985" s="132"/>
      <c r="AB985" s="132"/>
      <c r="AC985" s="132"/>
    </row>
    <row r="986" ht="24.75" hidden="1" customHeight="1" outlineLevel="1">
      <c r="A986" s="791">
        <v>46034.0</v>
      </c>
      <c r="B986" s="523" t="s">
        <v>1217</v>
      </c>
      <c r="C986" s="523" t="s">
        <v>1451</v>
      </c>
      <c r="D986" s="680" t="s">
        <v>1354</v>
      </c>
      <c r="E986" s="681" t="s">
        <v>1235</v>
      </c>
      <c r="F986" s="132"/>
      <c r="G986" s="132"/>
      <c r="H986" s="132"/>
      <c r="I986" s="132"/>
      <c r="J986" s="132"/>
      <c r="K986" s="132"/>
      <c r="L986" s="132"/>
      <c r="M986" s="132"/>
      <c r="N986" s="132"/>
      <c r="O986" s="132"/>
      <c r="P986" s="132"/>
      <c r="Q986" s="132"/>
      <c r="R986" s="132"/>
      <c r="S986" s="132"/>
      <c r="T986" s="132"/>
      <c r="U986" s="132"/>
      <c r="V986" s="132"/>
      <c r="W986" s="132"/>
      <c r="X986" s="132"/>
      <c r="Y986" s="132"/>
      <c r="Z986" s="132"/>
      <c r="AA986" s="132"/>
      <c r="AB986" s="132"/>
      <c r="AC986" s="132"/>
    </row>
    <row r="987" ht="24.75" hidden="1" customHeight="1" outlineLevel="1">
      <c r="A987" s="792">
        <v>46035.0</v>
      </c>
      <c r="B987" s="679" t="s">
        <v>38</v>
      </c>
      <c r="C987" s="523" t="s">
        <v>1221</v>
      </c>
      <c r="D987" s="688" t="s">
        <v>1552</v>
      </c>
      <c r="E987" s="681" t="s">
        <v>1235</v>
      </c>
      <c r="F987" s="132"/>
      <c r="G987" s="132"/>
      <c r="H987" s="132"/>
      <c r="I987" s="132"/>
      <c r="J987" s="132"/>
      <c r="K987" s="132"/>
      <c r="L987" s="132"/>
      <c r="M987" s="132"/>
      <c r="N987" s="132"/>
      <c r="O987" s="132"/>
      <c r="P987" s="132"/>
      <c r="Q987" s="132"/>
      <c r="R987" s="132"/>
      <c r="S987" s="132"/>
      <c r="T987" s="132"/>
      <c r="U987" s="132"/>
      <c r="V987" s="132"/>
      <c r="W987" s="132"/>
      <c r="X987" s="132"/>
      <c r="Y987" s="132"/>
      <c r="Z987" s="132"/>
      <c r="AA987" s="132"/>
      <c r="AB987" s="132"/>
      <c r="AC987" s="132"/>
    </row>
    <row r="988" ht="24.75" hidden="1" customHeight="1" outlineLevel="1">
      <c r="A988" s="792">
        <v>46035.0</v>
      </c>
      <c r="B988" s="523" t="s">
        <v>1232</v>
      </c>
      <c r="C988" s="690" t="s">
        <v>1819</v>
      </c>
      <c r="D988" s="688" t="s">
        <v>1180</v>
      </c>
      <c r="E988" s="681" t="s">
        <v>1235</v>
      </c>
      <c r="F988" s="132"/>
      <c r="G988" s="132"/>
      <c r="H988" s="132"/>
      <c r="I988" s="132"/>
      <c r="J988" s="132"/>
      <c r="K988" s="132"/>
      <c r="L988" s="132"/>
      <c r="M988" s="132"/>
      <c r="N988" s="132"/>
      <c r="O988" s="132"/>
      <c r="P988" s="132"/>
      <c r="Q988" s="132"/>
      <c r="R988" s="132"/>
      <c r="S988" s="132"/>
      <c r="T988" s="132"/>
      <c r="U988" s="132"/>
      <c r="V988" s="132"/>
      <c r="W988" s="132"/>
      <c r="X988" s="132"/>
      <c r="Y988" s="132"/>
      <c r="Z988" s="132"/>
      <c r="AA988" s="132"/>
      <c r="AB988" s="132"/>
      <c r="AC988" s="132"/>
    </row>
    <row r="989" ht="24.75" hidden="1" customHeight="1" outlineLevel="1">
      <c r="A989" s="792">
        <v>46035.0</v>
      </c>
      <c r="B989" s="523" t="s">
        <v>1325</v>
      </c>
      <c r="C989" s="523" t="s">
        <v>1221</v>
      </c>
      <c r="D989" s="688" t="s">
        <v>1180</v>
      </c>
      <c r="E989" s="681" t="s">
        <v>1235</v>
      </c>
      <c r="F989" s="132"/>
      <c r="G989" s="132"/>
      <c r="H989" s="132"/>
      <c r="I989" s="132"/>
      <c r="J989" s="132"/>
      <c r="K989" s="132"/>
      <c r="L989" s="132"/>
      <c r="M989" s="132"/>
      <c r="N989" s="132"/>
      <c r="O989" s="132"/>
      <c r="P989" s="132"/>
      <c r="Q989" s="132"/>
      <c r="R989" s="132"/>
      <c r="S989" s="132"/>
      <c r="T989" s="132"/>
      <c r="U989" s="132"/>
      <c r="V989" s="132"/>
      <c r="W989" s="132"/>
      <c r="X989" s="132"/>
      <c r="Y989" s="132"/>
      <c r="Z989" s="132"/>
      <c r="AA989" s="132"/>
      <c r="AB989" s="132"/>
      <c r="AC989" s="132"/>
    </row>
    <row r="990" ht="24.75" hidden="1" customHeight="1" outlineLevel="1">
      <c r="A990" s="792">
        <v>46035.0</v>
      </c>
      <c r="B990" s="679" t="s">
        <v>1254</v>
      </c>
      <c r="C990" s="692" t="s">
        <v>1590</v>
      </c>
      <c r="D990" s="688" t="s">
        <v>1557</v>
      </c>
      <c r="E990" s="681" t="s">
        <v>1235</v>
      </c>
      <c r="F990" s="132"/>
      <c r="G990" s="132"/>
      <c r="H990" s="132"/>
      <c r="I990" s="132"/>
      <c r="J990" s="132"/>
      <c r="K990" s="132"/>
      <c r="L990" s="132"/>
      <c r="M990" s="132"/>
      <c r="N990" s="132"/>
      <c r="O990" s="132"/>
      <c r="P990" s="132"/>
      <c r="Q990" s="132"/>
      <c r="R990" s="132"/>
      <c r="S990" s="132"/>
      <c r="T990" s="132"/>
      <c r="U990" s="132"/>
      <c r="V990" s="132"/>
      <c r="W990" s="132"/>
      <c r="X990" s="132"/>
      <c r="Y990" s="132"/>
      <c r="Z990" s="132"/>
      <c r="AA990" s="132"/>
      <c r="AB990" s="132"/>
      <c r="AC990" s="132"/>
    </row>
    <row r="991" ht="24.75" hidden="1" customHeight="1" outlineLevel="1">
      <c r="A991" s="792">
        <v>46035.0</v>
      </c>
      <c r="B991" s="523" t="s">
        <v>236</v>
      </c>
      <c r="C991" s="523" t="s">
        <v>1221</v>
      </c>
      <c r="D991" s="688" t="s">
        <v>1558</v>
      </c>
      <c r="E991" s="681" t="s">
        <v>1235</v>
      </c>
      <c r="F991" s="132"/>
      <c r="G991" s="132"/>
      <c r="H991" s="132"/>
      <c r="I991" s="132"/>
      <c r="J991" s="132"/>
      <c r="K991" s="132"/>
      <c r="L991" s="132"/>
      <c r="M991" s="132"/>
      <c r="N991" s="132"/>
      <c r="O991" s="132"/>
      <c r="P991" s="132"/>
      <c r="Q991" s="132"/>
      <c r="R991" s="132"/>
      <c r="S991" s="132"/>
      <c r="T991" s="132"/>
      <c r="U991" s="132"/>
      <c r="V991" s="132"/>
      <c r="W991" s="132"/>
      <c r="X991" s="132"/>
      <c r="Y991" s="132"/>
      <c r="Z991" s="132"/>
      <c r="AA991" s="132"/>
      <c r="AB991" s="132"/>
      <c r="AC991" s="132"/>
    </row>
    <row r="992" ht="24.75" customHeight="1">
      <c r="A992" s="132"/>
      <c r="B992" s="132"/>
      <c r="C992" s="132"/>
      <c r="D992" s="132"/>
      <c r="E992" s="496"/>
      <c r="F992" s="132"/>
      <c r="G992" s="132"/>
      <c r="H992" s="132"/>
      <c r="I992" s="132"/>
      <c r="J992" s="132"/>
      <c r="K992" s="132"/>
      <c r="L992" s="132"/>
      <c r="M992" s="132"/>
      <c r="N992" s="132"/>
      <c r="O992" s="132"/>
      <c r="P992" s="132"/>
      <c r="Q992" s="132"/>
      <c r="R992" s="132"/>
      <c r="S992" s="132"/>
      <c r="T992" s="132"/>
      <c r="U992" s="132"/>
      <c r="V992" s="132"/>
      <c r="W992" s="132"/>
      <c r="X992" s="132"/>
      <c r="Y992" s="132"/>
      <c r="Z992" s="132"/>
      <c r="AA992" s="132"/>
      <c r="AB992" s="132"/>
      <c r="AC992" s="132"/>
    </row>
    <row r="993" ht="24.75" customHeight="1" collapsed="1">
      <c r="A993" s="599" t="s">
        <v>1820</v>
      </c>
      <c r="B993" s="132"/>
      <c r="C993" s="132"/>
      <c r="D993" s="132"/>
      <c r="E993" s="496"/>
      <c r="F993" s="132"/>
      <c r="G993" s="132"/>
      <c r="H993" s="132"/>
      <c r="I993" s="132"/>
      <c r="J993" s="132"/>
      <c r="K993" s="132"/>
      <c r="L993" s="132"/>
      <c r="M993" s="132"/>
      <c r="N993" s="132"/>
      <c r="O993" s="132"/>
      <c r="P993" s="132"/>
      <c r="Q993" s="132"/>
      <c r="R993" s="132"/>
      <c r="S993" s="132"/>
      <c r="T993" s="132"/>
      <c r="U993" s="132"/>
      <c r="V993" s="132"/>
      <c r="W993" s="132"/>
      <c r="X993" s="132"/>
      <c r="Y993" s="132"/>
      <c r="Z993" s="132"/>
      <c r="AA993" s="132"/>
      <c r="AB993" s="132"/>
      <c r="AC993" s="132"/>
    </row>
    <row r="994" ht="24.75" hidden="1" customHeight="1" outlineLevel="1">
      <c r="A994" s="615">
        <v>46064.0</v>
      </c>
      <c r="B994" s="775" t="s">
        <v>274</v>
      </c>
      <c r="C994" s="640" t="s">
        <v>1233</v>
      </c>
      <c r="D994" s="640" t="s">
        <v>1821</v>
      </c>
      <c r="E994" s="765" t="s">
        <v>1235</v>
      </c>
      <c r="F994" s="758"/>
      <c r="G994" s="759"/>
      <c r="H994" s="758" t="s">
        <v>1758</v>
      </c>
      <c r="I994" s="175"/>
      <c r="J994" s="132"/>
      <c r="K994" s="132"/>
      <c r="L994" s="132"/>
      <c r="M994" s="132"/>
      <c r="N994" s="132"/>
      <c r="O994" s="132"/>
      <c r="P994" s="132"/>
      <c r="Q994" s="132"/>
      <c r="R994" s="132"/>
      <c r="S994" s="132"/>
      <c r="T994" s="132"/>
      <c r="U994" s="132"/>
      <c r="V994" s="132"/>
      <c r="W994" s="132"/>
      <c r="X994" s="132"/>
      <c r="Y994" s="132"/>
      <c r="Z994" s="132"/>
      <c r="AA994" s="132"/>
      <c r="AB994" s="132"/>
    </row>
    <row r="995" ht="24.75" hidden="1" customHeight="1" outlineLevel="1">
      <c r="A995" s="615">
        <v>46064.0</v>
      </c>
      <c r="B995" s="770" t="s">
        <v>271</v>
      </c>
      <c r="C995" s="640" t="s">
        <v>1743</v>
      </c>
      <c r="D995" s="511" t="s">
        <v>1532</v>
      </c>
      <c r="E995" s="765" t="s">
        <v>1235</v>
      </c>
      <c r="F995" s="758"/>
      <c r="G995" s="758"/>
      <c r="H995" s="758" t="s">
        <v>1603</v>
      </c>
      <c r="I995" s="175"/>
      <c r="J995" s="132"/>
      <c r="K995" s="132"/>
      <c r="L995" s="132"/>
      <c r="M995" s="132"/>
      <c r="N995" s="132"/>
      <c r="O995" s="132"/>
      <c r="P995" s="132"/>
      <c r="Q995" s="132"/>
      <c r="R995" s="132"/>
      <c r="S995" s="132"/>
      <c r="T995" s="132"/>
      <c r="U995" s="132"/>
      <c r="V995" s="132"/>
      <c r="W995" s="132"/>
      <c r="X995" s="132"/>
      <c r="Y995" s="132"/>
      <c r="Z995" s="132"/>
      <c r="AA995" s="132"/>
      <c r="AB995" s="132"/>
    </row>
    <row r="996" ht="24.75" hidden="1" customHeight="1" outlineLevel="1">
      <c r="A996" s="615">
        <v>46064.0</v>
      </c>
      <c r="B996" s="775" t="s">
        <v>277</v>
      </c>
      <c r="C996" s="740" t="s">
        <v>1715</v>
      </c>
      <c r="D996" s="626" t="s">
        <v>1822</v>
      </c>
      <c r="E996" s="765" t="s">
        <v>1235</v>
      </c>
      <c r="F996" s="758"/>
      <c r="G996" s="758"/>
      <c r="H996" s="758" t="s">
        <v>1685</v>
      </c>
      <c r="I996" s="668"/>
      <c r="J996" s="132"/>
      <c r="K996" s="132"/>
      <c r="L996" s="132"/>
      <c r="M996" s="132"/>
      <c r="N996" s="132"/>
      <c r="O996" s="132"/>
      <c r="P996" s="132"/>
      <c r="Q996" s="132"/>
      <c r="R996" s="132"/>
      <c r="S996" s="132"/>
      <c r="T996" s="132"/>
      <c r="U996" s="132"/>
      <c r="V996" s="132"/>
      <c r="W996" s="132"/>
      <c r="X996" s="132"/>
      <c r="Y996" s="132"/>
      <c r="Z996" s="132"/>
      <c r="AA996" s="132"/>
      <c r="AB996" s="132"/>
    </row>
    <row r="997" ht="24.75" hidden="1" customHeight="1" outlineLevel="1">
      <c r="A997" s="615">
        <v>46064.0</v>
      </c>
      <c r="B997" s="775" t="s">
        <v>1759</v>
      </c>
      <c r="C997" s="736" t="s">
        <v>1790</v>
      </c>
      <c r="D997" s="758" t="s">
        <v>1823</v>
      </c>
      <c r="E997" s="765" t="s">
        <v>1235</v>
      </c>
      <c r="F997" s="758"/>
      <c r="G997" s="759"/>
      <c r="H997" s="758" t="s">
        <v>1756</v>
      </c>
      <c r="I997" s="175"/>
      <c r="J997" s="132"/>
      <c r="K997" s="132"/>
      <c r="L997" s="132"/>
      <c r="M997" s="132"/>
      <c r="N997" s="132"/>
      <c r="O997" s="132"/>
      <c r="P997" s="132"/>
      <c r="Q997" s="132"/>
      <c r="R997" s="132"/>
      <c r="S997" s="132"/>
      <c r="T997" s="132"/>
      <c r="U997" s="132"/>
      <c r="V997" s="132"/>
      <c r="W997" s="132"/>
      <c r="X997" s="132"/>
      <c r="Y997" s="132"/>
      <c r="Z997" s="132"/>
      <c r="AA997" s="132"/>
      <c r="AB997" s="132"/>
    </row>
    <row r="998" ht="24.75" hidden="1" customHeight="1" outlineLevel="1">
      <c r="A998" s="615">
        <v>46064.0</v>
      </c>
      <c r="B998" s="741" t="s">
        <v>270</v>
      </c>
      <c r="C998" s="740" t="s">
        <v>1717</v>
      </c>
      <c r="D998" s="758" t="s">
        <v>1824</v>
      </c>
      <c r="E998" s="765" t="s">
        <v>1235</v>
      </c>
      <c r="F998" s="758"/>
      <c r="G998" s="758"/>
      <c r="H998" s="758" t="s">
        <v>1719</v>
      </c>
      <c r="I998" s="668"/>
      <c r="J998" s="132"/>
      <c r="K998" s="132"/>
      <c r="L998" s="132"/>
      <c r="M998" s="132"/>
      <c r="N998" s="132"/>
      <c r="O998" s="132"/>
      <c r="P998" s="132"/>
      <c r="Q998" s="132"/>
      <c r="R998" s="132"/>
      <c r="S998" s="132"/>
      <c r="T998" s="132"/>
      <c r="U998" s="132"/>
      <c r="V998" s="132"/>
      <c r="W998" s="132"/>
      <c r="X998" s="132"/>
      <c r="Y998" s="132"/>
      <c r="Z998" s="132"/>
      <c r="AA998" s="132"/>
      <c r="AB998" s="132"/>
    </row>
    <row r="999" ht="24.75" hidden="1" customHeight="1" outlineLevel="1">
      <c r="A999" s="615">
        <v>46065.0</v>
      </c>
      <c r="B999" s="705" t="s">
        <v>317</v>
      </c>
      <c r="C999" s="640" t="s">
        <v>1259</v>
      </c>
      <c r="D999" s="511" t="s">
        <v>1825</v>
      </c>
      <c r="E999" s="765" t="s">
        <v>1235</v>
      </c>
      <c r="F999" s="758"/>
      <c r="G999" s="759"/>
      <c r="H999" s="758" t="s">
        <v>1671</v>
      </c>
      <c r="I999" s="668"/>
      <c r="J999" s="132"/>
      <c r="K999" s="132"/>
      <c r="L999" s="132"/>
      <c r="M999" s="132"/>
      <c r="N999" s="132"/>
      <c r="O999" s="132"/>
      <c r="P999" s="132"/>
      <c r="Q999" s="132"/>
      <c r="R999" s="132"/>
      <c r="S999" s="132"/>
      <c r="T999" s="132"/>
      <c r="U999" s="132"/>
      <c r="V999" s="132"/>
      <c r="W999" s="132"/>
      <c r="X999" s="132"/>
      <c r="Y999" s="132"/>
      <c r="Z999" s="132"/>
      <c r="AA999" s="132"/>
      <c r="AB999" s="132"/>
    </row>
    <row r="1000" ht="24.75" hidden="1" customHeight="1" outlineLevel="1">
      <c r="A1000" s="615">
        <v>46065.0</v>
      </c>
      <c r="B1000" s="775" t="s">
        <v>1762</v>
      </c>
      <c r="C1000" s="736" t="s">
        <v>1790</v>
      </c>
      <c r="D1000" s="758" t="s">
        <v>1823</v>
      </c>
      <c r="E1000" s="765" t="s">
        <v>1235</v>
      </c>
      <c r="F1000" s="758"/>
      <c r="G1000" s="759"/>
      <c r="H1000" s="758" t="s">
        <v>1756</v>
      </c>
      <c r="I1000" s="175"/>
      <c r="J1000" s="132"/>
      <c r="K1000" s="132"/>
      <c r="L1000" s="132"/>
      <c r="M1000" s="132"/>
      <c r="N1000" s="132"/>
      <c r="O1000" s="132"/>
      <c r="P1000" s="132"/>
      <c r="Q1000" s="132"/>
      <c r="R1000" s="132"/>
      <c r="S1000" s="132"/>
      <c r="T1000" s="132"/>
      <c r="U1000" s="132"/>
      <c r="V1000" s="132"/>
      <c r="W1000" s="132"/>
      <c r="X1000" s="132"/>
      <c r="Y1000" s="132"/>
      <c r="Z1000" s="132"/>
      <c r="AA1000" s="132"/>
      <c r="AB1000" s="132"/>
    </row>
    <row r="1001" ht="24.75" hidden="1" customHeight="1" outlineLevel="1">
      <c r="A1001" s="615">
        <v>46066.0</v>
      </c>
      <c r="B1001" s="775" t="s">
        <v>1232</v>
      </c>
      <c r="C1001" s="640" t="s">
        <v>1233</v>
      </c>
      <c r="D1001" s="795" t="s">
        <v>1826</v>
      </c>
      <c r="E1001" s="765" t="s">
        <v>1235</v>
      </c>
      <c r="F1001" s="758"/>
      <c r="G1001" s="758"/>
      <c r="H1001" s="758" t="s">
        <v>1584</v>
      </c>
      <c r="I1001" s="175"/>
      <c r="J1001" s="132"/>
      <c r="K1001" s="132"/>
      <c r="L1001" s="132"/>
      <c r="M1001" s="132"/>
      <c r="N1001" s="132"/>
      <c r="O1001" s="132"/>
      <c r="P1001" s="132"/>
      <c r="Q1001" s="132"/>
      <c r="R1001" s="132"/>
      <c r="S1001" s="132"/>
      <c r="T1001" s="132"/>
      <c r="U1001" s="132"/>
      <c r="V1001" s="132"/>
      <c r="W1001" s="132"/>
      <c r="X1001" s="132"/>
      <c r="Y1001" s="132"/>
      <c r="Z1001" s="132"/>
      <c r="AA1001" s="132"/>
      <c r="AB1001" s="132"/>
    </row>
    <row r="1002" ht="24.75" hidden="1" customHeight="1" outlineLevel="1">
      <c r="A1002" s="615">
        <v>46066.0</v>
      </c>
      <c r="B1002" s="766" t="s">
        <v>1739</v>
      </c>
      <c r="C1002" s="650" t="s">
        <v>1233</v>
      </c>
      <c r="D1002" s="642" t="s">
        <v>1180</v>
      </c>
      <c r="E1002" s="765" t="s">
        <v>1235</v>
      </c>
      <c r="F1002" s="758"/>
      <c r="G1002" s="758"/>
      <c r="H1002" s="758" t="s">
        <v>1586</v>
      </c>
      <c r="I1002" s="175"/>
      <c r="J1002" s="132"/>
      <c r="K1002" s="132"/>
      <c r="L1002" s="132"/>
      <c r="M1002" s="132"/>
      <c r="N1002" s="132"/>
      <c r="O1002" s="132"/>
      <c r="P1002" s="132"/>
      <c r="Q1002" s="132"/>
      <c r="R1002" s="132"/>
      <c r="S1002" s="132"/>
      <c r="T1002" s="132"/>
      <c r="U1002" s="132"/>
      <c r="V1002" s="132"/>
      <c r="W1002" s="132"/>
      <c r="X1002" s="132"/>
      <c r="Y1002" s="132"/>
      <c r="Z1002" s="132"/>
      <c r="AA1002" s="132"/>
      <c r="AB1002" s="132"/>
    </row>
    <row r="1003" ht="24.75" hidden="1" customHeight="1" outlineLevel="1">
      <c r="A1003" s="615">
        <v>46066.0</v>
      </c>
      <c r="B1003" s="650" t="s">
        <v>369</v>
      </c>
      <c r="C1003" s="642" t="s">
        <v>1786</v>
      </c>
      <c r="D1003" s="758" t="s">
        <v>1827</v>
      </c>
      <c r="E1003" s="765" t="s">
        <v>1235</v>
      </c>
      <c r="F1003" s="758"/>
      <c r="G1003" s="758"/>
      <c r="H1003" s="758" t="s">
        <v>1740</v>
      </c>
      <c r="I1003" s="175"/>
      <c r="J1003" s="132"/>
      <c r="K1003" s="132"/>
      <c r="L1003" s="132"/>
      <c r="M1003" s="132"/>
      <c r="N1003" s="132"/>
      <c r="O1003" s="132"/>
      <c r="P1003" s="132"/>
      <c r="Q1003" s="132"/>
      <c r="R1003" s="132"/>
      <c r="S1003" s="132"/>
      <c r="T1003" s="132"/>
      <c r="U1003" s="132"/>
      <c r="V1003" s="132"/>
      <c r="W1003" s="132"/>
      <c r="X1003" s="132"/>
      <c r="Y1003" s="132"/>
      <c r="Z1003" s="132"/>
      <c r="AA1003" s="132"/>
      <c r="AB1003" s="132"/>
    </row>
    <row r="1004" ht="24.75" hidden="1" customHeight="1" outlineLevel="1">
      <c r="A1004" s="615">
        <v>46067.0</v>
      </c>
      <c r="B1004" s="775" t="s">
        <v>394</v>
      </c>
      <c r="C1004" s="640" t="s">
        <v>1233</v>
      </c>
      <c r="D1004" s="640" t="s">
        <v>1821</v>
      </c>
      <c r="E1004" s="765" t="s">
        <v>1235</v>
      </c>
      <c r="F1004" s="758"/>
      <c r="G1004" s="759"/>
      <c r="H1004" s="758" t="s">
        <v>1741</v>
      </c>
      <c r="I1004" s="175"/>
      <c r="J1004" s="132"/>
      <c r="K1004" s="132"/>
      <c r="L1004" s="132"/>
      <c r="M1004" s="132"/>
      <c r="N1004" s="132"/>
      <c r="O1004" s="132"/>
      <c r="P1004" s="132"/>
      <c r="Q1004" s="132"/>
      <c r="R1004" s="132"/>
      <c r="S1004" s="132"/>
      <c r="T1004" s="132"/>
      <c r="U1004" s="132"/>
      <c r="V1004" s="132"/>
      <c r="W1004" s="132"/>
      <c r="X1004" s="132"/>
      <c r="Y1004" s="132"/>
      <c r="Z1004" s="132"/>
      <c r="AA1004" s="132"/>
      <c r="AB1004" s="132"/>
    </row>
    <row r="1005" ht="24.75" hidden="1" customHeight="1" outlineLevel="1">
      <c r="A1005" s="615">
        <v>46067.0</v>
      </c>
      <c r="B1005" s="796" t="str">
        <f>HYPERLINK("https://docs.google.com/spreadsheets/d/1v3B9E8Jeqx3_JGvRHJ2cXJ5OAGLvZiOXZru0niKH-QQ/edit?ts=56170761#gid=1991794180","☆横浜")</f>
        <v>☆横浜</v>
      </c>
      <c r="C1005" s="736" t="s">
        <v>1722</v>
      </c>
      <c r="D1005" s="511" t="s">
        <v>1543</v>
      </c>
      <c r="E1005" s="573" t="s">
        <v>1535</v>
      </c>
      <c r="F1005" s="758"/>
      <c r="G1005" s="758"/>
      <c r="H1005" s="758" t="s">
        <v>1648</v>
      </c>
      <c r="I1005" s="668"/>
      <c r="J1005" s="132"/>
      <c r="K1005" s="132"/>
      <c r="L1005" s="132"/>
      <c r="M1005" s="132"/>
      <c r="N1005" s="132"/>
      <c r="O1005" s="132"/>
      <c r="P1005" s="132"/>
      <c r="Q1005" s="132"/>
      <c r="R1005" s="132"/>
      <c r="S1005" s="132"/>
      <c r="T1005" s="132"/>
      <c r="U1005" s="132"/>
      <c r="V1005" s="132"/>
      <c r="W1005" s="132"/>
      <c r="X1005" s="132"/>
      <c r="Y1005" s="132"/>
      <c r="Z1005" s="132"/>
      <c r="AA1005" s="132"/>
      <c r="AB1005" s="132"/>
    </row>
    <row r="1006" ht="24.75" customHeight="1">
      <c r="A1006" s="132"/>
      <c r="B1006" s="132"/>
      <c r="C1006" s="132"/>
      <c r="D1006" s="132"/>
      <c r="E1006" s="496"/>
      <c r="F1006" s="132"/>
      <c r="G1006" s="132"/>
      <c r="H1006" s="132"/>
      <c r="I1006" s="132"/>
      <c r="J1006" s="132"/>
      <c r="K1006" s="132"/>
      <c r="L1006" s="132"/>
      <c r="M1006" s="132"/>
      <c r="N1006" s="132"/>
      <c r="O1006" s="132"/>
      <c r="P1006" s="132"/>
      <c r="Q1006" s="132"/>
      <c r="R1006" s="132"/>
      <c r="S1006" s="132"/>
      <c r="T1006" s="132"/>
      <c r="U1006" s="132"/>
      <c r="V1006" s="132"/>
      <c r="W1006" s="132"/>
      <c r="X1006" s="132"/>
      <c r="Y1006" s="132"/>
      <c r="Z1006" s="132"/>
      <c r="AA1006" s="132"/>
      <c r="AB1006" s="132"/>
      <c r="AC1006" s="132"/>
    </row>
    <row r="1007" ht="24.75" customHeight="1" collapsed="1">
      <c r="A1007" s="599" t="s">
        <v>1828</v>
      </c>
      <c r="B1007" s="132"/>
      <c r="C1007" s="132"/>
      <c r="D1007" s="132"/>
      <c r="E1007" s="496"/>
      <c r="F1007" s="132"/>
      <c r="G1007" s="132"/>
      <c r="H1007" s="132"/>
      <c r="I1007" s="132"/>
      <c r="J1007" s="132"/>
      <c r="K1007" s="132"/>
      <c r="L1007" s="132"/>
      <c r="M1007" s="132"/>
      <c r="N1007" s="132"/>
      <c r="O1007" s="132"/>
      <c r="P1007" s="132"/>
      <c r="Q1007" s="132"/>
      <c r="R1007" s="132"/>
      <c r="S1007" s="132"/>
      <c r="T1007" s="132"/>
      <c r="U1007" s="132"/>
      <c r="V1007" s="132"/>
      <c r="W1007" s="132"/>
      <c r="X1007" s="132"/>
      <c r="Y1007" s="132"/>
      <c r="Z1007" s="132"/>
      <c r="AA1007" s="132"/>
      <c r="AB1007" s="132"/>
      <c r="AC1007" s="132"/>
    </row>
    <row r="1008" ht="24.75" hidden="1" customHeight="1" outlineLevel="1">
      <c r="A1008" s="533" t="s">
        <v>1166</v>
      </c>
      <c r="B1008" s="534" t="s">
        <v>1117</v>
      </c>
      <c r="C1008" s="534" t="s">
        <v>1167</v>
      </c>
      <c r="D1008" s="534" t="s">
        <v>1168</v>
      </c>
      <c r="E1008" s="534" t="s">
        <v>1169</v>
      </c>
      <c r="F1008" s="132"/>
      <c r="G1008" s="132"/>
      <c r="H1008" s="132"/>
      <c r="I1008" s="132"/>
      <c r="J1008" s="132"/>
      <c r="K1008" s="132"/>
      <c r="L1008" s="132"/>
      <c r="M1008" s="132"/>
      <c r="N1008" s="132"/>
      <c r="O1008" s="132"/>
      <c r="P1008" s="132"/>
      <c r="Q1008" s="132"/>
      <c r="R1008" s="132"/>
      <c r="S1008" s="132"/>
      <c r="T1008" s="132"/>
      <c r="U1008" s="132"/>
      <c r="V1008" s="132"/>
      <c r="W1008" s="132"/>
      <c r="X1008" s="132"/>
      <c r="Y1008" s="132"/>
      <c r="Z1008" s="132"/>
      <c r="AA1008" s="132"/>
      <c r="AB1008" s="132"/>
      <c r="AC1008" s="132"/>
    </row>
    <row r="1009" ht="24.75" hidden="1" customHeight="1" outlineLevel="1">
      <c r="A1009" s="791">
        <v>46076.0</v>
      </c>
      <c r="B1009" s="679" t="s">
        <v>1249</v>
      </c>
      <c r="C1009" s="526" t="s">
        <v>1578</v>
      </c>
      <c r="D1009" s="680" t="s">
        <v>1615</v>
      </c>
      <c r="E1009" s="681" t="s">
        <v>1235</v>
      </c>
      <c r="F1009" s="132"/>
      <c r="G1009" s="132"/>
      <c r="H1009" s="132"/>
      <c r="I1009" s="132"/>
      <c r="J1009" s="132"/>
      <c r="K1009" s="132"/>
      <c r="L1009" s="132"/>
      <c r="M1009" s="132"/>
      <c r="N1009" s="132"/>
      <c r="O1009" s="132"/>
      <c r="P1009" s="132"/>
      <c r="Q1009" s="132"/>
      <c r="R1009" s="132"/>
      <c r="S1009" s="132"/>
      <c r="T1009" s="132"/>
      <c r="U1009" s="132"/>
      <c r="V1009" s="132"/>
      <c r="W1009" s="132"/>
      <c r="X1009" s="132"/>
      <c r="Y1009" s="132"/>
      <c r="Z1009" s="132"/>
      <c r="AA1009" s="132"/>
      <c r="AB1009" s="132"/>
      <c r="AC1009" s="132"/>
    </row>
    <row r="1010" ht="24.75" hidden="1" customHeight="1" outlineLevel="1">
      <c r="A1010" s="791">
        <v>46076.0</v>
      </c>
      <c r="B1010" s="679" t="s">
        <v>1526</v>
      </c>
      <c r="C1010" s="523" t="s">
        <v>1239</v>
      </c>
      <c r="D1010" s="687" t="s">
        <v>1580</v>
      </c>
      <c r="E1010" s="681" t="s">
        <v>1235</v>
      </c>
      <c r="F1010" s="132"/>
      <c r="G1010" s="132"/>
      <c r="H1010" s="132"/>
      <c r="I1010" s="132"/>
      <c r="J1010" s="132"/>
      <c r="K1010" s="132"/>
      <c r="L1010" s="132"/>
      <c r="M1010" s="132"/>
      <c r="N1010" s="132"/>
      <c r="O1010" s="132"/>
      <c r="P1010" s="132"/>
      <c r="Q1010" s="132"/>
      <c r="R1010" s="132"/>
      <c r="S1010" s="132"/>
      <c r="T1010" s="132"/>
      <c r="U1010" s="132"/>
      <c r="V1010" s="132"/>
      <c r="W1010" s="132"/>
      <c r="X1010" s="132"/>
      <c r="Y1010" s="132"/>
      <c r="Z1010" s="132"/>
      <c r="AA1010" s="132"/>
      <c r="AB1010" s="132"/>
      <c r="AC1010" s="132"/>
    </row>
    <row r="1011" ht="24.75" hidden="1" customHeight="1" outlineLevel="1">
      <c r="A1011" s="791">
        <v>46076.0</v>
      </c>
      <c r="B1011" s="523" t="s">
        <v>629</v>
      </c>
      <c r="C1011" s="523" t="s">
        <v>1221</v>
      </c>
      <c r="D1011" s="688" t="s">
        <v>1550</v>
      </c>
      <c r="E1011" s="681" t="s">
        <v>1235</v>
      </c>
      <c r="F1011" s="132"/>
      <c r="G1011" s="132"/>
      <c r="H1011" s="132"/>
      <c r="I1011" s="132"/>
      <c r="J1011" s="132"/>
      <c r="K1011" s="132"/>
      <c r="L1011" s="132"/>
      <c r="M1011" s="132"/>
      <c r="N1011" s="132"/>
      <c r="O1011" s="132"/>
      <c r="P1011" s="132"/>
      <c r="Q1011" s="132"/>
      <c r="R1011" s="132"/>
      <c r="S1011" s="132"/>
      <c r="T1011" s="132"/>
      <c r="U1011" s="132"/>
      <c r="V1011" s="132"/>
      <c r="W1011" s="132"/>
      <c r="X1011" s="132"/>
      <c r="Y1011" s="132"/>
      <c r="Z1011" s="132"/>
      <c r="AA1011" s="132"/>
      <c r="AB1011" s="132"/>
      <c r="AC1011" s="132"/>
    </row>
    <row r="1012" ht="24.75" hidden="1" customHeight="1" outlineLevel="1">
      <c r="A1012" s="791">
        <v>46076.0</v>
      </c>
      <c r="B1012" s="523" t="s">
        <v>1217</v>
      </c>
      <c r="C1012" s="523" t="s">
        <v>1451</v>
      </c>
      <c r="D1012" s="680" t="s">
        <v>1354</v>
      </c>
      <c r="E1012" s="681" t="s">
        <v>1235</v>
      </c>
      <c r="F1012" s="132"/>
      <c r="G1012" s="132"/>
      <c r="H1012" s="132"/>
      <c r="I1012" s="132"/>
      <c r="J1012" s="132"/>
      <c r="K1012" s="132"/>
      <c r="L1012" s="132"/>
      <c r="M1012" s="132"/>
      <c r="N1012" s="132"/>
      <c r="O1012" s="132"/>
      <c r="P1012" s="132"/>
      <c r="Q1012" s="132"/>
      <c r="R1012" s="132"/>
      <c r="S1012" s="132"/>
      <c r="T1012" s="132"/>
      <c r="U1012" s="132"/>
      <c r="V1012" s="132"/>
      <c r="W1012" s="132"/>
      <c r="X1012" s="132"/>
      <c r="Y1012" s="132"/>
      <c r="Z1012" s="132"/>
      <c r="AA1012" s="132"/>
      <c r="AB1012" s="132"/>
      <c r="AC1012" s="132"/>
    </row>
    <row r="1013" ht="24.75" hidden="1" customHeight="1" outlineLevel="1">
      <c r="A1013" s="792">
        <v>46077.0</v>
      </c>
      <c r="B1013" s="679" t="s">
        <v>38</v>
      </c>
      <c r="C1013" s="523" t="s">
        <v>1221</v>
      </c>
      <c r="D1013" s="688" t="s">
        <v>1552</v>
      </c>
      <c r="E1013" s="681" t="s">
        <v>1235</v>
      </c>
      <c r="F1013" s="132"/>
      <c r="G1013" s="132"/>
      <c r="H1013" s="132"/>
      <c r="I1013" s="132"/>
      <c r="J1013" s="132"/>
      <c r="K1013" s="132"/>
      <c r="L1013" s="132"/>
      <c r="M1013" s="132"/>
      <c r="N1013" s="132"/>
      <c r="O1013" s="132"/>
      <c r="P1013" s="132"/>
      <c r="Q1013" s="132"/>
      <c r="R1013" s="132"/>
      <c r="S1013" s="132"/>
      <c r="T1013" s="132"/>
      <c r="U1013" s="132"/>
      <c r="V1013" s="132"/>
      <c r="W1013" s="132"/>
      <c r="X1013" s="132"/>
      <c r="Y1013" s="132"/>
      <c r="Z1013" s="132"/>
      <c r="AA1013" s="132"/>
      <c r="AB1013" s="132"/>
      <c r="AC1013" s="132"/>
    </row>
    <row r="1014" ht="24.75" hidden="1" customHeight="1" outlineLevel="1">
      <c r="A1014" s="792">
        <v>46077.0</v>
      </c>
      <c r="B1014" s="523" t="s">
        <v>1232</v>
      </c>
      <c r="C1014" s="690" t="s">
        <v>1829</v>
      </c>
      <c r="D1014" s="688" t="s">
        <v>1180</v>
      </c>
      <c r="E1014" s="681" t="s">
        <v>1235</v>
      </c>
      <c r="F1014" s="132"/>
      <c r="G1014" s="132"/>
      <c r="H1014" s="132"/>
      <c r="I1014" s="132"/>
      <c r="J1014" s="132"/>
      <c r="K1014" s="132"/>
      <c r="L1014" s="132"/>
      <c r="M1014" s="132"/>
      <c r="N1014" s="132"/>
      <c r="O1014" s="132"/>
      <c r="P1014" s="132"/>
      <c r="Q1014" s="132"/>
      <c r="R1014" s="132"/>
      <c r="S1014" s="132"/>
      <c r="T1014" s="132"/>
      <c r="U1014" s="132"/>
      <c r="V1014" s="132"/>
      <c r="W1014" s="132"/>
      <c r="X1014" s="132"/>
      <c r="Y1014" s="132"/>
      <c r="Z1014" s="132"/>
      <c r="AA1014" s="132"/>
      <c r="AB1014" s="132"/>
      <c r="AC1014" s="132"/>
    </row>
    <row r="1015" ht="24.75" hidden="1" customHeight="1" outlineLevel="1">
      <c r="A1015" s="792">
        <v>46077.0</v>
      </c>
      <c r="B1015" s="523" t="s">
        <v>1325</v>
      </c>
      <c r="C1015" s="523" t="s">
        <v>1221</v>
      </c>
      <c r="D1015" s="688" t="s">
        <v>1180</v>
      </c>
      <c r="E1015" s="681" t="s">
        <v>1235</v>
      </c>
      <c r="F1015" s="132"/>
      <c r="G1015" s="132"/>
      <c r="H1015" s="132"/>
      <c r="I1015" s="132"/>
      <c r="J1015" s="132"/>
      <c r="K1015" s="132"/>
      <c r="L1015" s="132"/>
      <c r="M1015" s="132"/>
      <c r="N1015" s="132"/>
      <c r="O1015" s="132"/>
      <c r="P1015" s="132"/>
      <c r="Q1015" s="132"/>
      <c r="R1015" s="132"/>
      <c r="S1015" s="132"/>
      <c r="T1015" s="132"/>
      <c r="U1015" s="132"/>
      <c r="V1015" s="132"/>
      <c r="W1015" s="132"/>
      <c r="X1015" s="132"/>
      <c r="Y1015" s="132"/>
      <c r="Z1015" s="132"/>
      <c r="AA1015" s="132"/>
      <c r="AB1015" s="132"/>
      <c r="AC1015" s="132"/>
    </row>
    <row r="1016" ht="24.75" hidden="1" customHeight="1" outlineLevel="1">
      <c r="A1016" s="792">
        <v>46077.0</v>
      </c>
      <c r="B1016" s="679" t="s">
        <v>1254</v>
      </c>
      <c r="C1016" s="692" t="s">
        <v>1590</v>
      </c>
      <c r="D1016" s="688" t="s">
        <v>1557</v>
      </c>
      <c r="E1016" s="681" t="s">
        <v>1235</v>
      </c>
      <c r="F1016" s="132"/>
      <c r="G1016" s="132"/>
      <c r="H1016" s="132"/>
      <c r="I1016" s="132"/>
      <c r="J1016" s="132"/>
      <c r="K1016" s="132"/>
      <c r="L1016" s="132"/>
      <c r="M1016" s="132"/>
      <c r="N1016" s="132"/>
      <c r="O1016" s="132"/>
      <c r="P1016" s="132"/>
      <c r="Q1016" s="132"/>
      <c r="R1016" s="132"/>
      <c r="S1016" s="132"/>
      <c r="T1016" s="132"/>
      <c r="U1016" s="132"/>
      <c r="V1016" s="132"/>
      <c r="W1016" s="132"/>
      <c r="X1016" s="132"/>
      <c r="Y1016" s="132"/>
      <c r="Z1016" s="132"/>
      <c r="AA1016" s="132"/>
      <c r="AB1016" s="132"/>
      <c r="AC1016" s="132"/>
    </row>
    <row r="1017" ht="24.75" hidden="1" customHeight="1" outlineLevel="1">
      <c r="A1017" s="792">
        <v>46077.0</v>
      </c>
      <c r="B1017" s="523" t="s">
        <v>236</v>
      </c>
      <c r="C1017" s="523" t="s">
        <v>1221</v>
      </c>
      <c r="D1017" s="688" t="s">
        <v>1558</v>
      </c>
      <c r="E1017" s="681" t="s">
        <v>1235</v>
      </c>
      <c r="F1017" s="132"/>
      <c r="G1017" s="132"/>
      <c r="H1017" s="132"/>
      <c r="I1017" s="132"/>
      <c r="J1017" s="132"/>
      <c r="K1017" s="132"/>
      <c r="L1017" s="132"/>
      <c r="M1017" s="132"/>
      <c r="N1017" s="132"/>
      <c r="O1017" s="132"/>
      <c r="P1017" s="132"/>
      <c r="Q1017" s="132"/>
      <c r="R1017" s="132"/>
      <c r="S1017" s="132"/>
      <c r="T1017" s="132"/>
      <c r="U1017" s="132"/>
      <c r="V1017" s="132"/>
      <c r="W1017" s="132"/>
      <c r="X1017" s="132"/>
      <c r="Y1017" s="132"/>
      <c r="Z1017" s="132"/>
      <c r="AA1017" s="132"/>
      <c r="AB1017" s="132"/>
      <c r="AC1017" s="132"/>
    </row>
    <row r="1018" ht="24.75" customHeight="1">
      <c r="A1018" s="132"/>
      <c r="B1018" s="132"/>
      <c r="C1018" s="132"/>
      <c r="D1018" s="132"/>
      <c r="E1018" s="496"/>
      <c r="F1018" s="132"/>
      <c r="G1018" s="132"/>
      <c r="H1018" s="132"/>
      <c r="I1018" s="132"/>
      <c r="J1018" s="132"/>
      <c r="K1018" s="132"/>
      <c r="L1018" s="132"/>
      <c r="M1018" s="132"/>
      <c r="N1018" s="132"/>
      <c r="O1018" s="132"/>
      <c r="P1018" s="132"/>
      <c r="Q1018" s="132"/>
      <c r="R1018" s="132"/>
      <c r="S1018" s="132"/>
      <c r="T1018" s="132"/>
      <c r="U1018" s="132"/>
      <c r="V1018" s="132"/>
      <c r="W1018" s="132"/>
      <c r="X1018" s="132"/>
      <c r="Y1018" s="132"/>
      <c r="Z1018" s="132"/>
      <c r="AA1018" s="132"/>
      <c r="AB1018" s="132"/>
      <c r="AC1018" s="132"/>
    </row>
    <row r="1019" ht="24.75" customHeight="1" collapsed="1">
      <c r="A1019" s="599" t="s">
        <v>1830</v>
      </c>
      <c r="B1019" s="132"/>
      <c r="C1019" s="132"/>
      <c r="D1019" s="132"/>
      <c r="E1019" s="496"/>
      <c r="F1019" s="132"/>
      <c r="G1019" s="132"/>
      <c r="H1019" s="132"/>
      <c r="I1019" s="132"/>
      <c r="J1019" s="132"/>
      <c r="K1019" s="132"/>
      <c r="L1019" s="132"/>
      <c r="M1019" s="132"/>
      <c r="N1019" s="132"/>
      <c r="O1019" s="132"/>
      <c r="P1019" s="132"/>
      <c r="Q1019" s="132"/>
      <c r="R1019" s="132"/>
      <c r="S1019" s="132"/>
      <c r="T1019" s="132"/>
      <c r="U1019" s="132"/>
      <c r="V1019" s="132"/>
      <c r="W1019" s="132"/>
      <c r="X1019" s="132"/>
      <c r="Y1019" s="132"/>
      <c r="Z1019" s="132"/>
      <c r="AA1019" s="132"/>
      <c r="AB1019" s="132"/>
      <c r="AC1019" s="132"/>
    </row>
    <row r="1020" ht="24.75" hidden="1" customHeight="1" outlineLevel="1">
      <c r="A1020" s="597" t="s">
        <v>1166</v>
      </c>
      <c r="B1020" s="598" t="s">
        <v>1117</v>
      </c>
      <c r="C1020" s="598" t="s">
        <v>1167</v>
      </c>
      <c r="D1020" s="598" t="s">
        <v>1168</v>
      </c>
      <c r="E1020" s="598" t="s">
        <v>1169</v>
      </c>
      <c r="F1020" s="175"/>
      <c r="G1020" s="175"/>
      <c r="H1020" s="175"/>
      <c r="I1020" s="132"/>
      <c r="J1020" s="132"/>
      <c r="K1020" s="132"/>
      <c r="L1020" s="132"/>
      <c r="M1020" s="132"/>
      <c r="N1020" s="132"/>
      <c r="O1020" s="132"/>
      <c r="P1020" s="132"/>
      <c r="Q1020" s="132"/>
      <c r="R1020" s="132"/>
      <c r="S1020" s="132"/>
      <c r="T1020" s="132"/>
      <c r="U1020" s="132"/>
      <c r="V1020" s="132"/>
      <c r="W1020" s="132"/>
      <c r="X1020" s="132"/>
      <c r="Y1020" s="132"/>
      <c r="Z1020" s="132"/>
      <c r="AA1020" s="132"/>
      <c r="AB1020" s="132"/>
      <c r="AC1020" s="132"/>
    </row>
    <row r="1021" ht="24.75" hidden="1" customHeight="1" outlineLevel="1">
      <c r="A1021" s="551">
        <v>46101.0</v>
      </c>
      <c r="B1021" s="507" t="s">
        <v>1232</v>
      </c>
      <c r="C1021" s="626" t="s">
        <v>1233</v>
      </c>
      <c r="D1021" s="631" t="s">
        <v>1296</v>
      </c>
      <c r="E1021" s="36" t="s">
        <v>1235</v>
      </c>
      <c r="F1021" s="132"/>
      <c r="G1021" s="132"/>
      <c r="H1021" s="132"/>
      <c r="I1021" s="175" t="s">
        <v>1439</v>
      </c>
      <c r="J1021" s="132"/>
      <c r="K1021" s="132"/>
      <c r="L1021" s="132"/>
      <c r="M1021" s="132"/>
      <c r="N1021" s="132"/>
      <c r="O1021" s="132"/>
      <c r="P1021" s="132"/>
      <c r="Q1021" s="132"/>
      <c r="R1021" s="132"/>
      <c r="S1021" s="132"/>
      <c r="T1021" s="132"/>
      <c r="U1021" s="132"/>
      <c r="V1021" s="132"/>
      <c r="W1021" s="132"/>
      <c r="X1021" s="132"/>
      <c r="Y1021" s="132"/>
      <c r="Z1021" s="132"/>
      <c r="AA1021" s="132"/>
      <c r="AB1021" s="132"/>
      <c r="AC1021" s="132"/>
    </row>
    <row r="1022" ht="24.75" hidden="1" customHeight="1" outlineLevel="1">
      <c r="A1022" s="551">
        <v>46101.0</v>
      </c>
      <c r="B1022" s="650" t="s">
        <v>369</v>
      </c>
      <c r="C1022" s="642" t="s">
        <v>1786</v>
      </c>
      <c r="D1022" s="626" t="s">
        <v>1180</v>
      </c>
      <c r="E1022" s="36" t="s">
        <v>1235</v>
      </c>
      <c r="F1022" s="175"/>
      <c r="G1022" s="175"/>
      <c r="H1022" s="175"/>
      <c r="I1022" s="175"/>
      <c r="J1022" s="132"/>
      <c r="K1022" s="132"/>
      <c r="L1022" s="132"/>
      <c r="M1022" s="132"/>
      <c r="N1022" s="132"/>
      <c r="O1022" s="132"/>
      <c r="P1022" s="132"/>
      <c r="Q1022" s="132"/>
      <c r="R1022" s="132"/>
      <c r="S1022" s="132"/>
      <c r="T1022" s="132"/>
      <c r="U1022" s="132"/>
      <c r="V1022" s="132"/>
      <c r="W1022" s="132"/>
      <c r="X1022" s="132"/>
      <c r="Y1022" s="132"/>
      <c r="Z1022" s="132"/>
      <c r="AA1022" s="132"/>
      <c r="AB1022" s="132"/>
      <c r="AC1022" s="132"/>
    </row>
    <row r="1023" ht="24.75" hidden="1" customHeight="1" outlineLevel="1">
      <c r="A1023" s="551">
        <v>46101.0</v>
      </c>
      <c r="B1023" s="766" t="s">
        <v>1739</v>
      </c>
      <c r="C1023" s="507" t="s">
        <v>1233</v>
      </c>
      <c r="D1023" s="626" t="s">
        <v>1180</v>
      </c>
      <c r="E1023" s="36" t="s">
        <v>1235</v>
      </c>
      <c r="F1023" s="175"/>
      <c r="G1023" s="175"/>
      <c r="H1023" s="175"/>
      <c r="I1023" s="132"/>
      <c r="J1023" s="132"/>
      <c r="K1023" s="132"/>
      <c r="L1023" s="132"/>
      <c r="M1023" s="132"/>
      <c r="N1023" s="132"/>
      <c r="O1023" s="132"/>
      <c r="P1023" s="132"/>
      <c r="Q1023" s="132"/>
      <c r="R1023" s="132"/>
      <c r="S1023" s="132"/>
      <c r="T1023" s="132"/>
      <c r="U1023" s="132"/>
      <c r="V1023" s="132"/>
      <c r="W1023" s="132"/>
      <c r="X1023" s="132"/>
      <c r="Y1023" s="132"/>
      <c r="Z1023" s="132"/>
      <c r="AA1023" s="132"/>
      <c r="AB1023" s="132"/>
      <c r="AC1023" s="132"/>
    </row>
    <row r="1024" ht="24.75" hidden="1" customHeight="1" outlineLevel="1">
      <c r="A1024" s="551">
        <v>46102.0</v>
      </c>
      <c r="B1024" s="650" t="s">
        <v>394</v>
      </c>
      <c r="C1024" s="642" t="s">
        <v>1233</v>
      </c>
      <c r="D1024" s="778" t="s">
        <v>1765</v>
      </c>
      <c r="E1024" s="765" t="s">
        <v>1235</v>
      </c>
      <c r="F1024" s="758"/>
      <c r="G1024" s="759"/>
      <c r="H1024" s="758" t="s">
        <v>1741</v>
      </c>
      <c r="I1024" s="132"/>
      <c r="J1024" s="132"/>
      <c r="K1024" s="132"/>
      <c r="L1024" s="132"/>
      <c r="M1024" s="132"/>
      <c r="N1024" s="132"/>
      <c r="O1024" s="132"/>
      <c r="P1024" s="132"/>
      <c r="Q1024" s="132"/>
      <c r="R1024" s="132"/>
      <c r="S1024" s="132"/>
      <c r="T1024" s="132"/>
      <c r="U1024" s="132"/>
      <c r="V1024" s="132"/>
      <c r="W1024" s="132"/>
      <c r="X1024" s="132"/>
      <c r="Y1024" s="132"/>
      <c r="Z1024" s="132"/>
      <c r="AA1024" s="132"/>
      <c r="AB1024" s="132"/>
      <c r="AC1024" s="132"/>
    </row>
    <row r="1025" ht="24.75" hidden="1" customHeight="1" outlineLevel="1">
      <c r="A1025" s="551">
        <v>46102.0</v>
      </c>
      <c r="B1025" s="606" t="s">
        <v>1210</v>
      </c>
      <c r="C1025" s="626" t="s">
        <v>1831</v>
      </c>
      <c r="D1025" s="626" t="s">
        <v>1832</v>
      </c>
      <c r="E1025" s="36" t="s">
        <v>1235</v>
      </c>
      <c r="F1025" s="175"/>
      <c r="G1025" s="175"/>
      <c r="H1025" s="175"/>
      <c r="I1025" s="175"/>
      <c r="J1025" s="132"/>
      <c r="K1025" s="132"/>
      <c r="L1025" s="132"/>
      <c r="M1025" s="132"/>
      <c r="N1025" s="132"/>
      <c r="O1025" s="132"/>
      <c r="P1025" s="132"/>
      <c r="Q1025" s="132"/>
      <c r="R1025" s="132"/>
      <c r="S1025" s="132"/>
      <c r="T1025" s="132"/>
      <c r="U1025" s="132"/>
      <c r="V1025" s="132"/>
      <c r="W1025" s="132"/>
      <c r="X1025" s="132"/>
      <c r="Y1025" s="132"/>
      <c r="Z1025" s="132"/>
      <c r="AA1025" s="132"/>
      <c r="AB1025" s="132"/>
      <c r="AC1025" s="132"/>
    </row>
    <row r="1026" ht="24.75" hidden="1" customHeight="1" outlineLevel="1">
      <c r="A1026" s="551">
        <v>46102.0</v>
      </c>
      <c r="B1026" s="606" t="s">
        <v>1213</v>
      </c>
      <c r="C1026" s="642" t="s">
        <v>1743</v>
      </c>
      <c r="D1026" s="627" t="s">
        <v>1833</v>
      </c>
      <c r="E1026" s="573" t="s">
        <v>1834</v>
      </c>
      <c r="F1026" s="758" t="s">
        <v>1835</v>
      </c>
      <c r="G1026" s="635"/>
      <c r="H1026" s="758" t="s">
        <v>1652</v>
      </c>
      <c r="I1026" s="132"/>
      <c r="J1026" s="132"/>
      <c r="K1026" s="132"/>
      <c r="L1026" s="132"/>
      <c r="M1026" s="132"/>
      <c r="N1026" s="132"/>
      <c r="O1026" s="132"/>
      <c r="P1026" s="132"/>
      <c r="Q1026" s="132"/>
      <c r="R1026" s="132"/>
      <c r="S1026" s="132"/>
      <c r="T1026" s="132"/>
      <c r="U1026" s="132"/>
      <c r="V1026" s="132"/>
      <c r="W1026" s="132"/>
      <c r="X1026" s="132"/>
      <c r="Y1026" s="132"/>
      <c r="Z1026" s="132"/>
      <c r="AA1026" s="132"/>
      <c r="AB1026" s="132"/>
      <c r="AC1026" s="132"/>
    </row>
    <row r="1027" ht="24.75" hidden="1" customHeight="1" outlineLevel="1">
      <c r="A1027" s="551">
        <v>46103.0</v>
      </c>
      <c r="B1027" s="507" t="s">
        <v>1187</v>
      </c>
      <c r="C1027" s="736" t="s">
        <v>1790</v>
      </c>
      <c r="D1027" s="627" t="s">
        <v>1836</v>
      </c>
      <c r="E1027" s="573" t="s">
        <v>1834</v>
      </c>
      <c r="F1027" s="758" t="s">
        <v>1835</v>
      </c>
      <c r="G1027" s="635"/>
      <c r="H1027" s="758" t="s">
        <v>1652</v>
      </c>
      <c r="I1027" s="132"/>
      <c r="J1027" s="132"/>
      <c r="K1027" s="132"/>
      <c r="L1027" s="132"/>
      <c r="M1027" s="132"/>
      <c r="N1027" s="132"/>
      <c r="O1027" s="132"/>
      <c r="P1027" s="132"/>
      <c r="Q1027" s="132"/>
      <c r="R1027" s="132"/>
      <c r="S1027" s="132"/>
      <c r="T1027" s="132"/>
      <c r="U1027" s="132"/>
      <c r="V1027" s="132"/>
      <c r="W1027" s="132"/>
      <c r="X1027" s="132"/>
      <c r="Y1027" s="132"/>
      <c r="Z1027" s="132"/>
      <c r="AA1027" s="132"/>
      <c r="AB1027" s="132"/>
      <c r="AC1027" s="132"/>
    </row>
    <row r="1028" ht="24.75" hidden="1" customHeight="1" outlineLevel="1">
      <c r="A1028" s="551">
        <v>46103.0</v>
      </c>
      <c r="B1028" s="507" t="s">
        <v>1246</v>
      </c>
      <c r="C1028" s="626" t="s">
        <v>1522</v>
      </c>
      <c r="D1028" s="627" t="s">
        <v>1837</v>
      </c>
      <c r="E1028" s="573" t="s">
        <v>1834</v>
      </c>
      <c r="F1028" s="758" t="s">
        <v>1835</v>
      </c>
      <c r="G1028" s="635"/>
      <c r="H1028" s="758" t="s">
        <v>1749</v>
      </c>
      <c r="I1028" s="175"/>
      <c r="J1028" s="132"/>
      <c r="K1028" s="132"/>
      <c r="L1028" s="132"/>
      <c r="M1028" s="132"/>
      <c r="N1028" s="132"/>
      <c r="O1028" s="132"/>
      <c r="P1028" s="132"/>
      <c r="Q1028" s="132"/>
      <c r="R1028" s="132"/>
      <c r="S1028" s="132"/>
      <c r="T1028" s="132"/>
      <c r="U1028" s="132"/>
      <c r="V1028" s="132"/>
      <c r="W1028" s="132"/>
      <c r="X1028" s="132"/>
      <c r="Y1028" s="132"/>
      <c r="Z1028" s="132"/>
      <c r="AA1028" s="132"/>
      <c r="AB1028" s="132"/>
      <c r="AC1028" s="132"/>
    </row>
    <row r="1029" ht="24.75" hidden="1" customHeight="1" outlineLevel="1">
      <c r="A1029" s="551">
        <v>46103.0</v>
      </c>
      <c r="B1029" s="507" t="s">
        <v>1189</v>
      </c>
      <c r="C1029" s="626" t="s">
        <v>1259</v>
      </c>
      <c r="D1029" s="627" t="s">
        <v>1838</v>
      </c>
      <c r="E1029" s="573" t="s">
        <v>1834</v>
      </c>
      <c r="F1029" s="758" t="s">
        <v>1839</v>
      </c>
      <c r="G1029" s="635"/>
      <c r="H1029" s="758" t="s">
        <v>1667</v>
      </c>
      <c r="I1029" s="175"/>
      <c r="J1029" s="132"/>
      <c r="K1029" s="132"/>
      <c r="L1029" s="132"/>
      <c r="M1029" s="132"/>
      <c r="N1029" s="132"/>
      <c r="O1029" s="132"/>
      <c r="P1029" s="132"/>
      <c r="Q1029" s="132"/>
      <c r="R1029" s="132"/>
      <c r="S1029" s="132"/>
      <c r="T1029" s="132"/>
      <c r="U1029" s="132"/>
      <c r="V1029" s="132"/>
      <c r="W1029" s="132"/>
      <c r="X1029" s="132"/>
      <c r="Y1029" s="132"/>
      <c r="Z1029" s="132"/>
      <c r="AA1029" s="132"/>
      <c r="AB1029" s="132"/>
      <c r="AC1029" s="132"/>
    </row>
    <row r="1030" ht="24.75" hidden="1" customHeight="1" outlineLevel="1">
      <c r="A1030" s="551">
        <v>46104.0</v>
      </c>
      <c r="B1030" s="772" t="s">
        <v>489</v>
      </c>
      <c r="C1030" s="642" t="s">
        <v>1752</v>
      </c>
      <c r="D1030" s="627" t="s">
        <v>1833</v>
      </c>
      <c r="E1030" s="573" t="s">
        <v>1834</v>
      </c>
      <c r="F1030" s="758" t="s">
        <v>1835</v>
      </c>
      <c r="G1030" s="758"/>
      <c r="H1030" s="758" t="s">
        <v>1753</v>
      </c>
      <c r="I1030" s="132"/>
      <c r="J1030" s="132"/>
      <c r="K1030" s="132"/>
      <c r="L1030" s="132"/>
      <c r="M1030" s="132"/>
      <c r="N1030" s="132"/>
      <c r="O1030" s="132"/>
      <c r="P1030" s="132"/>
      <c r="Q1030" s="132"/>
      <c r="R1030" s="132"/>
      <c r="S1030" s="132"/>
      <c r="T1030" s="132"/>
      <c r="U1030" s="132"/>
      <c r="V1030" s="132"/>
      <c r="W1030" s="132"/>
      <c r="X1030" s="132"/>
      <c r="Y1030" s="132"/>
      <c r="Z1030" s="132"/>
      <c r="AA1030" s="132"/>
      <c r="AB1030" s="132"/>
      <c r="AC1030" s="132"/>
    </row>
    <row r="1031" ht="24.75" hidden="1" customHeight="1" outlineLevel="1">
      <c r="A1031" s="551">
        <v>46104.0</v>
      </c>
      <c r="B1031" s="772" t="s">
        <v>450</v>
      </c>
      <c r="C1031" s="642" t="s">
        <v>1259</v>
      </c>
      <c r="D1031" s="642" t="s">
        <v>1840</v>
      </c>
      <c r="E1031" s="36" t="s">
        <v>1235</v>
      </c>
      <c r="F1031" s="758"/>
      <c r="G1031" s="758"/>
      <c r="H1031" s="758" t="s">
        <v>1671</v>
      </c>
      <c r="I1031" s="132"/>
      <c r="J1031" s="132"/>
      <c r="K1031" s="132"/>
      <c r="L1031" s="132"/>
      <c r="M1031" s="132"/>
      <c r="N1031" s="132"/>
      <c r="O1031" s="132"/>
      <c r="P1031" s="132"/>
      <c r="Q1031" s="132"/>
      <c r="R1031" s="132"/>
      <c r="S1031" s="132"/>
      <c r="T1031" s="132"/>
      <c r="U1031" s="132"/>
      <c r="V1031" s="132"/>
      <c r="W1031" s="132"/>
      <c r="X1031" s="132"/>
      <c r="Y1031" s="132"/>
      <c r="Z1031" s="132"/>
      <c r="AA1031" s="132"/>
      <c r="AB1031" s="132"/>
      <c r="AC1031" s="132"/>
    </row>
    <row r="1032" ht="24.75" hidden="1" customHeight="1" outlineLevel="1">
      <c r="A1032" s="551">
        <v>46104.0</v>
      </c>
      <c r="B1032" s="650" t="s">
        <v>1271</v>
      </c>
      <c r="C1032" s="755" t="s">
        <v>1724</v>
      </c>
      <c r="D1032" s="793" t="s">
        <v>1841</v>
      </c>
      <c r="E1032" s="573" t="s">
        <v>1834</v>
      </c>
      <c r="F1032" s="758" t="s">
        <v>1842</v>
      </c>
      <c r="G1032" s="758"/>
      <c r="H1032" s="758" t="s">
        <v>1674</v>
      </c>
      <c r="I1032" s="175" t="s">
        <v>1474</v>
      </c>
      <c r="J1032" s="132"/>
      <c r="K1032" s="132"/>
      <c r="L1032" s="132"/>
      <c r="M1032" s="132"/>
      <c r="N1032" s="132"/>
      <c r="O1032" s="132"/>
      <c r="P1032" s="132"/>
      <c r="Q1032" s="132"/>
      <c r="R1032" s="132"/>
      <c r="S1032" s="132"/>
      <c r="T1032" s="132"/>
      <c r="U1032" s="132"/>
      <c r="V1032" s="132"/>
      <c r="W1032" s="132"/>
      <c r="X1032" s="132"/>
      <c r="Y1032" s="132"/>
      <c r="Z1032" s="132"/>
      <c r="AA1032" s="132"/>
      <c r="AB1032" s="132"/>
      <c r="AC1032" s="132"/>
    </row>
    <row r="1033" ht="24.75" hidden="1" customHeight="1" outlineLevel="1">
      <c r="A1033" s="551">
        <v>46104.0</v>
      </c>
      <c r="B1033" s="650" t="s">
        <v>1274</v>
      </c>
      <c r="C1033" s="755" t="s">
        <v>1724</v>
      </c>
      <c r="D1033" s="793" t="s">
        <v>1843</v>
      </c>
      <c r="E1033" s="573" t="s">
        <v>1834</v>
      </c>
      <c r="F1033" s="758" t="s">
        <v>1842</v>
      </c>
      <c r="G1033" s="758"/>
      <c r="H1033" s="758" t="s">
        <v>1674</v>
      </c>
      <c r="I1033" s="175" t="s">
        <v>1475</v>
      </c>
      <c r="J1033" s="132"/>
      <c r="K1033" s="132"/>
      <c r="L1033" s="132"/>
      <c r="M1033" s="132"/>
      <c r="N1033" s="132"/>
      <c r="O1033" s="132"/>
      <c r="P1033" s="132"/>
      <c r="Q1033" s="132"/>
      <c r="R1033" s="132"/>
      <c r="S1033" s="132"/>
      <c r="T1033" s="132"/>
      <c r="U1033" s="132"/>
      <c r="V1033" s="132"/>
      <c r="W1033" s="132"/>
      <c r="X1033" s="132"/>
      <c r="Y1033" s="132"/>
      <c r="Z1033" s="132"/>
      <c r="AA1033" s="132"/>
      <c r="AB1033" s="132"/>
      <c r="AC1033" s="132"/>
    </row>
    <row r="1034" ht="24.75" hidden="1" customHeight="1" outlineLevel="1">
      <c r="A1034" s="551">
        <v>46104.0</v>
      </c>
      <c r="B1034" s="650" t="s">
        <v>629</v>
      </c>
      <c r="C1034" s="650" t="s">
        <v>1233</v>
      </c>
      <c r="D1034" s="650" t="s">
        <v>1319</v>
      </c>
      <c r="E1034" s="36" t="s">
        <v>1235</v>
      </c>
      <c r="F1034" s="758"/>
      <c r="G1034" s="758"/>
      <c r="H1034" s="773" t="s">
        <v>1320</v>
      </c>
      <c r="I1034" s="132"/>
      <c r="J1034" s="132"/>
      <c r="K1034" s="132"/>
      <c r="L1034" s="132"/>
      <c r="M1034" s="132"/>
      <c r="N1034" s="132"/>
      <c r="O1034" s="132"/>
      <c r="P1034" s="132"/>
      <c r="Q1034" s="132"/>
      <c r="R1034" s="132"/>
      <c r="S1034" s="132"/>
      <c r="T1034" s="132"/>
      <c r="U1034" s="132"/>
      <c r="V1034" s="132"/>
      <c r="W1034" s="132"/>
      <c r="X1034" s="132"/>
      <c r="Y1034" s="132"/>
      <c r="Z1034" s="132"/>
      <c r="AA1034" s="132"/>
      <c r="AB1034" s="132"/>
      <c r="AC1034" s="132"/>
    </row>
    <row r="1035" ht="24.75" customHeight="1">
      <c r="A1035" s="797"/>
      <c r="B1035" s="798"/>
      <c r="C1035" s="798"/>
      <c r="D1035" s="798"/>
      <c r="E1035" s="498"/>
      <c r="F1035" s="758"/>
      <c r="G1035" s="758"/>
      <c r="H1035" s="773"/>
      <c r="I1035" s="132"/>
      <c r="J1035" s="132"/>
      <c r="K1035" s="132"/>
      <c r="L1035" s="132"/>
      <c r="M1035" s="132"/>
      <c r="N1035" s="132"/>
      <c r="O1035" s="132"/>
      <c r="P1035" s="132"/>
      <c r="Q1035" s="132"/>
      <c r="R1035" s="132"/>
      <c r="S1035" s="132"/>
      <c r="T1035" s="132"/>
      <c r="U1035" s="132"/>
      <c r="V1035" s="132"/>
      <c r="W1035" s="132"/>
      <c r="X1035" s="132"/>
      <c r="Y1035" s="132"/>
      <c r="Z1035" s="132"/>
      <c r="AA1035" s="132"/>
      <c r="AB1035" s="132"/>
      <c r="AC1035" s="132"/>
    </row>
    <row r="1036" ht="24.75" customHeight="1">
      <c r="A1036" s="599" t="s">
        <v>1844</v>
      </c>
      <c r="B1036" s="132"/>
      <c r="C1036" s="132"/>
      <c r="D1036" s="132"/>
      <c r="E1036" s="496"/>
      <c r="F1036" s="132"/>
      <c r="G1036" s="132"/>
      <c r="H1036" s="132"/>
      <c r="I1036" s="132"/>
      <c r="J1036" s="132"/>
      <c r="K1036" s="132"/>
      <c r="L1036" s="132"/>
      <c r="M1036" s="132"/>
      <c r="N1036" s="132"/>
      <c r="O1036" s="132"/>
      <c r="P1036" s="132"/>
      <c r="Q1036" s="132"/>
      <c r="R1036" s="132"/>
      <c r="S1036" s="132"/>
      <c r="T1036" s="132"/>
      <c r="U1036" s="132"/>
      <c r="V1036" s="132"/>
      <c r="W1036" s="132"/>
      <c r="X1036" s="132"/>
      <c r="Y1036" s="132"/>
      <c r="Z1036" s="132"/>
      <c r="AA1036" s="132"/>
      <c r="AB1036" s="132"/>
      <c r="AC1036" s="132"/>
    </row>
    <row r="1037" ht="24.75" customHeight="1" outlineLevel="1">
      <c r="A1037" s="761" t="s">
        <v>1166</v>
      </c>
      <c r="B1037" s="762" t="s">
        <v>1117</v>
      </c>
      <c r="C1037" s="762" t="s">
        <v>1167</v>
      </c>
      <c r="D1037" s="762" t="s">
        <v>1168</v>
      </c>
      <c r="E1037" s="763" t="s">
        <v>1169</v>
      </c>
      <c r="F1037" s="758" t="s">
        <v>1737</v>
      </c>
      <c r="G1037" s="758" t="s">
        <v>1738</v>
      </c>
      <c r="H1037" s="758" t="s">
        <v>143</v>
      </c>
      <c r="I1037" s="132"/>
      <c r="J1037" s="132"/>
      <c r="K1037" s="132"/>
      <c r="L1037" s="132"/>
      <c r="M1037" s="132"/>
      <c r="N1037" s="132"/>
      <c r="O1037" s="132"/>
      <c r="P1037" s="132"/>
      <c r="Q1037" s="132"/>
      <c r="R1037" s="132"/>
      <c r="S1037" s="132"/>
      <c r="T1037" s="132"/>
      <c r="U1037" s="132"/>
      <c r="V1037" s="132"/>
      <c r="W1037" s="132"/>
      <c r="X1037" s="132"/>
      <c r="Y1037" s="132"/>
      <c r="Z1037" s="132"/>
      <c r="AA1037" s="132"/>
      <c r="AB1037" s="132"/>
      <c r="AC1037" s="132"/>
    </row>
    <row r="1038" ht="24.75" customHeight="1" outlineLevel="1">
      <c r="A1038" s="551">
        <v>46141.0</v>
      </c>
      <c r="B1038" s="775" t="s">
        <v>274</v>
      </c>
      <c r="C1038" s="640" t="s">
        <v>1233</v>
      </c>
      <c r="D1038" s="640" t="s">
        <v>1821</v>
      </c>
      <c r="E1038" s="765" t="s">
        <v>1235</v>
      </c>
      <c r="F1038" s="758" t="s">
        <v>1598</v>
      </c>
      <c r="G1038" s="759"/>
      <c r="H1038" s="758" t="s">
        <v>1758</v>
      </c>
      <c r="I1038" s="175"/>
      <c r="J1038" s="132"/>
      <c r="K1038" s="132"/>
      <c r="L1038" s="132"/>
      <c r="M1038" s="132"/>
      <c r="N1038" s="132"/>
      <c r="O1038" s="132"/>
      <c r="P1038" s="132"/>
      <c r="Q1038" s="132"/>
      <c r="R1038" s="132"/>
      <c r="S1038" s="132"/>
      <c r="T1038" s="132"/>
      <c r="U1038" s="132"/>
      <c r="V1038" s="132"/>
      <c r="W1038" s="132"/>
      <c r="X1038" s="132"/>
      <c r="Y1038" s="132"/>
      <c r="Z1038" s="132"/>
      <c r="AA1038" s="132"/>
      <c r="AB1038" s="132"/>
    </row>
    <row r="1039" ht="24.75" customHeight="1" outlineLevel="1">
      <c r="A1039" s="551">
        <v>46141.0</v>
      </c>
      <c r="B1039" s="770" t="s">
        <v>271</v>
      </c>
      <c r="C1039" s="640" t="s">
        <v>1743</v>
      </c>
      <c r="D1039" s="511" t="s">
        <v>1532</v>
      </c>
      <c r="E1039" s="765" t="s">
        <v>1235</v>
      </c>
      <c r="F1039" s="758" t="s">
        <v>1598</v>
      </c>
      <c r="G1039" s="758"/>
      <c r="H1039" s="758" t="s">
        <v>1603</v>
      </c>
      <c r="I1039" s="175"/>
      <c r="J1039" s="132"/>
      <c r="K1039" s="132"/>
      <c r="L1039" s="132"/>
      <c r="M1039" s="132"/>
      <c r="N1039" s="132"/>
      <c r="O1039" s="132"/>
      <c r="P1039" s="132"/>
      <c r="Q1039" s="132"/>
      <c r="R1039" s="132"/>
      <c r="S1039" s="132"/>
      <c r="T1039" s="132"/>
      <c r="U1039" s="132"/>
      <c r="V1039" s="132"/>
      <c r="W1039" s="132"/>
      <c r="X1039" s="132"/>
      <c r="Y1039" s="132"/>
      <c r="Z1039" s="132"/>
      <c r="AA1039" s="132"/>
      <c r="AB1039" s="132"/>
    </row>
    <row r="1040" ht="24.75" customHeight="1" outlineLevel="1">
      <c r="A1040" s="551">
        <v>46141.0</v>
      </c>
      <c r="B1040" s="775" t="s">
        <v>277</v>
      </c>
      <c r="C1040" s="740" t="s">
        <v>1715</v>
      </c>
      <c r="D1040" s="626" t="s">
        <v>1822</v>
      </c>
      <c r="E1040" s="765" t="s">
        <v>1235</v>
      </c>
      <c r="F1040" s="758" t="s">
        <v>1598</v>
      </c>
      <c r="G1040" s="758"/>
      <c r="H1040" s="758" t="s">
        <v>1685</v>
      </c>
      <c r="I1040" s="668"/>
      <c r="J1040" s="132"/>
      <c r="K1040" s="132"/>
      <c r="L1040" s="132"/>
      <c r="M1040" s="132"/>
      <c r="N1040" s="132"/>
      <c r="O1040" s="132"/>
      <c r="P1040" s="132"/>
      <c r="Q1040" s="132"/>
      <c r="R1040" s="132"/>
      <c r="S1040" s="132"/>
      <c r="T1040" s="132"/>
      <c r="U1040" s="132"/>
      <c r="V1040" s="132"/>
      <c r="W1040" s="132"/>
      <c r="X1040" s="132"/>
      <c r="Y1040" s="132"/>
      <c r="Z1040" s="132"/>
      <c r="AA1040" s="132"/>
      <c r="AB1040" s="132"/>
    </row>
    <row r="1041" ht="24.75" customHeight="1" outlineLevel="1">
      <c r="A1041" s="551">
        <v>46141.0</v>
      </c>
      <c r="B1041" s="775" t="s">
        <v>1759</v>
      </c>
      <c r="C1041" s="736" t="s">
        <v>1790</v>
      </c>
      <c r="D1041" s="758" t="s">
        <v>1823</v>
      </c>
      <c r="E1041" s="765" t="s">
        <v>1235</v>
      </c>
      <c r="F1041" s="758" t="s">
        <v>1598</v>
      </c>
      <c r="G1041" s="759"/>
      <c r="H1041" s="758" t="s">
        <v>1756</v>
      </c>
      <c r="I1041" s="175"/>
      <c r="J1041" s="132"/>
      <c r="K1041" s="132"/>
      <c r="L1041" s="132"/>
      <c r="M1041" s="132"/>
      <c r="N1041" s="132"/>
      <c r="O1041" s="132"/>
      <c r="P1041" s="132"/>
      <c r="Q1041" s="132"/>
      <c r="R1041" s="132"/>
      <c r="S1041" s="132"/>
      <c r="T1041" s="132"/>
      <c r="U1041" s="132"/>
      <c r="V1041" s="132"/>
      <c r="W1041" s="132"/>
      <c r="X1041" s="132"/>
      <c r="Y1041" s="132"/>
      <c r="Z1041" s="132"/>
      <c r="AA1041" s="132"/>
      <c r="AB1041" s="132"/>
    </row>
    <row r="1042" ht="24.75" customHeight="1" outlineLevel="1">
      <c r="A1042" s="551">
        <v>46141.0</v>
      </c>
      <c r="B1042" s="741" t="s">
        <v>270</v>
      </c>
      <c r="C1042" s="740" t="s">
        <v>1717</v>
      </c>
      <c r="D1042" s="758" t="s">
        <v>1824</v>
      </c>
      <c r="E1042" s="765" t="s">
        <v>1235</v>
      </c>
      <c r="F1042" s="758" t="s">
        <v>1598</v>
      </c>
      <c r="G1042" s="758"/>
      <c r="H1042" s="758" t="s">
        <v>1719</v>
      </c>
      <c r="I1042" s="668"/>
      <c r="J1042" s="132"/>
      <c r="K1042" s="132"/>
      <c r="L1042" s="132"/>
      <c r="M1042" s="132"/>
      <c r="N1042" s="132"/>
      <c r="O1042" s="132"/>
      <c r="P1042" s="132"/>
      <c r="Q1042" s="132"/>
      <c r="R1042" s="132"/>
      <c r="S1042" s="132"/>
      <c r="T1042" s="132"/>
      <c r="U1042" s="132"/>
      <c r="V1042" s="132"/>
      <c r="W1042" s="132"/>
      <c r="X1042" s="132"/>
      <c r="Y1042" s="132"/>
      <c r="Z1042" s="132"/>
      <c r="AA1042" s="132"/>
      <c r="AB1042" s="132"/>
    </row>
    <row r="1043" ht="24.75" customHeight="1" outlineLevel="1">
      <c r="A1043" s="551">
        <v>46142.0</v>
      </c>
      <c r="B1043" s="705" t="s">
        <v>317</v>
      </c>
      <c r="C1043" s="640" t="s">
        <v>1259</v>
      </c>
      <c r="D1043" s="511" t="s">
        <v>1845</v>
      </c>
      <c r="E1043" s="771" t="s">
        <v>1795</v>
      </c>
      <c r="F1043" s="758" t="s">
        <v>1598</v>
      </c>
      <c r="G1043" s="759"/>
      <c r="H1043" s="758" t="s">
        <v>1671</v>
      </c>
      <c r="I1043" s="668"/>
      <c r="J1043" s="132"/>
      <c r="K1043" s="132"/>
      <c r="L1043" s="132"/>
      <c r="M1043" s="132"/>
      <c r="N1043" s="132"/>
      <c r="O1043" s="132"/>
      <c r="P1043" s="132"/>
      <c r="Q1043" s="132"/>
      <c r="R1043" s="132"/>
      <c r="S1043" s="132"/>
      <c r="T1043" s="132"/>
      <c r="U1043" s="132"/>
      <c r="V1043" s="132"/>
      <c r="W1043" s="132"/>
      <c r="X1043" s="132"/>
      <c r="Y1043" s="132"/>
      <c r="Z1043" s="132"/>
      <c r="AA1043" s="132"/>
      <c r="AB1043" s="132"/>
    </row>
    <row r="1044" ht="24.75" customHeight="1" outlineLevel="1">
      <c r="A1044" s="551">
        <v>46142.0</v>
      </c>
      <c r="B1044" s="775" t="s">
        <v>1762</v>
      </c>
      <c r="C1044" s="736" t="s">
        <v>1790</v>
      </c>
      <c r="D1044" s="758" t="s">
        <v>1823</v>
      </c>
      <c r="E1044" s="765" t="s">
        <v>1235</v>
      </c>
      <c r="F1044" s="758" t="s">
        <v>1598</v>
      </c>
      <c r="G1044" s="759"/>
      <c r="H1044" s="758" t="s">
        <v>1756</v>
      </c>
      <c r="I1044" s="175"/>
      <c r="J1044" s="132"/>
      <c r="K1044" s="132"/>
      <c r="L1044" s="132"/>
      <c r="M1044" s="132"/>
      <c r="N1044" s="132"/>
      <c r="O1044" s="132"/>
      <c r="P1044" s="132"/>
      <c r="Q1044" s="132"/>
      <c r="R1044" s="132"/>
      <c r="S1044" s="132"/>
      <c r="T1044" s="132"/>
      <c r="U1044" s="132"/>
      <c r="V1044" s="132"/>
      <c r="W1044" s="132"/>
      <c r="X1044" s="132"/>
      <c r="Y1044" s="132"/>
      <c r="Z1044" s="132"/>
      <c r="AA1044" s="132"/>
      <c r="AB1044" s="132"/>
    </row>
    <row r="1045" ht="24.75" customHeight="1" outlineLevel="1">
      <c r="A1045" s="551">
        <v>46143.0</v>
      </c>
      <c r="B1045" s="775" t="s">
        <v>1232</v>
      </c>
      <c r="C1045" s="640" t="s">
        <v>1233</v>
      </c>
      <c r="D1045" s="795" t="s">
        <v>1826</v>
      </c>
      <c r="E1045" s="765" t="s">
        <v>1235</v>
      </c>
      <c r="F1045" s="758" t="s">
        <v>1598</v>
      </c>
      <c r="G1045" s="758"/>
      <c r="H1045" s="758" t="s">
        <v>1584</v>
      </c>
      <c r="I1045" s="175"/>
      <c r="J1045" s="132"/>
      <c r="K1045" s="132"/>
      <c r="L1045" s="132"/>
      <c r="M1045" s="132"/>
      <c r="N1045" s="132"/>
      <c r="O1045" s="132"/>
      <c r="P1045" s="132"/>
      <c r="Q1045" s="132"/>
      <c r="R1045" s="132"/>
      <c r="S1045" s="132"/>
      <c r="T1045" s="132"/>
      <c r="U1045" s="132"/>
      <c r="V1045" s="132"/>
      <c r="W1045" s="132"/>
      <c r="X1045" s="132"/>
      <c r="Y1045" s="132"/>
      <c r="Z1045" s="132"/>
      <c r="AA1045" s="132"/>
      <c r="AB1045" s="132"/>
    </row>
    <row r="1046" ht="24.75" customHeight="1" outlineLevel="1">
      <c r="A1046" s="551">
        <v>46143.0</v>
      </c>
      <c r="B1046" s="766" t="s">
        <v>1739</v>
      </c>
      <c r="C1046" s="650" t="s">
        <v>1233</v>
      </c>
      <c r="D1046" s="642" t="s">
        <v>1180</v>
      </c>
      <c r="E1046" s="765" t="s">
        <v>1235</v>
      </c>
      <c r="F1046" s="758" t="s">
        <v>1598</v>
      </c>
      <c r="G1046" s="758"/>
      <c r="H1046" s="758" t="s">
        <v>1586</v>
      </c>
      <c r="I1046" s="175"/>
      <c r="J1046" s="132"/>
      <c r="K1046" s="132"/>
      <c r="L1046" s="132"/>
      <c r="M1046" s="132"/>
      <c r="N1046" s="132"/>
      <c r="O1046" s="132"/>
      <c r="P1046" s="132"/>
      <c r="Q1046" s="132"/>
      <c r="R1046" s="132"/>
      <c r="S1046" s="132"/>
      <c r="T1046" s="132"/>
      <c r="U1046" s="132"/>
      <c r="V1046" s="132"/>
      <c r="W1046" s="132"/>
      <c r="X1046" s="132"/>
      <c r="Y1046" s="132"/>
      <c r="Z1046" s="132"/>
      <c r="AA1046" s="132"/>
      <c r="AB1046" s="132"/>
    </row>
    <row r="1047" ht="24.75" customHeight="1" outlineLevel="1">
      <c r="A1047" s="551">
        <v>46143.0</v>
      </c>
      <c r="B1047" s="650" t="s">
        <v>369</v>
      </c>
      <c r="C1047" s="642" t="s">
        <v>1786</v>
      </c>
      <c r="D1047" s="758" t="s">
        <v>1827</v>
      </c>
      <c r="E1047" s="765" t="s">
        <v>1235</v>
      </c>
      <c r="F1047" s="758" t="s">
        <v>1598</v>
      </c>
      <c r="G1047" s="758"/>
      <c r="H1047" s="758" t="s">
        <v>1740</v>
      </c>
      <c r="I1047" s="175"/>
      <c r="J1047" s="132"/>
      <c r="K1047" s="132"/>
      <c r="L1047" s="132"/>
      <c r="M1047" s="132"/>
      <c r="N1047" s="132"/>
      <c r="O1047" s="132"/>
      <c r="P1047" s="132"/>
      <c r="Q1047" s="132"/>
      <c r="R1047" s="132"/>
      <c r="S1047" s="132"/>
      <c r="T1047" s="132"/>
      <c r="U1047" s="132"/>
      <c r="V1047" s="132"/>
      <c r="W1047" s="132"/>
      <c r="X1047" s="132"/>
      <c r="Y1047" s="132"/>
      <c r="Z1047" s="132"/>
      <c r="AA1047" s="132"/>
      <c r="AB1047" s="132"/>
    </row>
    <row r="1048" ht="24.75" customHeight="1" outlineLevel="1">
      <c r="A1048" s="551">
        <v>46144.0</v>
      </c>
      <c r="B1048" s="650" t="s">
        <v>394</v>
      </c>
      <c r="C1048" s="642" t="s">
        <v>1233</v>
      </c>
      <c r="D1048" s="642" t="s">
        <v>1180</v>
      </c>
      <c r="E1048" s="765" t="s">
        <v>1235</v>
      </c>
      <c r="F1048" s="758" t="s">
        <v>1598</v>
      </c>
      <c r="G1048" s="758"/>
      <c r="H1048" s="758" t="s">
        <v>1741</v>
      </c>
      <c r="I1048" s="132"/>
      <c r="J1048" s="132"/>
      <c r="K1048" s="132"/>
      <c r="L1048" s="132"/>
      <c r="M1048" s="132"/>
      <c r="N1048" s="132"/>
      <c r="O1048" s="132"/>
      <c r="P1048" s="132"/>
      <c r="Q1048" s="132"/>
      <c r="R1048" s="132"/>
      <c r="S1048" s="132"/>
      <c r="T1048" s="132"/>
      <c r="U1048" s="132"/>
      <c r="V1048" s="132"/>
      <c r="W1048" s="132"/>
      <c r="X1048" s="132"/>
      <c r="Y1048" s="132"/>
      <c r="Z1048" s="132"/>
      <c r="AA1048" s="132"/>
      <c r="AB1048" s="132"/>
    </row>
    <row r="1049" ht="24.75" customHeight="1" outlineLevel="1">
      <c r="A1049" s="551">
        <v>46144.0</v>
      </c>
      <c r="B1049" s="767" t="str">
        <f>HYPERLINK("https://docs.google.com/spreadsheets/d/1v3B9E8Jeqx3_JGvRHJ2cXJ5OAGLvZiOXZru0niKH-QQ/edit?ts=56170761#gid=1991794180","☆横浜")</f>
        <v>☆横浜</v>
      </c>
      <c r="C1049" s="736" t="s">
        <v>1722</v>
      </c>
      <c r="D1049" s="793" t="s">
        <v>1846</v>
      </c>
      <c r="E1049" s="783" t="s">
        <v>1847</v>
      </c>
      <c r="F1049" s="758" t="s">
        <v>1598</v>
      </c>
      <c r="G1049" s="758"/>
      <c r="H1049" s="758" t="s">
        <v>1648</v>
      </c>
      <c r="I1049" s="132"/>
      <c r="J1049" s="132"/>
      <c r="K1049" s="132"/>
      <c r="L1049" s="132"/>
      <c r="M1049" s="132"/>
      <c r="N1049" s="132"/>
      <c r="O1049" s="132"/>
      <c r="P1049" s="132"/>
      <c r="Q1049" s="132"/>
      <c r="R1049" s="132"/>
      <c r="S1049" s="132"/>
      <c r="T1049" s="132"/>
      <c r="U1049" s="132"/>
      <c r="V1049" s="132"/>
      <c r="W1049" s="132"/>
      <c r="X1049" s="132"/>
      <c r="Y1049" s="132"/>
      <c r="Z1049" s="132"/>
      <c r="AA1049" s="132"/>
      <c r="AB1049" s="132"/>
    </row>
    <row r="1050" ht="24.75" customHeight="1" outlineLevel="1">
      <c r="A1050" s="551">
        <v>46144.0</v>
      </c>
      <c r="B1050" s="705" t="str">
        <f>HYPERLINK("https://docs.google.com/spreadsheets/d/1xrfsiAjLwPhBlveDsLSsUUfMnNpOidnkNLqHJabwWYo/edit?ts=56ea7063#gid=1283986028","☆救済メルマガ(UP10)")</f>
        <v>☆救済メルマガ(UP10)</v>
      </c>
      <c r="C1050" s="642" t="s">
        <v>1743</v>
      </c>
      <c r="D1050" s="642" t="s">
        <v>1744</v>
      </c>
      <c r="E1050" s="768" t="s">
        <v>1848</v>
      </c>
      <c r="F1050" s="758" t="s">
        <v>1598</v>
      </c>
      <c r="G1050" s="758"/>
      <c r="H1050" s="758" t="s">
        <v>1652</v>
      </c>
      <c r="I1050" s="132"/>
      <c r="J1050" s="132"/>
      <c r="K1050" s="132"/>
      <c r="L1050" s="132"/>
      <c r="M1050" s="132"/>
      <c r="N1050" s="132"/>
      <c r="O1050" s="132"/>
      <c r="P1050" s="132"/>
      <c r="Q1050" s="132"/>
      <c r="R1050" s="132"/>
      <c r="S1050" s="132"/>
      <c r="T1050" s="132"/>
      <c r="U1050" s="132"/>
      <c r="V1050" s="132"/>
      <c r="W1050" s="132"/>
      <c r="X1050" s="132"/>
      <c r="Y1050" s="132"/>
      <c r="Z1050" s="132"/>
      <c r="AA1050" s="132"/>
      <c r="AB1050" s="132"/>
    </row>
    <row r="1051" ht="24.75" customHeight="1" outlineLevel="1">
      <c r="A1051" s="551">
        <v>46145.0</v>
      </c>
      <c r="B1051" s="705" t="s">
        <v>421</v>
      </c>
      <c r="C1051" s="736" t="s">
        <v>1790</v>
      </c>
      <c r="D1051" s="640" t="s">
        <v>1746</v>
      </c>
      <c r="E1051" s="769" t="s">
        <v>1849</v>
      </c>
      <c r="F1051" s="758" t="s">
        <v>1598</v>
      </c>
      <c r="G1051" s="758"/>
      <c r="H1051" s="758" t="s">
        <v>1652</v>
      </c>
      <c r="I1051" s="132"/>
      <c r="J1051" s="132"/>
      <c r="K1051" s="132"/>
      <c r="L1051" s="132"/>
      <c r="M1051" s="132"/>
      <c r="N1051" s="132"/>
      <c r="O1051" s="132"/>
      <c r="P1051" s="132"/>
      <c r="Q1051" s="132"/>
      <c r="R1051" s="132"/>
      <c r="S1051" s="132"/>
      <c r="T1051" s="132"/>
      <c r="U1051" s="132"/>
      <c r="V1051" s="132"/>
      <c r="W1051" s="132"/>
      <c r="X1051" s="132"/>
      <c r="Y1051" s="132"/>
      <c r="Z1051" s="132"/>
      <c r="AA1051" s="132"/>
      <c r="AB1051" s="132"/>
    </row>
    <row r="1052" ht="24.75" customHeight="1" outlineLevel="1">
      <c r="A1052" s="551">
        <v>46145.0</v>
      </c>
      <c r="B1052" s="650" t="s">
        <v>42</v>
      </c>
      <c r="C1052" s="642" t="s">
        <v>1792</v>
      </c>
      <c r="D1052" s="642" t="s">
        <v>1793</v>
      </c>
      <c r="E1052" s="785" t="s">
        <v>1794</v>
      </c>
      <c r="F1052" s="758" t="s">
        <v>1598</v>
      </c>
      <c r="G1052" s="758"/>
      <c r="H1052" s="758" t="s">
        <v>1749</v>
      </c>
      <c r="I1052" s="132"/>
      <c r="J1052" s="132"/>
      <c r="K1052" s="132"/>
      <c r="L1052" s="132"/>
      <c r="M1052" s="132"/>
      <c r="N1052" s="132"/>
      <c r="O1052" s="132"/>
      <c r="P1052" s="132"/>
      <c r="Q1052" s="132"/>
      <c r="R1052" s="132"/>
      <c r="S1052" s="132"/>
      <c r="T1052" s="132"/>
      <c r="U1052" s="132"/>
      <c r="V1052" s="132"/>
      <c r="W1052" s="132"/>
      <c r="X1052" s="132"/>
      <c r="Y1052" s="132"/>
      <c r="Z1052" s="132"/>
      <c r="AA1052" s="132"/>
      <c r="AB1052" s="132"/>
    </row>
    <row r="1053" ht="24.75" customHeight="1" outlineLevel="1">
      <c r="A1053" s="551">
        <v>46145.0</v>
      </c>
      <c r="B1053" s="770" t="str">
        <f>HYPERLINK("https://docs.google.com/spreadsheets/d/14VRt1DzygoL3ldywdTGi4p4-5N6W0OO9Ugf6GEHXv1k/edit#gid=351252924","☆TP部メルマガ")</f>
        <v>☆TP部メルマガ</v>
      </c>
      <c r="C1053" s="736" t="s">
        <v>1259</v>
      </c>
      <c r="D1053" s="642" t="s">
        <v>1750</v>
      </c>
      <c r="E1053" s="771" t="s">
        <v>1795</v>
      </c>
      <c r="F1053" s="758" t="s">
        <v>1598</v>
      </c>
      <c r="G1053" s="758"/>
      <c r="H1053" s="758" t="s">
        <v>1667</v>
      </c>
      <c r="I1053" s="132"/>
      <c r="J1053" s="132"/>
      <c r="K1053" s="132"/>
      <c r="L1053" s="132"/>
      <c r="M1053" s="132"/>
      <c r="N1053" s="132"/>
      <c r="O1053" s="132"/>
      <c r="P1053" s="132"/>
      <c r="Q1053" s="132"/>
      <c r="R1053" s="132"/>
      <c r="S1053" s="132"/>
      <c r="T1053" s="132"/>
      <c r="U1053" s="132"/>
      <c r="V1053" s="132"/>
      <c r="W1053" s="132"/>
      <c r="X1053" s="132"/>
      <c r="Y1053" s="132"/>
      <c r="Z1053" s="132"/>
      <c r="AA1053" s="132"/>
      <c r="AB1053" s="132"/>
    </row>
    <row r="1054" ht="24.75" customHeight="1" outlineLevel="1">
      <c r="A1054" s="551">
        <v>46146.0</v>
      </c>
      <c r="B1054" s="772" t="s">
        <v>489</v>
      </c>
      <c r="C1054" s="642" t="s">
        <v>1752</v>
      </c>
      <c r="D1054" s="642" t="s">
        <v>1744</v>
      </c>
      <c r="E1054" s="768" t="s">
        <v>1848</v>
      </c>
      <c r="F1054" s="758" t="s">
        <v>1598</v>
      </c>
      <c r="G1054" s="758"/>
      <c r="H1054" s="758" t="s">
        <v>1753</v>
      </c>
      <c r="I1054" s="668"/>
      <c r="J1054" s="132"/>
      <c r="K1054" s="132"/>
      <c r="L1054" s="132"/>
      <c r="M1054" s="132"/>
      <c r="N1054" s="132"/>
      <c r="O1054" s="132"/>
      <c r="P1054" s="132"/>
      <c r="Q1054" s="132"/>
      <c r="R1054" s="132"/>
      <c r="S1054" s="132"/>
      <c r="T1054" s="132"/>
      <c r="U1054" s="132"/>
      <c r="V1054" s="132"/>
      <c r="W1054" s="132"/>
      <c r="X1054" s="132"/>
      <c r="Y1054" s="132"/>
      <c r="Z1054" s="132"/>
      <c r="AA1054" s="132"/>
      <c r="AB1054" s="132"/>
    </row>
    <row r="1055" ht="24.75" customHeight="1" outlineLevel="1">
      <c r="A1055" s="551">
        <v>46146.0</v>
      </c>
      <c r="B1055" s="772" t="s">
        <v>450</v>
      </c>
      <c r="C1055" s="642" t="s">
        <v>1259</v>
      </c>
      <c r="D1055" s="511" t="s">
        <v>1850</v>
      </c>
      <c r="E1055" s="771" t="s">
        <v>1795</v>
      </c>
      <c r="F1055" s="758" t="s">
        <v>1598</v>
      </c>
      <c r="G1055" s="758"/>
      <c r="H1055" s="758" t="s">
        <v>1671</v>
      </c>
      <c r="I1055" s="668"/>
      <c r="J1055" s="132"/>
      <c r="K1055" s="132"/>
      <c r="L1055" s="132"/>
      <c r="M1055" s="132"/>
      <c r="N1055" s="132"/>
      <c r="O1055" s="132"/>
      <c r="P1055" s="132"/>
      <c r="Q1055" s="132"/>
      <c r="R1055" s="132"/>
      <c r="S1055" s="132"/>
      <c r="T1055" s="132"/>
      <c r="U1055" s="132"/>
      <c r="V1055" s="132"/>
      <c r="W1055" s="132"/>
      <c r="X1055" s="132"/>
      <c r="Y1055" s="132"/>
      <c r="Z1055" s="132"/>
      <c r="AA1055" s="132"/>
      <c r="AB1055" s="132"/>
    </row>
    <row r="1056" ht="24.75" customHeight="1" outlineLevel="1">
      <c r="A1056" s="551">
        <v>46146.0</v>
      </c>
      <c r="B1056" s="650" t="s">
        <v>1271</v>
      </c>
      <c r="C1056" s="755" t="s">
        <v>1724</v>
      </c>
      <c r="D1056" s="793" t="s">
        <v>1797</v>
      </c>
      <c r="E1056" s="790" t="s">
        <v>1798</v>
      </c>
      <c r="F1056" s="758"/>
      <c r="G1056" s="758"/>
      <c r="H1056" s="758" t="s">
        <v>1674</v>
      </c>
      <c r="I1056" s="175" t="s">
        <v>1675</v>
      </c>
      <c r="J1056" s="132"/>
      <c r="K1056" s="132"/>
      <c r="L1056" s="132"/>
      <c r="M1056" s="132"/>
      <c r="N1056" s="132"/>
      <c r="O1056" s="132"/>
      <c r="P1056" s="132"/>
      <c r="Q1056" s="132"/>
      <c r="R1056" s="132"/>
      <c r="S1056" s="132"/>
      <c r="T1056" s="132"/>
      <c r="U1056" s="132"/>
      <c r="V1056" s="132"/>
      <c r="W1056" s="132"/>
      <c r="X1056" s="132"/>
      <c r="Y1056" s="132"/>
      <c r="Z1056" s="132"/>
      <c r="AA1056" s="132"/>
      <c r="AB1056" s="132"/>
    </row>
    <row r="1057" ht="24.75" customHeight="1" outlineLevel="1">
      <c r="A1057" s="551">
        <v>46146.0</v>
      </c>
      <c r="B1057" s="650" t="s">
        <v>1274</v>
      </c>
      <c r="C1057" s="755" t="s">
        <v>1724</v>
      </c>
      <c r="D1057" s="793" t="s">
        <v>1797</v>
      </c>
      <c r="E1057" s="790" t="s">
        <v>1798</v>
      </c>
      <c r="F1057" s="758"/>
      <c r="G1057" s="758"/>
      <c r="H1057" s="758" t="s">
        <v>1674</v>
      </c>
      <c r="I1057" s="175" t="s">
        <v>1709</v>
      </c>
      <c r="J1057" s="132"/>
      <c r="K1057" s="132"/>
      <c r="L1057" s="132"/>
      <c r="M1057" s="132"/>
      <c r="N1057" s="132"/>
      <c r="O1057" s="132"/>
      <c r="P1057" s="132"/>
      <c r="Q1057" s="132"/>
      <c r="R1057" s="132"/>
      <c r="S1057" s="132"/>
      <c r="T1057" s="132"/>
      <c r="U1057" s="132"/>
      <c r="V1057" s="132"/>
      <c r="W1057" s="132"/>
      <c r="X1057" s="132"/>
      <c r="Y1057" s="132"/>
      <c r="Z1057" s="132"/>
      <c r="AA1057" s="132"/>
      <c r="AB1057" s="132"/>
    </row>
    <row r="1058" ht="24.75" customHeight="1" outlineLevel="1">
      <c r="A1058" s="551">
        <v>46146.0</v>
      </c>
      <c r="B1058" s="650" t="s">
        <v>629</v>
      </c>
      <c r="C1058" s="650" t="s">
        <v>1233</v>
      </c>
      <c r="D1058" s="650" t="s">
        <v>1319</v>
      </c>
      <c r="E1058" s="765" t="s">
        <v>1235</v>
      </c>
      <c r="F1058" s="758"/>
      <c r="G1058" s="758"/>
      <c r="H1058" s="773" t="s">
        <v>1320</v>
      </c>
      <c r="I1058" s="132"/>
      <c r="J1058" s="132"/>
      <c r="K1058" s="132"/>
      <c r="L1058" s="132"/>
      <c r="M1058" s="132"/>
      <c r="N1058" s="175" t="s">
        <v>1596</v>
      </c>
      <c r="O1058" s="132"/>
      <c r="P1058" s="132"/>
      <c r="Q1058" s="132"/>
      <c r="R1058" s="132"/>
      <c r="S1058" s="132"/>
      <c r="T1058" s="132"/>
      <c r="U1058" s="132"/>
      <c r="V1058" s="132"/>
      <c r="W1058" s="132"/>
      <c r="X1058" s="132"/>
      <c r="Y1058" s="132"/>
      <c r="Z1058" s="132"/>
      <c r="AA1058" s="132"/>
      <c r="AB1058" s="132"/>
    </row>
    <row r="1059" ht="24.75" customHeight="1" outlineLevel="1">
      <c r="A1059" s="551">
        <v>46147.0</v>
      </c>
      <c r="B1059" s="774" t="s">
        <v>1739</v>
      </c>
      <c r="C1059" s="775" t="s">
        <v>1233</v>
      </c>
      <c r="D1059" s="640" t="s">
        <v>1180</v>
      </c>
      <c r="E1059" s="765" t="s">
        <v>1235</v>
      </c>
      <c r="F1059" s="758"/>
      <c r="G1059" s="758"/>
      <c r="H1059" s="758" t="s">
        <v>1586</v>
      </c>
      <c r="I1059" s="175"/>
      <c r="J1059" s="132"/>
      <c r="K1059" s="132"/>
      <c r="L1059" s="132"/>
      <c r="M1059" s="132"/>
      <c r="N1059" s="175" t="s">
        <v>1599</v>
      </c>
      <c r="O1059" s="132"/>
      <c r="P1059" s="132"/>
      <c r="Q1059" s="132"/>
      <c r="R1059" s="132"/>
      <c r="S1059" s="132"/>
      <c r="T1059" s="132"/>
      <c r="U1059" s="132"/>
      <c r="V1059" s="132"/>
      <c r="W1059" s="132"/>
      <c r="X1059" s="132"/>
      <c r="Y1059" s="132"/>
      <c r="Z1059" s="132"/>
      <c r="AA1059" s="132"/>
      <c r="AB1059" s="132"/>
    </row>
    <row r="1060" ht="24.75" customHeight="1" outlineLevel="1">
      <c r="A1060" s="551">
        <v>46147.0</v>
      </c>
      <c r="B1060" s="775" t="s">
        <v>1232</v>
      </c>
      <c r="C1060" s="640" t="s">
        <v>1233</v>
      </c>
      <c r="D1060" s="776" t="s">
        <v>1600</v>
      </c>
      <c r="E1060" s="765" t="s">
        <v>1235</v>
      </c>
      <c r="F1060" s="758"/>
      <c r="G1060" s="758"/>
      <c r="H1060" s="758" t="s">
        <v>1584</v>
      </c>
      <c r="I1060" s="175"/>
      <c r="J1060" s="132"/>
      <c r="K1060" s="132"/>
      <c r="L1060" s="132"/>
      <c r="M1060" s="132"/>
      <c r="N1060" s="132"/>
      <c r="O1060" s="132"/>
      <c r="P1060" s="132"/>
      <c r="Q1060" s="132"/>
      <c r="R1060" s="132"/>
      <c r="S1060" s="132"/>
      <c r="T1060" s="132"/>
      <c r="U1060" s="132"/>
      <c r="V1060" s="132"/>
      <c r="W1060" s="132"/>
      <c r="X1060" s="132"/>
      <c r="Y1060" s="132"/>
      <c r="Z1060" s="132"/>
      <c r="AA1060" s="132"/>
      <c r="AB1060" s="132"/>
    </row>
    <row r="1061" ht="24.75" customHeight="1" outlineLevel="1">
      <c r="A1061" s="551">
        <v>46147.0</v>
      </c>
      <c r="B1061" s="775" t="s">
        <v>1325</v>
      </c>
      <c r="C1061" s="777" t="s">
        <v>1233</v>
      </c>
      <c r="D1061" s="775" t="s">
        <v>1319</v>
      </c>
      <c r="E1061" s="765" t="s">
        <v>1235</v>
      </c>
      <c r="F1061" s="758"/>
      <c r="G1061" s="758"/>
      <c r="H1061" s="758" t="s">
        <v>1754</v>
      </c>
      <c r="I1061" s="175"/>
      <c r="J1061" s="132"/>
      <c r="K1061" s="132"/>
      <c r="L1061" s="132"/>
      <c r="M1061" s="132"/>
      <c r="N1061" s="132"/>
      <c r="O1061" s="132"/>
      <c r="P1061" s="132"/>
      <c r="Q1061" s="132"/>
      <c r="R1061" s="132"/>
      <c r="S1061" s="132"/>
      <c r="T1061" s="132"/>
      <c r="U1061" s="132"/>
      <c r="V1061" s="132"/>
      <c r="W1061" s="132"/>
      <c r="X1061" s="132"/>
      <c r="Y1061" s="132"/>
      <c r="Z1061" s="132"/>
      <c r="AA1061" s="132"/>
      <c r="AB1061" s="132"/>
    </row>
    <row r="1062" ht="24.75" customHeight="1" outlineLevel="1">
      <c r="A1062" s="551">
        <v>46147.0</v>
      </c>
      <c r="B1062" s="775" t="s">
        <v>1755</v>
      </c>
      <c r="C1062" s="736" t="s">
        <v>1790</v>
      </c>
      <c r="D1062" s="640" t="s">
        <v>1799</v>
      </c>
      <c r="E1062" s="769" t="s">
        <v>1791</v>
      </c>
      <c r="F1062" s="758"/>
      <c r="G1062" s="758"/>
      <c r="H1062" s="758" t="s">
        <v>1756</v>
      </c>
      <c r="I1062" s="175"/>
      <c r="J1062" s="132"/>
      <c r="K1062" s="132"/>
      <c r="L1062" s="132"/>
      <c r="M1062" s="132"/>
      <c r="N1062" s="132"/>
      <c r="O1062" s="132"/>
      <c r="P1062" s="132"/>
      <c r="Q1062" s="132"/>
      <c r="R1062" s="132"/>
      <c r="S1062" s="132"/>
      <c r="T1062" s="132"/>
      <c r="U1062" s="132"/>
      <c r="V1062" s="132"/>
      <c r="W1062" s="132"/>
      <c r="X1062" s="132"/>
      <c r="Y1062" s="132"/>
      <c r="Z1062" s="132"/>
      <c r="AA1062" s="132"/>
      <c r="AB1062" s="132"/>
    </row>
    <row r="1063" ht="24.75" customHeight="1" outlineLevel="1">
      <c r="A1063" s="551">
        <v>46148.0</v>
      </c>
      <c r="B1063" s="775" t="s">
        <v>274</v>
      </c>
      <c r="C1063" s="640" t="s">
        <v>1233</v>
      </c>
      <c r="D1063" s="778" t="s">
        <v>1757</v>
      </c>
      <c r="E1063" s="765" t="s">
        <v>1235</v>
      </c>
      <c r="F1063" s="758"/>
      <c r="G1063" s="759"/>
      <c r="H1063" s="758" t="s">
        <v>1758</v>
      </c>
      <c r="I1063" s="175"/>
      <c r="J1063" s="132"/>
      <c r="K1063" s="132"/>
      <c r="L1063" s="132"/>
      <c r="M1063" s="132"/>
      <c r="N1063" s="132"/>
      <c r="O1063" s="132"/>
      <c r="P1063" s="132"/>
      <c r="Q1063" s="132"/>
      <c r="R1063" s="132"/>
      <c r="S1063" s="132"/>
      <c r="T1063" s="132"/>
      <c r="U1063" s="132"/>
      <c r="V1063" s="132"/>
      <c r="W1063" s="132"/>
      <c r="X1063" s="132"/>
      <c r="Y1063" s="132"/>
      <c r="Z1063" s="132"/>
      <c r="AA1063" s="132"/>
      <c r="AB1063" s="132"/>
    </row>
    <row r="1064" ht="24.75" customHeight="1" outlineLevel="1">
      <c r="A1064" s="551">
        <v>46148.0</v>
      </c>
      <c r="B1064" s="770" t="s">
        <v>271</v>
      </c>
      <c r="C1064" s="640" t="s">
        <v>1743</v>
      </c>
      <c r="D1064" s="779" t="s">
        <v>1800</v>
      </c>
      <c r="E1064" s="768" t="s">
        <v>1789</v>
      </c>
      <c r="F1064" s="758"/>
      <c r="G1064" s="758"/>
      <c r="H1064" s="758" t="s">
        <v>1603</v>
      </c>
      <c r="I1064" s="175"/>
      <c r="J1064" s="132"/>
      <c r="K1064" s="132"/>
      <c r="L1064" s="132"/>
      <c r="M1064" s="132"/>
      <c r="N1064" s="132"/>
      <c r="O1064" s="132"/>
      <c r="P1064" s="132"/>
      <c r="Q1064" s="132"/>
      <c r="R1064" s="132"/>
      <c r="S1064" s="132"/>
      <c r="T1064" s="132"/>
      <c r="U1064" s="132"/>
      <c r="V1064" s="132"/>
      <c r="W1064" s="132"/>
      <c r="X1064" s="132"/>
      <c r="Y1064" s="132"/>
      <c r="Z1064" s="132"/>
      <c r="AA1064" s="132"/>
      <c r="AB1064" s="132"/>
    </row>
    <row r="1065" ht="24.75" customHeight="1" outlineLevel="1">
      <c r="A1065" s="551">
        <v>46148.0</v>
      </c>
      <c r="B1065" s="775" t="s">
        <v>901</v>
      </c>
      <c r="C1065" s="740"/>
      <c r="D1065" s="605" t="s">
        <v>1801</v>
      </c>
      <c r="E1065" s="765" t="s">
        <v>1235</v>
      </c>
      <c r="F1065" s="758"/>
      <c r="G1065" s="758"/>
      <c r="H1065" s="758" t="s">
        <v>1802</v>
      </c>
      <c r="I1065" s="668"/>
      <c r="J1065" s="132"/>
      <c r="K1065" s="132"/>
      <c r="L1065" s="132"/>
      <c r="M1065" s="132"/>
      <c r="N1065" s="132"/>
      <c r="O1065" s="132"/>
      <c r="P1065" s="132"/>
      <c r="Q1065" s="132"/>
      <c r="R1065" s="132"/>
      <c r="S1065" s="132"/>
      <c r="T1065" s="132"/>
      <c r="U1065" s="132"/>
      <c r="V1065" s="132"/>
      <c r="W1065" s="132"/>
      <c r="X1065" s="132"/>
      <c r="Y1065" s="132"/>
      <c r="Z1065" s="132"/>
      <c r="AA1065" s="132"/>
      <c r="AB1065" s="132"/>
    </row>
    <row r="1066" ht="24.75" customHeight="1" outlineLevel="1">
      <c r="A1066" s="551">
        <v>46148.0</v>
      </c>
      <c r="B1066" s="775" t="s">
        <v>277</v>
      </c>
      <c r="C1066" s="740" t="s">
        <v>1715</v>
      </c>
      <c r="D1066" s="605" t="s">
        <v>1803</v>
      </c>
      <c r="E1066" s="780" t="s">
        <v>1804</v>
      </c>
      <c r="F1066" s="758"/>
      <c r="G1066" s="758"/>
      <c r="H1066" s="758" t="s">
        <v>1685</v>
      </c>
      <c r="I1066" s="668"/>
      <c r="J1066" s="132"/>
      <c r="K1066" s="132"/>
      <c r="L1066" s="132"/>
      <c r="M1066" s="132"/>
      <c r="N1066" s="132"/>
      <c r="O1066" s="132"/>
      <c r="P1066" s="132"/>
      <c r="Q1066" s="132"/>
      <c r="R1066" s="132"/>
      <c r="S1066" s="132"/>
      <c r="T1066" s="132"/>
      <c r="U1066" s="132"/>
      <c r="V1066" s="132"/>
      <c r="W1066" s="132"/>
      <c r="X1066" s="132"/>
      <c r="Y1066" s="132"/>
      <c r="Z1066" s="132"/>
      <c r="AA1066" s="132"/>
      <c r="AB1066" s="132"/>
    </row>
    <row r="1067" ht="24.75" customHeight="1" outlineLevel="1">
      <c r="A1067" s="551">
        <v>46148.0</v>
      </c>
      <c r="B1067" s="775" t="s">
        <v>1759</v>
      </c>
      <c r="C1067" s="736" t="s">
        <v>1790</v>
      </c>
      <c r="D1067" s="605" t="s">
        <v>1805</v>
      </c>
      <c r="E1067" s="769" t="s">
        <v>1791</v>
      </c>
      <c r="F1067" s="758"/>
      <c r="G1067" s="759"/>
      <c r="H1067" s="758" t="s">
        <v>1756</v>
      </c>
      <c r="I1067" s="175"/>
      <c r="J1067" s="132"/>
      <c r="K1067" s="132"/>
      <c r="L1067" s="132"/>
      <c r="M1067" s="132"/>
      <c r="N1067" s="132"/>
      <c r="O1067" s="132"/>
      <c r="P1067" s="132"/>
      <c r="Q1067" s="132"/>
      <c r="R1067" s="132"/>
      <c r="S1067" s="132"/>
      <c r="T1067" s="132"/>
      <c r="U1067" s="132"/>
      <c r="V1067" s="132"/>
      <c r="W1067" s="132"/>
      <c r="X1067" s="132"/>
      <c r="Y1067" s="132"/>
      <c r="Z1067" s="132"/>
      <c r="AA1067" s="132"/>
      <c r="AB1067" s="132"/>
    </row>
    <row r="1068" ht="24.75" customHeight="1" outlineLevel="1">
      <c r="A1068" s="551">
        <v>46148.0</v>
      </c>
      <c r="B1068" s="741" t="s">
        <v>270</v>
      </c>
      <c r="C1068" s="740" t="s">
        <v>1717</v>
      </c>
      <c r="D1068" s="605" t="s">
        <v>1806</v>
      </c>
      <c r="E1068" s="781" t="s">
        <v>1807</v>
      </c>
      <c r="F1068" s="758"/>
      <c r="G1068" s="758"/>
      <c r="H1068" s="758" t="s">
        <v>1719</v>
      </c>
      <c r="I1068" s="668"/>
      <c r="J1068" s="132"/>
      <c r="K1068" s="132"/>
      <c r="L1068" s="132"/>
      <c r="M1068" s="132"/>
      <c r="N1068" s="132"/>
      <c r="O1068" s="132"/>
      <c r="P1068" s="132"/>
      <c r="Q1068" s="132"/>
      <c r="R1068" s="132"/>
      <c r="S1068" s="132"/>
      <c r="T1068" s="132"/>
      <c r="U1068" s="132"/>
      <c r="V1068" s="132"/>
      <c r="W1068" s="132"/>
      <c r="X1068" s="132"/>
      <c r="Y1068" s="132"/>
      <c r="Z1068" s="132"/>
      <c r="AA1068" s="132"/>
      <c r="AB1068" s="132"/>
    </row>
    <row r="1069" ht="24.75" customHeight="1" outlineLevel="1">
      <c r="A1069" s="551">
        <v>46149.0</v>
      </c>
      <c r="B1069" s="705" t="s">
        <v>317</v>
      </c>
      <c r="C1069" s="640" t="s">
        <v>1259</v>
      </c>
      <c r="D1069" s="605" t="s">
        <v>1808</v>
      </c>
      <c r="E1069" s="771" t="s">
        <v>1795</v>
      </c>
      <c r="F1069" s="758"/>
      <c r="G1069" s="759"/>
      <c r="H1069" s="758" t="s">
        <v>1671</v>
      </c>
      <c r="I1069" s="668"/>
      <c r="J1069" s="132"/>
      <c r="K1069" s="132"/>
      <c r="L1069" s="132"/>
      <c r="M1069" s="132"/>
      <c r="N1069" s="132"/>
      <c r="O1069" s="132"/>
      <c r="P1069" s="132"/>
      <c r="Q1069" s="132"/>
      <c r="R1069" s="132"/>
      <c r="S1069" s="132"/>
      <c r="T1069" s="132"/>
      <c r="U1069" s="132"/>
      <c r="V1069" s="132"/>
      <c r="W1069" s="132"/>
      <c r="X1069" s="132"/>
      <c r="Y1069" s="132"/>
      <c r="Z1069" s="132"/>
      <c r="AA1069" s="132"/>
      <c r="AB1069" s="132"/>
    </row>
    <row r="1070" ht="24.75" customHeight="1" outlineLevel="1">
      <c r="A1070" s="551">
        <v>46149.0</v>
      </c>
      <c r="B1070" s="775" t="s">
        <v>1762</v>
      </c>
      <c r="C1070" s="736" t="s">
        <v>1790</v>
      </c>
      <c r="D1070" s="605" t="s">
        <v>1805</v>
      </c>
      <c r="E1070" s="769" t="s">
        <v>1791</v>
      </c>
      <c r="F1070" s="758"/>
      <c r="G1070" s="759"/>
      <c r="H1070" s="758" t="s">
        <v>1756</v>
      </c>
      <c r="I1070" s="175"/>
      <c r="J1070" s="132"/>
      <c r="K1070" s="132"/>
      <c r="L1070" s="132"/>
      <c r="M1070" s="132"/>
      <c r="N1070" s="132"/>
      <c r="O1070" s="132"/>
      <c r="P1070" s="132"/>
      <c r="Q1070" s="132"/>
      <c r="R1070" s="132"/>
      <c r="S1070" s="132"/>
      <c r="T1070" s="132"/>
      <c r="U1070" s="132"/>
      <c r="V1070" s="132"/>
      <c r="W1070" s="132"/>
      <c r="X1070" s="132"/>
      <c r="Y1070" s="132"/>
      <c r="Z1070" s="132"/>
      <c r="AA1070" s="132"/>
      <c r="AB1070" s="132"/>
    </row>
    <row r="1071" ht="24.75" customHeight="1" outlineLevel="1">
      <c r="A1071" s="551">
        <v>46150.0</v>
      </c>
      <c r="B1071" s="775" t="s">
        <v>1232</v>
      </c>
      <c r="C1071" s="640" t="s">
        <v>1233</v>
      </c>
      <c r="D1071" s="776" t="s">
        <v>1600</v>
      </c>
      <c r="E1071" s="765" t="s">
        <v>1235</v>
      </c>
      <c r="F1071" s="758"/>
      <c r="G1071" s="758"/>
      <c r="H1071" s="758" t="s">
        <v>1584</v>
      </c>
      <c r="I1071" s="175"/>
      <c r="J1071" s="132"/>
      <c r="K1071" s="132"/>
      <c r="L1071" s="132"/>
      <c r="M1071" s="132"/>
      <c r="N1071" s="132"/>
      <c r="O1071" s="132"/>
      <c r="P1071" s="132"/>
      <c r="Q1071" s="132"/>
      <c r="R1071" s="132"/>
      <c r="S1071" s="132"/>
      <c r="T1071" s="132"/>
      <c r="U1071" s="132"/>
      <c r="V1071" s="132"/>
      <c r="W1071" s="132"/>
      <c r="X1071" s="132"/>
      <c r="Y1071" s="132"/>
      <c r="Z1071" s="132"/>
      <c r="AA1071" s="132"/>
      <c r="AB1071" s="132"/>
    </row>
    <row r="1072" ht="24.75" customHeight="1" outlineLevel="1">
      <c r="A1072" s="551">
        <v>46150.0</v>
      </c>
      <c r="B1072" s="766" t="s">
        <v>1739</v>
      </c>
      <c r="C1072" s="650" t="s">
        <v>1233</v>
      </c>
      <c r="D1072" s="642" t="s">
        <v>1180</v>
      </c>
      <c r="E1072" s="765" t="s">
        <v>1235</v>
      </c>
      <c r="F1072" s="758"/>
      <c r="G1072" s="758"/>
      <c r="H1072" s="758" t="s">
        <v>1586</v>
      </c>
      <c r="I1072" s="175"/>
      <c r="J1072" s="132"/>
      <c r="K1072" s="132"/>
      <c r="L1072" s="132"/>
      <c r="M1072" s="132"/>
      <c r="N1072" s="132"/>
      <c r="O1072" s="132"/>
      <c r="P1072" s="132"/>
      <c r="Q1072" s="132"/>
      <c r="R1072" s="132"/>
      <c r="S1072" s="132"/>
      <c r="T1072" s="132"/>
      <c r="U1072" s="132"/>
      <c r="V1072" s="132"/>
      <c r="W1072" s="132"/>
      <c r="X1072" s="132"/>
      <c r="Y1072" s="132"/>
      <c r="Z1072" s="132"/>
      <c r="AA1072" s="132"/>
      <c r="AB1072" s="132"/>
    </row>
    <row r="1073" ht="24.75" customHeight="1" outlineLevel="1">
      <c r="A1073" s="551">
        <v>46150.0</v>
      </c>
      <c r="B1073" s="650" t="s">
        <v>369</v>
      </c>
      <c r="C1073" s="642" t="s">
        <v>1786</v>
      </c>
      <c r="D1073" s="742" t="s">
        <v>1809</v>
      </c>
      <c r="E1073" s="782" t="s">
        <v>1810</v>
      </c>
      <c r="F1073" s="758"/>
      <c r="G1073" s="758"/>
      <c r="H1073" s="758" t="s">
        <v>1740</v>
      </c>
      <c r="I1073" s="175"/>
      <c r="J1073" s="132"/>
      <c r="K1073" s="132"/>
      <c r="L1073" s="132"/>
      <c r="M1073" s="132"/>
      <c r="N1073" s="132"/>
      <c r="O1073" s="132"/>
      <c r="P1073" s="132"/>
      <c r="Q1073" s="132"/>
      <c r="R1073" s="132"/>
      <c r="S1073" s="132"/>
      <c r="T1073" s="132"/>
      <c r="U1073" s="132"/>
      <c r="V1073" s="132"/>
      <c r="W1073" s="132"/>
      <c r="X1073" s="132"/>
      <c r="Y1073" s="132"/>
      <c r="Z1073" s="132"/>
      <c r="AA1073" s="132"/>
      <c r="AB1073" s="132"/>
    </row>
    <row r="1074" ht="24.75" customHeight="1" outlineLevel="1">
      <c r="A1074" s="551">
        <v>46151.0</v>
      </c>
      <c r="B1074" s="775" t="s">
        <v>394</v>
      </c>
      <c r="C1074" s="640" t="s">
        <v>1233</v>
      </c>
      <c r="D1074" s="778" t="s">
        <v>1765</v>
      </c>
      <c r="E1074" s="765" t="s">
        <v>1235</v>
      </c>
      <c r="F1074" s="758"/>
      <c r="G1074" s="759"/>
      <c r="H1074" s="758" t="s">
        <v>1741</v>
      </c>
      <c r="I1074" s="175"/>
      <c r="J1074" s="132"/>
      <c r="K1074" s="132"/>
      <c r="L1074" s="132"/>
      <c r="M1074" s="132"/>
      <c r="N1074" s="132"/>
      <c r="O1074" s="132"/>
      <c r="P1074" s="132"/>
      <c r="Q1074" s="132"/>
      <c r="R1074" s="132"/>
      <c r="S1074" s="132"/>
      <c r="T1074" s="132"/>
      <c r="U1074" s="132"/>
      <c r="V1074" s="132"/>
      <c r="W1074" s="132"/>
      <c r="X1074" s="132"/>
      <c r="Y1074" s="132"/>
      <c r="Z1074" s="132"/>
      <c r="AA1074" s="132"/>
      <c r="AB1074" s="132"/>
    </row>
    <row r="1075" ht="24.75" customHeight="1" outlineLevel="1">
      <c r="A1075" s="551">
        <v>46151.0</v>
      </c>
      <c r="B1075" s="767" t="str">
        <f>HYPERLINK("https://docs.google.com/spreadsheets/d/1v3B9E8Jeqx3_JGvRHJ2cXJ5OAGLvZiOXZru0niKH-QQ/edit?ts=56170761#gid=1991794180","☆横浜")</f>
        <v>☆横浜</v>
      </c>
      <c r="C1075" s="736" t="s">
        <v>1722</v>
      </c>
      <c r="D1075" s="742" t="s">
        <v>1811</v>
      </c>
      <c r="E1075" s="783" t="s">
        <v>1788</v>
      </c>
      <c r="F1075" s="758"/>
      <c r="G1075" s="758"/>
      <c r="H1075" s="758" t="s">
        <v>1648</v>
      </c>
      <c r="I1075" s="668"/>
      <c r="J1075" s="132"/>
      <c r="K1075" s="132"/>
      <c r="L1075" s="132"/>
      <c r="M1075" s="132"/>
      <c r="N1075" s="132"/>
      <c r="O1075" s="132"/>
      <c r="P1075" s="132"/>
      <c r="Q1075" s="132"/>
      <c r="R1075" s="132"/>
      <c r="S1075" s="132"/>
      <c r="T1075" s="132"/>
      <c r="U1075" s="132"/>
      <c r="V1075" s="132"/>
      <c r="W1075" s="132"/>
      <c r="X1075" s="132"/>
      <c r="Y1075" s="132"/>
      <c r="Z1075" s="132"/>
      <c r="AA1075" s="132"/>
      <c r="AB1075" s="132"/>
    </row>
    <row r="1076" ht="24.75" customHeight="1" outlineLevel="1">
      <c r="A1076" s="551">
        <v>46151.0</v>
      </c>
      <c r="B1076" s="705" t="str">
        <f>HYPERLINK("https://docs.google.com/spreadsheets/d/1xrfsiAjLwPhBlveDsLSsUUfMnNpOidnkNLqHJabwWYo/edit?ts=56ea7063#gid=1283986028","☆救済メルマガ(UP10)")</f>
        <v>☆救済メルマガ(UP10)</v>
      </c>
      <c r="C1076" s="642" t="s">
        <v>1743</v>
      </c>
      <c r="D1076" s="742" t="s">
        <v>1800</v>
      </c>
      <c r="E1076" s="768" t="s">
        <v>1789</v>
      </c>
      <c r="F1076" s="758"/>
      <c r="G1076" s="758"/>
      <c r="H1076" s="758" t="s">
        <v>1652</v>
      </c>
      <c r="I1076" s="668"/>
      <c r="J1076" s="132"/>
      <c r="K1076" s="132"/>
      <c r="L1076" s="132"/>
      <c r="M1076" s="132"/>
      <c r="N1076" s="132"/>
      <c r="O1076" s="132"/>
      <c r="P1076" s="132"/>
      <c r="Q1076" s="132"/>
      <c r="R1076" s="132"/>
      <c r="S1076" s="132"/>
      <c r="T1076" s="132"/>
      <c r="U1076" s="132"/>
      <c r="V1076" s="132"/>
      <c r="W1076" s="132"/>
      <c r="X1076" s="132"/>
      <c r="Y1076" s="132"/>
      <c r="Z1076" s="132"/>
      <c r="AA1076" s="132"/>
      <c r="AB1076" s="132"/>
    </row>
    <row r="1077" ht="24.75" customHeight="1" outlineLevel="1">
      <c r="A1077" s="551">
        <v>46152.0</v>
      </c>
      <c r="B1077" s="705" t="s">
        <v>421</v>
      </c>
      <c r="C1077" s="736" t="s">
        <v>1790</v>
      </c>
      <c r="D1077" s="742" t="s">
        <v>1812</v>
      </c>
      <c r="E1077" s="769" t="s">
        <v>1791</v>
      </c>
      <c r="F1077" s="758"/>
      <c r="G1077" s="758"/>
      <c r="H1077" s="758" t="s">
        <v>1652</v>
      </c>
      <c r="I1077" s="668"/>
      <c r="J1077" s="132"/>
      <c r="K1077" s="132"/>
      <c r="L1077" s="132"/>
      <c r="M1077" s="132"/>
      <c r="N1077" s="132"/>
      <c r="O1077" s="132"/>
      <c r="P1077" s="132"/>
      <c r="Q1077" s="132"/>
      <c r="R1077" s="132"/>
      <c r="S1077" s="132"/>
      <c r="T1077" s="132"/>
      <c r="U1077" s="132"/>
      <c r="V1077" s="132"/>
      <c r="W1077" s="132"/>
      <c r="X1077" s="132"/>
      <c r="Y1077" s="132"/>
      <c r="Z1077" s="132"/>
      <c r="AA1077" s="132"/>
      <c r="AB1077" s="132"/>
    </row>
    <row r="1078" ht="24.75" customHeight="1" outlineLevel="1">
      <c r="A1078" s="551">
        <v>46152.0</v>
      </c>
      <c r="B1078" s="775" t="s">
        <v>42</v>
      </c>
      <c r="C1078" s="642" t="s">
        <v>1792</v>
      </c>
      <c r="D1078" s="742" t="s">
        <v>1813</v>
      </c>
      <c r="E1078" s="785" t="s">
        <v>1794</v>
      </c>
      <c r="F1078" s="786"/>
      <c r="G1078" s="786"/>
      <c r="H1078" s="786" t="s">
        <v>1749</v>
      </c>
      <c r="I1078" s="668" t="s">
        <v>1768</v>
      </c>
      <c r="J1078" s="787"/>
      <c r="K1078" s="787"/>
      <c r="L1078" s="787"/>
      <c r="M1078" s="787"/>
      <c r="N1078" s="787"/>
      <c r="O1078" s="788"/>
      <c r="P1078" s="788"/>
      <c r="Q1078" s="788"/>
      <c r="R1078" s="788"/>
      <c r="S1078" s="788"/>
      <c r="T1078" s="788"/>
      <c r="U1078" s="788"/>
      <c r="V1078" s="788"/>
      <c r="W1078" s="788"/>
      <c r="X1078" s="788"/>
      <c r="Y1078" s="788"/>
      <c r="Z1078" s="788"/>
      <c r="AA1078" s="788"/>
      <c r="AB1078" s="788"/>
      <c r="AC1078" s="789"/>
    </row>
    <row r="1079" ht="24.75" customHeight="1" outlineLevel="1">
      <c r="A1079" s="551">
        <v>46152.0</v>
      </c>
      <c r="B1079" s="770" t="str">
        <f>HYPERLINK("https://docs.google.com/spreadsheets/d/14VRt1DzygoL3ldywdTGi4p4-5N6W0OO9Ugf6GEHXv1k/edit#gid=351252924","☆TP部メルマガ")</f>
        <v>☆TP部メルマガ</v>
      </c>
      <c r="C1079" s="736" t="s">
        <v>1259</v>
      </c>
      <c r="D1079" s="742" t="s">
        <v>1814</v>
      </c>
      <c r="E1079" s="771" t="s">
        <v>1795</v>
      </c>
      <c r="F1079" s="758"/>
      <c r="G1079" s="758"/>
      <c r="H1079" s="758" t="s">
        <v>1667</v>
      </c>
      <c r="I1079" s="668"/>
      <c r="J1079" s="132"/>
      <c r="K1079" s="132"/>
      <c r="L1079" s="132"/>
      <c r="M1079" s="132"/>
      <c r="N1079" s="132"/>
      <c r="O1079" s="132"/>
      <c r="P1079" s="132"/>
      <c r="Q1079" s="132"/>
      <c r="R1079" s="132"/>
      <c r="S1079" s="132"/>
      <c r="T1079" s="132"/>
      <c r="U1079" s="132"/>
      <c r="V1079" s="132"/>
      <c r="W1079" s="132"/>
      <c r="X1079" s="132"/>
      <c r="Y1079" s="132"/>
      <c r="Z1079" s="132"/>
      <c r="AA1079" s="132"/>
      <c r="AB1079" s="132"/>
    </row>
    <row r="1080" ht="24.75" customHeight="1" outlineLevel="1">
      <c r="A1080" s="551">
        <v>46153.0</v>
      </c>
      <c r="B1080" s="772" t="s">
        <v>489</v>
      </c>
      <c r="C1080" s="642" t="s">
        <v>1752</v>
      </c>
      <c r="D1080" s="742" t="s">
        <v>1800</v>
      </c>
      <c r="E1080" s="768" t="s">
        <v>1789</v>
      </c>
      <c r="F1080" s="758"/>
      <c r="G1080" s="758"/>
      <c r="H1080" s="758" t="s">
        <v>1753</v>
      </c>
      <c r="I1080" s="668"/>
      <c r="J1080" s="132"/>
      <c r="K1080" s="132"/>
      <c r="L1080" s="132"/>
      <c r="M1080" s="132"/>
      <c r="N1080" s="132"/>
      <c r="O1080" s="132"/>
      <c r="P1080" s="132"/>
      <c r="Q1080" s="132"/>
      <c r="R1080" s="132"/>
      <c r="S1080" s="132"/>
      <c r="T1080" s="132"/>
      <c r="U1080" s="132"/>
      <c r="V1080" s="132"/>
      <c r="W1080" s="132"/>
      <c r="X1080" s="132"/>
      <c r="Y1080" s="132"/>
      <c r="Z1080" s="132"/>
      <c r="AA1080" s="132"/>
      <c r="AB1080" s="132"/>
    </row>
    <row r="1081" ht="24.75" customHeight="1" outlineLevel="1">
      <c r="A1081" s="551">
        <v>46153.0</v>
      </c>
      <c r="B1081" s="772" t="s">
        <v>450</v>
      </c>
      <c r="C1081" s="642" t="s">
        <v>1259</v>
      </c>
      <c r="D1081" s="742" t="s">
        <v>1814</v>
      </c>
      <c r="E1081" s="771" t="s">
        <v>1795</v>
      </c>
      <c r="F1081" s="758"/>
      <c r="G1081" s="758"/>
      <c r="H1081" s="758" t="s">
        <v>1671</v>
      </c>
      <c r="I1081" s="668"/>
      <c r="J1081" s="132"/>
      <c r="K1081" s="132"/>
      <c r="L1081" s="132"/>
      <c r="M1081" s="132"/>
      <c r="N1081" s="132"/>
      <c r="O1081" s="132"/>
      <c r="P1081" s="132"/>
      <c r="Q1081" s="132"/>
      <c r="R1081" s="132"/>
      <c r="S1081" s="132"/>
      <c r="T1081" s="132"/>
      <c r="U1081" s="132"/>
      <c r="V1081" s="132"/>
      <c r="W1081" s="132"/>
      <c r="X1081" s="132"/>
      <c r="Y1081" s="132"/>
      <c r="Z1081" s="132"/>
      <c r="AA1081" s="132"/>
      <c r="AB1081" s="132"/>
    </row>
    <row r="1082" ht="24.75" customHeight="1" outlineLevel="1">
      <c r="A1082" s="551">
        <v>46153.0</v>
      </c>
      <c r="B1082" s="650" t="s">
        <v>1271</v>
      </c>
      <c r="C1082" s="755" t="s">
        <v>1724</v>
      </c>
      <c r="D1082" s="742" t="s">
        <v>1815</v>
      </c>
      <c r="E1082" s="790" t="s">
        <v>1798</v>
      </c>
      <c r="F1082" s="758"/>
      <c r="G1082" s="758"/>
      <c r="H1082" s="758" t="s">
        <v>1770</v>
      </c>
      <c r="I1082" s="175" t="s">
        <v>1675</v>
      </c>
      <c r="J1082" s="132"/>
      <c r="K1082" s="132"/>
      <c r="L1082" s="132"/>
      <c r="M1082" s="132"/>
      <c r="N1082" s="132"/>
      <c r="O1082" s="132"/>
      <c r="P1082" s="132"/>
      <c r="Q1082" s="132"/>
      <c r="R1082" s="132"/>
      <c r="S1082" s="132"/>
      <c r="T1082" s="132"/>
      <c r="U1082" s="132"/>
      <c r="V1082" s="132"/>
      <c r="W1082" s="132"/>
      <c r="X1082" s="132"/>
      <c r="Y1082" s="132"/>
      <c r="Z1082" s="132"/>
      <c r="AA1082" s="132"/>
      <c r="AB1082" s="132"/>
    </row>
    <row r="1083" ht="24.75" customHeight="1" outlineLevel="1">
      <c r="A1083" s="551">
        <v>46153.0</v>
      </c>
      <c r="B1083" s="650" t="s">
        <v>1274</v>
      </c>
      <c r="C1083" s="755" t="s">
        <v>1724</v>
      </c>
      <c r="D1083" s="742" t="s">
        <v>1815</v>
      </c>
      <c r="E1083" s="790" t="s">
        <v>1798</v>
      </c>
      <c r="F1083" s="758"/>
      <c r="G1083" s="758"/>
      <c r="H1083" s="758" t="s">
        <v>1770</v>
      </c>
      <c r="I1083" s="175" t="s">
        <v>1709</v>
      </c>
      <c r="J1083" s="132"/>
      <c r="K1083" s="132"/>
      <c r="L1083" s="132"/>
      <c r="M1083" s="132"/>
      <c r="N1083" s="132"/>
      <c r="O1083" s="132"/>
      <c r="P1083" s="132"/>
      <c r="Q1083" s="132"/>
      <c r="R1083" s="132"/>
      <c r="S1083" s="132"/>
      <c r="T1083" s="132"/>
      <c r="U1083" s="132"/>
      <c r="V1083" s="132"/>
      <c r="W1083" s="132"/>
      <c r="X1083" s="132"/>
      <c r="Y1083" s="132"/>
      <c r="Z1083" s="132"/>
      <c r="AA1083" s="132"/>
      <c r="AB1083" s="132"/>
    </row>
    <row r="1084" ht="24.75" customHeight="1" outlineLevel="1">
      <c r="A1084" s="551">
        <v>46153.0</v>
      </c>
      <c r="B1084" s="650" t="s">
        <v>629</v>
      </c>
      <c r="C1084" s="650" t="s">
        <v>1233</v>
      </c>
      <c r="D1084" s="650" t="s">
        <v>1319</v>
      </c>
      <c r="E1084" s="765" t="s">
        <v>1235</v>
      </c>
      <c r="F1084" s="758"/>
      <c r="G1084" s="758"/>
      <c r="H1084" s="773" t="s">
        <v>1320</v>
      </c>
      <c r="I1084" s="132"/>
      <c r="J1084" s="132"/>
      <c r="K1084" s="132"/>
      <c r="L1084" s="132"/>
      <c r="M1084" s="132"/>
      <c r="N1084" s="175" t="s">
        <v>1596</v>
      </c>
      <c r="O1084" s="132"/>
      <c r="P1084" s="132"/>
      <c r="Q1084" s="132"/>
      <c r="R1084" s="132"/>
      <c r="S1084" s="132"/>
      <c r="T1084" s="132"/>
      <c r="U1084" s="132"/>
      <c r="V1084" s="132"/>
      <c r="W1084" s="132"/>
      <c r="X1084" s="132"/>
      <c r="Y1084" s="132"/>
      <c r="Z1084" s="132"/>
      <c r="AA1084" s="132"/>
      <c r="AB1084" s="132"/>
    </row>
    <row r="1085" ht="24.75" customHeight="1" outlineLevel="1">
      <c r="A1085" s="551">
        <v>46154.0</v>
      </c>
      <c r="B1085" s="774" t="s">
        <v>1739</v>
      </c>
      <c r="C1085" s="775" t="s">
        <v>1233</v>
      </c>
      <c r="D1085" s="640" t="s">
        <v>1180</v>
      </c>
      <c r="E1085" s="765" t="s">
        <v>1235</v>
      </c>
      <c r="F1085" s="758"/>
      <c r="G1085" s="758"/>
      <c r="H1085" s="758" t="s">
        <v>1586</v>
      </c>
      <c r="I1085" s="175"/>
      <c r="J1085" s="132"/>
      <c r="K1085" s="132"/>
      <c r="L1085" s="132"/>
      <c r="M1085" s="132"/>
      <c r="N1085" s="175" t="s">
        <v>1599</v>
      </c>
      <c r="O1085" s="132"/>
      <c r="P1085" s="132"/>
      <c r="Q1085" s="132"/>
      <c r="R1085" s="132"/>
      <c r="S1085" s="132"/>
      <c r="T1085" s="132"/>
      <c r="U1085" s="132"/>
      <c r="V1085" s="132"/>
      <c r="W1085" s="132"/>
      <c r="X1085" s="132"/>
      <c r="Y1085" s="132"/>
      <c r="Z1085" s="132"/>
      <c r="AA1085" s="132"/>
      <c r="AB1085" s="132"/>
    </row>
    <row r="1086" ht="24.75" customHeight="1" outlineLevel="1">
      <c r="A1086" s="551">
        <v>46154.0</v>
      </c>
      <c r="B1086" s="775" t="s">
        <v>1232</v>
      </c>
      <c r="C1086" s="640" t="s">
        <v>1233</v>
      </c>
      <c r="D1086" s="640" t="s">
        <v>1180</v>
      </c>
      <c r="E1086" s="765" t="s">
        <v>1235</v>
      </c>
      <c r="F1086" s="758"/>
      <c r="G1086" s="758"/>
      <c r="H1086" s="758" t="s">
        <v>1584</v>
      </c>
      <c r="I1086" s="175"/>
      <c r="J1086" s="132"/>
      <c r="K1086" s="132"/>
      <c r="L1086" s="132"/>
      <c r="M1086" s="132"/>
      <c r="N1086" s="132"/>
      <c r="O1086" s="132"/>
      <c r="P1086" s="132"/>
      <c r="Q1086" s="132"/>
      <c r="R1086" s="132"/>
      <c r="S1086" s="132"/>
      <c r="T1086" s="132"/>
      <c r="U1086" s="132"/>
      <c r="V1086" s="132"/>
      <c r="W1086" s="132"/>
      <c r="X1086" s="132"/>
      <c r="Y1086" s="132"/>
      <c r="Z1086" s="132"/>
      <c r="AA1086" s="132"/>
      <c r="AB1086" s="132"/>
    </row>
    <row r="1087" ht="24.75" customHeight="1" outlineLevel="1">
      <c r="A1087" s="551">
        <v>46154.0</v>
      </c>
      <c r="B1087" s="775" t="s">
        <v>1325</v>
      </c>
      <c r="C1087" s="777" t="s">
        <v>1233</v>
      </c>
      <c r="D1087" s="775" t="s">
        <v>1319</v>
      </c>
      <c r="E1087" s="765" t="s">
        <v>1235</v>
      </c>
      <c r="F1087" s="758"/>
      <c r="G1087" s="758"/>
      <c r="H1087" s="758" t="s">
        <v>1754</v>
      </c>
      <c r="I1087" s="175"/>
      <c r="J1087" s="132"/>
      <c r="K1087" s="132"/>
      <c r="L1087" s="132"/>
      <c r="M1087" s="132"/>
      <c r="N1087" s="132"/>
      <c r="O1087" s="132"/>
      <c r="P1087" s="132"/>
      <c r="Q1087" s="132"/>
      <c r="R1087" s="132"/>
      <c r="S1087" s="132"/>
      <c r="T1087" s="132"/>
      <c r="U1087" s="132"/>
      <c r="V1087" s="132"/>
      <c r="W1087" s="132"/>
      <c r="X1087" s="132"/>
      <c r="Y1087" s="132"/>
      <c r="Z1087" s="132"/>
      <c r="AA1087" s="132"/>
      <c r="AB1087" s="132"/>
    </row>
    <row r="1088" ht="24.75" customHeight="1" outlineLevel="1">
      <c r="A1088" s="551">
        <v>46154.0</v>
      </c>
      <c r="B1088" s="775" t="s">
        <v>1755</v>
      </c>
      <c r="C1088" s="736" t="s">
        <v>1790</v>
      </c>
      <c r="D1088" s="794" t="s">
        <v>1816</v>
      </c>
      <c r="E1088" s="769" t="s">
        <v>1791</v>
      </c>
      <c r="F1088" s="758"/>
      <c r="G1088" s="758"/>
      <c r="H1088" s="758" t="s">
        <v>1756</v>
      </c>
      <c r="I1088" s="175"/>
      <c r="J1088" s="132"/>
      <c r="K1088" s="132"/>
      <c r="L1088" s="132"/>
      <c r="M1088" s="132"/>
      <c r="N1088" s="132"/>
      <c r="O1088" s="132"/>
      <c r="P1088" s="132"/>
      <c r="Q1088" s="132"/>
      <c r="R1088" s="132"/>
      <c r="S1088" s="132"/>
      <c r="T1088" s="132"/>
      <c r="U1088" s="132"/>
      <c r="V1088" s="132"/>
      <c r="W1088" s="132"/>
      <c r="X1088" s="132"/>
      <c r="Y1088" s="132"/>
      <c r="Z1088" s="132"/>
      <c r="AA1088" s="132"/>
      <c r="AB1088" s="132"/>
    </row>
    <row r="1089" ht="24.75" customHeight="1" outlineLevel="1">
      <c r="A1089" s="551">
        <v>46155.0</v>
      </c>
      <c r="B1089" s="775" t="s">
        <v>1759</v>
      </c>
      <c r="C1089" s="736" t="s">
        <v>1790</v>
      </c>
      <c r="D1089" s="605" t="s">
        <v>1805</v>
      </c>
      <c r="E1089" s="769" t="s">
        <v>1791</v>
      </c>
      <c r="F1089" s="758"/>
      <c r="G1089" s="759"/>
      <c r="H1089" s="758" t="s">
        <v>1756</v>
      </c>
      <c r="I1089" s="175"/>
      <c r="J1089" s="132"/>
      <c r="K1089" s="132"/>
      <c r="L1089" s="132"/>
      <c r="M1089" s="132"/>
      <c r="N1089" s="132"/>
      <c r="O1089" s="132"/>
      <c r="P1089" s="132"/>
      <c r="Q1089" s="132"/>
      <c r="R1089" s="132"/>
      <c r="S1089" s="132"/>
      <c r="T1089" s="132"/>
      <c r="U1089" s="132"/>
      <c r="V1089" s="132"/>
      <c r="W1089" s="132"/>
      <c r="X1089" s="132"/>
      <c r="Y1089" s="132"/>
      <c r="Z1089" s="132"/>
      <c r="AA1089" s="132"/>
      <c r="AB1089" s="132"/>
    </row>
    <row r="1090" ht="24.75" customHeight="1" outlineLevel="1">
      <c r="A1090" s="551">
        <v>46156.0</v>
      </c>
      <c r="B1090" s="775" t="s">
        <v>1762</v>
      </c>
      <c r="C1090" s="736" t="s">
        <v>1790</v>
      </c>
      <c r="D1090" s="605" t="s">
        <v>1805</v>
      </c>
      <c r="E1090" s="769" t="s">
        <v>1791</v>
      </c>
      <c r="F1090" s="758"/>
      <c r="G1090" s="759"/>
      <c r="H1090" s="758" t="s">
        <v>1756</v>
      </c>
      <c r="I1090" s="175"/>
      <c r="J1090" s="132"/>
      <c r="K1090" s="132"/>
      <c r="L1090" s="132"/>
      <c r="M1090" s="132"/>
      <c r="N1090" s="132"/>
      <c r="O1090" s="132"/>
      <c r="P1090" s="132"/>
      <c r="Q1090" s="132"/>
      <c r="R1090" s="132"/>
      <c r="S1090" s="132"/>
      <c r="T1090" s="132"/>
      <c r="U1090" s="132"/>
      <c r="V1090" s="132"/>
      <c r="W1090" s="132"/>
      <c r="X1090" s="132"/>
      <c r="Y1090" s="132"/>
      <c r="Z1090" s="132"/>
      <c r="AA1090" s="132"/>
      <c r="AB1090" s="132"/>
    </row>
    <row r="1091" ht="24.75" customHeight="1">
      <c r="A1091" s="797"/>
      <c r="B1091" s="798"/>
      <c r="C1091" s="798"/>
      <c r="D1091" s="798"/>
      <c r="E1091" s="498"/>
      <c r="F1091" s="758"/>
      <c r="G1091" s="758"/>
      <c r="H1091" s="773"/>
      <c r="I1091" s="132"/>
      <c r="J1091" s="132"/>
      <c r="K1091" s="132"/>
      <c r="L1091" s="132"/>
      <c r="M1091" s="132"/>
      <c r="N1091" s="132"/>
      <c r="O1091" s="132"/>
      <c r="P1091" s="132"/>
      <c r="Q1091" s="132"/>
      <c r="R1091" s="132"/>
      <c r="S1091" s="132"/>
      <c r="T1091" s="132"/>
      <c r="U1091" s="132"/>
      <c r="V1091" s="132"/>
      <c r="W1091" s="132"/>
      <c r="X1091" s="132"/>
      <c r="Y1091" s="132"/>
      <c r="Z1091" s="132"/>
      <c r="AA1091" s="132"/>
      <c r="AB1091" s="132"/>
      <c r="AC1091" s="132"/>
    </row>
    <row r="1092" ht="24.75" customHeight="1">
      <c r="A1092" s="797"/>
      <c r="B1092" s="798"/>
      <c r="C1092" s="798"/>
      <c r="D1092" s="798"/>
      <c r="E1092" s="498"/>
      <c r="F1092" s="758"/>
      <c r="G1092" s="758"/>
      <c r="H1092" s="773"/>
      <c r="I1092" s="132"/>
      <c r="J1092" s="132"/>
      <c r="K1092" s="132"/>
      <c r="L1092" s="132"/>
      <c r="M1092" s="132"/>
      <c r="N1092" s="132"/>
      <c r="O1092" s="132"/>
      <c r="P1092" s="132"/>
      <c r="Q1092" s="132"/>
      <c r="R1092" s="132"/>
      <c r="S1092" s="132"/>
      <c r="T1092" s="132"/>
      <c r="U1092" s="132"/>
      <c r="V1092" s="132"/>
      <c r="W1092" s="132"/>
      <c r="X1092" s="132"/>
      <c r="Y1092" s="132"/>
      <c r="Z1092" s="132"/>
      <c r="AA1092" s="132"/>
      <c r="AB1092" s="132"/>
      <c r="AC1092" s="132"/>
    </row>
    <row r="1093" ht="24.75" customHeight="1">
      <c r="A1093" s="797"/>
      <c r="B1093" s="798"/>
      <c r="C1093" s="798"/>
      <c r="D1093" s="798"/>
      <c r="E1093" s="498"/>
      <c r="F1093" s="758"/>
      <c r="G1093" s="758"/>
      <c r="H1093" s="773"/>
      <c r="I1093" s="132"/>
      <c r="J1093" s="132"/>
      <c r="K1093" s="132"/>
      <c r="L1093" s="132"/>
      <c r="M1093" s="132"/>
      <c r="N1093" s="132"/>
      <c r="O1093" s="132"/>
      <c r="P1093" s="132"/>
      <c r="Q1093" s="132"/>
      <c r="R1093" s="132"/>
      <c r="S1093" s="132"/>
      <c r="T1093" s="132"/>
      <c r="U1093" s="132"/>
      <c r="V1093" s="132"/>
      <c r="W1093" s="132"/>
      <c r="X1093" s="132"/>
      <c r="Y1093" s="132"/>
      <c r="Z1093" s="132"/>
      <c r="AA1093" s="132"/>
      <c r="AB1093" s="132"/>
      <c r="AC1093" s="132"/>
    </row>
    <row r="1094" ht="24.75" customHeight="1">
      <c r="A1094" s="797"/>
      <c r="B1094" s="798"/>
      <c r="C1094" s="798"/>
      <c r="D1094" s="798"/>
      <c r="E1094" s="498"/>
      <c r="F1094" s="758"/>
      <c r="G1094" s="758"/>
      <c r="H1094" s="773"/>
      <c r="I1094" s="132"/>
      <c r="J1094" s="132"/>
      <c r="K1094" s="132"/>
      <c r="L1094" s="132"/>
      <c r="M1094" s="132"/>
      <c r="N1094" s="132"/>
      <c r="O1094" s="132"/>
      <c r="P1094" s="132"/>
      <c r="Q1094" s="132"/>
      <c r="R1094" s="132"/>
      <c r="S1094" s="132"/>
      <c r="T1094" s="132"/>
      <c r="U1094" s="132"/>
      <c r="V1094" s="132"/>
      <c r="W1094" s="132"/>
      <c r="X1094" s="132"/>
      <c r="Y1094" s="132"/>
      <c r="Z1094" s="132"/>
      <c r="AA1094" s="132"/>
      <c r="AB1094" s="132"/>
      <c r="AC1094" s="132"/>
    </row>
    <row r="1095" ht="24.75" customHeight="1">
      <c r="A1095" s="797"/>
      <c r="B1095" s="798"/>
      <c r="C1095" s="798"/>
      <c r="D1095" s="798"/>
      <c r="E1095" s="498"/>
      <c r="F1095" s="758"/>
      <c r="G1095" s="758"/>
      <c r="H1095" s="773"/>
      <c r="I1095" s="132"/>
      <c r="J1095" s="132"/>
      <c r="K1095" s="132"/>
      <c r="L1095" s="132"/>
      <c r="M1095" s="132"/>
      <c r="N1095" s="132"/>
      <c r="O1095" s="132"/>
      <c r="P1095" s="132"/>
      <c r="Q1095" s="132"/>
      <c r="R1095" s="132"/>
      <c r="S1095" s="132"/>
      <c r="T1095" s="132"/>
      <c r="U1095" s="132"/>
      <c r="V1095" s="132"/>
      <c r="W1095" s="132"/>
      <c r="X1095" s="132"/>
      <c r="Y1095" s="132"/>
      <c r="Z1095" s="132"/>
      <c r="AA1095" s="132"/>
      <c r="AB1095" s="132"/>
      <c r="AC1095" s="132"/>
    </row>
    <row r="1096" ht="24.75" customHeight="1">
      <c r="A1096" s="797"/>
      <c r="B1096" s="798"/>
      <c r="C1096" s="798"/>
      <c r="D1096" s="798"/>
      <c r="E1096" s="498"/>
      <c r="F1096" s="758"/>
      <c r="G1096" s="758"/>
      <c r="H1096" s="773"/>
      <c r="I1096" s="132"/>
      <c r="J1096" s="132"/>
      <c r="K1096" s="132"/>
      <c r="L1096" s="132"/>
      <c r="M1096" s="132"/>
      <c r="N1096" s="132"/>
      <c r="O1096" s="132"/>
      <c r="P1096" s="132"/>
      <c r="Q1096" s="132"/>
      <c r="R1096" s="132"/>
      <c r="S1096" s="132"/>
      <c r="T1096" s="132"/>
      <c r="U1096" s="132"/>
      <c r="V1096" s="132"/>
      <c r="W1096" s="132"/>
      <c r="X1096" s="132"/>
      <c r="Y1096" s="132"/>
      <c r="Z1096" s="132"/>
      <c r="AA1096" s="132"/>
      <c r="AB1096" s="132"/>
      <c r="AC1096" s="132"/>
    </row>
    <row r="1097" ht="24.75" customHeight="1">
      <c r="A1097" s="797"/>
      <c r="B1097" s="798"/>
      <c r="C1097" s="798"/>
      <c r="D1097" s="798"/>
      <c r="E1097" s="498"/>
      <c r="F1097" s="758"/>
      <c r="G1097" s="758"/>
      <c r="H1097" s="773"/>
      <c r="I1097" s="132"/>
      <c r="J1097" s="132"/>
      <c r="K1097" s="132"/>
      <c r="L1097" s="132"/>
      <c r="M1097" s="132"/>
      <c r="N1097" s="132"/>
      <c r="O1097" s="132"/>
      <c r="P1097" s="132"/>
      <c r="Q1097" s="132"/>
      <c r="R1097" s="132"/>
      <c r="S1097" s="132"/>
      <c r="T1097" s="132"/>
      <c r="U1097" s="132"/>
      <c r="V1097" s="132"/>
      <c r="W1097" s="132"/>
      <c r="X1097" s="132"/>
      <c r="Y1097" s="132"/>
      <c r="Z1097" s="132"/>
      <c r="AA1097" s="132"/>
      <c r="AB1097" s="132"/>
      <c r="AC1097" s="132"/>
    </row>
    <row r="1098" ht="24.75" customHeight="1">
      <c r="A1098" s="797"/>
      <c r="B1098" s="798"/>
      <c r="C1098" s="798"/>
      <c r="D1098" s="798"/>
      <c r="E1098" s="498"/>
      <c r="F1098" s="758"/>
      <c r="G1098" s="758"/>
      <c r="H1098" s="773"/>
      <c r="I1098" s="132"/>
      <c r="J1098" s="132"/>
      <c r="K1098" s="132"/>
      <c r="L1098" s="132"/>
      <c r="M1098" s="132"/>
      <c r="N1098" s="132"/>
      <c r="O1098" s="132"/>
      <c r="P1098" s="132"/>
      <c r="Q1098" s="132"/>
      <c r="R1098" s="132"/>
      <c r="S1098" s="132"/>
      <c r="T1098" s="132"/>
      <c r="U1098" s="132"/>
      <c r="V1098" s="132"/>
      <c r="W1098" s="132"/>
      <c r="X1098" s="132"/>
      <c r="Y1098" s="132"/>
      <c r="Z1098" s="132"/>
      <c r="AA1098" s="132"/>
      <c r="AB1098" s="132"/>
      <c r="AC1098" s="132"/>
    </row>
    <row r="1099" ht="24.75" customHeight="1">
      <c r="A1099" s="797"/>
      <c r="B1099" s="798"/>
      <c r="C1099" s="798"/>
      <c r="D1099" s="798"/>
      <c r="E1099" s="498"/>
      <c r="F1099" s="758"/>
      <c r="G1099" s="758"/>
      <c r="H1099" s="773"/>
      <c r="I1099" s="132"/>
      <c r="J1099" s="132"/>
      <c r="K1099" s="132"/>
      <c r="L1099" s="132"/>
      <c r="M1099" s="132"/>
      <c r="N1099" s="132"/>
      <c r="O1099" s="132"/>
      <c r="P1099" s="132"/>
      <c r="Q1099" s="132"/>
      <c r="R1099" s="132"/>
      <c r="S1099" s="132"/>
      <c r="T1099" s="132"/>
      <c r="U1099" s="132"/>
      <c r="V1099" s="132"/>
      <c r="W1099" s="132"/>
      <c r="X1099" s="132"/>
      <c r="Y1099" s="132"/>
      <c r="Z1099" s="132"/>
      <c r="AA1099" s="132"/>
      <c r="AB1099" s="132"/>
      <c r="AC1099" s="132"/>
    </row>
    <row r="1100" ht="24.75" customHeight="1">
      <c r="A1100" s="797"/>
      <c r="B1100" s="798"/>
      <c r="C1100" s="798"/>
      <c r="D1100" s="798"/>
      <c r="E1100" s="498"/>
      <c r="F1100" s="758"/>
      <c r="G1100" s="758"/>
      <c r="H1100" s="773"/>
      <c r="I1100" s="132"/>
      <c r="J1100" s="132"/>
      <c r="K1100" s="132"/>
      <c r="L1100" s="132"/>
      <c r="M1100" s="132"/>
      <c r="N1100" s="132"/>
      <c r="O1100" s="132"/>
      <c r="P1100" s="132"/>
      <c r="Q1100" s="132"/>
      <c r="R1100" s="132"/>
      <c r="S1100" s="132"/>
      <c r="T1100" s="132"/>
      <c r="U1100" s="132"/>
      <c r="V1100" s="132"/>
      <c r="W1100" s="132"/>
      <c r="X1100" s="132"/>
      <c r="Y1100" s="132"/>
      <c r="Z1100" s="132"/>
      <c r="AA1100" s="132"/>
      <c r="AB1100" s="132"/>
      <c r="AC1100" s="132"/>
    </row>
    <row r="1101" ht="24.75" customHeight="1">
      <c r="A1101" s="797"/>
      <c r="B1101" s="798"/>
      <c r="C1101" s="798"/>
      <c r="D1101" s="798"/>
      <c r="E1101" s="498"/>
      <c r="F1101" s="758"/>
      <c r="G1101" s="758"/>
      <c r="H1101" s="773"/>
      <c r="I1101" s="132"/>
      <c r="J1101" s="132"/>
      <c r="K1101" s="132"/>
      <c r="L1101" s="132"/>
      <c r="M1101" s="132"/>
      <c r="N1101" s="132"/>
      <c r="O1101" s="132"/>
      <c r="P1101" s="132"/>
      <c r="Q1101" s="132"/>
      <c r="R1101" s="132"/>
      <c r="S1101" s="132"/>
      <c r="T1101" s="132"/>
      <c r="U1101" s="132"/>
      <c r="V1101" s="132"/>
      <c r="W1101" s="132"/>
      <c r="X1101" s="132"/>
      <c r="Y1101" s="132"/>
      <c r="Z1101" s="132"/>
      <c r="AA1101" s="132"/>
      <c r="AB1101" s="132"/>
      <c r="AC1101" s="132"/>
    </row>
    <row r="1102" ht="24.75" customHeight="1">
      <c r="A1102" s="797"/>
      <c r="B1102" s="798"/>
      <c r="C1102" s="798"/>
      <c r="D1102" s="798"/>
      <c r="E1102" s="498"/>
      <c r="F1102" s="758"/>
      <c r="G1102" s="758"/>
      <c r="H1102" s="773"/>
      <c r="I1102" s="132"/>
      <c r="J1102" s="132"/>
      <c r="K1102" s="132"/>
      <c r="L1102" s="132"/>
      <c r="M1102" s="132"/>
      <c r="N1102" s="132"/>
      <c r="O1102" s="132"/>
      <c r="P1102" s="132"/>
      <c r="Q1102" s="132"/>
      <c r="R1102" s="132"/>
      <c r="S1102" s="132"/>
      <c r="T1102" s="132"/>
      <c r="U1102" s="132"/>
      <c r="V1102" s="132"/>
      <c r="W1102" s="132"/>
      <c r="X1102" s="132"/>
      <c r="Y1102" s="132"/>
      <c r="Z1102" s="132"/>
      <c r="AA1102" s="132"/>
      <c r="AB1102" s="132"/>
      <c r="AC1102" s="132"/>
    </row>
    <row r="1103" ht="24.75" customHeight="1">
      <c r="A1103" s="797"/>
      <c r="B1103" s="798"/>
      <c r="C1103" s="798"/>
      <c r="D1103" s="798"/>
      <c r="E1103" s="498"/>
      <c r="F1103" s="758"/>
      <c r="G1103" s="758"/>
      <c r="H1103" s="773"/>
      <c r="I1103" s="132"/>
      <c r="J1103" s="132"/>
      <c r="K1103" s="132"/>
      <c r="L1103" s="132"/>
      <c r="M1103" s="132"/>
      <c r="N1103" s="132"/>
      <c r="O1103" s="132"/>
      <c r="P1103" s="132"/>
      <c r="Q1103" s="132"/>
      <c r="R1103" s="132"/>
      <c r="S1103" s="132"/>
      <c r="T1103" s="132"/>
      <c r="U1103" s="132"/>
      <c r="V1103" s="132"/>
      <c r="W1103" s="132"/>
      <c r="X1103" s="132"/>
      <c r="Y1103" s="132"/>
      <c r="Z1103" s="132"/>
      <c r="AA1103" s="132"/>
      <c r="AB1103" s="132"/>
      <c r="AC1103" s="132"/>
    </row>
    <row r="1104" ht="24.75" customHeight="1">
      <c r="A1104" s="797"/>
      <c r="B1104" s="798"/>
      <c r="C1104" s="798"/>
      <c r="D1104" s="798"/>
      <c r="E1104" s="498"/>
      <c r="F1104" s="758"/>
      <c r="G1104" s="758"/>
      <c r="H1104" s="773"/>
      <c r="I1104" s="132"/>
      <c r="J1104" s="132"/>
      <c r="K1104" s="132"/>
      <c r="L1104" s="132"/>
      <c r="M1104" s="132"/>
      <c r="N1104" s="132"/>
      <c r="O1104" s="132"/>
      <c r="P1104" s="132"/>
      <c r="Q1104" s="132"/>
      <c r="R1104" s="132"/>
      <c r="S1104" s="132"/>
      <c r="T1104" s="132"/>
      <c r="U1104" s="132"/>
      <c r="V1104" s="132"/>
      <c r="W1104" s="132"/>
      <c r="X1104" s="132"/>
      <c r="Y1104" s="132"/>
      <c r="Z1104" s="132"/>
      <c r="AA1104" s="132"/>
      <c r="AB1104" s="132"/>
      <c r="AC1104" s="132"/>
    </row>
    <row r="1105" ht="24.75" customHeight="1">
      <c r="A1105" s="797"/>
      <c r="B1105" s="798"/>
      <c r="C1105" s="798"/>
      <c r="D1105" s="798"/>
      <c r="E1105" s="498"/>
      <c r="F1105" s="758"/>
      <c r="G1105" s="758"/>
      <c r="H1105" s="773"/>
      <c r="I1105" s="132"/>
      <c r="J1105" s="132"/>
      <c r="K1105" s="132"/>
      <c r="L1105" s="132"/>
      <c r="M1105" s="132"/>
      <c r="N1105" s="132"/>
      <c r="O1105" s="132"/>
      <c r="P1105" s="132"/>
      <c r="Q1105" s="132"/>
      <c r="R1105" s="132"/>
      <c r="S1105" s="132"/>
      <c r="T1105" s="132"/>
      <c r="U1105" s="132"/>
      <c r="V1105" s="132"/>
      <c r="W1105" s="132"/>
      <c r="X1105" s="132"/>
      <c r="Y1105" s="132"/>
      <c r="Z1105" s="132"/>
      <c r="AA1105" s="132"/>
      <c r="AB1105" s="132"/>
      <c r="AC1105" s="132"/>
    </row>
    <row r="1106" ht="24.75" customHeight="1">
      <c r="A1106" s="797"/>
      <c r="B1106" s="798"/>
      <c r="C1106" s="798"/>
      <c r="D1106" s="798"/>
      <c r="E1106" s="498"/>
      <c r="F1106" s="758"/>
      <c r="G1106" s="758"/>
      <c r="H1106" s="773"/>
      <c r="I1106" s="132"/>
      <c r="J1106" s="132"/>
      <c r="K1106" s="132"/>
      <c r="L1106" s="132"/>
      <c r="M1106" s="132"/>
      <c r="N1106" s="132"/>
      <c r="O1106" s="132"/>
      <c r="P1106" s="132"/>
      <c r="Q1106" s="132"/>
      <c r="R1106" s="132"/>
      <c r="S1106" s="132"/>
      <c r="T1106" s="132"/>
      <c r="U1106" s="132"/>
      <c r="V1106" s="132"/>
      <c r="W1106" s="132"/>
      <c r="X1106" s="132"/>
      <c r="Y1106" s="132"/>
      <c r="Z1106" s="132"/>
      <c r="AA1106" s="132"/>
      <c r="AB1106" s="132"/>
      <c r="AC1106" s="132"/>
    </row>
    <row r="1107" ht="24.75" customHeight="1">
      <c r="A1107" s="797"/>
      <c r="B1107" s="798"/>
      <c r="C1107" s="798"/>
      <c r="D1107" s="798"/>
      <c r="E1107" s="498"/>
      <c r="F1107" s="758"/>
      <c r="G1107" s="758"/>
      <c r="H1107" s="773"/>
      <c r="I1107" s="132"/>
      <c r="J1107" s="132"/>
      <c r="K1107" s="132"/>
      <c r="L1107" s="132"/>
      <c r="M1107" s="132"/>
      <c r="N1107" s="132"/>
      <c r="O1107" s="132"/>
      <c r="P1107" s="132"/>
      <c r="Q1107" s="132"/>
      <c r="R1107" s="132"/>
      <c r="S1107" s="132"/>
      <c r="T1107" s="132"/>
      <c r="U1107" s="132"/>
      <c r="V1107" s="132"/>
      <c r="W1107" s="132"/>
      <c r="X1107" s="132"/>
      <c r="Y1107" s="132"/>
      <c r="Z1107" s="132"/>
      <c r="AA1107" s="132"/>
      <c r="AB1107" s="132"/>
      <c r="AC1107" s="132"/>
    </row>
    <row r="1108" ht="24.75" customHeight="1">
      <c r="A1108" s="797"/>
      <c r="B1108" s="798"/>
      <c r="C1108" s="798"/>
      <c r="D1108" s="798"/>
      <c r="E1108" s="498"/>
      <c r="F1108" s="758"/>
      <c r="G1108" s="758"/>
      <c r="H1108" s="773"/>
      <c r="I1108" s="132"/>
      <c r="J1108" s="132"/>
      <c r="K1108" s="132"/>
      <c r="L1108" s="132"/>
      <c r="M1108" s="132"/>
      <c r="N1108" s="132"/>
      <c r="O1108" s="132"/>
      <c r="P1108" s="132"/>
      <c r="Q1108" s="132"/>
      <c r="R1108" s="132"/>
      <c r="S1108" s="132"/>
      <c r="T1108" s="132"/>
      <c r="U1108" s="132"/>
      <c r="V1108" s="132"/>
      <c r="W1108" s="132"/>
      <c r="X1108" s="132"/>
      <c r="Y1108" s="132"/>
      <c r="Z1108" s="132"/>
      <c r="AA1108" s="132"/>
      <c r="AB1108" s="132"/>
      <c r="AC1108" s="132"/>
    </row>
    <row r="1109" ht="24.75" customHeight="1">
      <c r="A1109" s="797"/>
      <c r="B1109" s="798"/>
      <c r="C1109" s="798"/>
      <c r="D1109" s="798"/>
      <c r="E1109" s="498"/>
      <c r="F1109" s="758"/>
      <c r="G1109" s="758"/>
      <c r="H1109" s="773"/>
      <c r="I1109" s="132"/>
      <c r="J1109" s="132"/>
      <c r="K1109" s="132"/>
      <c r="L1109" s="132"/>
      <c r="M1109" s="132"/>
      <c r="N1109" s="132"/>
      <c r="O1109" s="132"/>
      <c r="P1109" s="132"/>
      <c r="Q1109" s="132"/>
      <c r="R1109" s="132"/>
      <c r="S1109" s="132"/>
      <c r="T1109" s="132"/>
      <c r="U1109" s="132"/>
      <c r="V1109" s="132"/>
      <c r="W1109" s="132"/>
      <c r="X1109" s="132"/>
      <c r="Y1109" s="132"/>
      <c r="Z1109" s="132"/>
      <c r="AA1109" s="132"/>
      <c r="AB1109" s="132"/>
      <c r="AC1109" s="132"/>
    </row>
    <row r="1110" ht="24.75" customHeight="1">
      <c r="A1110" s="797"/>
      <c r="B1110" s="798"/>
      <c r="C1110" s="798"/>
      <c r="D1110" s="798"/>
      <c r="E1110" s="498"/>
      <c r="F1110" s="758"/>
      <c r="G1110" s="758"/>
      <c r="H1110" s="773"/>
      <c r="I1110" s="132"/>
      <c r="J1110" s="132"/>
      <c r="K1110" s="132"/>
      <c r="L1110" s="132"/>
      <c r="M1110" s="132"/>
      <c r="N1110" s="132"/>
      <c r="O1110" s="132"/>
      <c r="P1110" s="132"/>
      <c r="Q1110" s="132"/>
      <c r="R1110" s="132"/>
      <c r="S1110" s="132"/>
      <c r="T1110" s="132"/>
      <c r="U1110" s="132"/>
      <c r="V1110" s="132"/>
      <c r="W1110" s="132"/>
      <c r="X1110" s="132"/>
      <c r="Y1110" s="132"/>
      <c r="Z1110" s="132"/>
      <c r="AA1110" s="132"/>
      <c r="AB1110" s="132"/>
      <c r="AC1110" s="132"/>
    </row>
    <row r="1111" ht="24.75" customHeight="1">
      <c r="A1111" s="797"/>
      <c r="B1111" s="798"/>
      <c r="C1111" s="798"/>
      <c r="D1111" s="798"/>
      <c r="E1111" s="498"/>
      <c r="F1111" s="758"/>
      <c r="G1111" s="758"/>
      <c r="H1111" s="773"/>
      <c r="I1111" s="132"/>
      <c r="J1111" s="132"/>
      <c r="K1111" s="132"/>
      <c r="L1111" s="132"/>
      <c r="M1111" s="132"/>
      <c r="N1111" s="132"/>
      <c r="O1111" s="132"/>
      <c r="P1111" s="132"/>
      <c r="Q1111" s="132"/>
      <c r="R1111" s="132"/>
      <c r="S1111" s="132"/>
      <c r="T1111" s="132"/>
      <c r="U1111" s="132"/>
      <c r="V1111" s="132"/>
      <c r="W1111" s="132"/>
      <c r="X1111" s="132"/>
      <c r="Y1111" s="132"/>
      <c r="Z1111" s="132"/>
      <c r="AA1111" s="132"/>
      <c r="AB1111" s="132"/>
      <c r="AC1111" s="132"/>
    </row>
    <row r="1112" ht="24.75" customHeight="1">
      <c r="A1112" s="797"/>
      <c r="B1112" s="798"/>
      <c r="C1112" s="798"/>
      <c r="D1112" s="798"/>
      <c r="E1112" s="498"/>
      <c r="F1112" s="758"/>
      <c r="G1112" s="758"/>
      <c r="H1112" s="773"/>
      <c r="I1112" s="132"/>
      <c r="J1112" s="132"/>
      <c r="K1112" s="132"/>
      <c r="L1112" s="132"/>
      <c r="M1112" s="132"/>
      <c r="N1112" s="132"/>
      <c r="O1112" s="132"/>
      <c r="P1112" s="132"/>
      <c r="Q1112" s="132"/>
      <c r="R1112" s="132"/>
      <c r="S1112" s="132"/>
      <c r="T1112" s="132"/>
      <c r="U1112" s="132"/>
      <c r="V1112" s="132"/>
      <c r="W1112" s="132"/>
      <c r="X1112" s="132"/>
      <c r="Y1112" s="132"/>
      <c r="Z1112" s="132"/>
      <c r="AA1112" s="132"/>
      <c r="AB1112" s="132"/>
      <c r="AC1112" s="132"/>
    </row>
    <row r="1113" ht="24.75" customHeight="1">
      <c r="A1113" s="797"/>
      <c r="B1113" s="798"/>
      <c r="C1113" s="798"/>
      <c r="D1113" s="798"/>
      <c r="E1113" s="498"/>
      <c r="F1113" s="758"/>
      <c r="G1113" s="758"/>
      <c r="H1113" s="773"/>
      <c r="I1113" s="132"/>
      <c r="J1113" s="132"/>
      <c r="K1113" s="132"/>
      <c r="L1113" s="132"/>
      <c r="M1113" s="132"/>
      <c r="N1113" s="132"/>
      <c r="O1113" s="132"/>
      <c r="P1113" s="132"/>
      <c r="Q1113" s="132"/>
      <c r="R1113" s="132"/>
      <c r="S1113" s="132"/>
      <c r="T1113" s="132"/>
      <c r="U1113" s="132"/>
      <c r="V1113" s="132"/>
      <c r="W1113" s="132"/>
      <c r="X1113" s="132"/>
      <c r="Y1113" s="132"/>
      <c r="Z1113" s="132"/>
      <c r="AA1113" s="132"/>
      <c r="AB1113" s="132"/>
      <c r="AC1113" s="132"/>
    </row>
    <row r="1114" ht="24.75" customHeight="1">
      <c r="A1114" s="797"/>
      <c r="B1114" s="798"/>
      <c r="C1114" s="798"/>
      <c r="D1114" s="798"/>
      <c r="E1114" s="498"/>
      <c r="F1114" s="758"/>
      <c r="G1114" s="758"/>
      <c r="H1114" s="773"/>
      <c r="I1114" s="132"/>
      <c r="J1114" s="132"/>
      <c r="K1114" s="132"/>
      <c r="L1114" s="132"/>
      <c r="M1114" s="132"/>
      <c r="N1114" s="132"/>
      <c r="O1114" s="132"/>
      <c r="P1114" s="132"/>
      <c r="Q1114" s="132"/>
      <c r="R1114" s="132"/>
      <c r="S1114" s="132"/>
      <c r="T1114" s="132"/>
      <c r="U1114" s="132"/>
      <c r="V1114" s="132"/>
      <c r="W1114" s="132"/>
      <c r="X1114" s="132"/>
      <c r="Y1114" s="132"/>
      <c r="Z1114" s="132"/>
      <c r="AA1114" s="132"/>
      <c r="AB1114" s="132"/>
      <c r="AC1114" s="132"/>
    </row>
    <row r="1115" ht="24.75" customHeight="1">
      <c r="A1115" s="797"/>
      <c r="B1115" s="798"/>
      <c r="C1115" s="798"/>
      <c r="D1115" s="798"/>
      <c r="E1115" s="498"/>
      <c r="F1115" s="758"/>
      <c r="G1115" s="758"/>
      <c r="H1115" s="773"/>
      <c r="I1115" s="132"/>
      <c r="J1115" s="132"/>
      <c r="K1115" s="132"/>
      <c r="L1115" s="132"/>
      <c r="M1115" s="132"/>
      <c r="N1115" s="132"/>
      <c r="O1115" s="132"/>
      <c r="P1115" s="132"/>
      <c r="Q1115" s="132"/>
      <c r="R1115" s="132"/>
      <c r="S1115" s="132"/>
      <c r="T1115" s="132"/>
      <c r="U1115" s="132"/>
      <c r="V1115" s="132"/>
      <c r="W1115" s="132"/>
      <c r="X1115" s="132"/>
      <c r="Y1115" s="132"/>
      <c r="Z1115" s="132"/>
      <c r="AA1115" s="132"/>
      <c r="AB1115" s="132"/>
      <c r="AC1115" s="132"/>
    </row>
    <row r="1116" ht="24.75" customHeight="1">
      <c r="A1116" s="797"/>
      <c r="B1116" s="798"/>
      <c r="C1116" s="798"/>
      <c r="D1116" s="798"/>
      <c r="E1116" s="498"/>
      <c r="F1116" s="758"/>
      <c r="G1116" s="758"/>
      <c r="H1116" s="773"/>
      <c r="I1116" s="132"/>
      <c r="J1116" s="132"/>
      <c r="K1116" s="132"/>
      <c r="L1116" s="132"/>
      <c r="M1116" s="132"/>
      <c r="N1116" s="132"/>
      <c r="O1116" s="132"/>
      <c r="P1116" s="132"/>
      <c r="Q1116" s="132"/>
      <c r="R1116" s="132"/>
      <c r="S1116" s="132"/>
      <c r="T1116" s="132"/>
      <c r="U1116" s="132"/>
      <c r="V1116" s="132"/>
      <c r="W1116" s="132"/>
      <c r="X1116" s="132"/>
      <c r="Y1116" s="132"/>
      <c r="Z1116" s="132"/>
      <c r="AA1116" s="132"/>
      <c r="AB1116" s="132"/>
      <c r="AC1116" s="132"/>
    </row>
    <row r="1117" ht="24.75" customHeight="1">
      <c r="A1117" s="797"/>
      <c r="B1117" s="798"/>
      <c r="C1117" s="798"/>
      <c r="D1117" s="798"/>
      <c r="E1117" s="498"/>
      <c r="F1117" s="758"/>
      <c r="G1117" s="758"/>
      <c r="H1117" s="773"/>
      <c r="I1117" s="132"/>
      <c r="J1117" s="132"/>
      <c r="K1117" s="132"/>
      <c r="L1117" s="132"/>
      <c r="M1117" s="132"/>
      <c r="N1117" s="132"/>
      <c r="O1117" s="132"/>
      <c r="P1117" s="132"/>
      <c r="Q1117" s="132"/>
      <c r="R1117" s="132"/>
      <c r="S1117" s="132"/>
      <c r="T1117" s="132"/>
      <c r="U1117" s="132"/>
      <c r="V1117" s="132"/>
      <c r="W1117" s="132"/>
      <c r="X1117" s="132"/>
      <c r="Y1117" s="132"/>
      <c r="Z1117" s="132"/>
      <c r="AA1117" s="132"/>
      <c r="AB1117" s="132"/>
      <c r="AC1117" s="132"/>
    </row>
    <row r="1118" ht="24.75" customHeight="1">
      <c r="A1118" s="797"/>
      <c r="B1118" s="798"/>
      <c r="C1118" s="798"/>
      <c r="D1118" s="798"/>
      <c r="E1118" s="498"/>
      <c r="F1118" s="758"/>
      <c r="G1118" s="758"/>
      <c r="H1118" s="773"/>
      <c r="I1118" s="132"/>
      <c r="J1118" s="132"/>
      <c r="K1118" s="132"/>
      <c r="L1118" s="132"/>
      <c r="M1118" s="132"/>
      <c r="N1118" s="132"/>
      <c r="O1118" s="132"/>
      <c r="P1118" s="132"/>
      <c r="Q1118" s="132"/>
      <c r="R1118" s="132"/>
      <c r="S1118" s="132"/>
      <c r="T1118" s="132"/>
      <c r="U1118" s="132"/>
      <c r="V1118" s="132"/>
      <c r="W1118" s="132"/>
      <c r="X1118" s="132"/>
      <c r="Y1118" s="132"/>
      <c r="Z1118" s="132"/>
      <c r="AA1118" s="132"/>
      <c r="AB1118" s="132"/>
      <c r="AC1118" s="132"/>
    </row>
    <row r="1119" ht="24.75" customHeight="1">
      <c r="A1119" s="797"/>
      <c r="B1119" s="798"/>
      <c r="C1119" s="798"/>
      <c r="D1119" s="798"/>
      <c r="E1119" s="498"/>
      <c r="F1119" s="758"/>
      <c r="G1119" s="758"/>
      <c r="H1119" s="773"/>
      <c r="I1119" s="132"/>
      <c r="J1119" s="132"/>
      <c r="K1119" s="132"/>
      <c r="L1119" s="132"/>
      <c r="M1119" s="132"/>
      <c r="N1119" s="132"/>
      <c r="O1119" s="132"/>
      <c r="P1119" s="132"/>
      <c r="Q1119" s="132"/>
      <c r="R1119" s="132"/>
      <c r="S1119" s="132"/>
      <c r="T1119" s="132"/>
      <c r="U1119" s="132"/>
      <c r="V1119" s="132"/>
      <c r="W1119" s="132"/>
      <c r="X1119" s="132"/>
      <c r="Y1119" s="132"/>
      <c r="Z1119" s="132"/>
      <c r="AA1119" s="132"/>
      <c r="AB1119" s="132"/>
      <c r="AC1119" s="132"/>
    </row>
    <row r="1120" ht="24.75" customHeight="1">
      <c r="A1120" s="797"/>
      <c r="B1120" s="798"/>
      <c r="C1120" s="798"/>
      <c r="D1120" s="798"/>
      <c r="E1120" s="498"/>
      <c r="F1120" s="758"/>
      <c r="G1120" s="758"/>
      <c r="H1120" s="773"/>
      <c r="I1120" s="132"/>
      <c r="J1120" s="132"/>
      <c r="K1120" s="132"/>
      <c r="L1120" s="132"/>
      <c r="M1120" s="132"/>
      <c r="N1120" s="132"/>
      <c r="O1120" s="132"/>
      <c r="P1120" s="132"/>
      <c r="Q1120" s="132"/>
      <c r="R1120" s="132"/>
      <c r="S1120" s="132"/>
      <c r="T1120" s="132"/>
      <c r="U1120" s="132"/>
      <c r="V1120" s="132"/>
      <c r="W1120" s="132"/>
      <c r="X1120" s="132"/>
      <c r="Y1120" s="132"/>
      <c r="Z1120" s="132"/>
      <c r="AA1120" s="132"/>
      <c r="AB1120" s="132"/>
      <c r="AC1120" s="132"/>
    </row>
    <row r="1121" ht="24.75" customHeight="1">
      <c r="A1121" s="797"/>
      <c r="B1121" s="798"/>
      <c r="C1121" s="798"/>
      <c r="D1121" s="798"/>
      <c r="E1121" s="498"/>
      <c r="F1121" s="758"/>
      <c r="G1121" s="758"/>
      <c r="H1121" s="773"/>
      <c r="I1121" s="132"/>
      <c r="J1121" s="132"/>
      <c r="K1121" s="132"/>
      <c r="L1121" s="132"/>
      <c r="M1121" s="132"/>
      <c r="N1121" s="132"/>
      <c r="O1121" s="132"/>
      <c r="P1121" s="132"/>
      <c r="Q1121" s="132"/>
      <c r="R1121" s="132"/>
      <c r="S1121" s="132"/>
      <c r="T1121" s="132"/>
      <c r="U1121" s="132"/>
      <c r="V1121" s="132"/>
      <c r="W1121" s="132"/>
      <c r="X1121" s="132"/>
      <c r="Y1121" s="132"/>
      <c r="Z1121" s="132"/>
      <c r="AA1121" s="132"/>
      <c r="AB1121" s="132"/>
      <c r="AC1121" s="132"/>
    </row>
    <row r="1122" ht="24.75" customHeight="1">
      <c r="A1122" s="797"/>
      <c r="B1122" s="798"/>
      <c r="C1122" s="798"/>
      <c r="D1122" s="798"/>
      <c r="E1122" s="498"/>
      <c r="F1122" s="758"/>
      <c r="G1122" s="758"/>
      <c r="H1122" s="773"/>
      <c r="I1122" s="132"/>
      <c r="J1122" s="132"/>
      <c r="K1122" s="132"/>
      <c r="L1122" s="132"/>
      <c r="M1122" s="132"/>
      <c r="N1122" s="132"/>
      <c r="O1122" s="132"/>
      <c r="P1122" s="132"/>
      <c r="Q1122" s="132"/>
      <c r="R1122" s="132"/>
      <c r="S1122" s="132"/>
      <c r="T1122" s="132"/>
      <c r="U1122" s="132"/>
      <c r="V1122" s="132"/>
      <c r="W1122" s="132"/>
      <c r="X1122" s="132"/>
      <c r="Y1122" s="132"/>
      <c r="Z1122" s="132"/>
      <c r="AA1122" s="132"/>
      <c r="AB1122" s="132"/>
      <c r="AC1122" s="132"/>
    </row>
    <row r="1123" ht="24.75" customHeight="1">
      <c r="A1123" s="797"/>
      <c r="B1123" s="798"/>
      <c r="C1123" s="798"/>
      <c r="D1123" s="798"/>
      <c r="E1123" s="498"/>
      <c r="F1123" s="758"/>
      <c r="G1123" s="758"/>
      <c r="H1123" s="773"/>
      <c r="I1123" s="132"/>
      <c r="J1123" s="132"/>
      <c r="K1123" s="132"/>
      <c r="L1123" s="132"/>
      <c r="M1123" s="132"/>
      <c r="N1123" s="132"/>
      <c r="O1123" s="132"/>
      <c r="P1123" s="132"/>
      <c r="Q1123" s="132"/>
      <c r="R1123" s="132"/>
      <c r="S1123" s="132"/>
      <c r="T1123" s="132"/>
      <c r="U1123" s="132"/>
      <c r="V1123" s="132"/>
      <c r="W1123" s="132"/>
      <c r="X1123" s="132"/>
      <c r="Y1123" s="132"/>
      <c r="Z1123" s="132"/>
      <c r="AA1123" s="132"/>
      <c r="AB1123" s="132"/>
      <c r="AC1123" s="132"/>
    </row>
    <row r="1124" ht="24.75" customHeight="1">
      <c r="A1124" s="797"/>
      <c r="B1124" s="798"/>
      <c r="C1124" s="798"/>
      <c r="D1124" s="798"/>
      <c r="E1124" s="498"/>
      <c r="F1124" s="758"/>
      <c r="G1124" s="758"/>
      <c r="H1124" s="773"/>
      <c r="I1124" s="132"/>
      <c r="J1124" s="132"/>
      <c r="K1124" s="132"/>
      <c r="L1124" s="132"/>
      <c r="M1124" s="132"/>
      <c r="N1124" s="132"/>
      <c r="O1124" s="132"/>
      <c r="P1124" s="132"/>
      <c r="Q1124" s="132"/>
      <c r="R1124" s="132"/>
      <c r="S1124" s="132"/>
      <c r="T1124" s="132"/>
      <c r="U1124" s="132"/>
      <c r="V1124" s="132"/>
      <c r="W1124" s="132"/>
      <c r="X1124" s="132"/>
      <c r="Y1124" s="132"/>
      <c r="Z1124" s="132"/>
      <c r="AA1124" s="132"/>
      <c r="AB1124" s="132"/>
      <c r="AC1124" s="132"/>
    </row>
    <row r="1125" ht="24.75" customHeight="1">
      <c r="A1125" s="797"/>
      <c r="B1125" s="798"/>
      <c r="C1125" s="798"/>
      <c r="D1125" s="798"/>
      <c r="E1125" s="498"/>
      <c r="F1125" s="758"/>
      <c r="G1125" s="758"/>
      <c r="H1125" s="773"/>
      <c r="I1125" s="132"/>
      <c r="J1125" s="132"/>
      <c r="K1125" s="132"/>
      <c r="L1125" s="132"/>
      <c r="M1125" s="132"/>
      <c r="N1125" s="132"/>
      <c r="O1125" s="132"/>
      <c r="P1125" s="132"/>
      <c r="Q1125" s="132"/>
      <c r="R1125" s="132"/>
      <c r="S1125" s="132"/>
      <c r="T1125" s="132"/>
      <c r="U1125" s="132"/>
      <c r="V1125" s="132"/>
      <c r="W1125" s="132"/>
      <c r="X1125" s="132"/>
      <c r="Y1125" s="132"/>
      <c r="Z1125" s="132"/>
      <c r="AA1125" s="132"/>
      <c r="AB1125" s="132"/>
      <c r="AC1125" s="132"/>
    </row>
    <row r="1126" ht="24.75" customHeight="1">
      <c r="A1126" s="797"/>
      <c r="B1126" s="798"/>
      <c r="C1126" s="798"/>
      <c r="D1126" s="798"/>
      <c r="E1126" s="498"/>
      <c r="F1126" s="758"/>
      <c r="G1126" s="758"/>
      <c r="H1126" s="773"/>
      <c r="I1126" s="132"/>
      <c r="J1126" s="132"/>
      <c r="K1126" s="132"/>
      <c r="L1126" s="132"/>
      <c r="M1126" s="132"/>
      <c r="N1126" s="132"/>
      <c r="O1126" s="132"/>
      <c r="P1126" s="132"/>
      <c r="Q1126" s="132"/>
      <c r="R1126" s="132"/>
      <c r="S1126" s="132"/>
      <c r="T1126" s="132"/>
      <c r="U1126" s="132"/>
      <c r="V1126" s="132"/>
      <c r="W1126" s="132"/>
      <c r="X1126" s="132"/>
      <c r="Y1126" s="132"/>
      <c r="Z1126" s="132"/>
      <c r="AA1126" s="132"/>
      <c r="AB1126" s="132"/>
      <c r="AC1126" s="132"/>
    </row>
    <row r="1127" ht="24.75" customHeight="1">
      <c r="A1127" s="797"/>
      <c r="B1127" s="798"/>
      <c r="C1127" s="798"/>
      <c r="D1127" s="798"/>
      <c r="E1127" s="498"/>
      <c r="F1127" s="758"/>
      <c r="G1127" s="758"/>
      <c r="H1127" s="773"/>
      <c r="I1127" s="132"/>
      <c r="J1127" s="132"/>
      <c r="K1127" s="132"/>
      <c r="L1127" s="132"/>
      <c r="M1127" s="132"/>
      <c r="N1127" s="132"/>
      <c r="O1127" s="132"/>
      <c r="P1127" s="132"/>
      <c r="Q1127" s="132"/>
      <c r="R1127" s="132"/>
      <c r="S1127" s="132"/>
      <c r="T1127" s="132"/>
      <c r="U1127" s="132"/>
      <c r="V1127" s="132"/>
      <c r="W1127" s="132"/>
      <c r="X1127" s="132"/>
      <c r="Y1127" s="132"/>
      <c r="Z1127" s="132"/>
      <c r="AA1127" s="132"/>
      <c r="AB1127" s="132"/>
      <c r="AC1127" s="132"/>
    </row>
    <row r="1128" ht="24.75" customHeight="1">
      <c r="A1128" s="797"/>
      <c r="B1128" s="798"/>
      <c r="C1128" s="798"/>
      <c r="D1128" s="798"/>
      <c r="E1128" s="498"/>
      <c r="F1128" s="758"/>
      <c r="G1128" s="758"/>
      <c r="H1128" s="773"/>
      <c r="I1128" s="132"/>
      <c r="J1128" s="132"/>
      <c r="K1128" s="132"/>
      <c r="L1128" s="132"/>
      <c r="M1128" s="132"/>
      <c r="N1128" s="132"/>
      <c r="O1128" s="132"/>
      <c r="P1128" s="132"/>
      <c r="Q1128" s="132"/>
      <c r="R1128" s="132"/>
      <c r="S1128" s="132"/>
      <c r="T1128" s="132"/>
      <c r="U1128" s="132"/>
      <c r="V1128" s="132"/>
      <c r="W1128" s="132"/>
      <c r="X1128" s="132"/>
      <c r="Y1128" s="132"/>
      <c r="Z1128" s="132"/>
      <c r="AA1128" s="132"/>
      <c r="AB1128" s="132"/>
      <c r="AC1128" s="132"/>
    </row>
    <row r="1129" ht="24.75" customHeight="1">
      <c r="A1129" s="797"/>
      <c r="B1129" s="798"/>
      <c r="C1129" s="798"/>
      <c r="D1129" s="798"/>
      <c r="E1129" s="498"/>
      <c r="F1129" s="758"/>
      <c r="G1129" s="758"/>
      <c r="H1129" s="773"/>
      <c r="I1129" s="132"/>
      <c r="J1129" s="132"/>
      <c r="K1129" s="132"/>
      <c r="L1129" s="132"/>
      <c r="M1129" s="132"/>
      <c r="N1129" s="132"/>
      <c r="O1129" s="132"/>
      <c r="P1129" s="132"/>
      <c r="Q1129" s="132"/>
      <c r="R1129" s="132"/>
      <c r="S1129" s="132"/>
      <c r="T1129" s="132"/>
      <c r="U1129" s="132"/>
      <c r="V1129" s="132"/>
      <c r="W1129" s="132"/>
      <c r="X1129" s="132"/>
      <c r="Y1129" s="132"/>
      <c r="Z1129" s="132"/>
      <c r="AA1129" s="132"/>
      <c r="AB1129" s="132"/>
      <c r="AC1129" s="132"/>
    </row>
    <row r="1130" ht="24.75" customHeight="1">
      <c r="A1130" s="797"/>
      <c r="B1130" s="798"/>
      <c r="C1130" s="798"/>
      <c r="D1130" s="798"/>
      <c r="E1130" s="498"/>
      <c r="F1130" s="758"/>
      <c r="G1130" s="758"/>
      <c r="H1130" s="773"/>
      <c r="I1130" s="132"/>
      <c r="J1130" s="132"/>
      <c r="K1130" s="132"/>
      <c r="L1130" s="132"/>
      <c r="M1130" s="132"/>
      <c r="N1130" s="132"/>
      <c r="O1130" s="132"/>
      <c r="P1130" s="132"/>
      <c r="Q1130" s="132"/>
      <c r="R1130" s="132"/>
      <c r="S1130" s="132"/>
      <c r="T1130" s="132"/>
      <c r="U1130" s="132"/>
      <c r="V1130" s="132"/>
      <c r="W1130" s="132"/>
      <c r="X1130" s="132"/>
      <c r="Y1130" s="132"/>
      <c r="Z1130" s="132"/>
      <c r="AA1130" s="132"/>
      <c r="AB1130" s="132"/>
      <c r="AC1130" s="132"/>
    </row>
    <row r="1131" ht="24.75" customHeight="1">
      <c r="A1131" s="797"/>
      <c r="B1131" s="798"/>
      <c r="C1131" s="798"/>
      <c r="D1131" s="798"/>
      <c r="E1131" s="498"/>
      <c r="F1131" s="758"/>
      <c r="G1131" s="758"/>
      <c r="H1131" s="773"/>
      <c r="I1131" s="132"/>
      <c r="J1131" s="132"/>
      <c r="K1131" s="132"/>
      <c r="L1131" s="132"/>
      <c r="M1131" s="132"/>
      <c r="N1131" s="132"/>
      <c r="O1131" s="132"/>
      <c r="P1131" s="132"/>
      <c r="Q1131" s="132"/>
      <c r="R1131" s="132"/>
      <c r="S1131" s="132"/>
      <c r="T1131" s="132"/>
      <c r="U1131" s="132"/>
      <c r="V1131" s="132"/>
      <c r="W1131" s="132"/>
      <c r="X1131" s="132"/>
      <c r="Y1131" s="132"/>
      <c r="Z1131" s="132"/>
      <c r="AA1131" s="132"/>
      <c r="AB1131" s="132"/>
      <c r="AC1131" s="132"/>
    </row>
    <row r="1132" ht="24.75" customHeight="1">
      <c r="A1132" s="797"/>
      <c r="B1132" s="798"/>
      <c r="C1132" s="798"/>
      <c r="D1132" s="798"/>
      <c r="E1132" s="498"/>
      <c r="F1132" s="758"/>
      <c r="G1132" s="758"/>
      <c r="H1132" s="773"/>
      <c r="I1132" s="132"/>
      <c r="J1132" s="132"/>
      <c r="K1132" s="132"/>
      <c r="L1132" s="132"/>
      <c r="M1132" s="132"/>
      <c r="N1132" s="132"/>
      <c r="O1132" s="132"/>
      <c r="P1132" s="132"/>
      <c r="Q1132" s="132"/>
      <c r="R1132" s="132"/>
      <c r="S1132" s="132"/>
      <c r="T1132" s="132"/>
      <c r="U1132" s="132"/>
      <c r="V1132" s="132"/>
      <c r="W1132" s="132"/>
      <c r="X1132" s="132"/>
      <c r="Y1132" s="132"/>
      <c r="Z1132" s="132"/>
      <c r="AA1132" s="132"/>
      <c r="AB1132" s="132"/>
      <c r="AC1132" s="132"/>
    </row>
    <row r="1133" ht="24.75" customHeight="1">
      <c r="A1133" s="797"/>
      <c r="B1133" s="798"/>
      <c r="C1133" s="798"/>
      <c r="D1133" s="798"/>
      <c r="E1133" s="498"/>
      <c r="F1133" s="758"/>
      <c r="G1133" s="758"/>
      <c r="H1133" s="773"/>
      <c r="I1133" s="132"/>
      <c r="J1133" s="132"/>
      <c r="K1133" s="132"/>
      <c r="L1133" s="132"/>
      <c r="M1133" s="132"/>
      <c r="N1133" s="132"/>
      <c r="O1133" s="132"/>
      <c r="P1133" s="132"/>
      <c r="Q1133" s="132"/>
      <c r="R1133" s="132"/>
      <c r="S1133" s="132"/>
      <c r="T1133" s="132"/>
      <c r="U1133" s="132"/>
      <c r="V1133" s="132"/>
      <c r="W1133" s="132"/>
      <c r="X1133" s="132"/>
      <c r="Y1133" s="132"/>
      <c r="Z1133" s="132"/>
      <c r="AA1133" s="132"/>
      <c r="AB1133" s="132"/>
      <c r="AC1133" s="132"/>
    </row>
    <row r="1134" ht="24.75" customHeight="1">
      <c r="A1134" s="797"/>
      <c r="B1134" s="798"/>
      <c r="C1134" s="798"/>
      <c r="D1134" s="798"/>
      <c r="E1134" s="498"/>
      <c r="F1134" s="758"/>
      <c r="G1134" s="758"/>
      <c r="H1134" s="773"/>
      <c r="I1134" s="132"/>
      <c r="J1134" s="132"/>
      <c r="K1134" s="132"/>
      <c r="L1134" s="132"/>
      <c r="M1134" s="132"/>
      <c r="N1134" s="132"/>
      <c r="O1134" s="132"/>
      <c r="P1134" s="132"/>
      <c r="Q1134" s="132"/>
      <c r="R1134" s="132"/>
      <c r="S1134" s="132"/>
      <c r="T1134" s="132"/>
      <c r="U1134" s="132"/>
      <c r="V1134" s="132"/>
      <c r="W1134" s="132"/>
      <c r="X1134" s="132"/>
      <c r="Y1134" s="132"/>
      <c r="Z1134" s="132"/>
      <c r="AA1134" s="132"/>
      <c r="AB1134" s="132"/>
      <c r="AC1134" s="132"/>
    </row>
    <row r="1135" ht="24.75" customHeight="1">
      <c r="A1135" s="797"/>
      <c r="B1135" s="798"/>
      <c r="C1135" s="798"/>
      <c r="D1135" s="798"/>
      <c r="E1135" s="498"/>
      <c r="F1135" s="758"/>
      <c r="G1135" s="758"/>
      <c r="H1135" s="773"/>
      <c r="I1135" s="132"/>
      <c r="J1135" s="132"/>
      <c r="K1135" s="132"/>
      <c r="L1135" s="132"/>
      <c r="M1135" s="132"/>
      <c r="N1135" s="132"/>
      <c r="O1135" s="132"/>
      <c r="P1135" s="132"/>
      <c r="Q1135" s="132"/>
      <c r="R1135" s="132"/>
      <c r="S1135" s="132"/>
      <c r="T1135" s="132"/>
      <c r="U1135" s="132"/>
      <c r="V1135" s="132"/>
      <c r="W1135" s="132"/>
      <c r="X1135" s="132"/>
      <c r="Y1135" s="132"/>
      <c r="Z1135" s="132"/>
      <c r="AA1135" s="132"/>
      <c r="AB1135" s="132"/>
      <c r="AC1135" s="132"/>
    </row>
    <row r="1136" ht="24.75" customHeight="1">
      <c r="A1136" s="797"/>
      <c r="B1136" s="798"/>
      <c r="C1136" s="798"/>
      <c r="D1136" s="798"/>
      <c r="E1136" s="498"/>
      <c r="F1136" s="758"/>
      <c r="G1136" s="758"/>
      <c r="H1136" s="773"/>
      <c r="I1136" s="132"/>
      <c r="J1136" s="132"/>
      <c r="K1136" s="132"/>
      <c r="L1136" s="132"/>
      <c r="M1136" s="132"/>
      <c r="N1136" s="132"/>
      <c r="O1136" s="132"/>
      <c r="P1136" s="132"/>
      <c r="Q1136" s="132"/>
      <c r="R1136" s="132"/>
      <c r="S1136" s="132"/>
      <c r="T1136" s="132"/>
      <c r="U1136" s="132"/>
      <c r="V1136" s="132"/>
      <c r="W1136" s="132"/>
      <c r="X1136" s="132"/>
      <c r="Y1136" s="132"/>
      <c r="Z1136" s="132"/>
      <c r="AA1136" s="132"/>
      <c r="AB1136" s="132"/>
      <c r="AC1136" s="132"/>
    </row>
    <row r="1137" ht="24.75" customHeight="1">
      <c r="A1137" s="797"/>
      <c r="B1137" s="798"/>
      <c r="C1137" s="798"/>
      <c r="D1137" s="798"/>
      <c r="E1137" s="498"/>
      <c r="F1137" s="758"/>
      <c r="G1137" s="758"/>
      <c r="H1137" s="773"/>
      <c r="I1137" s="132"/>
      <c r="J1137" s="132"/>
      <c r="K1137" s="132"/>
      <c r="L1137" s="132"/>
      <c r="M1137" s="132"/>
      <c r="N1137" s="132"/>
      <c r="O1137" s="132"/>
      <c r="P1137" s="132"/>
      <c r="Q1137" s="132"/>
      <c r="R1137" s="132"/>
      <c r="S1137" s="132"/>
      <c r="T1137" s="132"/>
      <c r="U1137" s="132"/>
      <c r="V1137" s="132"/>
      <c r="W1137" s="132"/>
      <c r="X1137" s="132"/>
      <c r="Y1137" s="132"/>
      <c r="Z1137" s="132"/>
      <c r="AA1137" s="132"/>
      <c r="AB1137" s="132"/>
      <c r="AC1137" s="132"/>
    </row>
    <row r="1138" ht="24.75" customHeight="1">
      <c r="A1138" s="797"/>
      <c r="B1138" s="798"/>
      <c r="C1138" s="798"/>
      <c r="D1138" s="798"/>
      <c r="E1138" s="498"/>
      <c r="F1138" s="758"/>
      <c r="G1138" s="758"/>
      <c r="H1138" s="773"/>
      <c r="I1138" s="132"/>
      <c r="J1138" s="132"/>
      <c r="K1138" s="132"/>
      <c r="L1138" s="132"/>
      <c r="M1138" s="132"/>
      <c r="N1138" s="132"/>
      <c r="O1138" s="132"/>
      <c r="P1138" s="132"/>
      <c r="Q1138" s="132"/>
      <c r="R1138" s="132"/>
      <c r="S1138" s="132"/>
      <c r="T1138" s="132"/>
      <c r="U1138" s="132"/>
      <c r="V1138" s="132"/>
      <c r="W1138" s="132"/>
      <c r="X1138" s="132"/>
      <c r="Y1138" s="132"/>
      <c r="Z1138" s="132"/>
      <c r="AA1138" s="132"/>
      <c r="AB1138" s="132"/>
      <c r="AC1138" s="132"/>
    </row>
    <row r="1139" ht="24.75" customHeight="1">
      <c r="A1139" s="797"/>
      <c r="B1139" s="798"/>
      <c r="C1139" s="798"/>
      <c r="D1139" s="798"/>
      <c r="E1139" s="498"/>
      <c r="F1139" s="758"/>
      <c r="G1139" s="758"/>
      <c r="H1139" s="773"/>
      <c r="I1139" s="132"/>
      <c r="J1139" s="132"/>
      <c r="K1139" s="132"/>
      <c r="L1139" s="132"/>
      <c r="M1139" s="132"/>
      <c r="N1139" s="132"/>
      <c r="O1139" s="132"/>
      <c r="P1139" s="132"/>
      <c r="Q1139" s="132"/>
      <c r="R1139" s="132"/>
      <c r="S1139" s="132"/>
      <c r="T1139" s="132"/>
      <c r="U1139" s="132"/>
      <c r="V1139" s="132"/>
      <c r="W1139" s="132"/>
      <c r="X1139" s="132"/>
      <c r="Y1139" s="132"/>
      <c r="Z1139" s="132"/>
      <c r="AA1139" s="132"/>
      <c r="AB1139" s="132"/>
      <c r="AC1139" s="132"/>
    </row>
    <row r="1140" ht="24.75" customHeight="1">
      <c r="A1140" s="797"/>
      <c r="B1140" s="798"/>
      <c r="C1140" s="798"/>
      <c r="D1140" s="798"/>
      <c r="E1140" s="498"/>
      <c r="F1140" s="758"/>
      <c r="G1140" s="758"/>
      <c r="H1140" s="773"/>
      <c r="I1140" s="132"/>
      <c r="J1140" s="132"/>
      <c r="K1140" s="132"/>
      <c r="L1140" s="132"/>
      <c r="M1140" s="132"/>
      <c r="N1140" s="132"/>
      <c r="O1140" s="132"/>
      <c r="P1140" s="132"/>
      <c r="Q1140" s="132"/>
      <c r="R1140" s="132"/>
      <c r="S1140" s="132"/>
      <c r="T1140" s="132"/>
      <c r="U1140" s="132"/>
      <c r="V1140" s="132"/>
      <c r="W1140" s="132"/>
      <c r="X1140" s="132"/>
      <c r="Y1140" s="132"/>
      <c r="Z1140" s="132"/>
      <c r="AA1140" s="132"/>
      <c r="AB1140" s="132"/>
      <c r="AC1140" s="132"/>
    </row>
    <row r="1141" ht="24.75" customHeight="1">
      <c r="A1141" s="797"/>
      <c r="B1141" s="798"/>
      <c r="C1141" s="798"/>
      <c r="D1141" s="798"/>
      <c r="E1141" s="498"/>
      <c r="F1141" s="758"/>
      <c r="G1141" s="758"/>
      <c r="H1141" s="773"/>
      <c r="I1141" s="132"/>
      <c r="J1141" s="132"/>
      <c r="K1141" s="132"/>
      <c r="L1141" s="132"/>
      <c r="M1141" s="132"/>
      <c r="N1141" s="132"/>
      <c r="O1141" s="132"/>
      <c r="P1141" s="132"/>
      <c r="Q1141" s="132"/>
      <c r="R1141" s="132"/>
      <c r="S1141" s="132"/>
      <c r="T1141" s="132"/>
      <c r="U1141" s="132"/>
      <c r="V1141" s="132"/>
      <c r="W1141" s="132"/>
      <c r="X1141" s="132"/>
      <c r="Y1141" s="132"/>
      <c r="Z1141" s="132"/>
      <c r="AA1141" s="132"/>
      <c r="AB1141" s="132"/>
      <c r="AC1141" s="132"/>
    </row>
    <row r="1142" ht="24.75" customHeight="1">
      <c r="A1142" s="797"/>
      <c r="B1142" s="798"/>
      <c r="C1142" s="798"/>
      <c r="D1142" s="798"/>
      <c r="E1142" s="498"/>
      <c r="F1142" s="758"/>
      <c r="G1142" s="758"/>
      <c r="H1142" s="773"/>
      <c r="I1142" s="132"/>
      <c r="J1142" s="132"/>
      <c r="K1142" s="132"/>
      <c r="L1142" s="132"/>
      <c r="M1142" s="132"/>
      <c r="N1142" s="132"/>
      <c r="O1142" s="132"/>
      <c r="P1142" s="132"/>
      <c r="Q1142" s="132"/>
      <c r="R1142" s="132"/>
      <c r="S1142" s="132"/>
      <c r="T1142" s="132"/>
      <c r="U1142" s="132"/>
      <c r="V1142" s="132"/>
      <c r="W1142" s="132"/>
      <c r="X1142" s="132"/>
      <c r="Y1142" s="132"/>
      <c r="Z1142" s="132"/>
      <c r="AA1142" s="132"/>
      <c r="AB1142" s="132"/>
      <c r="AC1142" s="132"/>
    </row>
    <row r="1143" ht="24.75" customHeight="1">
      <c r="A1143" s="797"/>
      <c r="B1143" s="798"/>
      <c r="C1143" s="798"/>
      <c r="D1143" s="798"/>
      <c r="E1143" s="498"/>
      <c r="F1143" s="758"/>
      <c r="G1143" s="758"/>
      <c r="H1143" s="773"/>
      <c r="I1143" s="132"/>
      <c r="J1143" s="132"/>
      <c r="K1143" s="132"/>
      <c r="L1143" s="132"/>
      <c r="M1143" s="132"/>
      <c r="N1143" s="132"/>
      <c r="O1143" s="132"/>
      <c r="P1143" s="132"/>
      <c r="Q1143" s="132"/>
      <c r="R1143" s="132"/>
      <c r="S1143" s="132"/>
      <c r="T1143" s="132"/>
      <c r="U1143" s="132"/>
      <c r="V1143" s="132"/>
      <c r="W1143" s="132"/>
      <c r="X1143" s="132"/>
      <c r="Y1143" s="132"/>
      <c r="Z1143" s="132"/>
      <c r="AA1143" s="132"/>
      <c r="AB1143" s="132"/>
      <c r="AC1143" s="132"/>
    </row>
    <row r="1144" ht="24.75" customHeight="1">
      <c r="A1144" s="797"/>
      <c r="B1144" s="798"/>
      <c r="C1144" s="798"/>
      <c r="D1144" s="798"/>
      <c r="E1144" s="498"/>
      <c r="F1144" s="758"/>
      <c r="G1144" s="758"/>
      <c r="H1144" s="773"/>
      <c r="I1144" s="132"/>
      <c r="J1144" s="132"/>
      <c r="K1144" s="132"/>
      <c r="L1144" s="132"/>
      <c r="M1144" s="132"/>
      <c r="N1144" s="132"/>
      <c r="O1144" s="132"/>
      <c r="P1144" s="132"/>
      <c r="Q1144" s="132"/>
      <c r="R1144" s="132"/>
      <c r="S1144" s="132"/>
      <c r="T1144" s="132"/>
      <c r="U1144" s="132"/>
      <c r="V1144" s="132"/>
      <c r="W1144" s="132"/>
      <c r="X1144" s="132"/>
      <c r="Y1144" s="132"/>
      <c r="Z1144" s="132"/>
      <c r="AA1144" s="132"/>
      <c r="AB1144" s="132"/>
      <c r="AC1144" s="132"/>
    </row>
    <row r="1145" ht="24.75" customHeight="1">
      <c r="A1145" s="797"/>
      <c r="B1145" s="798"/>
      <c r="C1145" s="798"/>
      <c r="D1145" s="798"/>
      <c r="E1145" s="498"/>
      <c r="F1145" s="758"/>
      <c r="G1145" s="758"/>
      <c r="H1145" s="773"/>
      <c r="I1145" s="132"/>
      <c r="J1145" s="132"/>
      <c r="K1145" s="132"/>
      <c r="L1145" s="132"/>
      <c r="M1145" s="132"/>
      <c r="N1145" s="132"/>
      <c r="O1145" s="132"/>
      <c r="P1145" s="132"/>
      <c r="Q1145" s="132"/>
      <c r="R1145" s="132"/>
      <c r="S1145" s="132"/>
      <c r="T1145" s="132"/>
      <c r="U1145" s="132"/>
      <c r="V1145" s="132"/>
      <c r="W1145" s="132"/>
      <c r="X1145" s="132"/>
      <c r="Y1145" s="132"/>
      <c r="Z1145" s="132"/>
      <c r="AA1145" s="132"/>
      <c r="AB1145" s="132"/>
      <c r="AC1145" s="132"/>
    </row>
    <row r="1146" ht="24.75" customHeight="1">
      <c r="A1146" s="797"/>
      <c r="B1146" s="798"/>
      <c r="C1146" s="798"/>
      <c r="D1146" s="798"/>
      <c r="E1146" s="498"/>
      <c r="F1146" s="758"/>
      <c r="G1146" s="758"/>
      <c r="H1146" s="773"/>
      <c r="I1146" s="132"/>
      <c r="J1146" s="132"/>
      <c r="K1146" s="132"/>
      <c r="L1146" s="132"/>
      <c r="M1146" s="132"/>
      <c r="N1146" s="132"/>
      <c r="O1146" s="132"/>
      <c r="P1146" s="132"/>
      <c r="Q1146" s="132"/>
      <c r="R1146" s="132"/>
      <c r="S1146" s="132"/>
      <c r="T1146" s="132"/>
      <c r="U1146" s="132"/>
      <c r="V1146" s="132"/>
      <c r="W1146" s="132"/>
      <c r="X1146" s="132"/>
      <c r="Y1146" s="132"/>
      <c r="Z1146" s="132"/>
      <c r="AA1146" s="132"/>
      <c r="AB1146" s="132"/>
      <c r="AC1146" s="132"/>
    </row>
    <row r="1147" ht="24.75" customHeight="1">
      <c r="A1147" s="797"/>
      <c r="B1147" s="798"/>
      <c r="C1147" s="798"/>
      <c r="D1147" s="798"/>
      <c r="E1147" s="498"/>
      <c r="F1147" s="758"/>
      <c r="G1147" s="758"/>
      <c r="H1147" s="773"/>
      <c r="I1147" s="132"/>
      <c r="J1147" s="132"/>
      <c r="K1147" s="132"/>
      <c r="L1147" s="132"/>
      <c r="M1147" s="132"/>
      <c r="N1147" s="132"/>
      <c r="O1147" s="132"/>
      <c r="P1147" s="132"/>
      <c r="Q1147" s="132"/>
      <c r="R1147" s="132"/>
      <c r="S1147" s="132"/>
      <c r="T1147" s="132"/>
      <c r="U1147" s="132"/>
      <c r="V1147" s="132"/>
      <c r="W1147" s="132"/>
      <c r="X1147" s="132"/>
      <c r="Y1147" s="132"/>
      <c r="Z1147" s="132"/>
      <c r="AA1147" s="132"/>
      <c r="AB1147" s="132"/>
      <c r="AC1147" s="132"/>
    </row>
    <row r="1148" ht="24.75" customHeight="1">
      <c r="A1148" s="797"/>
      <c r="B1148" s="798"/>
      <c r="C1148" s="798"/>
      <c r="D1148" s="798"/>
      <c r="E1148" s="498"/>
      <c r="F1148" s="758"/>
      <c r="G1148" s="758"/>
      <c r="H1148" s="773"/>
      <c r="I1148" s="132"/>
      <c r="J1148" s="132"/>
      <c r="K1148" s="132"/>
      <c r="L1148" s="132"/>
      <c r="M1148" s="132"/>
      <c r="N1148" s="132"/>
      <c r="O1148" s="132"/>
      <c r="P1148" s="132"/>
      <c r="Q1148" s="132"/>
      <c r="R1148" s="132"/>
      <c r="S1148" s="132"/>
      <c r="T1148" s="132"/>
      <c r="U1148" s="132"/>
      <c r="V1148" s="132"/>
      <c r="W1148" s="132"/>
      <c r="X1148" s="132"/>
      <c r="Y1148" s="132"/>
      <c r="Z1148" s="132"/>
      <c r="AA1148" s="132"/>
      <c r="AB1148" s="132"/>
      <c r="AC1148" s="132"/>
    </row>
    <row r="1149" ht="24.75" customHeight="1">
      <c r="A1149" s="797"/>
      <c r="B1149" s="798"/>
      <c r="C1149" s="798"/>
      <c r="D1149" s="798"/>
      <c r="E1149" s="498"/>
      <c r="F1149" s="758"/>
      <c r="G1149" s="758"/>
      <c r="H1149" s="773"/>
      <c r="I1149" s="132"/>
      <c r="J1149" s="132"/>
      <c r="K1149" s="132"/>
      <c r="L1149" s="132"/>
      <c r="M1149" s="132"/>
      <c r="N1149" s="132"/>
      <c r="O1149" s="132"/>
      <c r="P1149" s="132"/>
      <c r="Q1149" s="132"/>
      <c r="R1149" s="132"/>
      <c r="S1149" s="132"/>
      <c r="T1149" s="132"/>
      <c r="U1149" s="132"/>
      <c r="V1149" s="132"/>
      <c r="W1149" s="132"/>
      <c r="X1149" s="132"/>
      <c r="Y1149" s="132"/>
      <c r="Z1149" s="132"/>
      <c r="AA1149" s="132"/>
      <c r="AB1149" s="132"/>
      <c r="AC1149" s="132"/>
    </row>
    <row r="1150" ht="24.75" customHeight="1">
      <c r="A1150" s="797"/>
      <c r="B1150" s="798"/>
      <c r="C1150" s="798"/>
      <c r="D1150" s="798"/>
      <c r="E1150" s="498"/>
      <c r="F1150" s="758"/>
      <c r="G1150" s="758"/>
      <c r="H1150" s="773"/>
      <c r="I1150" s="132"/>
      <c r="J1150" s="132"/>
      <c r="K1150" s="132"/>
      <c r="L1150" s="132"/>
      <c r="M1150" s="132"/>
      <c r="N1150" s="132"/>
      <c r="O1150" s="132"/>
      <c r="P1150" s="132"/>
      <c r="Q1150" s="132"/>
      <c r="R1150" s="132"/>
      <c r="S1150" s="132"/>
      <c r="T1150" s="132"/>
      <c r="U1150" s="132"/>
      <c r="V1150" s="132"/>
      <c r="W1150" s="132"/>
      <c r="X1150" s="132"/>
      <c r="Y1150" s="132"/>
      <c r="Z1150" s="132"/>
      <c r="AA1150" s="132"/>
      <c r="AB1150" s="132"/>
      <c r="AC1150" s="132"/>
    </row>
    <row r="1151" ht="24.75" customHeight="1">
      <c r="A1151" s="797"/>
      <c r="B1151" s="798"/>
      <c r="C1151" s="798"/>
      <c r="D1151" s="798"/>
      <c r="E1151" s="498"/>
      <c r="F1151" s="758"/>
      <c r="G1151" s="758"/>
      <c r="H1151" s="773"/>
      <c r="I1151" s="132"/>
      <c r="J1151" s="132"/>
      <c r="K1151" s="132"/>
      <c r="L1151" s="132"/>
      <c r="M1151" s="132"/>
      <c r="N1151" s="132"/>
      <c r="O1151" s="132"/>
      <c r="P1151" s="132"/>
      <c r="Q1151" s="132"/>
      <c r="R1151" s="132"/>
      <c r="S1151" s="132"/>
      <c r="T1151" s="132"/>
      <c r="U1151" s="132"/>
      <c r="V1151" s="132"/>
      <c r="W1151" s="132"/>
      <c r="X1151" s="132"/>
      <c r="Y1151" s="132"/>
      <c r="Z1151" s="132"/>
      <c r="AA1151" s="132"/>
      <c r="AB1151" s="132"/>
      <c r="AC1151" s="132"/>
    </row>
    <row r="1152" ht="24.75" customHeight="1">
      <c r="A1152" s="797"/>
      <c r="B1152" s="798"/>
      <c r="C1152" s="798"/>
      <c r="D1152" s="798"/>
      <c r="E1152" s="498"/>
      <c r="F1152" s="758"/>
      <c r="G1152" s="758"/>
      <c r="H1152" s="773"/>
      <c r="I1152" s="132"/>
      <c r="J1152" s="132"/>
      <c r="K1152" s="132"/>
      <c r="L1152" s="132"/>
      <c r="M1152" s="132"/>
      <c r="N1152" s="132"/>
      <c r="O1152" s="132"/>
      <c r="P1152" s="132"/>
      <c r="Q1152" s="132"/>
      <c r="R1152" s="132"/>
      <c r="S1152" s="132"/>
      <c r="T1152" s="132"/>
      <c r="U1152" s="132"/>
      <c r="V1152" s="132"/>
      <c r="W1152" s="132"/>
      <c r="X1152" s="132"/>
      <c r="Y1152" s="132"/>
      <c r="Z1152" s="132"/>
      <c r="AA1152" s="132"/>
      <c r="AB1152" s="132"/>
      <c r="AC1152" s="132"/>
    </row>
    <row r="1153" ht="24.75" customHeight="1">
      <c r="A1153" s="797"/>
      <c r="B1153" s="798"/>
      <c r="C1153" s="798"/>
      <c r="D1153" s="798"/>
      <c r="E1153" s="498"/>
      <c r="F1153" s="758"/>
      <c r="G1153" s="758"/>
      <c r="H1153" s="773"/>
      <c r="I1153" s="132"/>
      <c r="J1153" s="132"/>
      <c r="K1153" s="132"/>
      <c r="L1153" s="132"/>
      <c r="M1153" s="132"/>
      <c r="N1153" s="132"/>
      <c r="O1153" s="132"/>
      <c r="P1153" s="132"/>
      <c r="Q1153" s="132"/>
      <c r="R1153" s="132"/>
      <c r="S1153" s="132"/>
      <c r="T1153" s="132"/>
      <c r="U1153" s="132"/>
      <c r="V1153" s="132"/>
      <c r="W1153" s="132"/>
      <c r="X1153" s="132"/>
      <c r="Y1153" s="132"/>
      <c r="Z1153" s="132"/>
      <c r="AA1153" s="132"/>
      <c r="AB1153" s="132"/>
      <c r="AC1153" s="132"/>
    </row>
    <row r="1154" ht="24.75" customHeight="1">
      <c r="A1154" s="797"/>
      <c r="B1154" s="798"/>
      <c r="C1154" s="798"/>
      <c r="D1154" s="798"/>
      <c r="E1154" s="498"/>
      <c r="F1154" s="758"/>
      <c r="G1154" s="758"/>
      <c r="H1154" s="773"/>
      <c r="I1154" s="132"/>
      <c r="J1154" s="132"/>
      <c r="K1154" s="132"/>
      <c r="L1154" s="132"/>
      <c r="M1154" s="132"/>
      <c r="N1154" s="132"/>
      <c r="O1154" s="132"/>
      <c r="P1154" s="132"/>
      <c r="Q1154" s="132"/>
      <c r="R1154" s="132"/>
      <c r="S1154" s="132"/>
      <c r="T1154" s="132"/>
      <c r="U1154" s="132"/>
      <c r="V1154" s="132"/>
      <c r="W1154" s="132"/>
      <c r="X1154" s="132"/>
      <c r="Y1154" s="132"/>
      <c r="Z1154" s="132"/>
      <c r="AA1154" s="132"/>
      <c r="AB1154" s="132"/>
      <c r="AC1154" s="132"/>
    </row>
    <row r="1155" ht="24.75" customHeight="1">
      <c r="A1155" s="797"/>
      <c r="B1155" s="798"/>
      <c r="C1155" s="798"/>
      <c r="D1155" s="798"/>
      <c r="E1155" s="498"/>
      <c r="F1155" s="758"/>
      <c r="G1155" s="758"/>
      <c r="H1155" s="773"/>
      <c r="I1155" s="132"/>
      <c r="J1155" s="132"/>
      <c r="K1155" s="132"/>
      <c r="L1155" s="132"/>
      <c r="M1155" s="132"/>
      <c r="N1155" s="132"/>
      <c r="O1155" s="132"/>
      <c r="P1155" s="132"/>
      <c r="Q1155" s="132"/>
      <c r="R1155" s="132"/>
      <c r="S1155" s="132"/>
      <c r="T1155" s="132"/>
      <c r="U1155" s="132"/>
      <c r="V1155" s="132"/>
      <c r="W1155" s="132"/>
      <c r="X1155" s="132"/>
      <c r="Y1155" s="132"/>
      <c r="Z1155" s="132"/>
      <c r="AA1155" s="132"/>
      <c r="AB1155" s="132"/>
      <c r="AC1155" s="132"/>
    </row>
    <row r="1156" ht="24.75" customHeight="1">
      <c r="A1156" s="797"/>
      <c r="B1156" s="798"/>
      <c r="C1156" s="798"/>
      <c r="D1156" s="798"/>
      <c r="E1156" s="498"/>
      <c r="F1156" s="758"/>
      <c r="G1156" s="758"/>
      <c r="H1156" s="773"/>
      <c r="I1156" s="132"/>
      <c r="J1156" s="132"/>
      <c r="K1156" s="132"/>
      <c r="L1156" s="132"/>
      <c r="M1156" s="132"/>
      <c r="N1156" s="132"/>
      <c r="O1156" s="132"/>
      <c r="P1156" s="132"/>
      <c r="Q1156" s="132"/>
      <c r="R1156" s="132"/>
      <c r="S1156" s="132"/>
      <c r="T1156" s="132"/>
      <c r="U1156" s="132"/>
      <c r="V1156" s="132"/>
      <c r="W1156" s="132"/>
      <c r="X1156" s="132"/>
      <c r="Y1156" s="132"/>
      <c r="Z1156" s="132"/>
      <c r="AA1156" s="132"/>
      <c r="AB1156" s="132"/>
      <c r="AC1156" s="132"/>
    </row>
    <row r="1157" ht="24.75" customHeight="1">
      <c r="A1157" s="797"/>
      <c r="B1157" s="798"/>
      <c r="C1157" s="798"/>
      <c r="D1157" s="798"/>
      <c r="E1157" s="498"/>
      <c r="F1157" s="758"/>
      <c r="G1157" s="758"/>
      <c r="H1157" s="773"/>
      <c r="I1157" s="132"/>
      <c r="J1157" s="132"/>
      <c r="K1157" s="132"/>
      <c r="L1157" s="132"/>
      <c r="M1157" s="132"/>
      <c r="N1157" s="132"/>
      <c r="O1157" s="132"/>
      <c r="P1157" s="132"/>
      <c r="Q1157" s="132"/>
      <c r="R1157" s="132"/>
      <c r="S1157" s="132"/>
      <c r="T1157" s="132"/>
      <c r="U1157" s="132"/>
      <c r="V1157" s="132"/>
      <c r="W1157" s="132"/>
      <c r="X1157" s="132"/>
      <c r="Y1157" s="132"/>
      <c r="Z1157" s="132"/>
      <c r="AA1157" s="132"/>
      <c r="AB1157" s="132"/>
      <c r="AC1157" s="132"/>
    </row>
    <row r="1158" ht="24.75" customHeight="1">
      <c r="A1158" s="797"/>
      <c r="B1158" s="798"/>
      <c r="C1158" s="798"/>
      <c r="D1158" s="798"/>
      <c r="E1158" s="498"/>
      <c r="F1158" s="758"/>
      <c r="G1158" s="758"/>
      <c r="H1158" s="773"/>
      <c r="I1158" s="132"/>
      <c r="J1158" s="132"/>
      <c r="K1158" s="132"/>
      <c r="L1158" s="132"/>
      <c r="M1158" s="132"/>
      <c r="N1158" s="132"/>
      <c r="O1158" s="132"/>
      <c r="P1158" s="132"/>
      <c r="Q1158" s="132"/>
      <c r="R1158" s="132"/>
      <c r="S1158" s="132"/>
      <c r="T1158" s="132"/>
      <c r="U1158" s="132"/>
      <c r="V1158" s="132"/>
      <c r="W1158" s="132"/>
      <c r="X1158" s="132"/>
      <c r="Y1158" s="132"/>
      <c r="Z1158" s="132"/>
      <c r="AA1158" s="132"/>
      <c r="AB1158" s="132"/>
      <c r="AC1158" s="132"/>
    </row>
    <row r="1159" ht="24.75" customHeight="1">
      <c r="A1159" s="797"/>
      <c r="B1159" s="798"/>
      <c r="C1159" s="798"/>
      <c r="D1159" s="798"/>
      <c r="E1159" s="498"/>
      <c r="F1159" s="758"/>
      <c r="G1159" s="758"/>
      <c r="H1159" s="773"/>
      <c r="I1159" s="132"/>
      <c r="J1159" s="132"/>
      <c r="K1159" s="132"/>
      <c r="L1159" s="132"/>
      <c r="M1159" s="132"/>
      <c r="N1159" s="132"/>
      <c r="O1159" s="132"/>
      <c r="P1159" s="132"/>
      <c r="Q1159" s="132"/>
      <c r="R1159" s="132"/>
      <c r="S1159" s="132"/>
      <c r="T1159" s="132"/>
      <c r="U1159" s="132"/>
      <c r="V1159" s="132"/>
      <c r="W1159" s="132"/>
      <c r="X1159" s="132"/>
      <c r="Y1159" s="132"/>
      <c r="Z1159" s="132"/>
      <c r="AA1159" s="132"/>
      <c r="AB1159" s="132"/>
      <c r="AC1159" s="132"/>
    </row>
    <row r="1160" ht="24.75" customHeight="1">
      <c r="A1160" s="797"/>
      <c r="B1160" s="798"/>
      <c r="C1160" s="798"/>
      <c r="D1160" s="798"/>
      <c r="E1160" s="498"/>
      <c r="F1160" s="758"/>
      <c r="G1160" s="758"/>
      <c r="H1160" s="773"/>
      <c r="I1160" s="132"/>
      <c r="J1160" s="132"/>
      <c r="K1160" s="132"/>
      <c r="L1160" s="132"/>
      <c r="M1160" s="132"/>
      <c r="N1160" s="132"/>
      <c r="O1160" s="132"/>
      <c r="P1160" s="132"/>
      <c r="Q1160" s="132"/>
      <c r="R1160" s="132"/>
      <c r="S1160" s="132"/>
      <c r="T1160" s="132"/>
      <c r="U1160" s="132"/>
      <c r="V1160" s="132"/>
      <c r="W1160" s="132"/>
      <c r="X1160" s="132"/>
      <c r="Y1160" s="132"/>
      <c r="Z1160" s="132"/>
      <c r="AA1160" s="132"/>
      <c r="AB1160" s="132"/>
      <c r="AC1160" s="132"/>
    </row>
    <row r="1161" ht="24.75" customHeight="1">
      <c r="A1161" s="797"/>
      <c r="B1161" s="798"/>
      <c r="C1161" s="798"/>
      <c r="D1161" s="798"/>
      <c r="E1161" s="498"/>
      <c r="F1161" s="758"/>
      <c r="G1161" s="758"/>
      <c r="H1161" s="773"/>
      <c r="I1161" s="132"/>
      <c r="J1161" s="132"/>
      <c r="K1161" s="132"/>
      <c r="L1161" s="132"/>
      <c r="M1161" s="132"/>
      <c r="N1161" s="132"/>
      <c r="O1161" s="132"/>
      <c r="P1161" s="132"/>
      <c r="Q1161" s="132"/>
      <c r="R1161" s="132"/>
      <c r="S1161" s="132"/>
      <c r="T1161" s="132"/>
      <c r="U1161" s="132"/>
      <c r="V1161" s="132"/>
      <c r="W1161" s="132"/>
      <c r="X1161" s="132"/>
      <c r="Y1161" s="132"/>
      <c r="Z1161" s="132"/>
      <c r="AA1161" s="132"/>
      <c r="AB1161" s="132"/>
      <c r="AC1161" s="132"/>
    </row>
    <row r="1162" ht="24.75" customHeight="1">
      <c r="A1162" s="797"/>
      <c r="B1162" s="798"/>
      <c r="C1162" s="798"/>
      <c r="D1162" s="798"/>
      <c r="E1162" s="498"/>
      <c r="F1162" s="758"/>
      <c r="G1162" s="758"/>
      <c r="H1162" s="773"/>
      <c r="I1162" s="132"/>
      <c r="J1162" s="132"/>
      <c r="K1162" s="132"/>
      <c r="L1162" s="132"/>
      <c r="M1162" s="132"/>
      <c r="N1162" s="132"/>
      <c r="O1162" s="132"/>
      <c r="P1162" s="132"/>
      <c r="Q1162" s="132"/>
      <c r="R1162" s="132"/>
      <c r="S1162" s="132"/>
      <c r="T1162" s="132"/>
      <c r="U1162" s="132"/>
      <c r="V1162" s="132"/>
      <c r="W1162" s="132"/>
      <c r="X1162" s="132"/>
      <c r="Y1162" s="132"/>
      <c r="Z1162" s="132"/>
      <c r="AA1162" s="132"/>
      <c r="AB1162" s="132"/>
      <c r="AC1162" s="132"/>
    </row>
    <row r="1163" ht="24.75" customHeight="1">
      <c r="A1163" s="797"/>
      <c r="B1163" s="798"/>
      <c r="C1163" s="798"/>
      <c r="D1163" s="798"/>
      <c r="E1163" s="498"/>
      <c r="F1163" s="758"/>
      <c r="G1163" s="758"/>
      <c r="H1163" s="773"/>
      <c r="I1163" s="132"/>
      <c r="J1163" s="132"/>
      <c r="K1163" s="132"/>
      <c r="L1163" s="132"/>
      <c r="M1163" s="132"/>
      <c r="N1163" s="132"/>
      <c r="O1163" s="132"/>
      <c r="P1163" s="132"/>
      <c r="Q1163" s="132"/>
      <c r="R1163" s="132"/>
      <c r="S1163" s="132"/>
      <c r="T1163" s="132"/>
      <c r="U1163" s="132"/>
      <c r="V1163" s="132"/>
      <c r="W1163" s="132"/>
      <c r="X1163" s="132"/>
      <c r="Y1163" s="132"/>
      <c r="Z1163" s="132"/>
      <c r="AA1163" s="132"/>
      <c r="AB1163" s="132"/>
      <c r="AC1163" s="132"/>
    </row>
    <row r="1164" ht="24.75" customHeight="1">
      <c r="A1164" s="797"/>
      <c r="B1164" s="798"/>
      <c r="C1164" s="798"/>
      <c r="D1164" s="798"/>
      <c r="E1164" s="498"/>
      <c r="F1164" s="758"/>
      <c r="G1164" s="758"/>
      <c r="H1164" s="773"/>
      <c r="I1164" s="132"/>
      <c r="J1164" s="132"/>
      <c r="K1164" s="132"/>
      <c r="L1164" s="132"/>
      <c r="M1164" s="132"/>
      <c r="N1164" s="132"/>
      <c r="O1164" s="132"/>
      <c r="P1164" s="132"/>
      <c r="Q1164" s="132"/>
      <c r="R1164" s="132"/>
      <c r="S1164" s="132"/>
      <c r="T1164" s="132"/>
      <c r="U1164" s="132"/>
      <c r="V1164" s="132"/>
      <c r="W1164" s="132"/>
      <c r="X1164" s="132"/>
      <c r="Y1164" s="132"/>
      <c r="Z1164" s="132"/>
      <c r="AA1164" s="132"/>
      <c r="AB1164" s="132"/>
      <c r="AC1164" s="132"/>
    </row>
    <row r="1165" ht="24.75" customHeight="1">
      <c r="A1165" s="797"/>
      <c r="B1165" s="798"/>
      <c r="C1165" s="798"/>
      <c r="D1165" s="798"/>
      <c r="E1165" s="498"/>
      <c r="F1165" s="758"/>
      <c r="G1165" s="758"/>
      <c r="H1165" s="773"/>
      <c r="I1165" s="132"/>
      <c r="J1165" s="132"/>
      <c r="K1165" s="132"/>
      <c r="L1165" s="132"/>
      <c r="M1165" s="132"/>
      <c r="N1165" s="132"/>
      <c r="O1165" s="132"/>
      <c r="P1165" s="132"/>
      <c r="Q1165" s="132"/>
      <c r="R1165" s="132"/>
      <c r="S1165" s="132"/>
      <c r="T1165" s="132"/>
      <c r="U1165" s="132"/>
      <c r="V1165" s="132"/>
      <c r="W1165" s="132"/>
      <c r="X1165" s="132"/>
      <c r="Y1165" s="132"/>
      <c r="Z1165" s="132"/>
      <c r="AA1165" s="132"/>
      <c r="AB1165" s="132"/>
      <c r="AC1165" s="132"/>
    </row>
    <row r="1166" ht="24.75" customHeight="1">
      <c r="A1166" s="797"/>
      <c r="B1166" s="798"/>
      <c r="C1166" s="798"/>
      <c r="D1166" s="798"/>
      <c r="E1166" s="498"/>
      <c r="F1166" s="758"/>
      <c r="G1166" s="758"/>
      <c r="H1166" s="773"/>
      <c r="I1166" s="132"/>
      <c r="J1166" s="132"/>
      <c r="K1166" s="132"/>
      <c r="L1166" s="132"/>
      <c r="M1166" s="132"/>
      <c r="N1166" s="132"/>
      <c r="O1166" s="132"/>
      <c r="P1166" s="132"/>
      <c r="Q1166" s="132"/>
      <c r="R1166" s="132"/>
      <c r="S1166" s="132"/>
      <c r="T1166" s="132"/>
      <c r="U1166" s="132"/>
      <c r="V1166" s="132"/>
      <c r="W1166" s="132"/>
      <c r="X1166" s="132"/>
      <c r="Y1166" s="132"/>
      <c r="Z1166" s="132"/>
      <c r="AA1166" s="132"/>
      <c r="AB1166" s="132"/>
      <c r="AC1166" s="132"/>
    </row>
    <row r="1167" ht="24.75" customHeight="1">
      <c r="A1167" s="797"/>
      <c r="B1167" s="798"/>
      <c r="C1167" s="798"/>
      <c r="D1167" s="798"/>
      <c r="E1167" s="498"/>
      <c r="F1167" s="758"/>
      <c r="G1167" s="758"/>
      <c r="H1167" s="773"/>
      <c r="I1167" s="132"/>
      <c r="J1167" s="132"/>
      <c r="K1167" s="132"/>
      <c r="L1167" s="132"/>
      <c r="M1167" s="132"/>
      <c r="N1167" s="132"/>
      <c r="O1167" s="132"/>
      <c r="P1167" s="132"/>
      <c r="Q1167" s="132"/>
      <c r="R1167" s="132"/>
      <c r="S1167" s="132"/>
      <c r="T1167" s="132"/>
      <c r="U1167" s="132"/>
      <c r="V1167" s="132"/>
      <c r="W1167" s="132"/>
      <c r="X1167" s="132"/>
      <c r="Y1167" s="132"/>
      <c r="Z1167" s="132"/>
      <c r="AA1167" s="132"/>
      <c r="AB1167" s="132"/>
      <c r="AC1167" s="132"/>
    </row>
    <row r="1168" ht="24.75" customHeight="1">
      <c r="A1168" s="797"/>
      <c r="B1168" s="798"/>
      <c r="C1168" s="798"/>
      <c r="D1168" s="798"/>
      <c r="E1168" s="498"/>
      <c r="F1168" s="758"/>
      <c r="G1168" s="758"/>
      <c r="H1168" s="773"/>
      <c r="I1168" s="132"/>
      <c r="J1168" s="132"/>
      <c r="K1168" s="132"/>
      <c r="L1168" s="132"/>
      <c r="M1168" s="132"/>
      <c r="N1168" s="132"/>
      <c r="O1168" s="132"/>
      <c r="P1168" s="132"/>
      <c r="Q1168" s="132"/>
      <c r="R1168" s="132"/>
      <c r="S1168" s="132"/>
      <c r="T1168" s="132"/>
      <c r="U1168" s="132"/>
      <c r="V1168" s="132"/>
      <c r="W1168" s="132"/>
      <c r="X1168" s="132"/>
      <c r="Y1168" s="132"/>
      <c r="Z1168" s="132"/>
      <c r="AA1168" s="132"/>
      <c r="AB1168" s="132"/>
      <c r="AC1168" s="132"/>
    </row>
    <row r="1169" ht="24.75" customHeight="1">
      <c r="A1169" s="797"/>
      <c r="B1169" s="798"/>
      <c r="C1169" s="798"/>
      <c r="D1169" s="798"/>
      <c r="E1169" s="498"/>
      <c r="F1169" s="758"/>
      <c r="G1169" s="758"/>
      <c r="H1169" s="773"/>
      <c r="I1169" s="132"/>
      <c r="J1169" s="132"/>
      <c r="K1169" s="132"/>
      <c r="L1169" s="132"/>
      <c r="M1169" s="132"/>
      <c r="N1169" s="132"/>
      <c r="O1169" s="132"/>
      <c r="P1169" s="132"/>
      <c r="Q1169" s="132"/>
      <c r="R1169" s="132"/>
      <c r="S1169" s="132"/>
      <c r="T1169" s="132"/>
      <c r="U1169" s="132"/>
      <c r="V1169" s="132"/>
      <c r="W1169" s="132"/>
      <c r="X1169" s="132"/>
      <c r="Y1169" s="132"/>
      <c r="Z1169" s="132"/>
      <c r="AA1169" s="132"/>
      <c r="AB1169" s="132"/>
      <c r="AC1169" s="132"/>
    </row>
    <row r="1170" ht="24.75" customHeight="1">
      <c r="A1170" s="797"/>
      <c r="B1170" s="798"/>
      <c r="C1170" s="798"/>
      <c r="D1170" s="798"/>
      <c r="E1170" s="498"/>
      <c r="F1170" s="758"/>
      <c r="G1170" s="758"/>
      <c r="H1170" s="773"/>
      <c r="I1170" s="132"/>
      <c r="J1170" s="132"/>
      <c r="K1170" s="132"/>
      <c r="L1170" s="132"/>
      <c r="M1170" s="132"/>
      <c r="N1170" s="132"/>
      <c r="O1170" s="132"/>
      <c r="P1170" s="132"/>
      <c r="Q1170" s="132"/>
      <c r="R1170" s="132"/>
      <c r="S1170" s="132"/>
      <c r="T1170" s="132"/>
      <c r="U1170" s="132"/>
      <c r="V1170" s="132"/>
      <c r="W1170" s="132"/>
      <c r="X1170" s="132"/>
      <c r="Y1170" s="132"/>
      <c r="Z1170" s="132"/>
      <c r="AA1170" s="132"/>
      <c r="AB1170" s="132"/>
      <c r="AC1170" s="132"/>
    </row>
    <row r="1171" ht="24.75" customHeight="1">
      <c r="A1171" s="797"/>
      <c r="B1171" s="798"/>
      <c r="C1171" s="798"/>
      <c r="D1171" s="798"/>
      <c r="E1171" s="498"/>
      <c r="F1171" s="758"/>
      <c r="G1171" s="758"/>
      <c r="H1171" s="773"/>
      <c r="I1171" s="132"/>
      <c r="J1171" s="132"/>
      <c r="K1171" s="132"/>
      <c r="L1171" s="132"/>
      <c r="M1171" s="132"/>
      <c r="N1171" s="132"/>
      <c r="O1171" s="132"/>
      <c r="P1171" s="132"/>
      <c r="Q1171" s="132"/>
      <c r="R1171" s="132"/>
      <c r="S1171" s="132"/>
      <c r="T1171" s="132"/>
      <c r="U1171" s="132"/>
      <c r="V1171" s="132"/>
      <c r="W1171" s="132"/>
      <c r="X1171" s="132"/>
      <c r="Y1171" s="132"/>
      <c r="Z1171" s="132"/>
      <c r="AA1171" s="132"/>
      <c r="AB1171" s="132"/>
      <c r="AC1171" s="132"/>
    </row>
    <row r="1172" ht="24.75" customHeight="1">
      <c r="A1172" s="797"/>
      <c r="B1172" s="798"/>
      <c r="C1172" s="798"/>
      <c r="D1172" s="798"/>
      <c r="E1172" s="498"/>
      <c r="F1172" s="758"/>
      <c r="G1172" s="758"/>
      <c r="H1172" s="773"/>
      <c r="I1172" s="132"/>
      <c r="J1172" s="132"/>
      <c r="K1172" s="132"/>
      <c r="L1172" s="132"/>
      <c r="M1172" s="132"/>
      <c r="N1172" s="132"/>
      <c r="O1172" s="132"/>
      <c r="P1172" s="132"/>
      <c r="Q1172" s="132"/>
      <c r="R1172" s="132"/>
      <c r="S1172" s="132"/>
      <c r="T1172" s="132"/>
      <c r="U1172" s="132"/>
      <c r="V1172" s="132"/>
      <c r="W1172" s="132"/>
      <c r="X1172" s="132"/>
      <c r="Y1172" s="132"/>
      <c r="Z1172" s="132"/>
      <c r="AA1172" s="132"/>
      <c r="AB1172" s="132"/>
      <c r="AC1172" s="132"/>
    </row>
    <row r="1173" ht="24.75" customHeight="1">
      <c r="A1173" s="797"/>
      <c r="B1173" s="798"/>
      <c r="C1173" s="798"/>
      <c r="D1173" s="798"/>
      <c r="E1173" s="498"/>
      <c r="F1173" s="758"/>
      <c r="G1173" s="758"/>
      <c r="H1173" s="773"/>
      <c r="I1173" s="132"/>
      <c r="J1173" s="132"/>
      <c r="K1173" s="132"/>
      <c r="L1173" s="132"/>
      <c r="M1173" s="132"/>
      <c r="N1173" s="132"/>
      <c r="O1173" s="132"/>
      <c r="P1173" s="132"/>
      <c r="Q1173" s="132"/>
      <c r="R1173" s="132"/>
      <c r="S1173" s="132"/>
      <c r="T1173" s="132"/>
      <c r="U1173" s="132"/>
      <c r="V1173" s="132"/>
      <c r="W1173" s="132"/>
      <c r="X1173" s="132"/>
      <c r="Y1173" s="132"/>
      <c r="Z1173" s="132"/>
      <c r="AA1173" s="132"/>
      <c r="AB1173" s="132"/>
      <c r="AC1173" s="132"/>
    </row>
    <row r="1174" ht="24.75" customHeight="1">
      <c r="A1174" s="797"/>
      <c r="B1174" s="798"/>
      <c r="C1174" s="798"/>
      <c r="D1174" s="798"/>
      <c r="E1174" s="498"/>
      <c r="F1174" s="758"/>
      <c r="G1174" s="758"/>
      <c r="H1174" s="773"/>
      <c r="I1174" s="132"/>
      <c r="J1174" s="132"/>
      <c r="K1174" s="132"/>
      <c r="L1174" s="132"/>
      <c r="M1174" s="132"/>
      <c r="N1174" s="132"/>
      <c r="O1174" s="132"/>
      <c r="P1174" s="132"/>
      <c r="Q1174" s="132"/>
      <c r="R1174" s="132"/>
      <c r="S1174" s="132"/>
      <c r="T1174" s="132"/>
      <c r="U1174" s="132"/>
      <c r="V1174" s="132"/>
      <c r="W1174" s="132"/>
      <c r="X1174" s="132"/>
      <c r="Y1174" s="132"/>
      <c r="Z1174" s="132"/>
      <c r="AA1174" s="132"/>
      <c r="AB1174" s="132"/>
      <c r="AC1174" s="132"/>
    </row>
    <row r="1175" ht="24.75" customHeight="1">
      <c r="A1175" s="797"/>
      <c r="B1175" s="798"/>
      <c r="C1175" s="798"/>
      <c r="D1175" s="798"/>
      <c r="E1175" s="498"/>
      <c r="F1175" s="758"/>
      <c r="G1175" s="758"/>
      <c r="H1175" s="773"/>
      <c r="I1175" s="132"/>
      <c r="J1175" s="132"/>
      <c r="K1175" s="132"/>
      <c r="L1175" s="132"/>
      <c r="M1175" s="132"/>
      <c r="N1175" s="132"/>
      <c r="O1175" s="132"/>
      <c r="P1175" s="132"/>
      <c r="Q1175" s="132"/>
      <c r="R1175" s="132"/>
      <c r="S1175" s="132"/>
      <c r="T1175" s="132"/>
      <c r="U1175" s="132"/>
      <c r="V1175" s="132"/>
      <c r="W1175" s="132"/>
      <c r="X1175" s="132"/>
      <c r="Y1175" s="132"/>
      <c r="Z1175" s="132"/>
      <c r="AA1175" s="132"/>
      <c r="AB1175" s="132"/>
      <c r="AC1175" s="132"/>
    </row>
    <row r="1176" ht="24.75" customHeight="1">
      <c r="A1176" s="797"/>
      <c r="B1176" s="798"/>
      <c r="C1176" s="798"/>
      <c r="D1176" s="798"/>
      <c r="E1176" s="498"/>
      <c r="F1176" s="758"/>
      <c r="G1176" s="758"/>
      <c r="H1176" s="773"/>
      <c r="I1176" s="132"/>
      <c r="J1176" s="132"/>
      <c r="K1176" s="132"/>
      <c r="L1176" s="132"/>
      <c r="M1176" s="132"/>
      <c r="N1176" s="132"/>
      <c r="O1176" s="132"/>
      <c r="P1176" s="132"/>
      <c r="Q1176" s="132"/>
      <c r="R1176" s="132"/>
      <c r="S1176" s="132"/>
      <c r="T1176" s="132"/>
      <c r="U1176" s="132"/>
      <c r="V1176" s="132"/>
      <c r="W1176" s="132"/>
      <c r="X1176" s="132"/>
      <c r="Y1176" s="132"/>
      <c r="Z1176" s="132"/>
      <c r="AA1176" s="132"/>
      <c r="AB1176" s="132"/>
      <c r="AC1176" s="132"/>
    </row>
    <row r="1177" ht="24.75" customHeight="1">
      <c r="A1177" s="797"/>
      <c r="B1177" s="798"/>
      <c r="C1177" s="798"/>
      <c r="D1177" s="798"/>
      <c r="E1177" s="498"/>
      <c r="F1177" s="758"/>
      <c r="G1177" s="758"/>
      <c r="H1177" s="773"/>
      <c r="I1177" s="132"/>
      <c r="J1177" s="132"/>
      <c r="K1177" s="132"/>
      <c r="L1177" s="132"/>
      <c r="M1177" s="132"/>
      <c r="N1177" s="132"/>
      <c r="O1177" s="132"/>
      <c r="P1177" s="132"/>
      <c r="Q1177" s="132"/>
      <c r="R1177" s="132"/>
      <c r="S1177" s="132"/>
      <c r="T1177" s="132"/>
      <c r="U1177" s="132"/>
      <c r="V1177" s="132"/>
      <c r="W1177" s="132"/>
      <c r="X1177" s="132"/>
      <c r="Y1177" s="132"/>
      <c r="Z1177" s="132"/>
      <c r="AA1177" s="132"/>
      <c r="AB1177" s="132"/>
      <c r="AC1177" s="132"/>
    </row>
    <row r="1178" ht="24.75" customHeight="1">
      <c r="A1178" s="797"/>
      <c r="B1178" s="798"/>
      <c r="C1178" s="798"/>
      <c r="D1178" s="798"/>
      <c r="E1178" s="498"/>
      <c r="F1178" s="758"/>
      <c r="G1178" s="758"/>
      <c r="H1178" s="773"/>
      <c r="I1178" s="132"/>
      <c r="J1178" s="132"/>
      <c r="K1178" s="132"/>
      <c r="L1178" s="132"/>
      <c r="M1178" s="132"/>
      <c r="N1178" s="132"/>
      <c r="O1178" s="132"/>
      <c r="P1178" s="132"/>
      <c r="Q1178" s="132"/>
      <c r="R1178" s="132"/>
      <c r="S1178" s="132"/>
      <c r="T1178" s="132"/>
      <c r="U1178" s="132"/>
      <c r="V1178" s="132"/>
      <c r="W1178" s="132"/>
      <c r="X1178" s="132"/>
      <c r="Y1178" s="132"/>
      <c r="Z1178" s="132"/>
      <c r="AA1178" s="132"/>
      <c r="AB1178" s="132"/>
      <c r="AC1178" s="132"/>
    </row>
    <row r="1179" ht="24.75" customHeight="1">
      <c r="A1179" s="797"/>
      <c r="B1179" s="798"/>
      <c r="C1179" s="798"/>
      <c r="D1179" s="798"/>
      <c r="E1179" s="498"/>
      <c r="F1179" s="758"/>
      <c r="G1179" s="758"/>
      <c r="H1179" s="773"/>
      <c r="I1179" s="132"/>
      <c r="J1179" s="132"/>
      <c r="K1179" s="132"/>
      <c r="L1179" s="132"/>
      <c r="M1179" s="132"/>
      <c r="N1179" s="132"/>
      <c r="O1179" s="132"/>
      <c r="P1179" s="132"/>
      <c r="Q1179" s="132"/>
      <c r="R1179" s="132"/>
      <c r="S1179" s="132"/>
      <c r="T1179" s="132"/>
      <c r="U1179" s="132"/>
      <c r="V1179" s="132"/>
      <c r="W1179" s="132"/>
      <c r="X1179" s="132"/>
      <c r="Y1179" s="132"/>
      <c r="Z1179" s="132"/>
      <c r="AA1179" s="132"/>
      <c r="AB1179" s="132"/>
      <c r="AC1179" s="132"/>
    </row>
    <row r="1180" ht="24.75" customHeight="1">
      <c r="A1180" s="797"/>
      <c r="B1180" s="798"/>
      <c r="C1180" s="798"/>
      <c r="D1180" s="798"/>
      <c r="E1180" s="498"/>
      <c r="F1180" s="758"/>
      <c r="G1180" s="758"/>
      <c r="H1180" s="773"/>
      <c r="I1180" s="132"/>
      <c r="J1180" s="132"/>
      <c r="K1180" s="132"/>
      <c r="L1180" s="132"/>
      <c r="M1180" s="132"/>
      <c r="N1180" s="132"/>
      <c r="O1180" s="132"/>
      <c r="P1180" s="132"/>
      <c r="Q1180" s="132"/>
      <c r="R1180" s="132"/>
      <c r="S1180" s="132"/>
      <c r="T1180" s="132"/>
      <c r="U1180" s="132"/>
      <c r="V1180" s="132"/>
      <c r="W1180" s="132"/>
      <c r="X1180" s="132"/>
      <c r="Y1180" s="132"/>
      <c r="Z1180" s="132"/>
      <c r="AA1180" s="132"/>
      <c r="AB1180" s="132"/>
      <c r="AC1180" s="132"/>
    </row>
    <row r="1181" ht="24.75" customHeight="1">
      <c r="A1181" s="797"/>
      <c r="B1181" s="798"/>
      <c r="C1181" s="798"/>
      <c r="D1181" s="798"/>
      <c r="E1181" s="498"/>
      <c r="F1181" s="758"/>
      <c r="G1181" s="758"/>
      <c r="H1181" s="773"/>
      <c r="I1181" s="132"/>
      <c r="J1181" s="132"/>
      <c r="K1181" s="132"/>
      <c r="L1181" s="132"/>
      <c r="M1181" s="132"/>
      <c r="N1181" s="132"/>
      <c r="O1181" s="132"/>
      <c r="P1181" s="132"/>
      <c r="Q1181" s="132"/>
      <c r="R1181" s="132"/>
      <c r="S1181" s="132"/>
      <c r="T1181" s="132"/>
      <c r="U1181" s="132"/>
      <c r="V1181" s="132"/>
      <c r="W1181" s="132"/>
      <c r="X1181" s="132"/>
      <c r="Y1181" s="132"/>
      <c r="Z1181" s="132"/>
      <c r="AA1181" s="132"/>
      <c r="AB1181" s="132"/>
      <c r="AC1181" s="132"/>
    </row>
    <row r="1182" ht="24.75" customHeight="1">
      <c r="A1182" s="797"/>
      <c r="B1182" s="798"/>
      <c r="C1182" s="798"/>
      <c r="D1182" s="798"/>
      <c r="E1182" s="498"/>
      <c r="F1182" s="758"/>
      <c r="G1182" s="758"/>
      <c r="H1182" s="773"/>
      <c r="I1182" s="132"/>
      <c r="J1182" s="132"/>
      <c r="K1182" s="132"/>
      <c r="L1182" s="132"/>
      <c r="M1182" s="132"/>
      <c r="N1182" s="132"/>
      <c r="O1182" s="132"/>
      <c r="P1182" s="132"/>
      <c r="Q1182" s="132"/>
      <c r="R1182" s="132"/>
      <c r="S1182" s="132"/>
      <c r="T1182" s="132"/>
      <c r="U1182" s="132"/>
      <c r="V1182" s="132"/>
      <c r="W1182" s="132"/>
      <c r="X1182" s="132"/>
      <c r="Y1182" s="132"/>
      <c r="Z1182" s="132"/>
      <c r="AA1182" s="132"/>
      <c r="AB1182" s="132"/>
      <c r="AC1182" s="132"/>
    </row>
    <row r="1183" ht="24.75" customHeight="1">
      <c r="A1183" s="797"/>
      <c r="B1183" s="798"/>
      <c r="C1183" s="798"/>
      <c r="D1183" s="798"/>
      <c r="E1183" s="498"/>
      <c r="F1183" s="758"/>
      <c r="G1183" s="758"/>
      <c r="H1183" s="773"/>
      <c r="I1183" s="132"/>
      <c r="J1183" s="132"/>
      <c r="K1183" s="132"/>
      <c r="L1183" s="132"/>
      <c r="M1183" s="132"/>
      <c r="N1183" s="132"/>
      <c r="O1183" s="132"/>
      <c r="P1183" s="132"/>
      <c r="Q1183" s="132"/>
      <c r="R1183" s="132"/>
      <c r="S1183" s="132"/>
      <c r="T1183" s="132"/>
      <c r="U1183" s="132"/>
      <c r="V1183" s="132"/>
      <c r="W1183" s="132"/>
      <c r="X1183" s="132"/>
      <c r="Y1183" s="132"/>
      <c r="Z1183" s="132"/>
      <c r="AA1183" s="132"/>
      <c r="AB1183" s="132"/>
      <c r="AC1183" s="132"/>
    </row>
    <row r="1184" ht="24.75" customHeight="1">
      <c r="A1184" s="797"/>
      <c r="B1184" s="798"/>
      <c r="C1184" s="798"/>
      <c r="D1184" s="798"/>
      <c r="E1184" s="498"/>
      <c r="F1184" s="758"/>
      <c r="G1184" s="758"/>
      <c r="H1184" s="773"/>
      <c r="I1184" s="132"/>
      <c r="J1184" s="132"/>
      <c r="K1184" s="132"/>
      <c r="L1184" s="132"/>
      <c r="M1184" s="132"/>
      <c r="N1184" s="132"/>
      <c r="O1184" s="132"/>
      <c r="P1184" s="132"/>
      <c r="Q1184" s="132"/>
      <c r="R1184" s="132"/>
      <c r="S1184" s="132"/>
      <c r="T1184" s="132"/>
      <c r="U1184" s="132"/>
      <c r="V1184" s="132"/>
      <c r="W1184" s="132"/>
      <c r="X1184" s="132"/>
      <c r="Y1184" s="132"/>
      <c r="Z1184" s="132"/>
      <c r="AA1184" s="132"/>
      <c r="AB1184" s="132"/>
      <c r="AC1184" s="132"/>
    </row>
    <row r="1185" ht="24.75" customHeight="1">
      <c r="A1185" s="797"/>
      <c r="B1185" s="798"/>
      <c r="C1185" s="798"/>
      <c r="D1185" s="798"/>
      <c r="E1185" s="498"/>
      <c r="F1185" s="758"/>
      <c r="G1185" s="758"/>
      <c r="H1185" s="773"/>
      <c r="I1185" s="132"/>
      <c r="J1185" s="132"/>
      <c r="K1185" s="132"/>
      <c r="L1185" s="132"/>
      <c r="M1185" s="132"/>
      <c r="N1185" s="132"/>
      <c r="O1185" s="132"/>
      <c r="P1185" s="132"/>
      <c r="Q1185" s="132"/>
      <c r="R1185" s="132"/>
      <c r="S1185" s="132"/>
      <c r="T1185" s="132"/>
      <c r="U1185" s="132"/>
      <c r="V1185" s="132"/>
      <c r="W1185" s="132"/>
      <c r="X1185" s="132"/>
      <c r="Y1185" s="132"/>
      <c r="Z1185" s="132"/>
      <c r="AA1185" s="132"/>
      <c r="AB1185" s="132"/>
      <c r="AC1185" s="132"/>
    </row>
    <row r="1186" ht="24.75" customHeight="1">
      <c r="A1186" s="797"/>
      <c r="B1186" s="798"/>
      <c r="C1186" s="798"/>
      <c r="D1186" s="798"/>
      <c r="E1186" s="498"/>
      <c r="F1186" s="758"/>
      <c r="G1186" s="758"/>
      <c r="H1186" s="773"/>
      <c r="I1186" s="132"/>
      <c r="J1186" s="132"/>
      <c r="K1186" s="132"/>
      <c r="L1186" s="132"/>
      <c r="M1186" s="132"/>
      <c r="N1186" s="132"/>
      <c r="O1186" s="132"/>
      <c r="P1186" s="132"/>
      <c r="Q1186" s="132"/>
      <c r="R1186" s="132"/>
      <c r="S1186" s="132"/>
      <c r="T1186" s="132"/>
      <c r="U1186" s="132"/>
      <c r="V1186" s="132"/>
      <c r="W1186" s="132"/>
      <c r="X1186" s="132"/>
      <c r="Y1186" s="132"/>
      <c r="Z1186" s="132"/>
      <c r="AA1186" s="132"/>
      <c r="AB1186" s="132"/>
      <c r="AC1186" s="132"/>
    </row>
    <row r="1187" ht="24.75" customHeight="1">
      <c r="A1187" s="797"/>
      <c r="B1187" s="798"/>
      <c r="C1187" s="798"/>
      <c r="D1187" s="798"/>
      <c r="E1187" s="498"/>
      <c r="F1187" s="758"/>
      <c r="G1187" s="758"/>
      <c r="H1187" s="773"/>
      <c r="I1187" s="132"/>
      <c r="J1187" s="132"/>
      <c r="K1187" s="132"/>
      <c r="L1187" s="132"/>
      <c r="M1187" s="132"/>
      <c r="N1187" s="132"/>
      <c r="O1187" s="132"/>
      <c r="P1187" s="132"/>
      <c r="Q1187" s="132"/>
      <c r="R1187" s="132"/>
      <c r="S1187" s="132"/>
      <c r="T1187" s="132"/>
      <c r="U1187" s="132"/>
      <c r="V1187" s="132"/>
      <c r="W1187" s="132"/>
      <c r="X1187" s="132"/>
      <c r="Y1187" s="132"/>
      <c r="Z1187" s="132"/>
      <c r="AA1187" s="132"/>
      <c r="AB1187" s="132"/>
      <c r="AC1187" s="132"/>
    </row>
    <row r="1188" ht="24.75" customHeight="1">
      <c r="A1188" s="797"/>
      <c r="B1188" s="798"/>
      <c r="C1188" s="798"/>
      <c r="D1188" s="798"/>
      <c r="E1188" s="498"/>
      <c r="F1188" s="758"/>
      <c r="G1188" s="758"/>
      <c r="H1188" s="773"/>
      <c r="I1188" s="132"/>
      <c r="J1188" s="132"/>
      <c r="K1188" s="132"/>
      <c r="L1188" s="132"/>
      <c r="M1188" s="132"/>
      <c r="N1188" s="132"/>
      <c r="O1188" s="132"/>
      <c r="P1188" s="132"/>
      <c r="Q1188" s="132"/>
      <c r="R1188" s="132"/>
      <c r="S1188" s="132"/>
      <c r="T1188" s="132"/>
      <c r="U1188" s="132"/>
      <c r="V1188" s="132"/>
      <c r="W1188" s="132"/>
      <c r="X1188" s="132"/>
      <c r="Y1188" s="132"/>
      <c r="Z1188" s="132"/>
      <c r="AA1188" s="132"/>
      <c r="AB1188" s="132"/>
      <c r="AC1188" s="132"/>
    </row>
    <row r="1189" ht="24.75" customHeight="1">
      <c r="A1189" s="797"/>
      <c r="B1189" s="798"/>
      <c r="C1189" s="798"/>
      <c r="D1189" s="798"/>
      <c r="E1189" s="498"/>
      <c r="F1189" s="758"/>
      <c r="G1189" s="758"/>
      <c r="H1189" s="773"/>
      <c r="I1189" s="132"/>
      <c r="J1189" s="132"/>
      <c r="K1189" s="132"/>
      <c r="L1189" s="132"/>
      <c r="M1189" s="132"/>
      <c r="N1189" s="132"/>
      <c r="O1189" s="132"/>
      <c r="P1189" s="132"/>
      <c r="Q1189" s="132"/>
      <c r="R1189" s="132"/>
      <c r="S1189" s="132"/>
      <c r="T1189" s="132"/>
      <c r="U1189" s="132"/>
      <c r="V1189" s="132"/>
      <c r="W1189" s="132"/>
      <c r="X1189" s="132"/>
      <c r="Y1189" s="132"/>
      <c r="Z1189" s="132"/>
      <c r="AA1189" s="132"/>
      <c r="AB1189" s="132"/>
      <c r="AC1189" s="132"/>
    </row>
    <row r="1190" ht="24.75" customHeight="1">
      <c r="A1190" s="797"/>
      <c r="B1190" s="798"/>
      <c r="C1190" s="798"/>
      <c r="D1190" s="798"/>
      <c r="E1190" s="498"/>
      <c r="F1190" s="758"/>
      <c r="G1190" s="758"/>
      <c r="H1190" s="773"/>
      <c r="I1190" s="132"/>
      <c r="J1190" s="132"/>
      <c r="K1190" s="132"/>
      <c r="L1190" s="132"/>
      <c r="M1190" s="132"/>
      <c r="N1190" s="132"/>
      <c r="O1190" s="132"/>
      <c r="P1190" s="132"/>
      <c r="Q1190" s="132"/>
      <c r="R1190" s="132"/>
      <c r="S1190" s="132"/>
      <c r="T1190" s="132"/>
      <c r="U1190" s="132"/>
      <c r="V1190" s="132"/>
      <c r="W1190" s="132"/>
      <c r="X1190" s="132"/>
      <c r="Y1190" s="132"/>
      <c r="Z1190" s="132"/>
      <c r="AA1190" s="132"/>
      <c r="AB1190" s="132"/>
      <c r="AC1190" s="132"/>
    </row>
    <row r="1191" ht="24.75" customHeight="1">
      <c r="A1191" s="797"/>
      <c r="B1191" s="798"/>
      <c r="C1191" s="798"/>
      <c r="D1191" s="798"/>
      <c r="E1191" s="498"/>
      <c r="F1191" s="758"/>
      <c r="G1191" s="758"/>
      <c r="H1191" s="773"/>
      <c r="I1191" s="132"/>
      <c r="J1191" s="132"/>
      <c r="K1191" s="132"/>
      <c r="L1191" s="132"/>
      <c r="M1191" s="132"/>
      <c r="N1191" s="132"/>
      <c r="O1191" s="132"/>
      <c r="P1191" s="132"/>
      <c r="Q1191" s="132"/>
      <c r="R1191" s="132"/>
      <c r="S1191" s="132"/>
      <c r="T1191" s="132"/>
      <c r="U1191" s="132"/>
      <c r="V1191" s="132"/>
      <c r="W1191" s="132"/>
      <c r="X1191" s="132"/>
      <c r="Y1191" s="132"/>
      <c r="Z1191" s="132"/>
      <c r="AA1191" s="132"/>
      <c r="AB1191" s="132"/>
      <c r="AC1191" s="132"/>
    </row>
    <row r="1192" ht="24.75" customHeight="1">
      <c r="A1192" s="797"/>
      <c r="B1192" s="798"/>
      <c r="C1192" s="798"/>
      <c r="D1192" s="798"/>
      <c r="E1192" s="498"/>
      <c r="F1192" s="758"/>
      <c r="G1192" s="758"/>
      <c r="H1192" s="773"/>
      <c r="I1192" s="132"/>
      <c r="J1192" s="132"/>
      <c r="K1192" s="132"/>
      <c r="L1192" s="132"/>
      <c r="M1192" s="132"/>
      <c r="N1192" s="132"/>
      <c r="O1192" s="132"/>
      <c r="P1192" s="132"/>
      <c r="Q1192" s="132"/>
      <c r="R1192" s="132"/>
      <c r="S1192" s="132"/>
      <c r="T1192" s="132"/>
      <c r="U1192" s="132"/>
      <c r="V1192" s="132"/>
      <c r="W1192" s="132"/>
      <c r="X1192" s="132"/>
      <c r="Y1192" s="132"/>
      <c r="Z1192" s="132"/>
      <c r="AA1192" s="132"/>
      <c r="AB1192" s="132"/>
      <c r="AC1192" s="132"/>
    </row>
    <row r="1193" ht="24.75" customHeight="1">
      <c r="A1193" s="797"/>
      <c r="B1193" s="798"/>
      <c r="C1193" s="798"/>
      <c r="D1193" s="798"/>
      <c r="E1193" s="498"/>
      <c r="F1193" s="758"/>
      <c r="G1193" s="758"/>
      <c r="H1193" s="773"/>
      <c r="I1193" s="132"/>
      <c r="J1193" s="132"/>
      <c r="K1193" s="132"/>
      <c r="L1193" s="132"/>
      <c r="M1193" s="132"/>
      <c r="N1193" s="132"/>
      <c r="O1193" s="132"/>
      <c r="P1193" s="132"/>
      <c r="Q1193" s="132"/>
      <c r="R1193" s="132"/>
      <c r="S1193" s="132"/>
      <c r="T1193" s="132"/>
      <c r="U1193" s="132"/>
      <c r="V1193" s="132"/>
      <c r="W1193" s="132"/>
      <c r="X1193" s="132"/>
      <c r="Y1193" s="132"/>
      <c r="Z1193" s="132"/>
      <c r="AA1193" s="132"/>
      <c r="AB1193" s="132"/>
      <c r="AC1193" s="132"/>
    </row>
    <row r="1194" ht="24.75" customHeight="1">
      <c r="A1194" s="797"/>
      <c r="B1194" s="798"/>
      <c r="C1194" s="798"/>
      <c r="D1194" s="798"/>
      <c r="E1194" s="498"/>
      <c r="F1194" s="758"/>
      <c r="G1194" s="758"/>
      <c r="H1194" s="773"/>
      <c r="I1194" s="132"/>
      <c r="J1194" s="132"/>
      <c r="K1194" s="132"/>
      <c r="L1194" s="132"/>
      <c r="M1194" s="132"/>
      <c r="N1194" s="132"/>
      <c r="O1194" s="132"/>
      <c r="P1194" s="132"/>
      <c r="Q1194" s="132"/>
      <c r="R1194" s="132"/>
      <c r="S1194" s="132"/>
      <c r="T1194" s="132"/>
      <c r="U1194" s="132"/>
      <c r="V1194" s="132"/>
      <c r="W1194" s="132"/>
      <c r="X1194" s="132"/>
      <c r="Y1194" s="132"/>
      <c r="Z1194" s="132"/>
      <c r="AA1194" s="132"/>
      <c r="AB1194" s="132"/>
      <c r="AC1194" s="132"/>
    </row>
    <row r="1195" ht="24.75" customHeight="1">
      <c r="A1195" s="797"/>
      <c r="B1195" s="798"/>
      <c r="C1195" s="798"/>
      <c r="D1195" s="798"/>
      <c r="E1195" s="498"/>
      <c r="F1195" s="758"/>
      <c r="G1195" s="758"/>
      <c r="H1195" s="773"/>
      <c r="I1195" s="132"/>
      <c r="J1195" s="132"/>
      <c r="K1195" s="132"/>
      <c r="L1195" s="132"/>
      <c r="M1195" s="132"/>
      <c r="N1195" s="132"/>
      <c r="O1195" s="132"/>
      <c r="P1195" s="132"/>
      <c r="Q1195" s="132"/>
      <c r="R1195" s="132"/>
      <c r="S1195" s="132"/>
      <c r="T1195" s="132"/>
      <c r="U1195" s="132"/>
      <c r="V1195" s="132"/>
      <c r="W1195" s="132"/>
      <c r="X1195" s="132"/>
      <c r="Y1195" s="132"/>
      <c r="Z1195" s="132"/>
      <c r="AA1195" s="132"/>
      <c r="AB1195" s="132"/>
      <c r="AC1195" s="132"/>
    </row>
    <row r="1196" ht="24.75" customHeight="1">
      <c r="A1196" s="797"/>
      <c r="B1196" s="798"/>
      <c r="C1196" s="798"/>
      <c r="D1196" s="798"/>
      <c r="E1196" s="498"/>
      <c r="F1196" s="758"/>
      <c r="G1196" s="758"/>
      <c r="H1196" s="773"/>
      <c r="I1196" s="132"/>
      <c r="J1196" s="132"/>
      <c r="K1196" s="132"/>
      <c r="L1196" s="132"/>
      <c r="M1196" s="132"/>
      <c r="N1196" s="132"/>
      <c r="O1196" s="132"/>
      <c r="P1196" s="132"/>
      <c r="Q1196" s="132"/>
      <c r="R1196" s="132"/>
      <c r="S1196" s="132"/>
      <c r="T1196" s="132"/>
      <c r="U1196" s="132"/>
      <c r="V1196" s="132"/>
      <c r="W1196" s="132"/>
      <c r="X1196" s="132"/>
      <c r="Y1196" s="132"/>
      <c r="Z1196" s="132"/>
      <c r="AA1196" s="132"/>
      <c r="AB1196" s="132"/>
      <c r="AC1196" s="132"/>
    </row>
    <row r="1197" ht="24.75" customHeight="1">
      <c r="A1197" s="797"/>
      <c r="B1197" s="798"/>
      <c r="C1197" s="798"/>
      <c r="D1197" s="798"/>
      <c r="E1197" s="498"/>
      <c r="F1197" s="758"/>
      <c r="G1197" s="758"/>
      <c r="H1197" s="773"/>
      <c r="I1197" s="132"/>
      <c r="J1197" s="132"/>
      <c r="K1197" s="132"/>
      <c r="L1197" s="132"/>
      <c r="M1197" s="132"/>
      <c r="N1197" s="132"/>
      <c r="O1197" s="132"/>
      <c r="P1197" s="132"/>
      <c r="Q1197" s="132"/>
      <c r="R1197" s="132"/>
      <c r="S1197" s="132"/>
      <c r="T1197" s="132"/>
      <c r="U1197" s="132"/>
      <c r="V1197" s="132"/>
      <c r="W1197" s="132"/>
      <c r="X1197" s="132"/>
      <c r="Y1197" s="132"/>
      <c r="Z1197" s="132"/>
      <c r="AA1197" s="132"/>
      <c r="AB1197" s="132"/>
      <c r="AC1197" s="132"/>
    </row>
    <row r="1198" ht="24.75" customHeight="1">
      <c r="A1198" s="797"/>
      <c r="B1198" s="798"/>
      <c r="C1198" s="798"/>
      <c r="D1198" s="798"/>
      <c r="E1198" s="498"/>
      <c r="F1198" s="758"/>
      <c r="G1198" s="758"/>
      <c r="H1198" s="773"/>
      <c r="I1198" s="132"/>
      <c r="J1198" s="132"/>
      <c r="K1198" s="132"/>
      <c r="L1198" s="132"/>
      <c r="M1198" s="132"/>
      <c r="N1198" s="132"/>
      <c r="O1198" s="132"/>
      <c r="P1198" s="132"/>
      <c r="Q1198" s="132"/>
      <c r="R1198" s="132"/>
      <c r="S1198" s="132"/>
      <c r="T1198" s="132"/>
      <c r="U1198" s="132"/>
      <c r="V1198" s="132"/>
      <c r="W1198" s="132"/>
      <c r="X1198" s="132"/>
      <c r="Y1198" s="132"/>
      <c r="Z1198" s="132"/>
      <c r="AA1198" s="132"/>
      <c r="AB1198" s="132"/>
      <c r="AC1198" s="132"/>
    </row>
    <row r="1199" ht="24.75" customHeight="1">
      <c r="A1199" s="797"/>
      <c r="B1199" s="798"/>
      <c r="C1199" s="798"/>
      <c r="D1199" s="798"/>
      <c r="E1199" s="498"/>
      <c r="F1199" s="758"/>
      <c r="G1199" s="758"/>
      <c r="H1199" s="773"/>
      <c r="I1199" s="132"/>
      <c r="J1199" s="132"/>
      <c r="K1199" s="132"/>
      <c r="L1199" s="132"/>
      <c r="M1199" s="132"/>
      <c r="N1199" s="132"/>
      <c r="O1199" s="132"/>
      <c r="P1199" s="132"/>
      <c r="Q1199" s="132"/>
      <c r="R1199" s="132"/>
      <c r="S1199" s="132"/>
      <c r="T1199" s="132"/>
      <c r="U1199" s="132"/>
      <c r="V1199" s="132"/>
      <c r="W1199" s="132"/>
      <c r="X1199" s="132"/>
      <c r="Y1199" s="132"/>
      <c r="Z1199" s="132"/>
      <c r="AA1199" s="132"/>
      <c r="AB1199" s="132"/>
      <c r="AC1199" s="132"/>
    </row>
    <row r="1200" ht="24.75" customHeight="1">
      <c r="A1200" s="797"/>
      <c r="B1200" s="798"/>
      <c r="C1200" s="798"/>
      <c r="D1200" s="798"/>
      <c r="E1200" s="498"/>
      <c r="F1200" s="758"/>
      <c r="G1200" s="758"/>
      <c r="H1200" s="773"/>
      <c r="I1200" s="132"/>
      <c r="J1200" s="132"/>
      <c r="K1200" s="132"/>
      <c r="L1200" s="132"/>
      <c r="M1200" s="132"/>
      <c r="N1200" s="132"/>
      <c r="O1200" s="132"/>
      <c r="P1200" s="132"/>
      <c r="Q1200" s="132"/>
      <c r="R1200" s="132"/>
      <c r="S1200" s="132"/>
      <c r="T1200" s="132"/>
      <c r="U1200" s="132"/>
      <c r="V1200" s="132"/>
      <c r="W1200" s="132"/>
      <c r="X1200" s="132"/>
      <c r="Y1200" s="132"/>
      <c r="Z1200" s="132"/>
      <c r="AA1200" s="132"/>
      <c r="AB1200" s="132"/>
      <c r="AC1200" s="132"/>
    </row>
    <row r="1201" ht="24.75" customHeight="1">
      <c r="A1201" s="797"/>
      <c r="B1201" s="798"/>
      <c r="C1201" s="798"/>
      <c r="D1201" s="798"/>
      <c r="E1201" s="498"/>
      <c r="F1201" s="758"/>
      <c r="G1201" s="758"/>
      <c r="H1201" s="773"/>
      <c r="I1201" s="132"/>
      <c r="J1201" s="132"/>
      <c r="K1201" s="132"/>
      <c r="L1201" s="132"/>
      <c r="M1201" s="132"/>
      <c r="N1201" s="132"/>
      <c r="O1201" s="132"/>
      <c r="P1201" s="132"/>
      <c r="Q1201" s="132"/>
      <c r="R1201" s="132"/>
      <c r="S1201" s="132"/>
      <c r="T1201" s="132"/>
      <c r="U1201" s="132"/>
      <c r="V1201" s="132"/>
      <c r="W1201" s="132"/>
      <c r="X1201" s="132"/>
      <c r="Y1201" s="132"/>
      <c r="Z1201" s="132"/>
      <c r="AA1201" s="132"/>
      <c r="AB1201" s="132"/>
      <c r="AC1201" s="132"/>
    </row>
    <row r="1202" ht="24.75" customHeight="1">
      <c r="A1202" s="797"/>
      <c r="B1202" s="798"/>
      <c r="C1202" s="798"/>
      <c r="D1202" s="798"/>
      <c r="E1202" s="498"/>
      <c r="F1202" s="758"/>
      <c r="G1202" s="758"/>
      <c r="H1202" s="773"/>
      <c r="I1202" s="132"/>
      <c r="J1202" s="132"/>
      <c r="K1202" s="132"/>
      <c r="L1202" s="132"/>
      <c r="M1202" s="132"/>
      <c r="N1202" s="132"/>
      <c r="O1202" s="132"/>
      <c r="P1202" s="132"/>
      <c r="Q1202" s="132"/>
      <c r="R1202" s="132"/>
      <c r="S1202" s="132"/>
      <c r="T1202" s="132"/>
      <c r="U1202" s="132"/>
      <c r="V1202" s="132"/>
      <c r="W1202" s="132"/>
      <c r="X1202" s="132"/>
      <c r="Y1202" s="132"/>
      <c r="Z1202" s="132"/>
      <c r="AA1202" s="132"/>
      <c r="AB1202" s="132"/>
      <c r="AC1202" s="132"/>
    </row>
    <row r="1203" ht="24.75" customHeight="1">
      <c r="A1203" s="797"/>
      <c r="B1203" s="798"/>
      <c r="C1203" s="798"/>
      <c r="D1203" s="798"/>
      <c r="E1203" s="498"/>
      <c r="F1203" s="758"/>
      <c r="G1203" s="758"/>
      <c r="H1203" s="773"/>
      <c r="I1203" s="132"/>
      <c r="J1203" s="132"/>
      <c r="K1203" s="132"/>
      <c r="L1203" s="132"/>
      <c r="M1203" s="132"/>
      <c r="N1203" s="132"/>
      <c r="O1203" s="132"/>
      <c r="P1203" s="132"/>
      <c r="Q1203" s="132"/>
      <c r="R1203" s="132"/>
      <c r="S1203" s="132"/>
      <c r="T1203" s="132"/>
      <c r="U1203" s="132"/>
      <c r="V1203" s="132"/>
      <c r="W1203" s="132"/>
      <c r="X1203" s="132"/>
      <c r="Y1203" s="132"/>
      <c r="Z1203" s="132"/>
      <c r="AA1203" s="132"/>
      <c r="AB1203" s="132"/>
      <c r="AC1203" s="132"/>
    </row>
    <row r="1204" ht="24.75" customHeight="1">
      <c r="A1204" s="797"/>
      <c r="B1204" s="798"/>
      <c r="C1204" s="798"/>
      <c r="D1204" s="798"/>
      <c r="E1204" s="498"/>
      <c r="F1204" s="758"/>
      <c r="G1204" s="758"/>
      <c r="H1204" s="773"/>
      <c r="I1204" s="132"/>
      <c r="J1204" s="132"/>
      <c r="K1204" s="132"/>
      <c r="L1204" s="132"/>
      <c r="M1204" s="132"/>
      <c r="N1204" s="132"/>
      <c r="O1204" s="132"/>
      <c r="P1204" s="132"/>
      <c r="Q1204" s="132"/>
      <c r="R1204" s="132"/>
      <c r="S1204" s="132"/>
      <c r="T1204" s="132"/>
      <c r="U1204" s="132"/>
      <c r="V1204" s="132"/>
      <c r="W1204" s="132"/>
      <c r="X1204" s="132"/>
      <c r="Y1204" s="132"/>
      <c r="Z1204" s="132"/>
      <c r="AA1204" s="132"/>
      <c r="AB1204" s="132"/>
      <c r="AC1204" s="132"/>
    </row>
    <row r="1205" ht="24.75" customHeight="1">
      <c r="A1205" s="797"/>
      <c r="B1205" s="798"/>
      <c r="C1205" s="798"/>
      <c r="D1205" s="798"/>
      <c r="E1205" s="498"/>
      <c r="F1205" s="758"/>
      <c r="G1205" s="758"/>
      <c r="H1205" s="773"/>
      <c r="I1205" s="132"/>
      <c r="J1205" s="132"/>
      <c r="K1205" s="132"/>
      <c r="L1205" s="132"/>
      <c r="M1205" s="132"/>
      <c r="N1205" s="132"/>
      <c r="O1205" s="132"/>
      <c r="P1205" s="132"/>
      <c r="Q1205" s="132"/>
      <c r="R1205" s="132"/>
      <c r="S1205" s="132"/>
      <c r="T1205" s="132"/>
      <c r="U1205" s="132"/>
      <c r="V1205" s="132"/>
      <c r="W1205" s="132"/>
      <c r="X1205" s="132"/>
      <c r="Y1205" s="132"/>
      <c r="Z1205" s="132"/>
      <c r="AA1205" s="132"/>
      <c r="AB1205" s="132"/>
      <c r="AC1205" s="132"/>
    </row>
    <row r="1206" ht="24.75" customHeight="1">
      <c r="A1206" s="797"/>
      <c r="B1206" s="798"/>
      <c r="C1206" s="798"/>
      <c r="D1206" s="798"/>
      <c r="E1206" s="498"/>
      <c r="F1206" s="758"/>
      <c r="G1206" s="758"/>
      <c r="H1206" s="773"/>
      <c r="I1206" s="132"/>
      <c r="J1206" s="132"/>
      <c r="K1206" s="132"/>
      <c r="L1206" s="132"/>
      <c r="M1206" s="132"/>
      <c r="N1206" s="132"/>
      <c r="O1206" s="132"/>
      <c r="P1206" s="132"/>
      <c r="Q1206" s="132"/>
      <c r="R1206" s="132"/>
      <c r="S1206" s="132"/>
      <c r="T1206" s="132"/>
      <c r="U1206" s="132"/>
      <c r="V1206" s="132"/>
      <c r="W1206" s="132"/>
      <c r="X1206" s="132"/>
      <c r="Y1206" s="132"/>
      <c r="Z1206" s="132"/>
      <c r="AA1206" s="132"/>
      <c r="AB1206" s="132"/>
      <c r="AC1206" s="132"/>
    </row>
    <row r="1207" ht="24.75" customHeight="1">
      <c r="A1207" s="797"/>
      <c r="B1207" s="798"/>
      <c r="C1207" s="798"/>
      <c r="D1207" s="798"/>
      <c r="E1207" s="498"/>
      <c r="F1207" s="758"/>
      <c r="G1207" s="758"/>
      <c r="H1207" s="773"/>
      <c r="I1207" s="132"/>
      <c r="J1207" s="132"/>
      <c r="K1207" s="132"/>
      <c r="L1207" s="132"/>
      <c r="M1207" s="132"/>
      <c r="N1207" s="132"/>
      <c r="O1207" s="132"/>
      <c r="P1207" s="132"/>
      <c r="Q1207" s="132"/>
      <c r="R1207" s="132"/>
      <c r="S1207" s="132"/>
      <c r="T1207" s="132"/>
      <c r="U1207" s="132"/>
      <c r="V1207" s="132"/>
      <c r="W1207" s="132"/>
      <c r="X1207" s="132"/>
      <c r="Y1207" s="132"/>
      <c r="Z1207" s="132"/>
      <c r="AA1207" s="132"/>
      <c r="AB1207" s="132"/>
      <c r="AC1207" s="132"/>
    </row>
    <row r="1208" ht="24.75" customHeight="1">
      <c r="A1208" s="797"/>
      <c r="B1208" s="798"/>
      <c r="C1208" s="798"/>
      <c r="D1208" s="798"/>
      <c r="E1208" s="498"/>
      <c r="F1208" s="758"/>
      <c r="G1208" s="758"/>
      <c r="H1208" s="773"/>
      <c r="I1208" s="132"/>
      <c r="J1208" s="132"/>
      <c r="K1208" s="132"/>
      <c r="L1208" s="132"/>
      <c r="M1208" s="132"/>
      <c r="N1208" s="132"/>
      <c r="O1208" s="132"/>
      <c r="P1208" s="132"/>
      <c r="Q1208" s="132"/>
      <c r="R1208" s="132"/>
      <c r="S1208" s="132"/>
      <c r="T1208" s="132"/>
      <c r="U1208" s="132"/>
      <c r="V1208" s="132"/>
      <c r="W1208" s="132"/>
      <c r="X1208" s="132"/>
      <c r="Y1208" s="132"/>
      <c r="Z1208" s="132"/>
      <c r="AA1208" s="132"/>
      <c r="AB1208" s="132"/>
      <c r="AC1208" s="132"/>
    </row>
    <row r="1209" ht="24.75" customHeight="1">
      <c r="A1209" s="797"/>
      <c r="B1209" s="798"/>
      <c r="C1209" s="798"/>
      <c r="D1209" s="798"/>
      <c r="E1209" s="498"/>
      <c r="F1209" s="758"/>
      <c r="G1209" s="758"/>
      <c r="H1209" s="773"/>
      <c r="I1209" s="132"/>
      <c r="J1209" s="132"/>
      <c r="K1209" s="132"/>
      <c r="L1209" s="132"/>
      <c r="M1209" s="132"/>
      <c r="N1209" s="132"/>
      <c r="O1209" s="132"/>
      <c r="P1209" s="132"/>
      <c r="Q1209" s="132"/>
      <c r="R1209" s="132"/>
      <c r="S1209" s="132"/>
      <c r="T1209" s="132"/>
      <c r="U1209" s="132"/>
      <c r="V1209" s="132"/>
      <c r="W1209" s="132"/>
      <c r="X1209" s="132"/>
      <c r="Y1209" s="132"/>
      <c r="Z1209" s="132"/>
      <c r="AA1209" s="132"/>
      <c r="AB1209" s="132"/>
      <c r="AC1209" s="132"/>
    </row>
    <row r="1210" ht="24.75" customHeight="1">
      <c r="A1210" s="797"/>
      <c r="B1210" s="798"/>
      <c r="C1210" s="798"/>
      <c r="D1210" s="798"/>
      <c r="E1210" s="498"/>
      <c r="F1210" s="758"/>
      <c r="G1210" s="758"/>
      <c r="H1210" s="773"/>
      <c r="I1210" s="132"/>
      <c r="J1210" s="132"/>
      <c r="K1210" s="132"/>
      <c r="L1210" s="132"/>
      <c r="M1210" s="132"/>
      <c r="N1210" s="132"/>
      <c r="O1210" s="132"/>
      <c r="P1210" s="132"/>
      <c r="Q1210" s="132"/>
      <c r="R1210" s="132"/>
      <c r="S1210" s="132"/>
      <c r="T1210" s="132"/>
      <c r="U1210" s="132"/>
      <c r="V1210" s="132"/>
      <c r="W1210" s="132"/>
      <c r="X1210" s="132"/>
      <c r="Y1210" s="132"/>
      <c r="Z1210" s="132"/>
      <c r="AA1210" s="132"/>
      <c r="AB1210" s="132"/>
      <c r="AC1210" s="132"/>
    </row>
    <row r="1211" ht="24.75" customHeight="1">
      <c r="A1211" s="797"/>
      <c r="B1211" s="798"/>
      <c r="C1211" s="798"/>
      <c r="D1211" s="798"/>
      <c r="E1211" s="498"/>
      <c r="F1211" s="758"/>
      <c r="G1211" s="758"/>
      <c r="H1211" s="773"/>
      <c r="I1211" s="132"/>
      <c r="J1211" s="132"/>
      <c r="K1211" s="132"/>
      <c r="L1211" s="132"/>
      <c r="M1211" s="132"/>
      <c r="N1211" s="132"/>
      <c r="O1211" s="132"/>
      <c r="P1211" s="132"/>
      <c r="Q1211" s="132"/>
      <c r="R1211" s="132"/>
      <c r="S1211" s="132"/>
      <c r="T1211" s="132"/>
      <c r="U1211" s="132"/>
      <c r="V1211" s="132"/>
      <c r="W1211" s="132"/>
      <c r="X1211" s="132"/>
      <c r="Y1211" s="132"/>
      <c r="Z1211" s="132"/>
      <c r="AA1211" s="132"/>
      <c r="AB1211" s="132"/>
      <c r="AC1211" s="132"/>
    </row>
    <row r="1212" ht="24.75" customHeight="1">
      <c r="A1212" s="797"/>
      <c r="B1212" s="798"/>
      <c r="C1212" s="798"/>
      <c r="D1212" s="798"/>
      <c r="E1212" s="498"/>
      <c r="F1212" s="758"/>
      <c r="G1212" s="758"/>
      <c r="H1212" s="773"/>
      <c r="I1212" s="132"/>
      <c r="J1212" s="132"/>
      <c r="K1212" s="132"/>
      <c r="L1212" s="132"/>
      <c r="M1212" s="132"/>
      <c r="N1212" s="132"/>
      <c r="O1212" s="132"/>
      <c r="P1212" s="132"/>
      <c r="Q1212" s="132"/>
      <c r="R1212" s="132"/>
      <c r="S1212" s="132"/>
      <c r="T1212" s="132"/>
      <c r="U1212" s="132"/>
      <c r="V1212" s="132"/>
      <c r="W1212" s="132"/>
      <c r="X1212" s="132"/>
      <c r="Y1212" s="132"/>
      <c r="Z1212" s="132"/>
      <c r="AA1212" s="132"/>
      <c r="AB1212" s="132"/>
      <c r="AC1212" s="132"/>
    </row>
    <row r="1213" ht="24.75" customHeight="1">
      <c r="A1213" s="797"/>
      <c r="B1213" s="798"/>
      <c r="C1213" s="798"/>
      <c r="D1213" s="798"/>
      <c r="E1213" s="498"/>
      <c r="F1213" s="758"/>
      <c r="G1213" s="758"/>
      <c r="H1213" s="773"/>
      <c r="I1213" s="132"/>
      <c r="J1213" s="132"/>
      <c r="K1213" s="132"/>
      <c r="L1213" s="132"/>
      <c r="M1213" s="132"/>
      <c r="N1213" s="132"/>
      <c r="O1213" s="132"/>
      <c r="P1213" s="132"/>
      <c r="Q1213" s="132"/>
      <c r="R1213" s="132"/>
      <c r="S1213" s="132"/>
      <c r="T1213" s="132"/>
      <c r="U1213" s="132"/>
      <c r="V1213" s="132"/>
      <c r="W1213" s="132"/>
      <c r="X1213" s="132"/>
      <c r="Y1213" s="132"/>
      <c r="Z1213" s="132"/>
      <c r="AA1213" s="132"/>
      <c r="AB1213" s="132"/>
      <c r="AC1213" s="132"/>
    </row>
    <row r="1214" ht="24.75" customHeight="1">
      <c r="A1214" s="797"/>
      <c r="B1214" s="798"/>
      <c r="C1214" s="798"/>
      <c r="D1214" s="798"/>
      <c r="E1214" s="498"/>
      <c r="F1214" s="758"/>
      <c r="G1214" s="758"/>
      <c r="H1214" s="773"/>
      <c r="I1214" s="132"/>
      <c r="J1214" s="132"/>
      <c r="K1214" s="132"/>
      <c r="L1214" s="132"/>
      <c r="M1214" s="132"/>
      <c r="N1214" s="132"/>
      <c r="O1214" s="132"/>
      <c r="P1214" s="132"/>
      <c r="Q1214" s="132"/>
      <c r="R1214" s="132"/>
      <c r="S1214" s="132"/>
      <c r="T1214" s="132"/>
      <c r="U1214" s="132"/>
      <c r="V1214" s="132"/>
      <c r="W1214" s="132"/>
      <c r="X1214" s="132"/>
      <c r="Y1214" s="132"/>
      <c r="Z1214" s="132"/>
      <c r="AA1214" s="132"/>
      <c r="AB1214" s="132"/>
      <c r="AC1214" s="132"/>
    </row>
    <row r="1215" ht="24.75" customHeight="1">
      <c r="A1215" s="797"/>
      <c r="B1215" s="798"/>
      <c r="C1215" s="798"/>
      <c r="D1215" s="798"/>
      <c r="E1215" s="498"/>
      <c r="F1215" s="758"/>
      <c r="G1215" s="758"/>
      <c r="H1215" s="773"/>
      <c r="I1215" s="132"/>
      <c r="J1215" s="132"/>
      <c r="K1215" s="132"/>
      <c r="L1215" s="132"/>
      <c r="M1215" s="132"/>
      <c r="N1215" s="132"/>
      <c r="O1215" s="132"/>
      <c r="P1215" s="132"/>
      <c r="Q1215" s="132"/>
      <c r="R1215" s="132"/>
      <c r="S1215" s="132"/>
      <c r="T1215" s="132"/>
      <c r="U1215" s="132"/>
      <c r="V1215" s="132"/>
      <c r="W1215" s="132"/>
      <c r="X1215" s="132"/>
      <c r="Y1215" s="132"/>
      <c r="Z1215" s="132"/>
      <c r="AA1215" s="132"/>
      <c r="AB1215" s="132"/>
      <c r="AC1215" s="132"/>
    </row>
    <row r="1216" ht="24.75" customHeight="1">
      <c r="A1216" s="797"/>
      <c r="B1216" s="798"/>
      <c r="C1216" s="798"/>
      <c r="D1216" s="798"/>
      <c r="E1216" s="498"/>
      <c r="F1216" s="758"/>
      <c r="G1216" s="758"/>
      <c r="H1216" s="773"/>
      <c r="I1216" s="132"/>
      <c r="J1216" s="132"/>
      <c r="K1216" s="132"/>
      <c r="L1216" s="132"/>
      <c r="M1216" s="132"/>
      <c r="N1216" s="132"/>
      <c r="O1216" s="132"/>
      <c r="P1216" s="132"/>
      <c r="Q1216" s="132"/>
      <c r="R1216" s="132"/>
      <c r="S1216" s="132"/>
      <c r="T1216" s="132"/>
      <c r="U1216" s="132"/>
      <c r="V1216" s="132"/>
      <c r="W1216" s="132"/>
      <c r="X1216" s="132"/>
      <c r="Y1216" s="132"/>
      <c r="Z1216" s="132"/>
      <c r="AA1216" s="132"/>
      <c r="AB1216" s="132"/>
      <c r="AC1216" s="132"/>
    </row>
    <row r="1217" ht="24.75" customHeight="1">
      <c r="A1217" s="797"/>
      <c r="B1217" s="798"/>
      <c r="C1217" s="798"/>
      <c r="D1217" s="798"/>
      <c r="E1217" s="498"/>
      <c r="F1217" s="758"/>
      <c r="G1217" s="758"/>
      <c r="H1217" s="773"/>
      <c r="I1217" s="132"/>
      <c r="J1217" s="132"/>
      <c r="K1217" s="132"/>
      <c r="L1217" s="132"/>
      <c r="M1217" s="132"/>
      <c r="N1217" s="132"/>
      <c r="O1217" s="132"/>
      <c r="P1217" s="132"/>
      <c r="Q1217" s="132"/>
      <c r="R1217" s="132"/>
      <c r="S1217" s="132"/>
      <c r="T1217" s="132"/>
      <c r="U1217" s="132"/>
      <c r="V1217" s="132"/>
      <c r="W1217" s="132"/>
      <c r="X1217" s="132"/>
      <c r="Y1217" s="132"/>
      <c r="Z1217" s="132"/>
      <c r="AA1217" s="132"/>
      <c r="AB1217" s="132"/>
      <c r="AC1217" s="132"/>
    </row>
    <row r="1218" ht="24.75" customHeight="1">
      <c r="A1218" s="797"/>
      <c r="B1218" s="798"/>
      <c r="C1218" s="798"/>
      <c r="D1218" s="798"/>
      <c r="E1218" s="498"/>
      <c r="F1218" s="758"/>
      <c r="G1218" s="758"/>
      <c r="H1218" s="773"/>
      <c r="I1218" s="132"/>
      <c r="J1218" s="132"/>
      <c r="K1218" s="132"/>
      <c r="L1218" s="132"/>
      <c r="M1218" s="132"/>
      <c r="N1218" s="132"/>
      <c r="O1218" s="132"/>
      <c r="P1218" s="132"/>
      <c r="Q1218" s="132"/>
      <c r="R1218" s="132"/>
      <c r="S1218" s="132"/>
      <c r="T1218" s="132"/>
      <c r="U1218" s="132"/>
      <c r="V1218" s="132"/>
      <c r="W1218" s="132"/>
      <c r="X1218" s="132"/>
      <c r="Y1218" s="132"/>
      <c r="Z1218" s="132"/>
      <c r="AA1218" s="132"/>
      <c r="AB1218" s="132"/>
      <c r="AC1218" s="132"/>
    </row>
    <row r="1219" ht="24.75" customHeight="1">
      <c r="A1219" s="797"/>
      <c r="B1219" s="798"/>
      <c r="C1219" s="798"/>
      <c r="D1219" s="798"/>
      <c r="E1219" s="498"/>
      <c r="F1219" s="758"/>
      <c r="G1219" s="758"/>
      <c r="H1219" s="773"/>
      <c r="I1219" s="132"/>
      <c r="J1219" s="132"/>
      <c r="K1219" s="132"/>
      <c r="L1219" s="132"/>
      <c r="M1219" s="132"/>
      <c r="N1219" s="132"/>
      <c r="O1219" s="132"/>
      <c r="P1219" s="132"/>
      <c r="Q1219" s="132"/>
      <c r="R1219" s="132"/>
      <c r="S1219" s="132"/>
      <c r="T1219" s="132"/>
      <c r="U1219" s="132"/>
      <c r="V1219" s="132"/>
      <c r="W1219" s="132"/>
      <c r="X1219" s="132"/>
      <c r="Y1219" s="132"/>
      <c r="Z1219" s="132"/>
      <c r="AA1219" s="132"/>
      <c r="AB1219" s="132"/>
      <c r="AC1219" s="132"/>
    </row>
    <row r="1220" ht="24.75" customHeight="1">
      <c r="A1220" s="797"/>
      <c r="B1220" s="798"/>
      <c r="C1220" s="798"/>
      <c r="D1220" s="798"/>
      <c r="E1220" s="498"/>
      <c r="F1220" s="758"/>
      <c r="G1220" s="758"/>
      <c r="H1220" s="773"/>
      <c r="I1220" s="132"/>
      <c r="J1220" s="132"/>
      <c r="K1220" s="132"/>
      <c r="L1220" s="132"/>
      <c r="M1220" s="132"/>
      <c r="N1220" s="132"/>
      <c r="O1220" s="132"/>
      <c r="P1220" s="132"/>
      <c r="Q1220" s="132"/>
      <c r="R1220" s="132"/>
      <c r="S1220" s="132"/>
      <c r="T1220" s="132"/>
      <c r="U1220" s="132"/>
      <c r="V1220" s="132"/>
      <c r="W1220" s="132"/>
      <c r="X1220" s="132"/>
      <c r="Y1220" s="132"/>
      <c r="Z1220" s="132"/>
      <c r="AA1220" s="132"/>
      <c r="AB1220" s="132"/>
      <c r="AC1220" s="132"/>
    </row>
    <row r="1221" ht="24.75" customHeight="1">
      <c r="A1221" s="797"/>
      <c r="B1221" s="798"/>
      <c r="C1221" s="798"/>
      <c r="D1221" s="798"/>
      <c r="E1221" s="498"/>
      <c r="F1221" s="758"/>
      <c r="G1221" s="758"/>
      <c r="H1221" s="773"/>
      <c r="I1221" s="132"/>
      <c r="J1221" s="132"/>
      <c r="K1221" s="132"/>
      <c r="L1221" s="132"/>
      <c r="M1221" s="132"/>
      <c r="N1221" s="132"/>
      <c r="O1221" s="132"/>
      <c r="P1221" s="132"/>
      <c r="Q1221" s="132"/>
      <c r="R1221" s="132"/>
      <c r="S1221" s="132"/>
      <c r="T1221" s="132"/>
      <c r="U1221" s="132"/>
      <c r="V1221" s="132"/>
      <c r="W1221" s="132"/>
      <c r="X1221" s="132"/>
      <c r="Y1221" s="132"/>
      <c r="Z1221" s="132"/>
      <c r="AA1221" s="132"/>
      <c r="AB1221" s="132"/>
      <c r="AC1221" s="132"/>
    </row>
    <row r="1222" ht="24.75" customHeight="1">
      <c r="A1222" s="797"/>
      <c r="B1222" s="798"/>
      <c r="C1222" s="798"/>
      <c r="D1222" s="798"/>
      <c r="E1222" s="498"/>
      <c r="F1222" s="758"/>
      <c r="G1222" s="758"/>
      <c r="H1222" s="773"/>
      <c r="I1222" s="132"/>
      <c r="J1222" s="132"/>
      <c r="K1222" s="132"/>
      <c r="L1222" s="132"/>
      <c r="M1222" s="132"/>
      <c r="N1222" s="132"/>
      <c r="O1222" s="132"/>
      <c r="P1222" s="132"/>
      <c r="Q1222" s="132"/>
      <c r="R1222" s="132"/>
      <c r="S1222" s="132"/>
      <c r="T1222" s="132"/>
      <c r="U1222" s="132"/>
      <c r="V1222" s="132"/>
      <c r="W1222" s="132"/>
      <c r="X1222" s="132"/>
      <c r="Y1222" s="132"/>
      <c r="Z1222" s="132"/>
      <c r="AA1222" s="132"/>
      <c r="AB1222" s="132"/>
      <c r="AC1222" s="132"/>
    </row>
    <row r="1223" ht="24.75" customHeight="1">
      <c r="A1223" s="797"/>
      <c r="B1223" s="798"/>
      <c r="C1223" s="798"/>
      <c r="D1223" s="798"/>
      <c r="E1223" s="498"/>
      <c r="F1223" s="758"/>
      <c r="G1223" s="758"/>
      <c r="H1223" s="773"/>
      <c r="I1223" s="132"/>
      <c r="J1223" s="132"/>
      <c r="K1223" s="132"/>
      <c r="L1223" s="132"/>
      <c r="M1223" s="132"/>
      <c r="N1223" s="132"/>
      <c r="O1223" s="132"/>
      <c r="P1223" s="132"/>
      <c r="Q1223" s="132"/>
      <c r="R1223" s="132"/>
      <c r="S1223" s="132"/>
      <c r="T1223" s="132"/>
      <c r="U1223" s="132"/>
      <c r="V1223" s="132"/>
      <c r="W1223" s="132"/>
      <c r="X1223" s="132"/>
      <c r="Y1223" s="132"/>
      <c r="Z1223" s="132"/>
      <c r="AA1223" s="132"/>
      <c r="AB1223" s="132"/>
      <c r="AC1223" s="132"/>
    </row>
    <row r="1224" ht="24.75" customHeight="1">
      <c r="A1224" s="797"/>
      <c r="B1224" s="798"/>
      <c r="C1224" s="798"/>
      <c r="D1224" s="798"/>
      <c r="E1224" s="498"/>
      <c r="F1224" s="758"/>
      <c r="G1224" s="758"/>
      <c r="H1224" s="773"/>
      <c r="I1224" s="132"/>
      <c r="J1224" s="132"/>
      <c r="K1224" s="132"/>
      <c r="L1224" s="132"/>
      <c r="M1224" s="132"/>
      <c r="N1224" s="132"/>
      <c r="O1224" s="132"/>
      <c r="P1224" s="132"/>
      <c r="Q1224" s="132"/>
      <c r="R1224" s="132"/>
      <c r="S1224" s="132"/>
      <c r="T1224" s="132"/>
      <c r="U1224" s="132"/>
      <c r="V1224" s="132"/>
      <c r="W1224" s="132"/>
      <c r="X1224" s="132"/>
      <c r="Y1224" s="132"/>
      <c r="Z1224" s="132"/>
      <c r="AA1224" s="132"/>
      <c r="AB1224" s="132"/>
      <c r="AC1224" s="132"/>
    </row>
    <row r="1225" ht="24.75" customHeight="1">
      <c r="A1225" s="797"/>
      <c r="B1225" s="798"/>
      <c r="C1225" s="798"/>
      <c r="D1225" s="798"/>
      <c r="E1225" s="498"/>
      <c r="F1225" s="758"/>
      <c r="G1225" s="758"/>
      <c r="H1225" s="773"/>
      <c r="I1225" s="132"/>
      <c r="J1225" s="132"/>
      <c r="K1225" s="132"/>
      <c r="L1225" s="132"/>
      <c r="M1225" s="132"/>
      <c r="N1225" s="132"/>
      <c r="O1225" s="132"/>
      <c r="P1225" s="132"/>
      <c r="Q1225" s="132"/>
      <c r="R1225" s="132"/>
      <c r="S1225" s="132"/>
      <c r="T1225" s="132"/>
      <c r="U1225" s="132"/>
      <c r="V1225" s="132"/>
      <c r="W1225" s="132"/>
      <c r="X1225" s="132"/>
      <c r="Y1225" s="132"/>
      <c r="Z1225" s="132"/>
      <c r="AA1225" s="132"/>
      <c r="AB1225" s="132"/>
      <c r="AC1225" s="132"/>
    </row>
    <row r="1226" ht="24.75" customHeight="1">
      <c r="A1226" s="797"/>
      <c r="B1226" s="798"/>
      <c r="C1226" s="798"/>
      <c r="D1226" s="798"/>
      <c r="E1226" s="498"/>
      <c r="F1226" s="758"/>
      <c r="G1226" s="758"/>
      <c r="H1226" s="773"/>
      <c r="I1226" s="132"/>
      <c r="J1226" s="132"/>
      <c r="K1226" s="132"/>
      <c r="L1226" s="132"/>
      <c r="M1226" s="132"/>
      <c r="N1226" s="132"/>
      <c r="O1226" s="132"/>
      <c r="P1226" s="132"/>
      <c r="Q1226" s="132"/>
      <c r="R1226" s="132"/>
      <c r="S1226" s="132"/>
      <c r="T1226" s="132"/>
      <c r="U1226" s="132"/>
      <c r="V1226" s="132"/>
      <c r="W1226" s="132"/>
      <c r="X1226" s="132"/>
      <c r="Y1226" s="132"/>
      <c r="Z1226" s="132"/>
      <c r="AA1226" s="132"/>
      <c r="AB1226" s="132"/>
      <c r="AC1226" s="132"/>
    </row>
    <row r="1227" ht="24.75" customHeight="1">
      <c r="A1227" s="797"/>
      <c r="B1227" s="798"/>
      <c r="C1227" s="798"/>
      <c r="D1227" s="798"/>
      <c r="E1227" s="498"/>
      <c r="F1227" s="758"/>
      <c r="G1227" s="758"/>
      <c r="H1227" s="773"/>
      <c r="I1227" s="132"/>
      <c r="J1227" s="132"/>
      <c r="K1227" s="132"/>
      <c r="L1227" s="132"/>
      <c r="M1227" s="132"/>
      <c r="N1227" s="132"/>
      <c r="O1227" s="132"/>
      <c r="P1227" s="132"/>
      <c r="Q1227" s="132"/>
      <c r="R1227" s="132"/>
      <c r="S1227" s="132"/>
      <c r="T1227" s="132"/>
      <c r="U1227" s="132"/>
      <c r="V1227" s="132"/>
      <c r="W1227" s="132"/>
      <c r="X1227" s="132"/>
      <c r="Y1227" s="132"/>
      <c r="Z1227" s="132"/>
      <c r="AA1227" s="132"/>
      <c r="AB1227" s="132"/>
      <c r="AC1227" s="132"/>
    </row>
    <row r="1228" ht="24.75" customHeight="1">
      <c r="A1228" s="797"/>
      <c r="B1228" s="798"/>
      <c r="C1228" s="798"/>
      <c r="D1228" s="798"/>
      <c r="E1228" s="498"/>
      <c r="F1228" s="758"/>
      <c r="G1228" s="758"/>
      <c r="H1228" s="773"/>
      <c r="I1228" s="132"/>
      <c r="J1228" s="132"/>
      <c r="K1228" s="132"/>
      <c r="L1228" s="132"/>
      <c r="M1228" s="132"/>
      <c r="N1228" s="132"/>
      <c r="O1228" s="132"/>
      <c r="P1228" s="132"/>
      <c r="Q1228" s="132"/>
      <c r="R1228" s="132"/>
      <c r="S1228" s="132"/>
      <c r="T1228" s="132"/>
      <c r="U1228" s="132"/>
      <c r="V1228" s="132"/>
      <c r="W1228" s="132"/>
      <c r="X1228" s="132"/>
      <c r="Y1228" s="132"/>
      <c r="Z1228" s="132"/>
      <c r="AA1228" s="132"/>
      <c r="AB1228" s="132"/>
      <c r="AC1228" s="132"/>
    </row>
    <row r="1229" ht="24.75" customHeight="1">
      <c r="A1229" s="797"/>
      <c r="B1229" s="798"/>
      <c r="C1229" s="798"/>
      <c r="D1229" s="798"/>
      <c r="E1229" s="498"/>
      <c r="F1229" s="758"/>
      <c r="G1229" s="758"/>
      <c r="H1229" s="773"/>
      <c r="I1229" s="132"/>
      <c r="J1229" s="132"/>
      <c r="K1229" s="132"/>
      <c r="L1229" s="132"/>
      <c r="M1229" s="132"/>
      <c r="N1229" s="132"/>
      <c r="O1229" s="132"/>
      <c r="P1229" s="132"/>
      <c r="Q1229" s="132"/>
      <c r="R1229" s="132"/>
      <c r="S1229" s="132"/>
      <c r="T1229" s="132"/>
      <c r="U1229" s="132"/>
      <c r="V1229" s="132"/>
      <c r="W1229" s="132"/>
      <c r="X1229" s="132"/>
      <c r="Y1229" s="132"/>
      <c r="Z1229" s="132"/>
      <c r="AA1229" s="132"/>
      <c r="AB1229" s="132"/>
      <c r="AC1229" s="132"/>
    </row>
    <row r="1230" ht="24.75" customHeight="1">
      <c r="A1230" s="797"/>
      <c r="B1230" s="798"/>
      <c r="C1230" s="798"/>
      <c r="D1230" s="798"/>
      <c r="E1230" s="498"/>
      <c r="F1230" s="758"/>
      <c r="G1230" s="758"/>
      <c r="H1230" s="773"/>
      <c r="I1230" s="132"/>
      <c r="J1230" s="132"/>
      <c r="K1230" s="132"/>
      <c r="L1230" s="132"/>
      <c r="M1230" s="132"/>
      <c r="N1230" s="132"/>
      <c r="O1230" s="132"/>
      <c r="P1230" s="132"/>
      <c r="Q1230" s="132"/>
      <c r="R1230" s="132"/>
      <c r="S1230" s="132"/>
      <c r="T1230" s="132"/>
      <c r="U1230" s="132"/>
      <c r="V1230" s="132"/>
      <c r="W1230" s="132"/>
      <c r="X1230" s="132"/>
      <c r="Y1230" s="132"/>
      <c r="Z1230" s="132"/>
      <c r="AA1230" s="132"/>
      <c r="AB1230" s="132"/>
      <c r="AC1230" s="132"/>
    </row>
    <row r="1231" ht="24.75" customHeight="1">
      <c r="A1231" s="797"/>
      <c r="B1231" s="798"/>
      <c r="C1231" s="798"/>
      <c r="D1231" s="798"/>
      <c r="E1231" s="498"/>
      <c r="F1231" s="758"/>
      <c r="G1231" s="758"/>
      <c r="H1231" s="773"/>
      <c r="I1231" s="132"/>
      <c r="J1231" s="132"/>
      <c r="K1231" s="132"/>
      <c r="L1231" s="132"/>
      <c r="M1231" s="132"/>
      <c r="N1231" s="132"/>
      <c r="O1231" s="132"/>
      <c r="P1231" s="132"/>
      <c r="Q1231" s="132"/>
      <c r="R1231" s="132"/>
      <c r="S1231" s="132"/>
      <c r="T1231" s="132"/>
      <c r="U1231" s="132"/>
      <c r="V1231" s="132"/>
      <c r="W1231" s="132"/>
      <c r="X1231" s="132"/>
      <c r="Y1231" s="132"/>
      <c r="Z1231" s="132"/>
      <c r="AA1231" s="132"/>
      <c r="AB1231" s="132"/>
      <c r="AC1231" s="132"/>
    </row>
    <row r="1232" ht="24.75" customHeight="1">
      <c r="A1232" s="797"/>
      <c r="B1232" s="798"/>
      <c r="C1232" s="798"/>
      <c r="D1232" s="798"/>
      <c r="E1232" s="498"/>
      <c r="F1232" s="758"/>
      <c r="G1232" s="758"/>
      <c r="H1232" s="773"/>
      <c r="I1232" s="132"/>
      <c r="J1232" s="132"/>
      <c r="K1232" s="132"/>
      <c r="L1232" s="132"/>
      <c r="M1232" s="132"/>
      <c r="N1232" s="132"/>
      <c r="O1232" s="132"/>
      <c r="P1232" s="132"/>
      <c r="Q1232" s="132"/>
      <c r="R1232" s="132"/>
      <c r="S1232" s="132"/>
      <c r="T1232" s="132"/>
      <c r="U1232" s="132"/>
      <c r="V1232" s="132"/>
      <c r="W1232" s="132"/>
      <c r="X1232" s="132"/>
      <c r="Y1232" s="132"/>
      <c r="Z1232" s="132"/>
      <c r="AA1232" s="132"/>
      <c r="AB1232" s="132"/>
      <c r="AC1232" s="132"/>
    </row>
    <row r="1233" ht="24.75" customHeight="1">
      <c r="A1233" s="797"/>
      <c r="B1233" s="798"/>
      <c r="C1233" s="798"/>
      <c r="D1233" s="798"/>
      <c r="E1233" s="498"/>
      <c r="F1233" s="758"/>
      <c r="G1233" s="758"/>
      <c r="H1233" s="773"/>
      <c r="I1233" s="132"/>
      <c r="J1233" s="132"/>
      <c r="K1233" s="132"/>
      <c r="L1233" s="132"/>
      <c r="M1233" s="132"/>
      <c r="N1233" s="132"/>
      <c r="O1233" s="132"/>
      <c r="P1233" s="132"/>
      <c r="Q1233" s="132"/>
      <c r="R1233" s="132"/>
      <c r="S1233" s="132"/>
      <c r="T1233" s="132"/>
      <c r="U1233" s="132"/>
      <c r="V1233" s="132"/>
      <c r="W1233" s="132"/>
      <c r="X1233" s="132"/>
      <c r="Y1233" s="132"/>
      <c r="Z1233" s="132"/>
      <c r="AA1233" s="132"/>
      <c r="AB1233" s="132"/>
      <c r="AC1233" s="132"/>
    </row>
    <row r="1234" ht="24.75" customHeight="1">
      <c r="A1234" s="797"/>
      <c r="B1234" s="798"/>
      <c r="C1234" s="798"/>
      <c r="D1234" s="798"/>
      <c r="E1234" s="498"/>
      <c r="F1234" s="758"/>
      <c r="G1234" s="758"/>
      <c r="H1234" s="773"/>
      <c r="I1234" s="132"/>
      <c r="J1234" s="132"/>
      <c r="K1234" s="132"/>
      <c r="L1234" s="132"/>
      <c r="M1234" s="132"/>
      <c r="N1234" s="132"/>
      <c r="O1234" s="132"/>
      <c r="P1234" s="132"/>
      <c r="Q1234" s="132"/>
      <c r="R1234" s="132"/>
      <c r="S1234" s="132"/>
      <c r="T1234" s="132"/>
      <c r="U1234" s="132"/>
      <c r="V1234" s="132"/>
      <c r="W1234" s="132"/>
      <c r="X1234" s="132"/>
      <c r="Y1234" s="132"/>
      <c r="Z1234" s="132"/>
      <c r="AA1234" s="132"/>
      <c r="AB1234" s="132"/>
      <c r="AC1234" s="132"/>
    </row>
    <row r="1235" ht="24.75" customHeight="1">
      <c r="A1235" s="797"/>
      <c r="B1235" s="798"/>
      <c r="C1235" s="798"/>
      <c r="D1235" s="798"/>
      <c r="E1235" s="498"/>
      <c r="F1235" s="758"/>
      <c r="G1235" s="758"/>
      <c r="H1235" s="773"/>
      <c r="I1235" s="132"/>
      <c r="J1235" s="132"/>
      <c r="K1235" s="132"/>
      <c r="L1235" s="132"/>
      <c r="M1235" s="132"/>
      <c r="N1235" s="132"/>
      <c r="O1235" s="132"/>
      <c r="P1235" s="132"/>
      <c r="Q1235" s="132"/>
      <c r="R1235" s="132"/>
      <c r="S1235" s="132"/>
      <c r="T1235" s="132"/>
      <c r="U1235" s="132"/>
      <c r="V1235" s="132"/>
      <c r="W1235" s="132"/>
      <c r="X1235" s="132"/>
      <c r="Y1235" s="132"/>
      <c r="Z1235" s="132"/>
      <c r="AA1235" s="132"/>
      <c r="AB1235" s="132"/>
      <c r="AC1235" s="132"/>
    </row>
  </sheetData>
  <mergeCells count="10">
    <mergeCell ref="T766:T767"/>
    <mergeCell ref="U766:U767"/>
    <mergeCell ref="R683:R684"/>
    <mergeCell ref="S683:S684"/>
    <mergeCell ref="T683:T684"/>
    <mergeCell ref="U683:U684"/>
    <mergeCell ref="V683:V684"/>
    <mergeCell ref="R766:R767"/>
    <mergeCell ref="S766:S767"/>
    <mergeCell ref="V766:V767"/>
  </mergeCells>
  <dataValidations>
    <dataValidation type="list" allowBlank="1" showErrorMessage="1" sqref="R677:S683">
      <formula1>"未,済み"</formula1>
    </dataValidation>
  </dataValidations>
  <hyperlinks>
    <hyperlink r:id="rId2" location="gid=1632756398" ref="B138"/>
    <hyperlink r:id="rId3" ref="D139"/>
    <hyperlink r:id="rId4" location="gid=1859139523" ref="B141"/>
    <hyperlink r:id="rId5" location="gid=1333989001" ref="B143"/>
    <hyperlink r:id="rId6" location="gid=189361336" ref="H152"/>
    <hyperlink r:id="rId7" location="gid=1991794180" ref="B167"/>
    <hyperlink r:id="rId8" location="gid=1632756398" ref="B168"/>
    <hyperlink r:id="rId9" ref="D169"/>
    <hyperlink r:id="rId10" location="gid=992505473" ref="B170"/>
    <hyperlink r:id="rId11" location="gid=1859139523" ref="B171"/>
    <hyperlink r:id="rId12" location="gid=1333989001" ref="B172"/>
    <hyperlink r:id="rId13" location="gid=1333989001" ref="B177"/>
    <hyperlink r:id="rId14" location="gid=1991794180" ref="B181"/>
    <hyperlink r:id="rId15" location="gid=1632756398" ref="B182"/>
    <hyperlink r:id="rId16" ref="D183"/>
    <hyperlink r:id="rId17" location="gid=992505473" ref="B184"/>
    <hyperlink r:id="rId18" location="gid=1859139523" ref="B185"/>
    <hyperlink r:id="rId19" location="gid=1333989001" ref="B187"/>
    <hyperlink r:id="rId20" location="gid=1379976169" ref="B200"/>
    <hyperlink r:id="rId21" location="gid=1991794180" ref="B243"/>
    <hyperlink r:id="rId22" location="gid=1632756398" ref="B244"/>
    <hyperlink r:id="rId23" location="gid=1991794180" ref="B289"/>
    <hyperlink r:id="rId24" location="gid=1632756398" ref="B290"/>
    <hyperlink r:id="rId25" location="gid=1991794180" ref="B343"/>
    <hyperlink r:id="rId26" location="gid=1632756398" ref="B344"/>
    <hyperlink r:id="rId27" location="gid=1991794180" ref="B369"/>
    <hyperlink r:id="rId28" location="gid=1632756398" ref="B370"/>
    <hyperlink r:id="rId29" location="gid=1991794180" ref="B395"/>
    <hyperlink r:id="rId30" location="gid=1632756398" ref="B396"/>
    <hyperlink r:id="rId31" location="gid=1991794180" ref="B433"/>
    <hyperlink r:id="rId32" location="gid=1632756398" ref="B434"/>
    <hyperlink r:id="rId33" location="gid=1632756398" ref="B447"/>
    <hyperlink r:id="rId34" location="gid=1991794180" ref="B461"/>
    <hyperlink r:id="rId35" location="gid=1632756398" ref="B462"/>
    <hyperlink r:id="rId36" location="gid=1991794180" ref="B486"/>
    <hyperlink r:id="rId37" location="gid=1632756398" ref="B487"/>
    <hyperlink r:id="rId38" location="gid=1991794180" ref="B514"/>
    <hyperlink r:id="rId39" location="gid=1632756398" ref="B515"/>
    <hyperlink r:id="rId40" location="gid=308598053" ref="B527"/>
    <hyperlink r:id="rId41" location="gid=1083256851" ref="B529"/>
    <hyperlink r:id="rId42" location="gid=308598053" ref="B531"/>
    <hyperlink r:id="rId43" location="gid=0" ref="B532"/>
    <hyperlink r:id="rId44" location="gid=1881522324" ref="B538"/>
    <hyperlink r:id="rId45" location="gid=0" ref="B539"/>
    <hyperlink r:id="rId46" location="gid=689531587" ref="B542"/>
    <hyperlink r:id="rId47" ref="C543"/>
    <hyperlink r:id="rId48" location="gid=308598053" ref="B545"/>
    <hyperlink r:id="rId49" ref="C547"/>
    <hyperlink r:id="rId50" location="gid=1991794180" ref="B550"/>
    <hyperlink r:id="rId51" location="gid=1632756398" ref="B551"/>
    <hyperlink r:id="rId52" location="gid=0" ref="B560"/>
    <hyperlink r:id="rId53" location="gid=689531587" ref="B561"/>
    <hyperlink r:id="rId54" ref="C562"/>
    <hyperlink r:id="rId55" location="gid=308598053" ref="B564"/>
    <hyperlink r:id="rId56" location="gid=0" ref="B566"/>
    <hyperlink r:id="rId57" location="gid=1881522324" ref="B571"/>
    <hyperlink r:id="rId58" location="gid=0" ref="B572"/>
    <hyperlink r:id="rId59" location="gid=689531587" ref="B575"/>
    <hyperlink r:id="rId60" ref="C576"/>
    <hyperlink r:id="rId61" location="gid=308598053" ref="B578"/>
    <hyperlink r:id="rId62" location="gid=1991794180" ref="B586"/>
    <hyperlink r:id="rId63" location="gid=1632756398" ref="B587"/>
    <hyperlink r:id="rId64" location="gid=1991794180" ref="B611"/>
    <hyperlink r:id="rId65" location="gid=1632756398" ref="B612"/>
    <hyperlink r:id="rId66" location="gid=1881522324" ref="B629"/>
    <hyperlink r:id="rId67" location="gid=0" ref="B630"/>
    <hyperlink r:id="rId68" location="gid=689531587" ref="B633"/>
    <hyperlink r:id="rId69" ref="C634"/>
    <hyperlink r:id="rId70" location="gid=308598053" ref="B636"/>
    <hyperlink r:id="rId71" location="gid=1881522324" ref="B641"/>
    <hyperlink r:id="rId72" location="gid=0" ref="B642"/>
    <hyperlink r:id="rId73" location="gid=689531587" ref="B645"/>
    <hyperlink r:id="rId74" ref="C646"/>
    <hyperlink r:id="rId75" location="gid=308598053" ref="B648"/>
    <hyperlink r:id="rId76" location="gid=264080287" ref="B677"/>
    <hyperlink r:id="rId77" location="gid=1365984243" ref="B678"/>
    <hyperlink r:id="rId78" location="gid=1991794180" ref="B680"/>
    <hyperlink r:id="rId79" location="gid=1632756398" ref="B681"/>
    <hyperlink r:id="rId80" location="gid=1352222971" ref="B682"/>
    <hyperlink r:id="rId81" location="gid=978158948" ref="B685"/>
    <hyperlink r:id="rId82" location="gid=0" ref="B686"/>
    <hyperlink r:id="rId83" location="gid=978158948" ref="B695"/>
    <hyperlink r:id="rId84" location="gid=0" ref="B698"/>
    <hyperlink r:id="rId85" location="gid=264080287" ref="B703"/>
    <hyperlink r:id="rId86" location="gid=1365984243" ref="B704"/>
    <hyperlink r:id="rId87" location="gid=1991794180" ref="B706"/>
    <hyperlink r:id="rId88" location="gid=1632756398" ref="B707"/>
    <hyperlink r:id="rId89" location="gid=1352222971" ref="B708"/>
    <hyperlink r:id="rId90" location="gid=978158948" ref="B711"/>
    <hyperlink r:id="rId91" location="gid=0" ref="B712"/>
    <hyperlink r:id="rId92" location="gid=264080287" ref="B760"/>
    <hyperlink r:id="rId93" location="gid=1365984243" ref="B761"/>
    <hyperlink r:id="rId94" location="gid=1991794180" ref="B763"/>
    <hyperlink r:id="rId95" location="gid=1632756398" ref="B764"/>
    <hyperlink r:id="rId96" location="gid=1352222971" ref="B765"/>
    <hyperlink r:id="rId97" location="gid=978158948" ref="B768"/>
    <hyperlink r:id="rId98" location="gid=0" ref="B769"/>
    <hyperlink r:id="rId99" location="gid=978158948" ref="B781"/>
    <hyperlink r:id="rId100" location="gid=0" ref="B785"/>
    <hyperlink r:id="rId101" location="gid=1991794180" ref="B788"/>
    <hyperlink r:id="rId102" location="gid=1632756398" ref="B789"/>
    <hyperlink r:id="rId103" location="gid=1352222971" ref="B790"/>
    <hyperlink r:id="rId104" location="gid=978158948" ref="B793"/>
    <hyperlink r:id="rId105" location="gid=0" ref="B794"/>
    <hyperlink r:id="rId106" location="gid=978158948" ref="B803"/>
    <hyperlink r:id="rId107" location="gid=0" ref="B807"/>
    <hyperlink r:id="rId108" location="gid=978158948" ref="B812"/>
    <hyperlink r:id="rId109" location="gid=0" ref="B813"/>
    <hyperlink r:id="rId110" location="gid=689531587" ref="B825"/>
    <hyperlink r:id="rId111" location="gid=1774338877" ref="B830"/>
    <hyperlink r:id="rId112" location="gid=978158948" ref="B833"/>
    <hyperlink r:id="rId113" location="gid=0" ref="B834"/>
    <hyperlink r:id="rId114" location="gid=689531587" ref="B838"/>
    <hyperlink r:id="rId115" location="gid=978158948" ref="B843"/>
    <hyperlink r:id="rId116" location="gid=0" ref="B847"/>
    <hyperlink r:id="rId117" location="gid=689531587" ref="B850"/>
    <hyperlink r:id="rId118" location="gid=1774338877" ref="B855"/>
    <hyperlink r:id="rId119" location="gid=978158948" ref="B858"/>
    <hyperlink r:id="rId120" location="gid=0" ref="B859"/>
    <hyperlink r:id="rId121" location="gid=689531587" ref="B863"/>
    <hyperlink r:id="rId122" location="gid=1881522324" ref="B873"/>
    <hyperlink r:id="rId123" location="gid=0" ref="B874"/>
    <hyperlink r:id="rId124" location="gid=689531587" ref="B877"/>
    <hyperlink r:id="rId125" ref="C878"/>
    <hyperlink r:id="rId126" location="gid=308598053" ref="B880"/>
    <hyperlink r:id="rId127" location="gid=1881522324" ref="B897"/>
    <hyperlink r:id="rId128" location="gid=0" ref="B898"/>
    <hyperlink r:id="rId129" location="gid=689531587" ref="B901"/>
    <hyperlink r:id="rId130" ref="C902"/>
    <hyperlink r:id="rId131" location="gid=308598053" ref="B904"/>
    <hyperlink r:id="rId132" location="gid=1881522324" ref="B909"/>
    <hyperlink r:id="rId133" location="gid=0" ref="B910"/>
    <hyperlink r:id="rId134" location="gid=689531587" ref="B913"/>
    <hyperlink r:id="rId135" ref="C914"/>
    <hyperlink r:id="rId136" location="gid=308598053" ref="B916"/>
    <hyperlink r:id="rId137" location="gid=1881522324" ref="B921"/>
    <hyperlink r:id="rId138" location="gid=0" ref="B922"/>
    <hyperlink r:id="rId139" location="gid=689531587" ref="B925"/>
    <hyperlink r:id="rId140" ref="C926"/>
    <hyperlink r:id="rId141" location="gid=308598053" ref="B928"/>
    <hyperlink r:id="rId142" location="gid=689531587" ref="B934"/>
    <hyperlink r:id="rId143" location="gid=1774338877" ref="B939"/>
    <hyperlink r:id="rId144" location="gid=978158948" ref="B942"/>
    <hyperlink r:id="rId145" location="gid=0" ref="B943"/>
    <hyperlink r:id="rId146" location="gid=689531587" ref="B947"/>
    <hyperlink r:id="rId147" location="gid=978158948" ref="B952"/>
    <hyperlink r:id="rId148" location="gid=0" ref="B957"/>
    <hyperlink r:id="rId149" location="gid=689531587" ref="B960"/>
    <hyperlink r:id="rId150" location="gid=1774338877" ref="B965"/>
    <hyperlink r:id="rId151" location="gid=978158948" ref="B968"/>
    <hyperlink r:id="rId152" location="gid=0" ref="B969"/>
    <hyperlink r:id="rId153" location="gid=689531587" ref="B973"/>
    <hyperlink r:id="rId154" location="gid=1881522324" ref="B983"/>
    <hyperlink r:id="rId155" location="gid=0" ref="B984"/>
    <hyperlink r:id="rId156" location="gid=689531587" ref="B987"/>
    <hyperlink r:id="rId157" ref="C988"/>
    <hyperlink r:id="rId158" location="gid=308598053" ref="B990"/>
    <hyperlink r:id="rId159" location="gid=978158948" ref="B995"/>
    <hyperlink r:id="rId160" location="gid=0" ref="B999"/>
    <hyperlink r:id="rId161" location="gid=689531587" ref="B1002"/>
    <hyperlink r:id="rId162" location="gid=1881522324" ref="B1009"/>
    <hyperlink r:id="rId163" location="gid=0" ref="B1010"/>
    <hyperlink r:id="rId164" location="gid=689531587" ref="B1013"/>
    <hyperlink r:id="rId165" ref="C1014"/>
    <hyperlink r:id="rId166" location="gid=308598053" ref="B1016"/>
    <hyperlink r:id="rId167" location="gid=689531587" ref="B1023"/>
    <hyperlink r:id="rId168" location="gid=1991794180" ref="B1025"/>
    <hyperlink r:id="rId169" location="gid=1632756398" ref="B1026"/>
    <hyperlink r:id="rId170" location="gid=978158948" ref="B1030"/>
    <hyperlink r:id="rId171" location="gid=0" ref="B1031"/>
    <hyperlink r:id="rId172" location="gid=978158948" ref="B1039"/>
    <hyperlink r:id="rId173" location="gid=0" ref="B1043"/>
    <hyperlink r:id="rId174" location="gid=689531587" ref="B1046"/>
    <hyperlink r:id="rId175" location="gid=1774338877" ref="B1051"/>
    <hyperlink r:id="rId176" location="gid=978158948" ref="B1054"/>
    <hyperlink r:id="rId177" location="gid=0" ref="B1055"/>
    <hyperlink r:id="rId178" location="gid=689531587" ref="B1059"/>
    <hyperlink r:id="rId179" location="gid=978158948" ref="B1064"/>
    <hyperlink r:id="rId180" location="gid=0" ref="B1069"/>
    <hyperlink r:id="rId181" location="gid=689531587" ref="B1072"/>
    <hyperlink r:id="rId182" location="gid=1774338877" ref="B1077"/>
    <hyperlink r:id="rId183" location="gid=978158948" ref="B1080"/>
    <hyperlink r:id="rId184" location="gid=0" ref="B1081"/>
    <hyperlink r:id="rId185" location="gid=689531587" ref="B1085"/>
  </hyperlinks>
  <drawing r:id="rId186"/>
  <legacyDrawing r:id="rId18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4.0"/>
    <col customWidth="1" min="2" max="2" width="25.5"/>
    <col customWidth="1" min="3" max="6" width="20.88"/>
    <col customWidth="1" min="16" max="16" width="66.5"/>
  </cols>
  <sheetData>
    <row r="1" ht="29.25" customHeight="1">
      <c r="A1" s="799"/>
      <c r="B1" s="800" t="s">
        <v>1851</v>
      </c>
      <c r="C1" s="801" t="s">
        <v>1852</v>
      </c>
      <c r="D1" s="802"/>
      <c r="E1" s="802"/>
      <c r="F1" s="803"/>
      <c r="G1" s="804"/>
      <c r="H1" s="804"/>
      <c r="I1" s="805"/>
      <c r="J1" s="806"/>
      <c r="K1" s="806"/>
      <c r="L1" s="806"/>
      <c r="M1" s="804"/>
      <c r="N1" s="804"/>
      <c r="O1" s="804"/>
      <c r="P1" s="804"/>
      <c r="Q1" s="804"/>
      <c r="R1" s="804"/>
      <c r="S1" s="807"/>
      <c r="T1" s="807"/>
      <c r="U1" s="807"/>
      <c r="V1" s="807"/>
      <c r="W1" s="807"/>
      <c r="X1" s="807"/>
      <c r="Y1" s="807"/>
      <c r="Z1" s="807"/>
    </row>
    <row r="2">
      <c r="A2" s="808" t="s">
        <v>1853</v>
      </c>
      <c r="B2" s="802" t="s">
        <v>1117</v>
      </c>
      <c r="C2" s="802" t="s">
        <v>1854</v>
      </c>
      <c r="D2" s="802" t="s">
        <v>1855</v>
      </c>
      <c r="E2" s="802" t="s">
        <v>1856</v>
      </c>
      <c r="F2" s="803" t="s">
        <v>1857</v>
      </c>
      <c r="G2" s="804" t="s">
        <v>1858</v>
      </c>
      <c r="H2" s="804" t="s">
        <v>1859</v>
      </c>
      <c r="I2" s="805" t="s">
        <v>1860</v>
      </c>
      <c r="J2" s="806" t="s">
        <v>1861</v>
      </c>
      <c r="K2" s="806" t="s">
        <v>1862</v>
      </c>
      <c r="L2" s="806" t="s">
        <v>1863</v>
      </c>
      <c r="M2" s="804" t="s">
        <v>1864</v>
      </c>
      <c r="N2" s="804" t="s">
        <v>1865</v>
      </c>
      <c r="O2" s="804" t="s">
        <v>1866</v>
      </c>
      <c r="P2" s="804" t="s">
        <v>1867</v>
      </c>
      <c r="Q2" s="804" t="s">
        <v>1868</v>
      </c>
      <c r="R2" s="804" t="s">
        <v>1869</v>
      </c>
      <c r="S2" s="807"/>
      <c r="T2" s="807"/>
      <c r="U2" s="807"/>
      <c r="V2" s="807"/>
      <c r="W2" s="807"/>
      <c r="X2" s="807"/>
      <c r="Y2" s="807"/>
      <c r="Z2" s="807"/>
    </row>
    <row r="3" ht="171.75" customHeight="1">
      <c r="A3" s="809">
        <v>1.0</v>
      </c>
      <c r="B3" s="810" t="s">
        <v>1870</v>
      </c>
      <c r="C3" s="810" t="s">
        <v>1871</v>
      </c>
      <c r="D3" s="810" t="s">
        <v>1872</v>
      </c>
      <c r="E3" s="810" t="s">
        <v>1873</v>
      </c>
      <c r="F3" s="810" t="s">
        <v>1874</v>
      </c>
      <c r="G3" s="811">
        <v>45840.0</v>
      </c>
      <c r="H3" s="810" t="s">
        <v>181</v>
      </c>
      <c r="I3" s="810" t="s">
        <v>1875</v>
      </c>
      <c r="J3" s="812">
        <v>41506.0</v>
      </c>
      <c r="K3" s="813">
        <v>117.0</v>
      </c>
      <c r="L3" s="813">
        <v>3.0</v>
      </c>
      <c r="M3" s="814">
        <f t="shared" ref="M3:N3" si="1">K3/J3</f>
        <v>0.002818869561</v>
      </c>
      <c r="N3" s="814">
        <f t="shared" si="1"/>
        <v>0.02564102564</v>
      </c>
      <c r="O3" s="814">
        <f t="shared" ref="O3:O52" si="3">L3/J3</f>
        <v>0.00007227870669</v>
      </c>
      <c r="P3" s="815" t="s">
        <v>1876</v>
      </c>
      <c r="Q3" s="815" t="s">
        <v>1637</v>
      </c>
      <c r="R3" s="816" t="s">
        <v>1877</v>
      </c>
      <c r="S3" s="817"/>
      <c r="T3" s="817"/>
      <c r="U3" s="817"/>
      <c r="V3" s="817"/>
      <c r="W3" s="817"/>
      <c r="X3" s="817"/>
      <c r="Y3" s="817"/>
      <c r="Z3" s="817"/>
    </row>
    <row r="4" ht="171.75" customHeight="1">
      <c r="A4" s="809">
        <v>2.0</v>
      </c>
      <c r="B4" s="810" t="s">
        <v>1878</v>
      </c>
      <c r="C4" s="818" t="s">
        <v>1879</v>
      </c>
      <c r="D4" s="819" t="s">
        <v>1880</v>
      </c>
      <c r="E4" s="818" t="s">
        <v>1881</v>
      </c>
      <c r="F4" s="818" t="s">
        <v>1882</v>
      </c>
      <c r="G4" s="811">
        <v>45838.0</v>
      </c>
      <c r="H4" s="810" t="s">
        <v>181</v>
      </c>
      <c r="I4" s="815" t="s">
        <v>1883</v>
      </c>
      <c r="J4" s="813">
        <v>10213.0</v>
      </c>
      <c r="K4" s="813">
        <v>91.0</v>
      </c>
      <c r="L4" s="813">
        <v>7.0</v>
      </c>
      <c r="M4" s="814">
        <f t="shared" ref="M4:N4" si="2">K4/J4</f>
        <v>0.008910212474</v>
      </c>
      <c r="N4" s="814">
        <f t="shared" si="2"/>
        <v>0.07692307692</v>
      </c>
      <c r="O4" s="814">
        <f t="shared" si="3"/>
        <v>0.0006854009596</v>
      </c>
      <c r="P4" s="815" t="s">
        <v>1884</v>
      </c>
      <c r="Q4" s="815" t="s">
        <v>1885</v>
      </c>
      <c r="R4" s="816" t="s">
        <v>1886</v>
      </c>
      <c r="S4" s="817"/>
      <c r="T4" s="817"/>
      <c r="U4" s="817"/>
      <c r="V4" s="817"/>
      <c r="W4" s="817"/>
      <c r="X4" s="817"/>
      <c r="Y4" s="817"/>
      <c r="Z4" s="817"/>
    </row>
    <row r="5" ht="171.75" customHeight="1">
      <c r="A5" s="809">
        <v>3.0</v>
      </c>
      <c r="B5" s="815" t="s">
        <v>1887</v>
      </c>
      <c r="C5" s="815" t="s">
        <v>1888</v>
      </c>
      <c r="D5" s="815" t="s">
        <v>1889</v>
      </c>
      <c r="E5" s="815" t="s">
        <v>1890</v>
      </c>
      <c r="F5" s="815" t="s">
        <v>1891</v>
      </c>
      <c r="G5" s="811">
        <v>45838.0</v>
      </c>
      <c r="H5" s="810" t="s">
        <v>181</v>
      </c>
      <c r="I5" s="815" t="s">
        <v>1875</v>
      </c>
      <c r="J5" s="813">
        <v>29035.0</v>
      </c>
      <c r="K5" s="815">
        <v>309.0</v>
      </c>
      <c r="L5" s="815">
        <v>6.0</v>
      </c>
      <c r="M5" s="814">
        <f t="shared" ref="M5:N5" si="4">K5/J5</f>
        <v>0.01064232822</v>
      </c>
      <c r="N5" s="814">
        <f t="shared" si="4"/>
        <v>0.01941747573</v>
      </c>
      <c r="O5" s="814">
        <f t="shared" si="3"/>
        <v>0.00020664715</v>
      </c>
      <c r="P5" s="815" t="s">
        <v>1892</v>
      </c>
      <c r="Q5" s="815" t="s">
        <v>1885</v>
      </c>
      <c r="R5" s="817"/>
      <c r="S5" s="817"/>
      <c r="T5" s="817"/>
      <c r="U5" s="817"/>
      <c r="V5" s="817"/>
      <c r="W5" s="817"/>
      <c r="X5" s="817"/>
      <c r="Y5" s="817"/>
      <c r="Z5" s="817"/>
    </row>
    <row r="6" ht="171.75" customHeight="1">
      <c r="A6" s="809">
        <v>4.0</v>
      </c>
      <c r="B6" s="815" t="s">
        <v>1893</v>
      </c>
      <c r="C6" s="815" t="s">
        <v>1894</v>
      </c>
      <c r="D6" s="815" t="s">
        <v>1895</v>
      </c>
      <c r="E6" s="815" t="s">
        <v>1896</v>
      </c>
      <c r="F6" s="815" t="s">
        <v>1897</v>
      </c>
      <c r="G6" s="811">
        <v>45840.0</v>
      </c>
      <c r="H6" s="815" t="s">
        <v>154</v>
      </c>
      <c r="I6" s="815" t="s">
        <v>1875</v>
      </c>
      <c r="J6" s="813">
        <v>23474.0</v>
      </c>
      <c r="K6" s="815">
        <v>237.0</v>
      </c>
      <c r="L6" s="815">
        <v>5.0</v>
      </c>
      <c r="M6" s="814">
        <f t="shared" ref="M6:N6" si="5">K6/J6</f>
        <v>0.01009627673</v>
      </c>
      <c r="N6" s="814">
        <f t="shared" si="5"/>
        <v>0.02109704641</v>
      </c>
      <c r="O6" s="814">
        <f t="shared" si="3"/>
        <v>0.0002130016188</v>
      </c>
      <c r="P6" s="815" t="s">
        <v>1898</v>
      </c>
      <c r="Q6" s="815" t="s">
        <v>1899</v>
      </c>
      <c r="R6" s="816" t="s">
        <v>1900</v>
      </c>
      <c r="S6" s="817"/>
      <c r="T6" s="817"/>
      <c r="U6" s="817"/>
      <c r="V6" s="817"/>
      <c r="W6" s="817"/>
      <c r="X6" s="817"/>
      <c r="Y6" s="817"/>
      <c r="Z6" s="817"/>
    </row>
    <row r="7" ht="171.75" customHeight="1">
      <c r="A7" s="809">
        <v>5.0</v>
      </c>
      <c r="B7" s="815" t="s">
        <v>1901</v>
      </c>
      <c r="C7" s="815" t="s">
        <v>1902</v>
      </c>
      <c r="D7" s="815" t="s">
        <v>1903</v>
      </c>
      <c r="E7" s="815" t="s">
        <v>1904</v>
      </c>
      <c r="F7" s="815" t="s">
        <v>1905</v>
      </c>
      <c r="G7" s="811">
        <v>45837.0</v>
      </c>
      <c r="H7" s="815" t="s">
        <v>177</v>
      </c>
      <c r="I7" s="815" t="s">
        <v>1875</v>
      </c>
      <c r="J7" s="820">
        <v>7265.0</v>
      </c>
      <c r="K7" s="820">
        <v>78.0</v>
      </c>
      <c r="L7" s="820">
        <v>0.0</v>
      </c>
      <c r="M7" s="814">
        <f t="shared" ref="M7:N7" si="6">K7/J7</f>
        <v>0.01073640743</v>
      </c>
      <c r="N7" s="814">
        <f t="shared" si="6"/>
        <v>0</v>
      </c>
      <c r="O7" s="814">
        <f t="shared" si="3"/>
        <v>0</v>
      </c>
      <c r="P7" s="815" t="s">
        <v>1906</v>
      </c>
      <c r="Q7" s="815" t="s">
        <v>1899</v>
      </c>
      <c r="R7" s="816" t="s">
        <v>1900</v>
      </c>
      <c r="S7" s="817"/>
      <c r="T7" s="817"/>
      <c r="U7" s="817"/>
      <c r="V7" s="817"/>
      <c r="W7" s="817"/>
      <c r="X7" s="817"/>
      <c r="Y7" s="817"/>
      <c r="Z7" s="817"/>
    </row>
    <row r="8" ht="171.75" customHeight="1">
      <c r="A8" s="809">
        <v>6.0</v>
      </c>
      <c r="B8" s="810" t="s">
        <v>1907</v>
      </c>
      <c r="C8" s="821" t="s">
        <v>1908</v>
      </c>
      <c r="D8" s="818" t="s">
        <v>1909</v>
      </c>
      <c r="E8" s="818" t="s">
        <v>1910</v>
      </c>
      <c r="F8" s="818" t="s">
        <v>1911</v>
      </c>
      <c r="G8" s="811">
        <v>45851.0</v>
      </c>
      <c r="H8" s="815" t="s">
        <v>177</v>
      </c>
      <c r="I8" s="815" t="s">
        <v>1912</v>
      </c>
      <c r="J8" s="822">
        <v>90191.0</v>
      </c>
      <c r="K8" s="822">
        <v>1455.0</v>
      </c>
      <c r="L8" s="822">
        <v>66.0</v>
      </c>
      <c r="M8" s="814">
        <f t="shared" ref="M8:N8" si="7">K8/J8</f>
        <v>0.01613243007</v>
      </c>
      <c r="N8" s="814">
        <f t="shared" si="7"/>
        <v>0.04536082474</v>
      </c>
      <c r="O8" s="814">
        <f t="shared" si="3"/>
        <v>0.0007317803328</v>
      </c>
      <c r="P8" s="815" t="s">
        <v>1913</v>
      </c>
      <c r="Q8" s="815" t="s">
        <v>1637</v>
      </c>
      <c r="R8" s="816" t="s">
        <v>1877</v>
      </c>
      <c r="S8" s="817"/>
      <c r="T8" s="817"/>
      <c r="U8" s="817"/>
      <c r="V8" s="817"/>
      <c r="W8" s="817"/>
      <c r="X8" s="817"/>
      <c r="Y8" s="817"/>
      <c r="Z8" s="817"/>
    </row>
    <row r="9" ht="171.75" customHeight="1">
      <c r="A9" s="809">
        <v>7.0</v>
      </c>
      <c r="B9" s="815" t="s">
        <v>1914</v>
      </c>
      <c r="C9" s="817"/>
      <c r="D9" s="817"/>
      <c r="E9" s="817"/>
      <c r="F9" s="817"/>
      <c r="G9" s="823"/>
      <c r="H9" s="823"/>
      <c r="I9" s="817"/>
      <c r="J9" s="824"/>
      <c r="K9" s="824"/>
      <c r="L9" s="824"/>
      <c r="M9" s="814" t="str">
        <f t="shared" ref="M9:N9" si="8">K9/J9</f>
        <v>#DIV/0!</v>
      </c>
      <c r="N9" s="814" t="str">
        <f t="shared" si="8"/>
        <v>#DIV/0!</v>
      </c>
      <c r="O9" s="814" t="str">
        <f t="shared" si="3"/>
        <v>#DIV/0!</v>
      </c>
      <c r="P9" s="817"/>
      <c r="Q9" s="815"/>
      <c r="R9" s="817"/>
      <c r="S9" s="817"/>
      <c r="T9" s="817"/>
      <c r="U9" s="817"/>
      <c r="V9" s="817"/>
      <c r="W9" s="817"/>
      <c r="X9" s="817"/>
      <c r="Y9" s="817"/>
      <c r="Z9" s="817"/>
    </row>
    <row r="10" ht="171.75" customHeight="1">
      <c r="A10" s="809">
        <v>8.0</v>
      </c>
      <c r="B10" s="815" t="s">
        <v>634</v>
      </c>
      <c r="C10" s="817"/>
      <c r="D10" s="817"/>
      <c r="E10" s="817"/>
      <c r="F10" s="817"/>
      <c r="G10" s="823"/>
      <c r="H10" s="823"/>
      <c r="I10" s="817"/>
      <c r="J10" s="824"/>
      <c r="K10" s="824"/>
      <c r="L10" s="824"/>
      <c r="M10" s="814" t="str">
        <f t="shared" ref="M10:N10" si="9">K10/J10</f>
        <v>#DIV/0!</v>
      </c>
      <c r="N10" s="814" t="str">
        <f t="shared" si="9"/>
        <v>#DIV/0!</v>
      </c>
      <c r="O10" s="814" t="str">
        <f t="shared" si="3"/>
        <v>#DIV/0!</v>
      </c>
      <c r="P10" s="817"/>
      <c r="Q10" s="815"/>
      <c r="R10" s="817"/>
      <c r="S10" s="817"/>
      <c r="T10" s="817"/>
      <c r="U10" s="817"/>
      <c r="V10" s="817"/>
      <c r="W10" s="817"/>
      <c r="X10" s="817"/>
      <c r="Y10" s="817"/>
      <c r="Z10" s="817"/>
    </row>
    <row r="11" ht="171.75" customHeight="1">
      <c r="A11" s="809">
        <v>9.0</v>
      </c>
      <c r="B11" s="815" t="s">
        <v>1915</v>
      </c>
      <c r="C11" s="815" t="s">
        <v>1916</v>
      </c>
      <c r="D11" s="815" t="s">
        <v>1917</v>
      </c>
      <c r="E11" s="815" t="s">
        <v>1918</v>
      </c>
      <c r="F11" s="815" t="s">
        <v>1919</v>
      </c>
      <c r="G11" s="825">
        <v>45905.0</v>
      </c>
      <c r="H11" s="826" t="s">
        <v>165</v>
      </c>
      <c r="I11" s="815">
        <v>18.0</v>
      </c>
      <c r="J11" s="826">
        <v>50474.0</v>
      </c>
      <c r="K11" s="826">
        <v>366.0</v>
      </c>
      <c r="L11" s="826">
        <v>4.0</v>
      </c>
      <c r="M11" s="814">
        <f t="shared" ref="M11:N11" si="10">K11/J11</f>
        <v>0.007251258073</v>
      </c>
      <c r="N11" s="814">
        <f t="shared" si="10"/>
        <v>0.01092896175</v>
      </c>
      <c r="O11" s="814">
        <f t="shared" si="3"/>
        <v>0.00007924872211</v>
      </c>
      <c r="P11" s="817"/>
      <c r="Q11" s="815"/>
      <c r="R11" s="817"/>
      <c r="S11" s="817"/>
      <c r="T11" s="817"/>
      <c r="U11" s="817"/>
      <c r="V11" s="817"/>
      <c r="W11" s="817"/>
      <c r="X11" s="817"/>
      <c r="Y11" s="817"/>
      <c r="Z11" s="817"/>
    </row>
    <row r="12" ht="171.75" customHeight="1">
      <c r="A12" s="809">
        <v>10.0</v>
      </c>
      <c r="B12" s="815" t="s">
        <v>1920</v>
      </c>
      <c r="C12" s="815" t="s">
        <v>1921</v>
      </c>
      <c r="D12" s="815" t="s">
        <v>1922</v>
      </c>
      <c r="E12" s="815" t="s">
        <v>1923</v>
      </c>
      <c r="F12" s="815" t="s">
        <v>1924</v>
      </c>
      <c r="G12" s="825">
        <v>45899.0</v>
      </c>
      <c r="H12" s="826" t="s">
        <v>169</v>
      </c>
      <c r="I12" s="815">
        <v>13.0</v>
      </c>
      <c r="J12" s="820">
        <v>36012.0</v>
      </c>
      <c r="K12" s="826">
        <v>353.0</v>
      </c>
      <c r="L12" s="826">
        <v>6.0</v>
      </c>
      <c r="M12" s="814">
        <f t="shared" ref="M12:N12" si="11">K12/J12</f>
        <v>0.009802288126</v>
      </c>
      <c r="N12" s="814">
        <f t="shared" si="11"/>
        <v>0.01699716714</v>
      </c>
      <c r="O12" s="814">
        <f t="shared" si="3"/>
        <v>0.0001666111296</v>
      </c>
      <c r="P12" s="817"/>
      <c r="Q12" s="815"/>
      <c r="R12" s="817"/>
      <c r="S12" s="817"/>
      <c r="T12" s="817"/>
      <c r="U12" s="817"/>
      <c r="V12" s="817"/>
      <c r="W12" s="817"/>
      <c r="X12" s="817"/>
      <c r="Y12" s="817"/>
      <c r="Z12" s="817"/>
    </row>
    <row r="13" ht="171.75" customHeight="1">
      <c r="A13" s="809">
        <v>11.0</v>
      </c>
      <c r="B13" s="815" t="s">
        <v>1925</v>
      </c>
      <c r="C13" s="815" t="s">
        <v>1926</v>
      </c>
      <c r="D13" s="815" t="s">
        <v>1927</v>
      </c>
      <c r="E13" s="815" t="s">
        <v>1928</v>
      </c>
      <c r="F13" s="815" t="s">
        <v>1929</v>
      </c>
      <c r="G13" s="827">
        <v>45925.0</v>
      </c>
      <c r="H13" s="826" t="s">
        <v>156</v>
      </c>
      <c r="I13" s="815">
        <v>9.0</v>
      </c>
      <c r="J13" s="820">
        <v>57047.0</v>
      </c>
      <c r="K13" s="826">
        <v>949.0</v>
      </c>
      <c r="L13" s="826">
        <v>20.0</v>
      </c>
      <c r="M13" s="814">
        <f t="shared" ref="M13:N13" si="12">K13/J13</f>
        <v>0.01663540589</v>
      </c>
      <c r="N13" s="814">
        <f t="shared" si="12"/>
        <v>0.0210748156</v>
      </c>
      <c r="O13" s="814">
        <f t="shared" si="3"/>
        <v>0.0003505881116</v>
      </c>
      <c r="P13" s="817"/>
      <c r="Q13" s="815"/>
      <c r="R13" s="817"/>
      <c r="S13" s="817"/>
      <c r="T13" s="817"/>
      <c r="U13" s="817"/>
      <c r="V13" s="817"/>
      <c r="W13" s="817"/>
      <c r="X13" s="817"/>
      <c r="Y13" s="817"/>
      <c r="Z13" s="817"/>
    </row>
    <row r="14" ht="171.75" customHeight="1">
      <c r="A14" s="809">
        <v>12.0</v>
      </c>
      <c r="B14" s="817"/>
      <c r="C14" s="817"/>
      <c r="D14" s="817"/>
      <c r="E14" s="817"/>
      <c r="F14" s="817"/>
      <c r="G14" s="817"/>
      <c r="H14" s="817"/>
      <c r="I14" s="817"/>
      <c r="J14" s="828"/>
      <c r="K14" s="828"/>
      <c r="L14" s="828"/>
      <c r="M14" s="814" t="str">
        <f t="shared" ref="M14:N14" si="13">K14/J14</f>
        <v>#DIV/0!</v>
      </c>
      <c r="N14" s="814" t="str">
        <f t="shared" si="13"/>
        <v>#DIV/0!</v>
      </c>
      <c r="O14" s="814" t="str">
        <f t="shared" si="3"/>
        <v>#DIV/0!</v>
      </c>
      <c r="P14" s="817"/>
      <c r="Q14" s="815"/>
      <c r="R14" s="817"/>
      <c r="S14" s="817"/>
      <c r="T14" s="817"/>
      <c r="U14" s="817"/>
      <c r="V14" s="817"/>
      <c r="W14" s="817"/>
      <c r="X14" s="817"/>
      <c r="Y14" s="817"/>
      <c r="Z14" s="817"/>
    </row>
    <row r="15" ht="171.75" customHeight="1">
      <c r="A15" s="809">
        <v>13.0</v>
      </c>
      <c r="B15" s="817"/>
      <c r="C15" s="817"/>
      <c r="D15" s="817"/>
      <c r="E15" s="829"/>
      <c r="F15" s="817"/>
      <c r="G15" s="823"/>
      <c r="H15" s="823"/>
      <c r="I15" s="817"/>
      <c r="J15" s="817"/>
      <c r="K15" s="817"/>
      <c r="L15" s="817"/>
      <c r="M15" s="814" t="str">
        <f t="shared" ref="M15:N15" si="14">K15/J15</f>
        <v>#DIV/0!</v>
      </c>
      <c r="N15" s="814" t="str">
        <f t="shared" si="14"/>
        <v>#DIV/0!</v>
      </c>
      <c r="O15" s="814" t="str">
        <f t="shared" si="3"/>
        <v>#DIV/0!</v>
      </c>
      <c r="P15" s="817"/>
      <c r="Q15" s="815"/>
      <c r="R15" s="817"/>
      <c r="S15" s="817"/>
      <c r="T15" s="817"/>
      <c r="U15" s="817"/>
      <c r="V15" s="817"/>
      <c r="W15" s="817"/>
      <c r="X15" s="817"/>
      <c r="Y15" s="817"/>
      <c r="Z15" s="817"/>
    </row>
    <row r="16" ht="171.75" customHeight="1">
      <c r="A16" s="809">
        <v>14.0</v>
      </c>
      <c r="B16" s="817"/>
      <c r="C16" s="817"/>
      <c r="D16" s="817"/>
      <c r="E16" s="817"/>
      <c r="F16" s="817"/>
      <c r="G16" s="823"/>
      <c r="H16" s="823"/>
      <c r="I16" s="817"/>
      <c r="J16" s="817"/>
      <c r="K16" s="817"/>
      <c r="L16" s="817"/>
      <c r="M16" s="814" t="str">
        <f t="shared" ref="M16:N16" si="15">K16/J16</f>
        <v>#DIV/0!</v>
      </c>
      <c r="N16" s="814" t="str">
        <f t="shared" si="15"/>
        <v>#DIV/0!</v>
      </c>
      <c r="O16" s="814" t="str">
        <f t="shared" si="3"/>
        <v>#DIV/0!</v>
      </c>
      <c r="P16" s="817"/>
      <c r="Q16" s="815"/>
      <c r="R16" s="817"/>
      <c r="S16" s="817"/>
      <c r="T16" s="817"/>
      <c r="U16" s="817"/>
      <c r="V16" s="817"/>
      <c r="W16" s="817"/>
      <c r="X16" s="817"/>
      <c r="Y16" s="817"/>
      <c r="Z16" s="817"/>
    </row>
    <row r="17" ht="171.75" customHeight="1">
      <c r="A17" s="809">
        <v>15.0</v>
      </c>
      <c r="B17" s="817"/>
      <c r="C17" s="817"/>
      <c r="D17" s="817"/>
      <c r="E17" s="817"/>
      <c r="F17" s="817"/>
      <c r="G17" s="823"/>
      <c r="H17" s="823"/>
      <c r="I17" s="817"/>
      <c r="J17" s="817"/>
      <c r="K17" s="817"/>
      <c r="L17" s="817"/>
      <c r="M17" s="814" t="str">
        <f t="shared" ref="M17:N17" si="16">K17/J17</f>
        <v>#DIV/0!</v>
      </c>
      <c r="N17" s="814" t="str">
        <f t="shared" si="16"/>
        <v>#DIV/0!</v>
      </c>
      <c r="O17" s="814" t="str">
        <f t="shared" si="3"/>
        <v>#DIV/0!</v>
      </c>
      <c r="P17" s="817"/>
      <c r="Q17" s="815"/>
      <c r="R17" s="817"/>
      <c r="S17" s="817"/>
      <c r="T17" s="817"/>
      <c r="U17" s="817"/>
      <c r="V17" s="817"/>
      <c r="W17" s="817"/>
      <c r="X17" s="817"/>
      <c r="Y17" s="817"/>
      <c r="Z17" s="817"/>
    </row>
    <row r="18" ht="171.75" customHeight="1">
      <c r="A18" s="809">
        <v>16.0</v>
      </c>
      <c r="B18" s="817"/>
      <c r="C18" s="817"/>
      <c r="D18" s="817"/>
      <c r="E18" s="817"/>
      <c r="F18" s="817"/>
      <c r="G18" s="817"/>
      <c r="H18" s="817"/>
      <c r="I18" s="817"/>
      <c r="J18" s="828"/>
      <c r="K18" s="828"/>
      <c r="L18" s="828"/>
      <c r="M18" s="814" t="str">
        <f t="shared" ref="M18:N18" si="17">K18/J18</f>
        <v>#DIV/0!</v>
      </c>
      <c r="N18" s="814" t="str">
        <f t="shared" si="17"/>
        <v>#DIV/0!</v>
      </c>
      <c r="O18" s="814" t="str">
        <f t="shared" si="3"/>
        <v>#DIV/0!</v>
      </c>
      <c r="P18" s="817"/>
      <c r="Q18" s="815"/>
      <c r="R18" s="817"/>
      <c r="S18" s="817"/>
      <c r="T18" s="817"/>
      <c r="U18" s="817"/>
      <c r="V18" s="817"/>
      <c r="W18" s="817"/>
      <c r="X18" s="817"/>
      <c r="Y18" s="817"/>
      <c r="Z18" s="817"/>
    </row>
    <row r="19" ht="171.75" customHeight="1">
      <c r="A19" s="809">
        <v>17.0</v>
      </c>
      <c r="B19" s="830"/>
      <c r="C19" s="829"/>
      <c r="D19" s="829"/>
      <c r="E19" s="829"/>
      <c r="F19" s="829"/>
      <c r="G19" s="823"/>
      <c r="H19" s="823"/>
      <c r="I19" s="817"/>
      <c r="J19" s="824"/>
      <c r="K19" s="824"/>
      <c r="L19" s="824"/>
      <c r="M19" s="814" t="str">
        <f t="shared" ref="M19:N19" si="18">K19/J19</f>
        <v>#DIV/0!</v>
      </c>
      <c r="N19" s="814" t="str">
        <f t="shared" si="18"/>
        <v>#DIV/0!</v>
      </c>
      <c r="O19" s="814" t="str">
        <f t="shared" si="3"/>
        <v>#DIV/0!</v>
      </c>
      <c r="P19" s="817"/>
      <c r="Q19" s="815"/>
      <c r="R19" s="817"/>
      <c r="S19" s="817"/>
      <c r="T19" s="817"/>
      <c r="U19" s="817"/>
      <c r="V19" s="817"/>
      <c r="W19" s="817"/>
      <c r="X19" s="817"/>
      <c r="Y19" s="817"/>
      <c r="Z19" s="817"/>
    </row>
    <row r="20" ht="171.75" customHeight="1">
      <c r="A20" s="809">
        <v>18.0</v>
      </c>
      <c r="B20" s="817"/>
      <c r="C20" s="817"/>
      <c r="D20" s="817"/>
      <c r="E20" s="817"/>
      <c r="F20" s="817"/>
      <c r="G20" s="823"/>
      <c r="H20" s="823"/>
      <c r="I20" s="817"/>
      <c r="J20" s="824"/>
      <c r="K20" s="824"/>
      <c r="L20" s="824"/>
      <c r="M20" s="814" t="str">
        <f t="shared" ref="M20:N20" si="19">K20/J20</f>
        <v>#DIV/0!</v>
      </c>
      <c r="N20" s="814" t="str">
        <f t="shared" si="19"/>
        <v>#DIV/0!</v>
      </c>
      <c r="O20" s="814" t="str">
        <f t="shared" si="3"/>
        <v>#DIV/0!</v>
      </c>
      <c r="P20" s="817"/>
      <c r="Q20" s="815"/>
      <c r="R20" s="817"/>
      <c r="S20" s="817"/>
      <c r="T20" s="817"/>
      <c r="U20" s="817"/>
      <c r="V20" s="817"/>
      <c r="W20" s="817"/>
      <c r="X20" s="817"/>
      <c r="Y20" s="817"/>
      <c r="Z20" s="817"/>
    </row>
    <row r="21" ht="171.75" customHeight="1">
      <c r="A21" s="809">
        <v>19.0</v>
      </c>
      <c r="B21" s="817"/>
      <c r="C21" s="817"/>
      <c r="D21" s="817"/>
      <c r="E21" s="817"/>
      <c r="F21" s="817"/>
      <c r="G21" s="823"/>
      <c r="H21" s="823"/>
      <c r="I21" s="817"/>
      <c r="J21" s="824"/>
      <c r="K21" s="824"/>
      <c r="L21" s="824"/>
      <c r="M21" s="814" t="str">
        <f t="shared" ref="M21:N21" si="20">K21/J21</f>
        <v>#DIV/0!</v>
      </c>
      <c r="N21" s="814" t="str">
        <f t="shared" si="20"/>
        <v>#DIV/0!</v>
      </c>
      <c r="O21" s="814" t="str">
        <f t="shared" si="3"/>
        <v>#DIV/0!</v>
      </c>
      <c r="P21" s="817"/>
      <c r="Q21" s="815"/>
      <c r="R21" s="817"/>
      <c r="S21" s="817"/>
      <c r="T21" s="817"/>
      <c r="U21" s="817"/>
      <c r="V21" s="817"/>
      <c r="W21" s="817"/>
      <c r="X21" s="817"/>
      <c r="Y21" s="817"/>
      <c r="Z21" s="817"/>
    </row>
    <row r="22" ht="171.75" customHeight="1">
      <c r="A22" s="809">
        <v>20.0</v>
      </c>
      <c r="B22" s="817"/>
      <c r="C22" s="817"/>
      <c r="D22" s="817"/>
      <c r="E22" s="817"/>
      <c r="F22" s="817"/>
      <c r="G22" s="823"/>
      <c r="H22" s="823"/>
      <c r="I22" s="817"/>
      <c r="J22" s="824"/>
      <c r="K22" s="824"/>
      <c r="L22" s="824"/>
      <c r="M22" s="814" t="str">
        <f t="shared" ref="M22:N22" si="21">K22/J22</f>
        <v>#DIV/0!</v>
      </c>
      <c r="N22" s="814" t="str">
        <f t="shared" si="21"/>
        <v>#DIV/0!</v>
      </c>
      <c r="O22" s="814" t="str">
        <f t="shared" si="3"/>
        <v>#DIV/0!</v>
      </c>
      <c r="P22" s="817"/>
      <c r="Q22" s="815"/>
      <c r="R22" s="817"/>
      <c r="S22" s="817"/>
      <c r="T22" s="817"/>
      <c r="U22" s="817"/>
      <c r="V22" s="817"/>
      <c r="W22" s="817"/>
      <c r="X22" s="817"/>
      <c r="Y22" s="817"/>
      <c r="Z22" s="817"/>
    </row>
    <row r="23" ht="171.75" customHeight="1">
      <c r="A23" s="809">
        <v>21.0</v>
      </c>
      <c r="B23" s="817"/>
      <c r="C23" s="817"/>
      <c r="D23" s="817"/>
      <c r="E23" s="817"/>
      <c r="F23" s="817"/>
      <c r="G23" s="823"/>
      <c r="H23" s="823"/>
      <c r="I23" s="817"/>
      <c r="J23" s="824"/>
      <c r="K23" s="824"/>
      <c r="L23" s="824"/>
      <c r="M23" s="814" t="str">
        <f t="shared" ref="M23:N23" si="22">K23/J23</f>
        <v>#DIV/0!</v>
      </c>
      <c r="N23" s="814" t="str">
        <f t="shared" si="22"/>
        <v>#DIV/0!</v>
      </c>
      <c r="O23" s="814" t="str">
        <f t="shared" si="3"/>
        <v>#DIV/0!</v>
      </c>
      <c r="P23" s="817"/>
      <c r="Q23" s="815"/>
      <c r="R23" s="817"/>
      <c r="S23" s="817"/>
      <c r="T23" s="817"/>
      <c r="U23" s="817"/>
      <c r="V23" s="817"/>
      <c r="W23" s="817"/>
      <c r="X23" s="817"/>
      <c r="Y23" s="817"/>
      <c r="Z23" s="817"/>
    </row>
    <row r="24" ht="171.75" customHeight="1">
      <c r="A24" s="809">
        <v>22.0</v>
      </c>
      <c r="B24" s="817"/>
      <c r="C24" s="817"/>
      <c r="D24" s="817"/>
      <c r="E24" s="817"/>
      <c r="F24" s="817"/>
      <c r="G24" s="823"/>
      <c r="H24" s="823"/>
      <c r="I24" s="817"/>
      <c r="J24" s="824"/>
      <c r="K24" s="824"/>
      <c r="L24" s="824"/>
      <c r="M24" s="814" t="str">
        <f t="shared" ref="M24:N24" si="23">K24/J24</f>
        <v>#DIV/0!</v>
      </c>
      <c r="N24" s="814" t="str">
        <f t="shared" si="23"/>
        <v>#DIV/0!</v>
      </c>
      <c r="O24" s="814" t="str">
        <f t="shared" si="3"/>
        <v>#DIV/0!</v>
      </c>
      <c r="P24" s="817"/>
      <c r="Q24" s="815"/>
      <c r="R24" s="817"/>
      <c r="S24" s="817"/>
      <c r="T24" s="817"/>
      <c r="U24" s="817"/>
      <c r="V24" s="817"/>
      <c r="W24" s="817"/>
      <c r="X24" s="817"/>
      <c r="Y24" s="817"/>
      <c r="Z24" s="817"/>
    </row>
    <row r="25" ht="171.75" customHeight="1">
      <c r="A25" s="809">
        <v>23.0</v>
      </c>
      <c r="B25" s="817"/>
      <c r="C25" s="817"/>
      <c r="D25" s="817"/>
      <c r="E25" s="817"/>
      <c r="F25" s="817"/>
      <c r="G25" s="817"/>
      <c r="H25" s="817"/>
      <c r="I25" s="817"/>
      <c r="J25" s="828"/>
      <c r="K25" s="828"/>
      <c r="L25" s="828"/>
      <c r="M25" s="814" t="str">
        <f t="shared" ref="M25:N25" si="24">K25/J25</f>
        <v>#DIV/0!</v>
      </c>
      <c r="N25" s="814" t="str">
        <f t="shared" si="24"/>
        <v>#DIV/0!</v>
      </c>
      <c r="O25" s="814" t="str">
        <f t="shared" si="3"/>
        <v>#DIV/0!</v>
      </c>
      <c r="P25" s="817"/>
      <c r="Q25" s="815"/>
      <c r="R25" s="817"/>
      <c r="S25" s="817"/>
      <c r="T25" s="817"/>
      <c r="U25" s="817"/>
      <c r="V25" s="817"/>
      <c r="W25" s="817"/>
      <c r="X25" s="817"/>
      <c r="Y25" s="817"/>
      <c r="Z25" s="817"/>
    </row>
    <row r="26" ht="171.75" customHeight="1">
      <c r="A26" s="809">
        <v>24.0</v>
      </c>
      <c r="B26" s="817"/>
      <c r="C26" s="817"/>
      <c r="D26" s="817"/>
      <c r="E26" s="817"/>
      <c r="F26" s="817"/>
      <c r="G26" s="817"/>
      <c r="H26" s="817"/>
      <c r="I26" s="817"/>
      <c r="J26" s="828"/>
      <c r="K26" s="828"/>
      <c r="L26" s="828"/>
      <c r="M26" s="814" t="str">
        <f t="shared" ref="M26:N26" si="25">K26/J26</f>
        <v>#DIV/0!</v>
      </c>
      <c r="N26" s="814" t="str">
        <f t="shared" si="25"/>
        <v>#DIV/0!</v>
      </c>
      <c r="O26" s="814" t="str">
        <f t="shared" si="3"/>
        <v>#DIV/0!</v>
      </c>
      <c r="P26" s="817"/>
      <c r="Q26" s="815"/>
      <c r="R26" s="817"/>
      <c r="S26" s="817"/>
      <c r="T26" s="817"/>
      <c r="U26" s="817"/>
      <c r="V26" s="817"/>
      <c r="W26" s="817"/>
      <c r="X26" s="817"/>
      <c r="Y26" s="817"/>
      <c r="Z26" s="817"/>
    </row>
    <row r="27" ht="171.75" customHeight="1">
      <c r="A27" s="809">
        <v>25.0</v>
      </c>
      <c r="B27" s="830"/>
      <c r="C27" s="829"/>
      <c r="D27" s="829"/>
      <c r="E27" s="829"/>
      <c r="F27" s="829"/>
      <c r="G27" s="831"/>
      <c r="H27" s="831"/>
      <c r="I27" s="817"/>
      <c r="J27" s="817"/>
      <c r="K27" s="832"/>
      <c r="L27" s="832"/>
      <c r="M27" s="814" t="str">
        <f t="shared" ref="M27:N27" si="26">K27/J27</f>
        <v>#DIV/0!</v>
      </c>
      <c r="N27" s="814" t="str">
        <f t="shared" si="26"/>
        <v>#DIV/0!</v>
      </c>
      <c r="O27" s="814" t="str">
        <f t="shared" si="3"/>
        <v>#DIV/0!</v>
      </c>
      <c r="P27" s="817"/>
      <c r="Q27" s="815"/>
      <c r="R27" s="817"/>
      <c r="S27" s="817"/>
      <c r="T27" s="817"/>
      <c r="U27" s="817"/>
      <c r="V27" s="817"/>
      <c r="W27" s="817"/>
      <c r="X27" s="817"/>
      <c r="Y27" s="817"/>
      <c r="Z27" s="817"/>
    </row>
    <row r="28" ht="171.75" customHeight="1">
      <c r="A28" s="809">
        <v>26.0</v>
      </c>
      <c r="B28" s="817"/>
      <c r="C28" s="817"/>
      <c r="D28" s="817"/>
      <c r="E28" s="817"/>
      <c r="F28" s="817"/>
      <c r="G28" s="817"/>
      <c r="H28" s="817"/>
      <c r="I28" s="817"/>
      <c r="J28" s="817"/>
      <c r="K28" s="817"/>
      <c r="L28" s="817"/>
      <c r="M28" s="814" t="str">
        <f t="shared" ref="M28:N28" si="27">K28/J28</f>
        <v>#DIV/0!</v>
      </c>
      <c r="N28" s="814" t="str">
        <f t="shared" si="27"/>
        <v>#DIV/0!</v>
      </c>
      <c r="O28" s="814" t="str">
        <f t="shared" si="3"/>
        <v>#DIV/0!</v>
      </c>
      <c r="P28" s="817"/>
      <c r="Q28" s="815"/>
      <c r="R28" s="817"/>
      <c r="S28" s="817"/>
      <c r="T28" s="817"/>
      <c r="U28" s="817"/>
      <c r="V28" s="817"/>
      <c r="W28" s="817"/>
      <c r="X28" s="817"/>
      <c r="Y28" s="817"/>
      <c r="Z28" s="817"/>
    </row>
    <row r="29" ht="171.75" customHeight="1">
      <c r="A29" s="809">
        <v>27.0</v>
      </c>
      <c r="B29" s="817"/>
      <c r="C29" s="817"/>
      <c r="D29" s="817"/>
      <c r="E29" s="817"/>
      <c r="F29" s="817"/>
      <c r="G29" s="817"/>
      <c r="H29" s="817"/>
      <c r="I29" s="817"/>
      <c r="J29" s="817"/>
      <c r="K29" s="817"/>
      <c r="L29" s="817"/>
      <c r="M29" s="814" t="str">
        <f t="shared" ref="M29:N29" si="28">K29/J29</f>
        <v>#DIV/0!</v>
      </c>
      <c r="N29" s="814" t="str">
        <f t="shared" si="28"/>
        <v>#DIV/0!</v>
      </c>
      <c r="O29" s="814" t="str">
        <f t="shared" si="3"/>
        <v>#DIV/0!</v>
      </c>
      <c r="P29" s="817"/>
      <c r="Q29" s="815"/>
      <c r="R29" s="817"/>
      <c r="S29" s="817"/>
      <c r="T29" s="817"/>
      <c r="U29" s="817"/>
      <c r="V29" s="817"/>
      <c r="W29" s="817"/>
      <c r="X29" s="817"/>
      <c r="Y29" s="817"/>
      <c r="Z29" s="817"/>
    </row>
    <row r="30" ht="171.75" customHeight="1">
      <c r="A30" s="809">
        <v>28.0</v>
      </c>
      <c r="B30" s="817"/>
      <c r="C30" s="817"/>
      <c r="D30" s="817"/>
      <c r="E30" s="817"/>
      <c r="F30" s="817"/>
      <c r="G30" s="817"/>
      <c r="H30" s="817"/>
      <c r="I30" s="817"/>
      <c r="J30" s="828"/>
      <c r="K30" s="828"/>
      <c r="L30" s="828"/>
      <c r="M30" s="814" t="str">
        <f t="shared" ref="M30:N30" si="29">K30/J30</f>
        <v>#DIV/0!</v>
      </c>
      <c r="N30" s="814" t="str">
        <f t="shared" si="29"/>
        <v>#DIV/0!</v>
      </c>
      <c r="O30" s="814" t="str">
        <f t="shared" si="3"/>
        <v>#DIV/0!</v>
      </c>
      <c r="P30" s="817"/>
      <c r="Q30" s="815"/>
      <c r="R30" s="817"/>
      <c r="S30" s="817"/>
      <c r="T30" s="817"/>
      <c r="U30" s="817"/>
      <c r="V30" s="817"/>
      <c r="W30" s="817"/>
      <c r="X30" s="817"/>
      <c r="Y30" s="817"/>
      <c r="Z30" s="817"/>
    </row>
    <row r="31" ht="171.75" customHeight="1">
      <c r="A31" s="809">
        <v>29.0</v>
      </c>
      <c r="B31" s="830"/>
      <c r="C31" s="829"/>
      <c r="D31" s="829"/>
      <c r="E31" s="829"/>
      <c r="F31" s="829"/>
      <c r="G31" s="831"/>
      <c r="H31" s="831"/>
      <c r="I31" s="817"/>
      <c r="J31" s="817"/>
      <c r="K31" s="832"/>
      <c r="L31" s="832"/>
      <c r="M31" s="814" t="str">
        <f t="shared" ref="M31:N31" si="30">K31/J31</f>
        <v>#DIV/0!</v>
      </c>
      <c r="N31" s="814" t="str">
        <f t="shared" si="30"/>
        <v>#DIV/0!</v>
      </c>
      <c r="O31" s="814" t="str">
        <f t="shared" si="3"/>
        <v>#DIV/0!</v>
      </c>
      <c r="P31" s="817"/>
      <c r="Q31" s="815"/>
      <c r="R31" s="817"/>
      <c r="S31" s="817"/>
      <c r="T31" s="817"/>
      <c r="U31" s="817"/>
      <c r="V31" s="817"/>
      <c r="W31" s="817"/>
      <c r="X31" s="817"/>
      <c r="Y31" s="817"/>
      <c r="Z31" s="817"/>
    </row>
    <row r="32" ht="171.75" customHeight="1">
      <c r="A32" s="809">
        <v>30.0</v>
      </c>
      <c r="B32" s="817"/>
      <c r="C32" s="817"/>
      <c r="D32" s="817"/>
      <c r="E32" s="817"/>
      <c r="F32" s="817"/>
      <c r="G32" s="817"/>
      <c r="H32" s="817"/>
      <c r="I32" s="817"/>
      <c r="J32" s="817"/>
      <c r="K32" s="817"/>
      <c r="L32" s="817"/>
      <c r="M32" s="814" t="str">
        <f t="shared" ref="M32:N32" si="31">K32/J32</f>
        <v>#DIV/0!</v>
      </c>
      <c r="N32" s="814" t="str">
        <f t="shared" si="31"/>
        <v>#DIV/0!</v>
      </c>
      <c r="O32" s="814" t="str">
        <f t="shared" si="3"/>
        <v>#DIV/0!</v>
      </c>
      <c r="P32" s="817"/>
      <c r="Q32" s="815"/>
      <c r="R32" s="817"/>
      <c r="S32" s="817"/>
      <c r="T32" s="817"/>
      <c r="U32" s="817"/>
      <c r="V32" s="817"/>
      <c r="W32" s="817"/>
      <c r="X32" s="817"/>
      <c r="Y32" s="817"/>
      <c r="Z32" s="817"/>
    </row>
    <row r="33" ht="171.75" customHeight="1">
      <c r="A33" s="809">
        <v>31.0</v>
      </c>
      <c r="B33" s="817"/>
      <c r="C33" s="817"/>
      <c r="D33" s="817"/>
      <c r="E33" s="817"/>
      <c r="F33" s="817"/>
      <c r="G33" s="817"/>
      <c r="H33" s="817"/>
      <c r="I33" s="817"/>
      <c r="J33" s="817"/>
      <c r="K33" s="817"/>
      <c r="L33" s="817"/>
      <c r="M33" s="814" t="str">
        <f t="shared" ref="M33:N33" si="32">K33/J33</f>
        <v>#DIV/0!</v>
      </c>
      <c r="N33" s="814" t="str">
        <f t="shared" si="32"/>
        <v>#DIV/0!</v>
      </c>
      <c r="O33" s="814" t="str">
        <f t="shared" si="3"/>
        <v>#DIV/0!</v>
      </c>
      <c r="P33" s="817"/>
      <c r="Q33" s="815"/>
      <c r="R33" s="817"/>
      <c r="S33" s="817"/>
      <c r="T33" s="817"/>
      <c r="U33" s="817"/>
      <c r="V33" s="817"/>
      <c r="W33" s="817"/>
      <c r="X33" s="817"/>
      <c r="Y33" s="817"/>
      <c r="Z33" s="817"/>
    </row>
    <row r="34" ht="171.75" customHeight="1">
      <c r="A34" s="809">
        <v>32.0</v>
      </c>
      <c r="B34" s="817"/>
      <c r="C34" s="817"/>
      <c r="D34" s="817"/>
      <c r="E34" s="817"/>
      <c r="F34" s="817"/>
      <c r="G34" s="817"/>
      <c r="H34" s="817"/>
      <c r="I34" s="817"/>
      <c r="J34" s="828"/>
      <c r="K34" s="828"/>
      <c r="L34" s="828"/>
      <c r="M34" s="814" t="str">
        <f t="shared" ref="M34:N34" si="33">K34/J34</f>
        <v>#DIV/0!</v>
      </c>
      <c r="N34" s="814" t="str">
        <f t="shared" si="33"/>
        <v>#DIV/0!</v>
      </c>
      <c r="O34" s="814" t="str">
        <f t="shared" si="3"/>
        <v>#DIV/0!</v>
      </c>
      <c r="P34" s="817"/>
      <c r="Q34" s="815"/>
      <c r="R34" s="817"/>
      <c r="S34" s="817"/>
      <c r="T34" s="817"/>
      <c r="U34" s="817"/>
      <c r="V34" s="817"/>
      <c r="W34" s="817"/>
      <c r="X34" s="817"/>
      <c r="Y34" s="817"/>
      <c r="Z34" s="817"/>
    </row>
    <row r="35" ht="171.75" customHeight="1">
      <c r="A35" s="809">
        <v>33.0</v>
      </c>
      <c r="B35" s="830"/>
      <c r="C35" s="829"/>
      <c r="D35" s="829"/>
      <c r="E35" s="829"/>
      <c r="F35" s="829"/>
      <c r="G35" s="831"/>
      <c r="H35" s="831"/>
      <c r="I35" s="817"/>
      <c r="J35" s="833"/>
      <c r="K35" s="833"/>
      <c r="L35" s="833"/>
      <c r="M35" s="814" t="str">
        <f t="shared" ref="M35:N35" si="34">K35/J35</f>
        <v>#DIV/0!</v>
      </c>
      <c r="N35" s="814" t="str">
        <f t="shared" si="34"/>
        <v>#DIV/0!</v>
      </c>
      <c r="O35" s="814" t="str">
        <f t="shared" si="3"/>
        <v>#DIV/0!</v>
      </c>
      <c r="P35" s="817"/>
      <c r="Q35" s="815"/>
      <c r="R35" s="817"/>
      <c r="S35" s="817"/>
      <c r="T35" s="817"/>
      <c r="U35" s="817"/>
      <c r="V35" s="817"/>
      <c r="W35" s="817"/>
      <c r="X35" s="817"/>
      <c r="Y35" s="817"/>
      <c r="Z35" s="817"/>
    </row>
    <row r="36" ht="171.75" customHeight="1">
      <c r="A36" s="809">
        <v>34.0</v>
      </c>
      <c r="B36" s="817"/>
      <c r="C36" s="829"/>
      <c r="D36" s="817"/>
      <c r="E36" s="817"/>
      <c r="F36" s="829"/>
      <c r="G36" s="817"/>
      <c r="H36" s="817"/>
      <c r="I36" s="817"/>
      <c r="J36" s="833"/>
      <c r="K36" s="824"/>
      <c r="L36" s="824"/>
      <c r="M36" s="814" t="str">
        <f t="shared" ref="M36:N36" si="35">K36/J36</f>
        <v>#DIV/0!</v>
      </c>
      <c r="N36" s="814" t="str">
        <f t="shared" si="35"/>
        <v>#DIV/0!</v>
      </c>
      <c r="O36" s="814" t="str">
        <f t="shared" si="3"/>
        <v>#DIV/0!</v>
      </c>
      <c r="P36" s="817"/>
      <c r="Q36" s="815"/>
      <c r="R36" s="817"/>
      <c r="S36" s="817"/>
      <c r="T36" s="817"/>
      <c r="U36" s="817"/>
      <c r="V36" s="817"/>
      <c r="W36" s="817"/>
      <c r="X36" s="817"/>
      <c r="Y36" s="817"/>
      <c r="Z36" s="817"/>
    </row>
    <row r="37" ht="171.75" customHeight="1">
      <c r="A37" s="809">
        <v>35.0</v>
      </c>
      <c r="B37" s="817"/>
      <c r="C37" s="829"/>
      <c r="D37" s="817"/>
      <c r="E37" s="817"/>
      <c r="F37" s="829"/>
      <c r="G37" s="817"/>
      <c r="H37" s="817"/>
      <c r="I37" s="817"/>
      <c r="J37" s="833"/>
      <c r="K37" s="824"/>
      <c r="L37" s="824"/>
      <c r="M37" s="814" t="str">
        <f t="shared" ref="M37:N37" si="36">K37/J37</f>
        <v>#DIV/0!</v>
      </c>
      <c r="N37" s="814" t="str">
        <f t="shared" si="36"/>
        <v>#DIV/0!</v>
      </c>
      <c r="O37" s="814" t="str">
        <f t="shared" si="3"/>
        <v>#DIV/0!</v>
      </c>
      <c r="P37" s="817"/>
      <c r="Q37" s="815"/>
      <c r="R37" s="817"/>
      <c r="S37" s="817"/>
      <c r="T37" s="817"/>
      <c r="U37" s="817"/>
      <c r="V37" s="817"/>
      <c r="W37" s="817"/>
      <c r="X37" s="817"/>
      <c r="Y37" s="817"/>
      <c r="Z37" s="817"/>
    </row>
    <row r="38" ht="171.75" customHeight="1">
      <c r="A38" s="809">
        <v>36.0</v>
      </c>
      <c r="B38" s="817"/>
      <c r="C38" s="817"/>
      <c r="D38" s="817"/>
      <c r="E38" s="817"/>
      <c r="F38" s="829"/>
      <c r="G38" s="817"/>
      <c r="H38" s="817"/>
      <c r="I38" s="817"/>
      <c r="J38" s="817"/>
      <c r="K38" s="817"/>
      <c r="L38" s="817"/>
      <c r="M38" s="814" t="str">
        <f t="shared" ref="M38:N38" si="37">K38/J38</f>
        <v>#DIV/0!</v>
      </c>
      <c r="N38" s="814" t="str">
        <f t="shared" si="37"/>
        <v>#DIV/0!</v>
      </c>
      <c r="O38" s="814" t="str">
        <f t="shared" si="3"/>
        <v>#DIV/0!</v>
      </c>
      <c r="P38" s="817"/>
      <c r="Q38" s="815"/>
      <c r="R38" s="817"/>
      <c r="S38" s="817"/>
      <c r="T38" s="817"/>
      <c r="U38" s="817"/>
      <c r="V38" s="817"/>
      <c r="W38" s="817"/>
      <c r="X38" s="817"/>
      <c r="Y38" s="817"/>
      <c r="Z38" s="817"/>
    </row>
    <row r="39" ht="171.75" customHeight="1">
      <c r="A39" s="809">
        <v>37.0</v>
      </c>
      <c r="B39" s="817"/>
      <c r="C39" s="817"/>
      <c r="D39" s="817"/>
      <c r="E39" s="817"/>
      <c r="F39" s="817"/>
      <c r="G39" s="817"/>
      <c r="H39" s="817"/>
      <c r="I39" s="817"/>
      <c r="J39" s="828"/>
      <c r="K39" s="828"/>
      <c r="L39" s="828"/>
      <c r="M39" s="814" t="str">
        <f t="shared" ref="M39:N39" si="38">K39/J39</f>
        <v>#DIV/0!</v>
      </c>
      <c r="N39" s="814" t="str">
        <f t="shared" si="38"/>
        <v>#DIV/0!</v>
      </c>
      <c r="O39" s="814" t="str">
        <f t="shared" si="3"/>
        <v>#DIV/0!</v>
      </c>
      <c r="P39" s="817"/>
      <c r="Q39" s="815"/>
      <c r="R39" s="817"/>
      <c r="S39" s="817"/>
      <c r="T39" s="817"/>
      <c r="U39" s="817"/>
      <c r="V39" s="817"/>
      <c r="W39" s="817"/>
      <c r="X39" s="817"/>
      <c r="Y39" s="817"/>
      <c r="Z39" s="817"/>
    </row>
    <row r="40" ht="171.75" customHeight="1">
      <c r="A40" s="809">
        <v>38.0</v>
      </c>
      <c r="B40" s="830"/>
      <c r="C40" s="829"/>
      <c r="D40" s="829"/>
      <c r="E40" s="829"/>
      <c r="F40" s="829"/>
      <c r="G40" s="834"/>
      <c r="H40" s="834"/>
      <c r="I40" s="817"/>
      <c r="J40" s="833"/>
      <c r="K40" s="833"/>
      <c r="L40" s="833"/>
      <c r="M40" s="814" t="str">
        <f t="shared" ref="M40:N40" si="39">K40/J40</f>
        <v>#DIV/0!</v>
      </c>
      <c r="N40" s="814" t="str">
        <f t="shared" si="39"/>
        <v>#DIV/0!</v>
      </c>
      <c r="O40" s="814" t="str">
        <f t="shared" si="3"/>
        <v>#DIV/0!</v>
      </c>
      <c r="P40" s="817"/>
      <c r="Q40" s="815"/>
      <c r="R40" s="829"/>
      <c r="U40" s="817"/>
      <c r="V40" s="817"/>
      <c r="W40" s="817"/>
      <c r="X40" s="817"/>
      <c r="Y40" s="817"/>
      <c r="Z40" s="817"/>
    </row>
    <row r="41" ht="171.75" customHeight="1">
      <c r="A41" s="809">
        <v>39.0</v>
      </c>
      <c r="B41" s="817"/>
      <c r="C41" s="817"/>
      <c r="D41" s="817"/>
      <c r="E41" s="817"/>
      <c r="F41" s="817"/>
      <c r="G41" s="834"/>
      <c r="H41" s="834"/>
      <c r="I41" s="817"/>
      <c r="J41" s="833"/>
      <c r="K41" s="833"/>
      <c r="L41" s="833"/>
      <c r="M41" s="814" t="str">
        <f t="shared" ref="M41:N41" si="40">K41/J41</f>
        <v>#DIV/0!</v>
      </c>
      <c r="N41" s="814" t="str">
        <f t="shared" si="40"/>
        <v>#DIV/0!</v>
      </c>
      <c r="O41" s="814" t="str">
        <f t="shared" si="3"/>
        <v>#DIV/0!</v>
      </c>
      <c r="P41" s="817"/>
      <c r="Q41" s="815"/>
      <c r="R41" s="817"/>
      <c r="S41" s="817"/>
      <c r="T41" s="817"/>
      <c r="U41" s="817"/>
      <c r="V41" s="817"/>
      <c r="W41" s="817"/>
      <c r="X41" s="817"/>
      <c r="Y41" s="817"/>
      <c r="Z41" s="817"/>
    </row>
    <row r="42" ht="171.75" customHeight="1">
      <c r="A42" s="809">
        <v>40.0</v>
      </c>
      <c r="B42" s="817"/>
      <c r="C42" s="817"/>
      <c r="D42" s="817"/>
      <c r="E42" s="817"/>
      <c r="F42" s="817"/>
      <c r="G42" s="834"/>
      <c r="H42" s="834"/>
      <c r="I42" s="817"/>
      <c r="J42" s="833"/>
      <c r="K42" s="824"/>
      <c r="L42" s="824"/>
      <c r="M42" s="814" t="str">
        <f t="shared" ref="M42:N42" si="41">K42/J42</f>
        <v>#DIV/0!</v>
      </c>
      <c r="N42" s="814" t="str">
        <f t="shared" si="41"/>
        <v>#DIV/0!</v>
      </c>
      <c r="O42" s="814" t="str">
        <f t="shared" si="3"/>
        <v>#DIV/0!</v>
      </c>
      <c r="P42" s="817"/>
      <c r="Q42" s="815"/>
      <c r="R42" s="817"/>
      <c r="S42" s="817"/>
      <c r="T42" s="817"/>
      <c r="U42" s="817"/>
      <c r="V42" s="817"/>
      <c r="W42" s="817"/>
      <c r="X42" s="817"/>
      <c r="Y42" s="817"/>
      <c r="Z42" s="817"/>
    </row>
    <row r="43" ht="171.75" customHeight="1">
      <c r="A43" s="809">
        <v>41.0</v>
      </c>
      <c r="B43" s="817"/>
      <c r="C43" s="817"/>
      <c r="D43" s="817"/>
      <c r="E43" s="817"/>
      <c r="F43" s="817"/>
      <c r="G43" s="817"/>
      <c r="H43" s="817"/>
      <c r="I43" s="817"/>
      <c r="J43" s="828"/>
      <c r="K43" s="828"/>
      <c r="L43" s="828"/>
      <c r="M43" s="814" t="str">
        <f t="shared" ref="M43:N43" si="42">K43/J43</f>
        <v>#DIV/0!</v>
      </c>
      <c r="N43" s="814" t="str">
        <f t="shared" si="42"/>
        <v>#DIV/0!</v>
      </c>
      <c r="O43" s="814" t="str">
        <f t="shared" si="3"/>
        <v>#DIV/0!</v>
      </c>
      <c r="P43" s="817"/>
      <c r="Q43" s="815"/>
      <c r="R43" s="817"/>
      <c r="S43" s="817"/>
      <c r="T43" s="817"/>
      <c r="U43" s="817"/>
      <c r="V43" s="817"/>
      <c r="W43" s="817"/>
      <c r="X43" s="817"/>
      <c r="Y43" s="817"/>
      <c r="Z43" s="817"/>
    </row>
    <row r="44" ht="171.75" customHeight="1">
      <c r="A44" s="809">
        <v>42.0</v>
      </c>
      <c r="B44" s="817"/>
      <c r="C44" s="817"/>
      <c r="D44" s="817"/>
      <c r="E44" s="817"/>
      <c r="F44" s="817"/>
      <c r="G44" s="831"/>
      <c r="H44" s="831"/>
      <c r="I44" s="817"/>
      <c r="J44" s="832"/>
      <c r="K44" s="832"/>
      <c r="L44" s="832"/>
      <c r="M44" s="814" t="str">
        <f t="shared" ref="M44:N44" si="43">K44/J44</f>
        <v>#DIV/0!</v>
      </c>
      <c r="N44" s="814" t="str">
        <f t="shared" si="43"/>
        <v>#DIV/0!</v>
      </c>
      <c r="O44" s="814" t="str">
        <f t="shared" si="3"/>
        <v>#DIV/0!</v>
      </c>
      <c r="P44" s="817"/>
      <c r="Q44" s="815"/>
      <c r="R44" s="817"/>
      <c r="S44" s="817"/>
      <c r="T44" s="817"/>
      <c r="U44" s="817"/>
      <c r="V44" s="817"/>
      <c r="W44" s="817"/>
      <c r="X44" s="817"/>
      <c r="Y44" s="817"/>
      <c r="Z44" s="817"/>
    </row>
    <row r="45" ht="171.75" customHeight="1">
      <c r="A45" s="809">
        <v>43.0</v>
      </c>
      <c r="B45" s="817"/>
      <c r="C45" s="817"/>
      <c r="D45" s="817"/>
      <c r="E45" s="817"/>
      <c r="F45" s="817"/>
      <c r="G45" s="831"/>
      <c r="H45" s="831"/>
      <c r="I45" s="817"/>
      <c r="J45" s="832"/>
      <c r="K45" s="832"/>
      <c r="L45" s="832"/>
      <c r="M45" s="814" t="str">
        <f t="shared" ref="M45:N45" si="44">K45/J45</f>
        <v>#DIV/0!</v>
      </c>
      <c r="N45" s="814" t="str">
        <f t="shared" si="44"/>
        <v>#DIV/0!</v>
      </c>
      <c r="O45" s="814" t="str">
        <f t="shared" si="3"/>
        <v>#DIV/0!</v>
      </c>
      <c r="P45" s="817"/>
      <c r="Q45" s="815"/>
      <c r="R45" s="817"/>
      <c r="S45" s="817"/>
      <c r="T45" s="817"/>
      <c r="U45" s="817"/>
      <c r="V45" s="817"/>
      <c r="W45" s="817"/>
      <c r="X45" s="817"/>
      <c r="Y45" s="817"/>
      <c r="Z45" s="817"/>
    </row>
    <row r="46" ht="171.75" customHeight="1">
      <c r="A46" s="809">
        <v>44.0</v>
      </c>
      <c r="B46" s="817"/>
      <c r="C46" s="817"/>
      <c r="D46" s="817"/>
      <c r="E46" s="817"/>
      <c r="F46" s="817"/>
      <c r="G46" s="817"/>
      <c r="H46" s="817"/>
      <c r="I46" s="817"/>
      <c r="J46" s="832"/>
      <c r="K46" s="817"/>
      <c r="L46" s="817"/>
      <c r="M46" s="814" t="str">
        <f t="shared" ref="M46:N46" si="45">K46/J46</f>
        <v>#DIV/0!</v>
      </c>
      <c r="N46" s="814" t="str">
        <f t="shared" si="45"/>
        <v>#DIV/0!</v>
      </c>
      <c r="O46" s="814" t="str">
        <f t="shared" si="3"/>
        <v>#DIV/0!</v>
      </c>
      <c r="P46" s="817"/>
      <c r="Q46" s="815"/>
      <c r="R46" s="817"/>
      <c r="S46" s="817"/>
      <c r="T46" s="817"/>
      <c r="U46" s="817"/>
      <c r="V46" s="817"/>
      <c r="W46" s="817"/>
      <c r="X46" s="817"/>
      <c r="Y46" s="817"/>
      <c r="Z46" s="817"/>
    </row>
    <row r="47" ht="171.75" customHeight="1">
      <c r="A47" s="809">
        <v>45.0</v>
      </c>
      <c r="B47" s="817"/>
      <c r="C47" s="817"/>
      <c r="D47" s="817"/>
      <c r="E47" s="817"/>
      <c r="F47" s="817"/>
      <c r="G47" s="817"/>
      <c r="H47" s="817"/>
      <c r="I47" s="817"/>
      <c r="J47" s="828"/>
      <c r="K47" s="828"/>
      <c r="L47" s="828"/>
      <c r="M47" s="814" t="str">
        <f t="shared" ref="M47:N47" si="46">K47/J47</f>
        <v>#DIV/0!</v>
      </c>
      <c r="N47" s="814" t="str">
        <f t="shared" si="46"/>
        <v>#DIV/0!</v>
      </c>
      <c r="O47" s="814" t="str">
        <f t="shared" si="3"/>
        <v>#DIV/0!</v>
      </c>
      <c r="P47" s="817"/>
      <c r="Q47" s="815"/>
      <c r="R47" s="817"/>
      <c r="S47" s="817"/>
      <c r="T47" s="817"/>
      <c r="U47" s="817"/>
      <c r="V47" s="817"/>
      <c r="W47" s="817"/>
      <c r="X47" s="817"/>
      <c r="Y47" s="817"/>
      <c r="Z47" s="817"/>
    </row>
    <row r="48" ht="171.75" customHeight="1">
      <c r="A48" s="809">
        <v>46.0</v>
      </c>
      <c r="B48" s="817"/>
      <c r="C48" s="817"/>
      <c r="D48" s="817"/>
      <c r="E48" s="817"/>
      <c r="F48" s="817"/>
      <c r="G48" s="817"/>
      <c r="H48" s="817"/>
      <c r="I48" s="817"/>
      <c r="J48" s="817"/>
      <c r="K48" s="817"/>
      <c r="L48" s="817"/>
      <c r="M48" s="814" t="str">
        <f t="shared" ref="M48:N48" si="47">K48/J48</f>
        <v>#DIV/0!</v>
      </c>
      <c r="N48" s="814" t="str">
        <f t="shared" si="47"/>
        <v>#DIV/0!</v>
      </c>
      <c r="O48" s="814" t="str">
        <f t="shared" si="3"/>
        <v>#DIV/0!</v>
      </c>
      <c r="P48" s="817"/>
      <c r="Q48" s="815"/>
      <c r="R48" s="817"/>
      <c r="S48" s="817"/>
      <c r="T48" s="817"/>
      <c r="U48" s="817"/>
      <c r="V48" s="817"/>
      <c r="W48" s="817"/>
      <c r="X48" s="817"/>
      <c r="Y48" s="817"/>
      <c r="Z48" s="817"/>
    </row>
    <row r="49" ht="171.75" customHeight="1">
      <c r="A49" s="809">
        <v>47.0</v>
      </c>
      <c r="B49" s="817"/>
      <c r="C49" s="817"/>
      <c r="D49" s="817"/>
      <c r="E49" s="817"/>
      <c r="F49" s="817"/>
      <c r="G49" s="817"/>
      <c r="H49" s="817"/>
      <c r="I49" s="817"/>
      <c r="J49" s="817"/>
      <c r="K49" s="817"/>
      <c r="L49" s="817"/>
      <c r="M49" s="814" t="str">
        <f t="shared" ref="M49:N49" si="48">K49/J49</f>
        <v>#DIV/0!</v>
      </c>
      <c r="N49" s="814" t="str">
        <f t="shared" si="48"/>
        <v>#DIV/0!</v>
      </c>
      <c r="O49" s="814" t="str">
        <f t="shared" si="3"/>
        <v>#DIV/0!</v>
      </c>
      <c r="P49" s="817"/>
      <c r="Q49" s="815"/>
      <c r="R49" s="817"/>
      <c r="S49" s="817"/>
      <c r="T49" s="817"/>
      <c r="U49" s="817"/>
      <c r="V49" s="817"/>
      <c r="W49" s="817"/>
      <c r="X49" s="817"/>
      <c r="Y49" s="817"/>
      <c r="Z49" s="817"/>
    </row>
    <row r="50" ht="171.75" customHeight="1">
      <c r="A50" s="809">
        <v>48.0</v>
      </c>
      <c r="B50" s="817"/>
      <c r="C50" s="817"/>
      <c r="D50" s="817"/>
      <c r="E50" s="817"/>
      <c r="F50" s="817"/>
      <c r="G50" s="817"/>
      <c r="H50" s="817"/>
      <c r="I50" s="817"/>
      <c r="J50" s="817"/>
      <c r="K50" s="817"/>
      <c r="L50" s="817"/>
      <c r="M50" s="814" t="str">
        <f t="shared" ref="M50:N50" si="49">K50/J50</f>
        <v>#DIV/0!</v>
      </c>
      <c r="N50" s="814" t="str">
        <f t="shared" si="49"/>
        <v>#DIV/0!</v>
      </c>
      <c r="O50" s="814" t="str">
        <f t="shared" si="3"/>
        <v>#DIV/0!</v>
      </c>
      <c r="P50" s="817"/>
      <c r="Q50" s="815"/>
      <c r="R50" s="817"/>
      <c r="S50" s="817"/>
      <c r="T50" s="817"/>
      <c r="U50" s="817"/>
      <c r="V50" s="817"/>
      <c r="W50" s="817"/>
      <c r="X50" s="817"/>
      <c r="Y50" s="817"/>
      <c r="Z50" s="817"/>
    </row>
    <row r="51" ht="171.75" customHeight="1">
      <c r="A51" s="809">
        <v>49.0</v>
      </c>
      <c r="B51" s="817"/>
      <c r="C51" s="817"/>
      <c r="D51" s="817"/>
      <c r="E51" s="817"/>
      <c r="F51" s="817"/>
      <c r="G51" s="817"/>
      <c r="H51" s="817"/>
      <c r="I51" s="817"/>
      <c r="J51" s="817"/>
      <c r="K51" s="817"/>
      <c r="L51" s="817"/>
      <c r="M51" s="814" t="str">
        <f t="shared" ref="M51:N51" si="50">K51/J51</f>
        <v>#DIV/0!</v>
      </c>
      <c r="N51" s="814" t="str">
        <f t="shared" si="50"/>
        <v>#DIV/0!</v>
      </c>
      <c r="O51" s="814" t="str">
        <f t="shared" si="3"/>
        <v>#DIV/0!</v>
      </c>
      <c r="P51" s="817"/>
      <c r="Q51" s="815"/>
      <c r="R51" s="817"/>
      <c r="S51" s="817"/>
      <c r="T51" s="817"/>
      <c r="U51" s="817"/>
      <c r="V51" s="817"/>
      <c r="W51" s="817"/>
      <c r="X51" s="817"/>
      <c r="Y51" s="817"/>
      <c r="Z51" s="817"/>
    </row>
    <row r="52" ht="171.75" customHeight="1">
      <c r="A52" s="809">
        <v>50.0</v>
      </c>
      <c r="B52" s="817"/>
      <c r="C52" s="817"/>
      <c r="D52" s="817"/>
      <c r="E52" s="817"/>
      <c r="F52" s="817"/>
      <c r="G52" s="817"/>
      <c r="H52" s="817"/>
      <c r="I52" s="817"/>
      <c r="J52" s="817"/>
      <c r="K52" s="817"/>
      <c r="L52" s="817"/>
      <c r="M52" s="814" t="str">
        <f t="shared" ref="M52:N52" si="51">K52/J52</f>
        <v>#DIV/0!</v>
      </c>
      <c r="N52" s="814" t="str">
        <f t="shared" si="51"/>
        <v>#DIV/0!</v>
      </c>
      <c r="O52" s="814" t="str">
        <f t="shared" si="3"/>
        <v>#DIV/0!</v>
      </c>
      <c r="P52" s="817"/>
      <c r="Q52" s="815"/>
      <c r="R52" s="817"/>
      <c r="S52" s="817"/>
      <c r="T52" s="817"/>
      <c r="U52" s="817"/>
      <c r="V52" s="817"/>
      <c r="W52" s="817"/>
      <c r="X52" s="817"/>
      <c r="Y52" s="817"/>
      <c r="Z52" s="817"/>
    </row>
    <row r="53" ht="171.75" customHeight="1">
      <c r="A53" s="817"/>
      <c r="B53" s="817"/>
      <c r="C53" s="817"/>
      <c r="D53" s="817"/>
      <c r="E53" s="817"/>
      <c r="F53" s="817"/>
      <c r="G53" s="817"/>
      <c r="H53" s="817"/>
      <c r="I53" s="817"/>
      <c r="J53" s="817"/>
      <c r="K53" s="817"/>
      <c r="L53" s="817"/>
      <c r="M53" s="817"/>
      <c r="N53" s="817"/>
      <c r="O53" s="817"/>
      <c r="P53" s="817"/>
      <c r="Q53" s="817"/>
      <c r="R53" s="817"/>
      <c r="S53" s="817"/>
      <c r="T53" s="817"/>
      <c r="U53" s="817"/>
      <c r="V53" s="817"/>
      <c r="W53" s="817"/>
      <c r="X53" s="817"/>
      <c r="Y53" s="817"/>
      <c r="Z53" s="817"/>
    </row>
    <row r="54" ht="171.75" customHeight="1">
      <c r="A54" s="817"/>
      <c r="B54" s="817"/>
      <c r="C54" s="817"/>
      <c r="D54" s="817"/>
      <c r="E54" s="817"/>
      <c r="F54" s="817"/>
      <c r="G54" s="817"/>
      <c r="H54" s="817"/>
      <c r="I54" s="817"/>
      <c r="J54" s="817"/>
      <c r="K54" s="817"/>
      <c r="L54" s="817"/>
      <c r="M54" s="817"/>
      <c r="N54" s="817"/>
      <c r="O54" s="817"/>
      <c r="P54" s="817"/>
      <c r="Q54" s="817"/>
      <c r="R54" s="817"/>
      <c r="S54" s="817"/>
      <c r="T54" s="817"/>
      <c r="U54" s="817"/>
      <c r="V54" s="817"/>
      <c r="W54" s="817"/>
      <c r="X54" s="817"/>
      <c r="Y54" s="817"/>
      <c r="Z54" s="817"/>
    </row>
    <row r="55" ht="171.75" customHeight="1">
      <c r="A55" s="817"/>
      <c r="B55" s="817"/>
      <c r="C55" s="817"/>
      <c r="D55" s="817"/>
      <c r="E55" s="817"/>
      <c r="F55" s="817"/>
      <c r="G55" s="817"/>
      <c r="H55" s="817"/>
      <c r="I55" s="817"/>
      <c r="J55" s="817"/>
      <c r="K55" s="817"/>
      <c r="L55" s="817"/>
      <c r="M55" s="817"/>
      <c r="N55" s="817"/>
      <c r="O55" s="817"/>
      <c r="P55" s="817"/>
      <c r="Q55" s="817"/>
      <c r="R55" s="817"/>
      <c r="S55" s="817"/>
      <c r="T55" s="817"/>
      <c r="U55" s="817"/>
      <c r="V55" s="817"/>
      <c r="W55" s="817"/>
      <c r="X55" s="817"/>
      <c r="Y55" s="817"/>
      <c r="Z55" s="817"/>
    </row>
    <row r="56" ht="171.75" customHeight="1">
      <c r="A56" s="817"/>
      <c r="B56" s="817"/>
      <c r="C56" s="817"/>
      <c r="D56" s="817"/>
      <c r="E56" s="817"/>
      <c r="F56" s="817"/>
      <c r="G56" s="817"/>
      <c r="H56" s="817"/>
      <c r="I56" s="817"/>
      <c r="J56" s="817"/>
      <c r="K56" s="817"/>
      <c r="L56" s="817"/>
      <c r="M56" s="817"/>
      <c r="N56" s="817"/>
      <c r="O56" s="817"/>
      <c r="P56" s="817"/>
      <c r="Q56" s="817"/>
      <c r="R56" s="817"/>
      <c r="S56" s="817"/>
      <c r="T56" s="817"/>
      <c r="U56" s="817"/>
      <c r="V56" s="817"/>
      <c r="W56" s="817"/>
      <c r="X56" s="817"/>
      <c r="Y56" s="817"/>
      <c r="Z56" s="817"/>
    </row>
    <row r="57" ht="171.75" customHeight="1">
      <c r="A57" s="817"/>
      <c r="B57" s="817"/>
      <c r="C57" s="817"/>
      <c r="D57" s="817"/>
      <c r="E57" s="817"/>
      <c r="F57" s="817"/>
      <c r="G57" s="817"/>
      <c r="H57" s="817"/>
      <c r="I57" s="817"/>
      <c r="J57" s="817"/>
      <c r="K57" s="817"/>
      <c r="L57" s="817"/>
      <c r="M57" s="817"/>
      <c r="N57" s="817"/>
      <c r="O57" s="817"/>
      <c r="P57" s="817"/>
      <c r="Q57" s="817"/>
      <c r="R57" s="817"/>
      <c r="S57" s="817"/>
      <c r="T57" s="817"/>
      <c r="U57" s="817"/>
      <c r="V57" s="817"/>
      <c r="W57" s="817"/>
      <c r="X57" s="817"/>
      <c r="Y57" s="817"/>
      <c r="Z57" s="817"/>
    </row>
    <row r="58" ht="171.75" customHeight="1">
      <c r="A58" s="817"/>
      <c r="B58" s="817"/>
      <c r="C58" s="817"/>
      <c r="D58" s="817"/>
      <c r="E58" s="817"/>
      <c r="F58" s="817"/>
      <c r="G58" s="817"/>
      <c r="H58" s="817"/>
      <c r="I58" s="817"/>
      <c r="J58" s="817"/>
      <c r="K58" s="817"/>
      <c r="L58" s="817"/>
      <c r="M58" s="817"/>
      <c r="N58" s="817"/>
      <c r="O58" s="817"/>
      <c r="P58" s="817"/>
      <c r="Q58" s="817"/>
      <c r="R58" s="817"/>
      <c r="S58" s="817"/>
      <c r="T58" s="817"/>
      <c r="U58" s="817"/>
      <c r="V58" s="817"/>
      <c r="W58" s="817"/>
      <c r="X58" s="817"/>
      <c r="Y58" s="817"/>
      <c r="Z58" s="817"/>
    </row>
    <row r="59" ht="171.75" customHeight="1">
      <c r="A59" s="817"/>
      <c r="B59" s="817"/>
      <c r="C59" s="817"/>
      <c r="D59" s="817"/>
      <c r="E59" s="817"/>
      <c r="F59" s="817"/>
      <c r="G59" s="817"/>
      <c r="H59" s="817"/>
      <c r="I59" s="817"/>
      <c r="J59" s="817"/>
      <c r="K59" s="817"/>
      <c r="L59" s="817"/>
      <c r="M59" s="817"/>
      <c r="N59" s="817"/>
      <c r="O59" s="817"/>
      <c r="P59" s="817"/>
      <c r="Q59" s="817"/>
      <c r="R59" s="817"/>
      <c r="S59" s="817"/>
      <c r="T59" s="817"/>
      <c r="U59" s="817"/>
      <c r="V59" s="817"/>
      <c r="W59" s="817"/>
      <c r="X59" s="817"/>
      <c r="Y59" s="817"/>
      <c r="Z59" s="817"/>
    </row>
    <row r="60" ht="171.75" customHeight="1">
      <c r="A60" s="817"/>
      <c r="B60" s="817"/>
      <c r="C60" s="817"/>
      <c r="D60" s="817"/>
      <c r="E60" s="817"/>
      <c r="F60" s="817"/>
      <c r="G60" s="817"/>
      <c r="H60" s="817"/>
      <c r="I60" s="817"/>
      <c r="J60" s="817"/>
      <c r="K60" s="817"/>
      <c r="L60" s="817"/>
      <c r="M60" s="817"/>
      <c r="N60" s="817"/>
      <c r="O60" s="817"/>
      <c r="P60" s="817"/>
      <c r="Q60" s="817"/>
      <c r="R60" s="817"/>
      <c r="S60" s="817"/>
      <c r="T60" s="817"/>
      <c r="U60" s="817"/>
      <c r="V60" s="817"/>
      <c r="W60" s="817"/>
      <c r="X60" s="817"/>
      <c r="Y60" s="817"/>
      <c r="Z60" s="817"/>
    </row>
    <row r="61" ht="171.75" customHeight="1">
      <c r="A61" s="817"/>
      <c r="B61" s="817"/>
      <c r="C61" s="817"/>
      <c r="D61" s="817"/>
      <c r="E61" s="817"/>
      <c r="F61" s="817"/>
      <c r="G61" s="817"/>
      <c r="H61" s="817"/>
      <c r="I61" s="817"/>
      <c r="J61" s="817"/>
      <c r="K61" s="817"/>
      <c r="L61" s="817"/>
      <c r="M61" s="817"/>
      <c r="N61" s="817"/>
      <c r="O61" s="817"/>
      <c r="P61" s="817"/>
      <c r="Q61" s="817"/>
      <c r="R61" s="817"/>
      <c r="S61" s="817"/>
      <c r="T61" s="817"/>
      <c r="U61" s="817"/>
      <c r="V61" s="817"/>
      <c r="W61" s="817"/>
      <c r="X61" s="817"/>
      <c r="Y61" s="817"/>
      <c r="Z61" s="817"/>
    </row>
    <row r="62" ht="171.75" customHeight="1">
      <c r="A62" s="807"/>
      <c r="B62" s="807"/>
      <c r="C62" s="807"/>
      <c r="D62" s="807"/>
      <c r="E62" s="807"/>
      <c r="F62" s="807"/>
      <c r="G62" s="807"/>
      <c r="H62" s="807"/>
      <c r="I62" s="807"/>
      <c r="J62" s="807"/>
      <c r="K62" s="807"/>
      <c r="L62" s="807"/>
      <c r="M62" s="807"/>
      <c r="N62" s="807"/>
      <c r="O62" s="807"/>
      <c r="P62" s="807"/>
      <c r="Q62" s="807"/>
      <c r="R62" s="807"/>
      <c r="S62" s="807"/>
      <c r="T62" s="807"/>
      <c r="U62" s="807"/>
      <c r="V62" s="807"/>
      <c r="W62" s="807"/>
      <c r="X62" s="807"/>
      <c r="Y62" s="807"/>
      <c r="Z62" s="807"/>
    </row>
    <row r="63" ht="171.75" customHeight="1">
      <c r="A63" s="807"/>
      <c r="B63" s="807"/>
      <c r="C63" s="807"/>
      <c r="D63" s="807"/>
      <c r="E63" s="807"/>
      <c r="F63" s="807"/>
      <c r="G63" s="807"/>
      <c r="H63" s="807"/>
      <c r="I63" s="807"/>
      <c r="J63" s="807"/>
      <c r="K63" s="807"/>
      <c r="L63" s="807"/>
      <c r="M63" s="807"/>
      <c r="N63" s="807"/>
      <c r="O63" s="807"/>
      <c r="P63" s="807"/>
      <c r="Q63" s="807"/>
      <c r="R63" s="807"/>
      <c r="S63" s="807"/>
      <c r="T63" s="807"/>
      <c r="U63" s="807"/>
      <c r="V63" s="807"/>
      <c r="W63" s="807"/>
      <c r="X63" s="807"/>
      <c r="Y63" s="807"/>
      <c r="Z63" s="807"/>
    </row>
    <row r="64" ht="171.75" customHeight="1">
      <c r="A64" s="807"/>
      <c r="B64" s="807"/>
      <c r="C64" s="807"/>
      <c r="D64" s="807"/>
      <c r="E64" s="807"/>
      <c r="F64" s="807"/>
      <c r="G64" s="807"/>
      <c r="H64" s="807"/>
      <c r="I64" s="807"/>
      <c r="J64" s="807"/>
      <c r="K64" s="807"/>
      <c r="L64" s="807"/>
      <c r="M64" s="807"/>
      <c r="N64" s="807"/>
      <c r="O64" s="807"/>
      <c r="P64" s="807"/>
      <c r="Q64" s="807"/>
      <c r="R64" s="807"/>
      <c r="S64" s="807"/>
      <c r="T64" s="807"/>
      <c r="U64" s="807"/>
      <c r="V64" s="807"/>
      <c r="W64" s="807"/>
      <c r="X64" s="807"/>
      <c r="Y64" s="807"/>
      <c r="Z64" s="807"/>
    </row>
    <row r="65" ht="171.75" customHeight="1">
      <c r="A65" s="807"/>
      <c r="B65" s="807"/>
      <c r="C65" s="807"/>
      <c r="D65" s="807"/>
      <c r="E65" s="807"/>
      <c r="F65" s="807"/>
      <c r="G65" s="807"/>
      <c r="H65" s="807"/>
      <c r="I65" s="807"/>
      <c r="J65" s="807"/>
      <c r="K65" s="807"/>
      <c r="L65" s="807"/>
      <c r="M65" s="807"/>
      <c r="N65" s="807"/>
      <c r="O65" s="807"/>
      <c r="P65" s="807"/>
      <c r="Q65" s="807"/>
      <c r="R65" s="807"/>
      <c r="S65" s="807"/>
      <c r="T65" s="807"/>
      <c r="U65" s="807"/>
      <c r="V65" s="807"/>
      <c r="W65" s="807"/>
      <c r="X65" s="807"/>
      <c r="Y65" s="807"/>
      <c r="Z65" s="807"/>
    </row>
    <row r="66" ht="171.75" customHeight="1">
      <c r="A66" s="807"/>
      <c r="B66" s="807"/>
      <c r="C66" s="807"/>
      <c r="D66" s="807"/>
      <c r="E66" s="807"/>
      <c r="F66" s="807"/>
      <c r="G66" s="807"/>
      <c r="H66" s="807"/>
      <c r="I66" s="807"/>
      <c r="J66" s="807"/>
      <c r="K66" s="807"/>
      <c r="L66" s="807"/>
      <c r="M66" s="807"/>
      <c r="N66" s="807"/>
      <c r="O66" s="807"/>
      <c r="P66" s="807"/>
      <c r="Q66" s="807"/>
      <c r="R66" s="807"/>
      <c r="S66" s="807"/>
      <c r="T66" s="807"/>
      <c r="U66" s="807"/>
      <c r="V66" s="807"/>
      <c r="W66" s="807"/>
      <c r="X66" s="807"/>
      <c r="Y66" s="807"/>
      <c r="Z66" s="807"/>
    </row>
    <row r="67" ht="171.75" customHeight="1">
      <c r="A67" s="807"/>
      <c r="B67" s="807"/>
      <c r="C67" s="807"/>
      <c r="D67" s="807"/>
      <c r="E67" s="807"/>
      <c r="F67" s="807"/>
      <c r="G67" s="807"/>
      <c r="H67" s="807"/>
      <c r="I67" s="807"/>
      <c r="J67" s="807"/>
      <c r="K67" s="807"/>
      <c r="L67" s="807"/>
      <c r="M67" s="807"/>
      <c r="N67" s="807"/>
      <c r="O67" s="807"/>
      <c r="P67" s="807"/>
      <c r="Q67" s="807"/>
      <c r="R67" s="807"/>
      <c r="S67" s="807"/>
      <c r="T67" s="807"/>
      <c r="U67" s="807"/>
      <c r="V67" s="807"/>
      <c r="W67" s="807"/>
      <c r="X67" s="807"/>
      <c r="Y67" s="807"/>
      <c r="Z67" s="807"/>
    </row>
    <row r="68" ht="171.75" customHeight="1">
      <c r="A68" s="807"/>
      <c r="B68" s="807"/>
      <c r="C68" s="807"/>
      <c r="D68" s="807"/>
      <c r="E68" s="807"/>
      <c r="F68" s="807"/>
      <c r="G68" s="807"/>
      <c r="H68" s="807"/>
      <c r="I68" s="807"/>
      <c r="J68" s="807"/>
      <c r="K68" s="807"/>
      <c r="L68" s="807"/>
      <c r="M68" s="807"/>
      <c r="N68" s="807"/>
      <c r="O68" s="807"/>
      <c r="P68" s="807"/>
      <c r="Q68" s="807"/>
      <c r="R68" s="807"/>
      <c r="S68" s="807"/>
      <c r="T68" s="807"/>
      <c r="U68" s="807"/>
      <c r="V68" s="807"/>
      <c r="W68" s="807"/>
      <c r="X68" s="807"/>
      <c r="Y68" s="807"/>
      <c r="Z68" s="807"/>
    </row>
    <row r="69" ht="171.75" customHeight="1">
      <c r="A69" s="807"/>
      <c r="B69" s="807"/>
      <c r="C69" s="807"/>
      <c r="D69" s="807"/>
      <c r="E69" s="807"/>
      <c r="F69" s="807"/>
      <c r="G69" s="807"/>
      <c r="H69" s="807"/>
      <c r="I69" s="807"/>
      <c r="J69" s="807"/>
      <c r="K69" s="807"/>
      <c r="L69" s="807"/>
      <c r="M69" s="807"/>
      <c r="N69" s="807"/>
      <c r="O69" s="807"/>
      <c r="P69" s="807"/>
      <c r="Q69" s="807"/>
      <c r="R69" s="807"/>
      <c r="S69" s="807"/>
      <c r="T69" s="807"/>
      <c r="U69" s="807"/>
      <c r="V69" s="807"/>
      <c r="W69" s="807"/>
      <c r="X69" s="807"/>
      <c r="Y69" s="807"/>
      <c r="Z69" s="807"/>
    </row>
    <row r="70" ht="171.75" customHeight="1">
      <c r="A70" s="807"/>
      <c r="B70" s="807"/>
      <c r="C70" s="807"/>
      <c r="D70" s="807"/>
      <c r="E70" s="807"/>
      <c r="F70" s="807"/>
      <c r="G70" s="807"/>
      <c r="H70" s="807"/>
      <c r="I70" s="807"/>
      <c r="J70" s="807"/>
      <c r="K70" s="807"/>
      <c r="L70" s="807"/>
      <c r="M70" s="807"/>
      <c r="N70" s="807"/>
      <c r="O70" s="807"/>
      <c r="P70" s="807"/>
      <c r="Q70" s="807"/>
      <c r="R70" s="807"/>
      <c r="S70" s="807"/>
      <c r="T70" s="807"/>
      <c r="U70" s="807"/>
      <c r="V70" s="807"/>
      <c r="W70" s="807"/>
      <c r="X70" s="807"/>
      <c r="Y70" s="807"/>
      <c r="Z70" s="807"/>
    </row>
    <row r="71" ht="171.75" customHeight="1">
      <c r="A71" s="807"/>
      <c r="B71" s="807"/>
      <c r="C71" s="807"/>
      <c r="D71" s="807"/>
      <c r="E71" s="807"/>
      <c r="F71" s="807"/>
      <c r="G71" s="807"/>
      <c r="H71" s="807"/>
      <c r="I71" s="807"/>
      <c r="J71" s="807"/>
      <c r="K71" s="807"/>
      <c r="L71" s="807"/>
      <c r="M71" s="807"/>
      <c r="N71" s="807"/>
      <c r="O71" s="807"/>
      <c r="P71" s="807"/>
      <c r="Q71" s="807"/>
      <c r="R71" s="807"/>
      <c r="S71" s="807"/>
      <c r="T71" s="807"/>
      <c r="U71" s="807"/>
      <c r="V71" s="807"/>
      <c r="W71" s="807"/>
      <c r="X71" s="807"/>
      <c r="Y71" s="807"/>
      <c r="Z71" s="807"/>
    </row>
    <row r="72" ht="171.75" customHeight="1">
      <c r="A72" s="807"/>
      <c r="B72" s="807"/>
      <c r="C72" s="807"/>
      <c r="D72" s="807"/>
      <c r="E72" s="807"/>
      <c r="F72" s="807"/>
      <c r="G72" s="807"/>
      <c r="H72" s="807"/>
      <c r="I72" s="807"/>
      <c r="J72" s="807"/>
      <c r="K72" s="807"/>
      <c r="L72" s="807"/>
      <c r="M72" s="807"/>
      <c r="N72" s="807"/>
      <c r="O72" s="807"/>
      <c r="P72" s="807"/>
      <c r="Q72" s="807"/>
      <c r="R72" s="807"/>
      <c r="S72" s="807"/>
      <c r="T72" s="807"/>
      <c r="U72" s="807"/>
      <c r="V72" s="807"/>
      <c r="W72" s="807"/>
      <c r="X72" s="807"/>
      <c r="Y72" s="807"/>
      <c r="Z72" s="807"/>
    </row>
    <row r="73" ht="171.75" customHeight="1">
      <c r="A73" s="807"/>
      <c r="B73" s="807"/>
      <c r="C73" s="807"/>
      <c r="D73" s="807"/>
      <c r="E73" s="807"/>
      <c r="F73" s="807"/>
      <c r="G73" s="807"/>
      <c r="H73" s="807"/>
      <c r="I73" s="807"/>
      <c r="J73" s="807"/>
      <c r="K73" s="807"/>
      <c r="L73" s="807"/>
      <c r="M73" s="807"/>
      <c r="N73" s="807"/>
      <c r="O73" s="807"/>
      <c r="P73" s="807"/>
      <c r="Q73" s="807"/>
      <c r="R73" s="807"/>
      <c r="S73" s="807"/>
      <c r="T73" s="807"/>
      <c r="U73" s="807"/>
      <c r="V73" s="807"/>
      <c r="W73" s="807"/>
      <c r="X73" s="807"/>
      <c r="Y73" s="807"/>
      <c r="Z73" s="807"/>
    </row>
    <row r="74" ht="171.75" customHeight="1">
      <c r="A74" s="807"/>
      <c r="B74" s="807"/>
      <c r="C74" s="807"/>
      <c r="D74" s="807"/>
      <c r="E74" s="807"/>
      <c r="F74" s="807"/>
      <c r="G74" s="807"/>
      <c r="H74" s="807"/>
      <c r="I74" s="807"/>
      <c r="J74" s="807"/>
      <c r="K74" s="807"/>
      <c r="L74" s="807"/>
      <c r="M74" s="807"/>
      <c r="N74" s="807"/>
      <c r="O74" s="807"/>
      <c r="P74" s="807"/>
      <c r="Q74" s="807"/>
      <c r="R74" s="807"/>
      <c r="S74" s="807"/>
      <c r="T74" s="807"/>
      <c r="U74" s="807"/>
      <c r="V74" s="807"/>
      <c r="W74" s="807"/>
      <c r="X74" s="807"/>
      <c r="Y74" s="807"/>
      <c r="Z74" s="807"/>
    </row>
    <row r="75" ht="171.75" customHeight="1">
      <c r="A75" s="807"/>
      <c r="B75" s="807"/>
      <c r="C75" s="807"/>
      <c r="D75" s="807"/>
      <c r="E75" s="807"/>
      <c r="F75" s="807"/>
      <c r="G75" s="807"/>
      <c r="H75" s="807"/>
      <c r="I75" s="807"/>
      <c r="J75" s="807"/>
      <c r="K75" s="807"/>
      <c r="L75" s="807"/>
      <c r="M75" s="807"/>
      <c r="N75" s="807"/>
      <c r="O75" s="807"/>
      <c r="P75" s="807"/>
      <c r="Q75" s="807"/>
      <c r="R75" s="807"/>
      <c r="S75" s="807"/>
      <c r="T75" s="807"/>
      <c r="U75" s="807"/>
      <c r="V75" s="807"/>
      <c r="W75" s="807"/>
      <c r="X75" s="807"/>
      <c r="Y75" s="807"/>
      <c r="Z75" s="807"/>
    </row>
    <row r="76" ht="171.75" customHeight="1">
      <c r="A76" s="807"/>
      <c r="B76" s="807"/>
      <c r="C76" s="807"/>
      <c r="D76" s="807"/>
      <c r="E76" s="807"/>
      <c r="F76" s="807"/>
      <c r="G76" s="807"/>
      <c r="H76" s="807"/>
      <c r="I76" s="807"/>
      <c r="J76" s="807"/>
      <c r="K76" s="807"/>
      <c r="L76" s="807"/>
      <c r="M76" s="807"/>
      <c r="N76" s="807"/>
      <c r="O76" s="807"/>
      <c r="P76" s="807"/>
      <c r="Q76" s="807"/>
      <c r="R76" s="807"/>
      <c r="S76" s="807"/>
      <c r="T76" s="807"/>
      <c r="U76" s="807"/>
      <c r="V76" s="807"/>
      <c r="W76" s="807"/>
      <c r="X76" s="807"/>
      <c r="Y76" s="807"/>
      <c r="Z76" s="807"/>
    </row>
    <row r="77" ht="171.75" customHeight="1">
      <c r="A77" s="807"/>
      <c r="B77" s="807"/>
      <c r="C77" s="807"/>
      <c r="D77" s="807"/>
      <c r="E77" s="807"/>
      <c r="F77" s="807"/>
      <c r="G77" s="807"/>
      <c r="H77" s="807"/>
      <c r="I77" s="807"/>
      <c r="J77" s="807"/>
      <c r="K77" s="807"/>
      <c r="L77" s="807"/>
      <c r="M77" s="807"/>
      <c r="N77" s="807"/>
      <c r="O77" s="807"/>
      <c r="P77" s="807"/>
      <c r="Q77" s="807"/>
      <c r="R77" s="807"/>
      <c r="S77" s="807"/>
      <c r="T77" s="807"/>
      <c r="U77" s="807"/>
      <c r="V77" s="807"/>
      <c r="W77" s="807"/>
      <c r="X77" s="807"/>
      <c r="Y77" s="807"/>
      <c r="Z77" s="807"/>
    </row>
    <row r="78" ht="171.75" customHeight="1">
      <c r="A78" s="807"/>
      <c r="B78" s="807"/>
      <c r="C78" s="807"/>
      <c r="D78" s="807"/>
      <c r="E78" s="807"/>
      <c r="F78" s="807"/>
      <c r="G78" s="807"/>
      <c r="H78" s="807"/>
      <c r="I78" s="807"/>
      <c r="J78" s="807"/>
      <c r="K78" s="807"/>
      <c r="L78" s="807"/>
      <c r="M78" s="807"/>
      <c r="N78" s="807"/>
      <c r="O78" s="807"/>
      <c r="P78" s="807"/>
      <c r="Q78" s="807"/>
      <c r="R78" s="807"/>
      <c r="S78" s="807"/>
      <c r="T78" s="807"/>
      <c r="U78" s="807"/>
      <c r="V78" s="807"/>
      <c r="W78" s="807"/>
      <c r="X78" s="807"/>
      <c r="Y78" s="807"/>
      <c r="Z78" s="807"/>
    </row>
    <row r="79" ht="171.75" customHeight="1">
      <c r="A79" s="807"/>
      <c r="B79" s="807"/>
      <c r="C79" s="807"/>
      <c r="D79" s="807"/>
      <c r="E79" s="807"/>
      <c r="F79" s="807"/>
      <c r="G79" s="807"/>
      <c r="H79" s="807"/>
      <c r="I79" s="807"/>
      <c r="J79" s="807"/>
      <c r="K79" s="807"/>
      <c r="L79" s="807"/>
      <c r="M79" s="807"/>
      <c r="N79" s="807"/>
      <c r="O79" s="807"/>
      <c r="P79" s="807"/>
      <c r="Q79" s="807"/>
      <c r="R79" s="807"/>
      <c r="S79" s="807"/>
      <c r="T79" s="807"/>
      <c r="U79" s="807"/>
      <c r="V79" s="807"/>
      <c r="W79" s="807"/>
      <c r="X79" s="807"/>
      <c r="Y79" s="807"/>
      <c r="Z79" s="807"/>
    </row>
    <row r="80" ht="171.75" customHeight="1">
      <c r="A80" s="807"/>
      <c r="B80" s="807"/>
      <c r="C80" s="807"/>
      <c r="D80" s="807"/>
      <c r="E80" s="807"/>
      <c r="F80" s="807"/>
      <c r="G80" s="807"/>
      <c r="H80" s="807"/>
      <c r="I80" s="807"/>
      <c r="J80" s="807"/>
      <c r="K80" s="807"/>
      <c r="L80" s="807"/>
      <c r="M80" s="807"/>
      <c r="N80" s="807"/>
      <c r="O80" s="807"/>
      <c r="P80" s="807"/>
      <c r="Q80" s="807"/>
      <c r="R80" s="807"/>
      <c r="S80" s="807"/>
      <c r="T80" s="807"/>
      <c r="U80" s="807"/>
      <c r="V80" s="807"/>
      <c r="W80" s="807"/>
      <c r="X80" s="807"/>
      <c r="Y80" s="807"/>
      <c r="Z80" s="807"/>
    </row>
    <row r="81" ht="171.75" customHeight="1">
      <c r="A81" s="807"/>
      <c r="B81" s="807"/>
      <c r="C81" s="807"/>
      <c r="D81" s="807"/>
      <c r="E81" s="807"/>
      <c r="F81" s="807"/>
      <c r="G81" s="807"/>
      <c r="H81" s="807"/>
      <c r="I81" s="807"/>
      <c r="J81" s="807"/>
      <c r="K81" s="807"/>
      <c r="L81" s="807"/>
      <c r="M81" s="807"/>
      <c r="N81" s="807"/>
      <c r="O81" s="807"/>
      <c r="P81" s="807"/>
      <c r="Q81" s="807"/>
      <c r="R81" s="807"/>
      <c r="S81" s="807"/>
      <c r="T81" s="807"/>
      <c r="U81" s="807"/>
      <c r="V81" s="807"/>
      <c r="W81" s="807"/>
      <c r="X81" s="807"/>
      <c r="Y81" s="807"/>
      <c r="Z81" s="807"/>
    </row>
    <row r="82" ht="171.75" customHeight="1">
      <c r="A82" s="807"/>
      <c r="B82" s="807"/>
      <c r="C82" s="807"/>
      <c r="D82" s="807"/>
      <c r="E82" s="807"/>
      <c r="F82" s="807"/>
      <c r="G82" s="807"/>
      <c r="H82" s="807"/>
      <c r="I82" s="807"/>
      <c r="J82" s="807"/>
      <c r="K82" s="807"/>
      <c r="L82" s="807"/>
      <c r="M82" s="807"/>
      <c r="N82" s="807"/>
      <c r="O82" s="807"/>
      <c r="P82" s="807"/>
      <c r="Q82" s="807"/>
      <c r="R82" s="807"/>
      <c r="S82" s="807"/>
      <c r="T82" s="807"/>
      <c r="U82" s="807"/>
      <c r="V82" s="807"/>
      <c r="W82" s="807"/>
      <c r="X82" s="807"/>
      <c r="Y82" s="807"/>
      <c r="Z82" s="807"/>
    </row>
    <row r="83" ht="171.75" customHeight="1">
      <c r="A83" s="807"/>
      <c r="B83" s="807"/>
      <c r="C83" s="807"/>
      <c r="D83" s="807"/>
      <c r="E83" s="807"/>
      <c r="F83" s="807"/>
      <c r="G83" s="807"/>
      <c r="H83" s="807"/>
      <c r="I83" s="807"/>
      <c r="J83" s="807"/>
      <c r="K83" s="807"/>
      <c r="L83" s="807"/>
      <c r="M83" s="807"/>
      <c r="N83" s="807"/>
      <c r="O83" s="807"/>
      <c r="P83" s="807"/>
      <c r="Q83" s="807"/>
      <c r="R83" s="807"/>
      <c r="S83" s="807"/>
      <c r="T83" s="807"/>
      <c r="U83" s="807"/>
      <c r="V83" s="807"/>
      <c r="W83" s="807"/>
      <c r="X83" s="807"/>
      <c r="Y83" s="807"/>
      <c r="Z83" s="807"/>
    </row>
    <row r="84" ht="171.75" customHeight="1">
      <c r="A84" s="807"/>
      <c r="B84" s="807"/>
      <c r="C84" s="807"/>
      <c r="D84" s="807"/>
      <c r="E84" s="807"/>
      <c r="F84" s="807"/>
      <c r="G84" s="807"/>
      <c r="H84" s="807"/>
      <c r="I84" s="807"/>
      <c r="J84" s="807"/>
      <c r="K84" s="807"/>
      <c r="L84" s="807"/>
      <c r="M84" s="807"/>
      <c r="N84" s="807"/>
      <c r="O84" s="807"/>
      <c r="P84" s="807"/>
      <c r="Q84" s="807"/>
      <c r="R84" s="807"/>
      <c r="S84" s="807"/>
      <c r="T84" s="807"/>
      <c r="U84" s="807"/>
      <c r="V84" s="807"/>
      <c r="W84" s="807"/>
      <c r="X84" s="807"/>
      <c r="Y84" s="807"/>
      <c r="Z84" s="807"/>
    </row>
    <row r="85" ht="171.75" customHeight="1">
      <c r="A85" s="807"/>
      <c r="B85" s="807"/>
      <c r="C85" s="807"/>
      <c r="D85" s="807"/>
      <c r="E85" s="807"/>
      <c r="F85" s="807"/>
      <c r="G85" s="807"/>
      <c r="H85" s="807"/>
      <c r="I85" s="807"/>
      <c r="J85" s="807"/>
      <c r="K85" s="807"/>
      <c r="L85" s="807"/>
      <c r="M85" s="807"/>
      <c r="N85" s="807"/>
      <c r="O85" s="807"/>
      <c r="P85" s="807"/>
      <c r="Q85" s="807"/>
      <c r="R85" s="807"/>
      <c r="S85" s="807"/>
      <c r="T85" s="807"/>
      <c r="U85" s="807"/>
      <c r="V85" s="807"/>
      <c r="W85" s="807"/>
      <c r="X85" s="807"/>
      <c r="Y85" s="807"/>
      <c r="Z85" s="807"/>
    </row>
    <row r="86" ht="171.75" customHeight="1">
      <c r="A86" s="807"/>
      <c r="B86" s="807"/>
      <c r="C86" s="807"/>
      <c r="D86" s="807"/>
      <c r="E86" s="807"/>
      <c r="F86" s="807"/>
      <c r="G86" s="807"/>
      <c r="H86" s="807"/>
      <c r="I86" s="807"/>
      <c r="J86" s="807"/>
      <c r="K86" s="807"/>
      <c r="L86" s="807"/>
      <c r="M86" s="807"/>
      <c r="N86" s="807"/>
      <c r="O86" s="807"/>
      <c r="P86" s="807"/>
      <c r="Q86" s="807"/>
      <c r="R86" s="807"/>
      <c r="S86" s="807"/>
      <c r="T86" s="807"/>
      <c r="U86" s="807"/>
      <c r="V86" s="807"/>
      <c r="W86" s="807"/>
      <c r="X86" s="807"/>
      <c r="Y86" s="807"/>
      <c r="Z86" s="807"/>
    </row>
    <row r="87" ht="171.75" customHeight="1">
      <c r="A87" s="807"/>
      <c r="B87" s="807"/>
      <c r="C87" s="807"/>
      <c r="D87" s="807"/>
      <c r="E87" s="807"/>
      <c r="F87" s="807"/>
      <c r="G87" s="807"/>
      <c r="H87" s="807"/>
      <c r="I87" s="807"/>
      <c r="J87" s="807"/>
      <c r="K87" s="807"/>
      <c r="L87" s="807"/>
      <c r="M87" s="807"/>
      <c r="N87" s="807"/>
      <c r="O87" s="807"/>
      <c r="P87" s="807"/>
      <c r="Q87" s="807"/>
      <c r="R87" s="807"/>
      <c r="S87" s="807"/>
      <c r="T87" s="807"/>
      <c r="U87" s="807"/>
      <c r="V87" s="807"/>
      <c r="W87" s="807"/>
      <c r="X87" s="807"/>
      <c r="Y87" s="807"/>
      <c r="Z87" s="807"/>
    </row>
    <row r="88" ht="171.75" customHeight="1">
      <c r="A88" s="807"/>
      <c r="B88" s="807"/>
      <c r="C88" s="807"/>
      <c r="D88" s="807"/>
      <c r="E88" s="807"/>
      <c r="F88" s="807"/>
      <c r="G88" s="807"/>
      <c r="H88" s="807"/>
      <c r="I88" s="807"/>
      <c r="J88" s="807"/>
      <c r="K88" s="807"/>
      <c r="L88" s="807"/>
      <c r="M88" s="807"/>
      <c r="N88" s="807"/>
      <c r="O88" s="807"/>
      <c r="P88" s="807"/>
      <c r="Q88" s="807"/>
      <c r="R88" s="807"/>
      <c r="S88" s="807"/>
      <c r="T88" s="807"/>
      <c r="U88" s="807"/>
      <c r="V88" s="807"/>
      <c r="W88" s="807"/>
      <c r="X88" s="807"/>
      <c r="Y88" s="807"/>
      <c r="Z88" s="807"/>
    </row>
    <row r="89" ht="171.75" customHeight="1">
      <c r="A89" s="807"/>
      <c r="B89" s="807"/>
      <c r="C89" s="807"/>
      <c r="D89" s="807"/>
      <c r="E89" s="807"/>
      <c r="F89" s="807"/>
      <c r="G89" s="807"/>
      <c r="H89" s="807"/>
      <c r="I89" s="807"/>
      <c r="J89" s="807"/>
      <c r="K89" s="807"/>
      <c r="L89" s="807"/>
      <c r="M89" s="807"/>
      <c r="N89" s="807"/>
      <c r="O89" s="807"/>
      <c r="P89" s="807"/>
      <c r="Q89" s="807"/>
      <c r="R89" s="807"/>
      <c r="S89" s="807"/>
      <c r="T89" s="807"/>
      <c r="U89" s="807"/>
      <c r="V89" s="807"/>
      <c r="W89" s="807"/>
      <c r="X89" s="807"/>
      <c r="Y89" s="807"/>
      <c r="Z89" s="807"/>
    </row>
    <row r="90" ht="171.75" customHeight="1">
      <c r="A90" s="807"/>
      <c r="B90" s="807"/>
      <c r="C90" s="807"/>
      <c r="D90" s="807"/>
      <c r="E90" s="807"/>
      <c r="F90" s="807"/>
      <c r="G90" s="807"/>
      <c r="H90" s="807"/>
      <c r="I90" s="807"/>
      <c r="J90" s="807"/>
      <c r="K90" s="807"/>
      <c r="L90" s="807"/>
      <c r="M90" s="807"/>
      <c r="N90" s="807"/>
      <c r="O90" s="807"/>
      <c r="P90" s="807"/>
      <c r="Q90" s="807"/>
      <c r="R90" s="807"/>
      <c r="S90" s="807"/>
      <c r="T90" s="807"/>
      <c r="U90" s="807"/>
      <c r="V90" s="807"/>
      <c r="W90" s="807"/>
      <c r="X90" s="807"/>
      <c r="Y90" s="807"/>
      <c r="Z90" s="807"/>
    </row>
    <row r="91" ht="171.75" customHeight="1">
      <c r="A91" s="807"/>
      <c r="B91" s="807"/>
      <c r="C91" s="807"/>
      <c r="D91" s="807"/>
      <c r="E91" s="807"/>
      <c r="F91" s="807"/>
      <c r="G91" s="807"/>
      <c r="H91" s="807"/>
      <c r="I91" s="807"/>
      <c r="J91" s="807"/>
      <c r="K91" s="807"/>
      <c r="L91" s="807"/>
      <c r="M91" s="807"/>
      <c r="N91" s="807"/>
      <c r="O91" s="807"/>
      <c r="P91" s="807"/>
      <c r="Q91" s="807"/>
      <c r="R91" s="807"/>
      <c r="S91" s="807"/>
      <c r="T91" s="807"/>
      <c r="U91" s="807"/>
      <c r="V91" s="807"/>
      <c r="W91" s="807"/>
      <c r="X91" s="807"/>
      <c r="Y91" s="807"/>
      <c r="Z91" s="807"/>
    </row>
    <row r="92" ht="171.75" customHeight="1">
      <c r="A92" s="807"/>
      <c r="B92" s="807"/>
      <c r="C92" s="807"/>
      <c r="D92" s="807"/>
      <c r="E92" s="807"/>
      <c r="F92" s="807"/>
      <c r="G92" s="807"/>
      <c r="H92" s="807"/>
      <c r="I92" s="807"/>
      <c r="J92" s="807"/>
      <c r="K92" s="807"/>
      <c r="L92" s="807"/>
      <c r="M92" s="807"/>
      <c r="N92" s="807"/>
      <c r="O92" s="807"/>
      <c r="P92" s="807"/>
      <c r="Q92" s="807"/>
      <c r="R92" s="807"/>
      <c r="S92" s="807"/>
      <c r="T92" s="807"/>
      <c r="U92" s="807"/>
      <c r="V92" s="807"/>
      <c r="W92" s="807"/>
      <c r="X92" s="807"/>
      <c r="Y92" s="807"/>
      <c r="Z92" s="807"/>
    </row>
    <row r="93" ht="171.75" customHeight="1">
      <c r="A93" s="807"/>
      <c r="B93" s="807"/>
      <c r="C93" s="807"/>
      <c r="D93" s="807"/>
      <c r="E93" s="807"/>
      <c r="F93" s="807"/>
      <c r="G93" s="807"/>
      <c r="H93" s="807"/>
      <c r="I93" s="807"/>
      <c r="J93" s="807"/>
      <c r="K93" s="807"/>
      <c r="L93" s="807"/>
      <c r="M93" s="807"/>
      <c r="N93" s="807"/>
      <c r="O93" s="807"/>
      <c r="P93" s="807"/>
      <c r="Q93" s="807"/>
      <c r="R93" s="807"/>
      <c r="S93" s="807"/>
      <c r="T93" s="807"/>
      <c r="U93" s="807"/>
      <c r="V93" s="807"/>
      <c r="W93" s="807"/>
      <c r="X93" s="807"/>
      <c r="Y93" s="807"/>
      <c r="Z93" s="807"/>
    </row>
    <row r="94" ht="171.75" customHeight="1">
      <c r="A94" s="807"/>
      <c r="B94" s="807"/>
      <c r="C94" s="807"/>
      <c r="D94" s="807"/>
      <c r="E94" s="807"/>
      <c r="F94" s="807"/>
      <c r="G94" s="807"/>
      <c r="H94" s="807"/>
      <c r="I94" s="807"/>
      <c r="J94" s="807"/>
      <c r="K94" s="807"/>
      <c r="L94" s="807"/>
      <c r="M94" s="807"/>
      <c r="N94" s="807"/>
      <c r="O94" s="807"/>
      <c r="P94" s="807"/>
      <c r="Q94" s="807"/>
      <c r="R94" s="807"/>
      <c r="S94" s="807"/>
      <c r="T94" s="807"/>
      <c r="U94" s="807"/>
      <c r="V94" s="807"/>
      <c r="W94" s="807"/>
      <c r="X94" s="807"/>
      <c r="Y94" s="807"/>
      <c r="Z94" s="807"/>
    </row>
    <row r="95" ht="171.75" customHeight="1">
      <c r="A95" s="807"/>
      <c r="B95" s="807"/>
      <c r="C95" s="807"/>
      <c r="D95" s="807"/>
      <c r="E95" s="807"/>
      <c r="F95" s="807"/>
      <c r="G95" s="807"/>
      <c r="H95" s="807"/>
      <c r="I95" s="807"/>
      <c r="J95" s="807"/>
      <c r="K95" s="807"/>
      <c r="L95" s="807"/>
      <c r="M95" s="807"/>
      <c r="N95" s="807"/>
      <c r="O95" s="807"/>
      <c r="P95" s="807"/>
      <c r="Q95" s="807"/>
      <c r="R95" s="807"/>
      <c r="S95" s="807"/>
      <c r="T95" s="807"/>
      <c r="U95" s="807"/>
      <c r="V95" s="807"/>
      <c r="W95" s="807"/>
      <c r="X95" s="807"/>
      <c r="Y95" s="807"/>
      <c r="Z95" s="807"/>
    </row>
    <row r="96" ht="171.75" customHeight="1">
      <c r="A96" s="807"/>
      <c r="B96" s="807"/>
      <c r="C96" s="807"/>
      <c r="D96" s="807"/>
      <c r="E96" s="807"/>
      <c r="F96" s="807"/>
      <c r="G96" s="807"/>
      <c r="H96" s="807"/>
      <c r="I96" s="807"/>
      <c r="J96" s="807"/>
      <c r="K96" s="807"/>
      <c r="L96" s="807"/>
      <c r="M96" s="807"/>
      <c r="N96" s="807"/>
      <c r="O96" s="807"/>
      <c r="P96" s="807"/>
      <c r="Q96" s="807"/>
      <c r="R96" s="807"/>
      <c r="S96" s="807"/>
      <c r="T96" s="807"/>
      <c r="U96" s="807"/>
      <c r="V96" s="807"/>
      <c r="W96" s="807"/>
      <c r="X96" s="807"/>
      <c r="Y96" s="807"/>
      <c r="Z96" s="807"/>
    </row>
    <row r="97" ht="171.75" customHeight="1">
      <c r="A97" s="807"/>
      <c r="B97" s="807"/>
      <c r="C97" s="807"/>
      <c r="D97" s="807"/>
      <c r="E97" s="807"/>
      <c r="F97" s="807"/>
      <c r="G97" s="807"/>
      <c r="H97" s="807"/>
      <c r="I97" s="807"/>
      <c r="J97" s="807"/>
      <c r="K97" s="807"/>
      <c r="L97" s="807"/>
      <c r="M97" s="807"/>
      <c r="N97" s="807"/>
      <c r="O97" s="807"/>
      <c r="P97" s="807"/>
      <c r="Q97" s="807"/>
      <c r="R97" s="807"/>
      <c r="S97" s="807"/>
      <c r="T97" s="807"/>
      <c r="U97" s="807"/>
      <c r="V97" s="807"/>
      <c r="W97" s="807"/>
      <c r="X97" s="807"/>
      <c r="Y97" s="807"/>
      <c r="Z97" s="807"/>
    </row>
    <row r="98" ht="171.75" customHeight="1">
      <c r="A98" s="807"/>
      <c r="B98" s="807"/>
      <c r="C98" s="807"/>
      <c r="D98" s="807"/>
      <c r="E98" s="807"/>
      <c r="F98" s="807"/>
      <c r="G98" s="807"/>
      <c r="H98" s="807"/>
      <c r="I98" s="807"/>
      <c r="J98" s="807"/>
      <c r="K98" s="807"/>
      <c r="L98" s="807"/>
      <c r="M98" s="807"/>
      <c r="N98" s="807"/>
      <c r="O98" s="807"/>
      <c r="P98" s="807"/>
      <c r="Q98" s="807"/>
      <c r="R98" s="807"/>
      <c r="S98" s="807"/>
      <c r="T98" s="807"/>
      <c r="U98" s="807"/>
      <c r="V98" s="807"/>
      <c r="W98" s="807"/>
      <c r="X98" s="807"/>
      <c r="Y98" s="807"/>
      <c r="Z98" s="807"/>
    </row>
    <row r="99" ht="171.75" customHeight="1">
      <c r="A99" s="807"/>
      <c r="B99" s="807"/>
      <c r="C99" s="807"/>
      <c r="D99" s="807"/>
      <c r="E99" s="807"/>
      <c r="F99" s="807"/>
      <c r="G99" s="807"/>
      <c r="H99" s="807"/>
      <c r="I99" s="807"/>
      <c r="J99" s="807"/>
      <c r="K99" s="807"/>
      <c r="L99" s="807"/>
      <c r="M99" s="807"/>
      <c r="N99" s="807"/>
      <c r="O99" s="807"/>
      <c r="P99" s="807"/>
      <c r="Q99" s="807"/>
      <c r="R99" s="807"/>
      <c r="S99" s="807"/>
      <c r="T99" s="807"/>
      <c r="U99" s="807"/>
      <c r="V99" s="807"/>
      <c r="W99" s="807"/>
      <c r="X99" s="807"/>
      <c r="Y99" s="807"/>
      <c r="Z99" s="807"/>
    </row>
    <row r="100" ht="171.75" customHeight="1">
      <c r="A100" s="807"/>
      <c r="B100" s="807"/>
      <c r="C100" s="807"/>
      <c r="D100" s="807"/>
      <c r="E100" s="807"/>
      <c r="F100" s="807"/>
      <c r="G100" s="807"/>
      <c r="H100" s="807"/>
      <c r="I100" s="807"/>
      <c r="J100" s="807"/>
      <c r="K100" s="807"/>
      <c r="L100" s="807"/>
      <c r="M100" s="807"/>
      <c r="N100" s="807"/>
      <c r="O100" s="807"/>
      <c r="P100" s="807"/>
      <c r="Q100" s="807"/>
      <c r="R100" s="807"/>
      <c r="S100" s="807"/>
      <c r="T100" s="807"/>
      <c r="U100" s="807"/>
      <c r="V100" s="807"/>
      <c r="W100" s="807"/>
      <c r="X100" s="807"/>
      <c r="Y100" s="807"/>
      <c r="Z100" s="807"/>
    </row>
    <row r="101" ht="171.75" customHeight="1">
      <c r="A101" s="807"/>
      <c r="B101" s="807"/>
      <c r="C101" s="807"/>
      <c r="D101" s="807"/>
      <c r="E101" s="807"/>
      <c r="F101" s="807"/>
      <c r="G101" s="807"/>
      <c r="H101" s="807"/>
      <c r="I101" s="807"/>
      <c r="J101" s="807"/>
      <c r="K101" s="807"/>
      <c r="L101" s="807"/>
      <c r="M101" s="807"/>
      <c r="N101" s="807"/>
      <c r="O101" s="807"/>
      <c r="P101" s="807"/>
      <c r="Q101" s="807"/>
      <c r="R101" s="807"/>
      <c r="S101" s="807"/>
      <c r="T101" s="807"/>
      <c r="U101" s="807"/>
      <c r="V101" s="807"/>
      <c r="W101" s="807"/>
      <c r="X101" s="807"/>
      <c r="Y101" s="807"/>
      <c r="Z101" s="807"/>
    </row>
    <row r="102" ht="171.75" customHeight="1">
      <c r="A102" s="807"/>
      <c r="B102" s="807"/>
      <c r="C102" s="807"/>
      <c r="D102" s="807"/>
      <c r="E102" s="807"/>
      <c r="F102" s="807"/>
      <c r="G102" s="807"/>
      <c r="H102" s="807"/>
      <c r="I102" s="807"/>
      <c r="J102" s="807"/>
      <c r="K102" s="807"/>
      <c r="L102" s="807"/>
      <c r="M102" s="807"/>
      <c r="N102" s="807"/>
      <c r="O102" s="807"/>
      <c r="P102" s="807"/>
      <c r="Q102" s="807"/>
      <c r="R102" s="807"/>
      <c r="S102" s="807"/>
      <c r="T102" s="807"/>
      <c r="U102" s="807"/>
      <c r="V102" s="807"/>
      <c r="W102" s="807"/>
      <c r="X102" s="807"/>
      <c r="Y102" s="807"/>
      <c r="Z102" s="807"/>
    </row>
    <row r="103" ht="171.75" customHeight="1">
      <c r="A103" s="807"/>
      <c r="B103" s="807"/>
      <c r="C103" s="807"/>
      <c r="D103" s="807"/>
      <c r="E103" s="807"/>
      <c r="F103" s="807"/>
      <c r="G103" s="807"/>
      <c r="H103" s="807"/>
      <c r="I103" s="807"/>
      <c r="J103" s="807"/>
      <c r="K103" s="807"/>
      <c r="L103" s="807"/>
      <c r="M103" s="807"/>
      <c r="N103" s="807"/>
      <c r="O103" s="807"/>
      <c r="P103" s="807"/>
      <c r="Q103" s="807"/>
      <c r="R103" s="807"/>
      <c r="S103" s="807"/>
      <c r="T103" s="807"/>
      <c r="U103" s="807"/>
      <c r="V103" s="807"/>
      <c r="W103" s="807"/>
      <c r="X103" s="807"/>
      <c r="Y103" s="807"/>
      <c r="Z103" s="807"/>
    </row>
    <row r="104" ht="171.75" customHeight="1">
      <c r="A104" s="807"/>
      <c r="B104" s="807"/>
      <c r="C104" s="807"/>
      <c r="D104" s="807"/>
      <c r="E104" s="807"/>
      <c r="F104" s="807"/>
      <c r="G104" s="807"/>
      <c r="H104" s="807"/>
      <c r="I104" s="807"/>
      <c r="J104" s="807"/>
      <c r="K104" s="807"/>
      <c r="L104" s="807"/>
      <c r="M104" s="807"/>
      <c r="N104" s="807"/>
      <c r="O104" s="807"/>
      <c r="P104" s="807"/>
      <c r="Q104" s="807"/>
      <c r="R104" s="807"/>
      <c r="S104" s="807"/>
      <c r="T104" s="807"/>
      <c r="U104" s="807"/>
      <c r="V104" s="807"/>
      <c r="W104" s="807"/>
      <c r="X104" s="807"/>
      <c r="Y104" s="807"/>
      <c r="Z104" s="807"/>
    </row>
    <row r="105" ht="171.75" customHeight="1">
      <c r="A105" s="807"/>
      <c r="B105" s="807"/>
      <c r="C105" s="807"/>
      <c r="D105" s="807"/>
      <c r="E105" s="807"/>
      <c r="F105" s="807"/>
      <c r="G105" s="807"/>
      <c r="H105" s="807"/>
      <c r="I105" s="807"/>
      <c r="J105" s="807"/>
      <c r="K105" s="807"/>
      <c r="L105" s="807"/>
      <c r="M105" s="807"/>
      <c r="N105" s="807"/>
      <c r="O105" s="807"/>
      <c r="P105" s="807"/>
      <c r="Q105" s="807"/>
      <c r="R105" s="807"/>
      <c r="S105" s="807"/>
      <c r="T105" s="807"/>
      <c r="U105" s="807"/>
      <c r="V105" s="807"/>
      <c r="W105" s="807"/>
      <c r="X105" s="807"/>
      <c r="Y105" s="807"/>
      <c r="Z105" s="807"/>
    </row>
    <row r="106" ht="171.75" customHeight="1">
      <c r="A106" s="807"/>
      <c r="B106" s="807"/>
      <c r="C106" s="807"/>
      <c r="D106" s="807"/>
      <c r="E106" s="807"/>
      <c r="F106" s="807"/>
      <c r="G106" s="807"/>
      <c r="H106" s="807"/>
      <c r="I106" s="807"/>
      <c r="J106" s="807"/>
      <c r="K106" s="807"/>
      <c r="L106" s="807"/>
      <c r="M106" s="807"/>
      <c r="N106" s="807"/>
      <c r="O106" s="807"/>
      <c r="P106" s="807"/>
      <c r="Q106" s="807"/>
      <c r="R106" s="807"/>
      <c r="S106" s="807"/>
      <c r="T106" s="807"/>
      <c r="U106" s="807"/>
      <c r="V106" s="807"/>
      <c r="W106" s="807"/>
      <c r="X106" s="807"/>
      <c r="Y106" s="807"/>
      <c r="Z106" s="807"/>
    </row>
    <row r="107" ht="171.75" customHeight="1">
      <c r="A107" s="807"/>
      <c r="B107" s="807"/>
      <c r="C107" s="807"/>
      <c r="D107" s="807"/>
      <c r="E107" s="807"/>
      <c r="F107" s="807"/>
      <c r="G107" s="807"/>
      <c r="H107" s="807"/>
      <c r="I107" s="807"/>
      <c r="J107" s="807"/>
      <c r="K107" s="807"/>
      <c r="L107" s="807"/>
      <c r="M107" s="807"/>
      <c r="N107" s="807"/>
      <c r="O107" s="807"/>
      <c r="P107" s="807"/>
      <c r="Q107" s="807"/>
      <c r="R107" s="807"/>
      <c r="S107" s="807"/>
      <c r="T107" s="807"/>
      <c r="U107" s="807"/>
      <c r="V107" s="807"/>
      <c r="W107" s="807"/>
      <c r="X107" s="807"/>
      <c r="Y107" s="807"/>
      <c r="Z107" s="807"/>
    </row>
    <row r="108" ht="171.75" customHeight="1">
      <c r="A108" s="807"/>
      <c r="B108" s="807"/>
      <c r="C108" s="807"/>
      <c r="D108" s="807"/>
      <c r="E108" s="807"/>
      <c r="F108" s="807"/>
      <c r="G108" s="807"/>
      <c r="H108" s="807"/>
      <c r="I108" s="807"/>
      <c r="J108" s="807"/>
      <c r="K108" s="807"/>
      <c r="L108" s="807"/>
      <c r="M108" s="807"/>
      <c r="N108" s="807"/>
      <c r="O108" s="807"/>
      <c r="P108" s="807"/>
      <c r="Q108" s="807"/>
      <c r="R108" s="807"/>
      <c r="S108" s="807"/>
      <c r="T108" s="807"/>
      <c r="U108" s="807"/>
      <c r="V108" s="807"/>
      <c r="W108" s="807"/>
      <c r="X108" s="807"/>
      <c r="Y108" s="807"/>
      <c r="Z108" s="807"/>
    </row>
    <row r="109" ht="171.75" customHeight="1">
      <c r="A109" s="807"/>
      <c r="B109" s="807"/>
      <c r="C109" s="807"/>
      <c r="D109" s="807"/>
      <c r="E109" s="807"/>
      <c r="F109" s="807"/>
      <c r="G109" s="807"/>
      <c r="H109" s="807"/>
      <c r="I109" s="807"/>
      <c r="J109" s="807"/>
      <c r="K109" s="807"/>
      <c r="L109" s="807"/>
      <c r="M109" s="807"/>
      <c r="N109" s="807"/>
      <c r="O109" s="807"/>
      <c r="P109" s="807"/>
      <c r="Q109" s="807"/>
      <c r="R109" s="807"/>
      <c r="S109" s="807"/>
      <c r="T109" s="807"/>
      <c r="U109" s="807"/>
      <c r="V109" s="807"/>
      <c r="W109" s="807"/>
      <c r="X109" s="807"/>
      <c r="Y109" s="807"/>
      <c r="Z109" s="807"/>
    </row>
    <row r="110" ht="171.75" customHeight="1">
      <c r="A110" s="807"/>
      <c r="B110" s="807"/>
      <c r="C110" s="807"/>
      <c r="D110" s="807"/>
      <c r="E110" s="807"/>
      <c r="F110" s="807"/>
      <c r="G110" s="807"/>
      <c r="H110" s="807"/>
      <c r="I110" s="807"/>
      <c r="J110" s="807"/>
      <c r="K110" s="807"/>
      <c r="L110" s="807"/>
      <c r="M110" s="807"/>
      <c r="N110" s="807"/>
      <c r="O110" s="807"/>
      <c r="P110" s="807"/>
      <c r="Q110" s="807"/>
      <c r="R110" s="807"/>
      <c r="S110" s="807"/>
      <c r="T110" s="807"/>
      <c r="U110" s="807"/>
      <c r="V110" s="807"/>
      <c r="W110" s="807"/>
      <c r="X110" s="807"/>
      <c r="Y110" s="807"/>
      <c r="Z110" s="807"/>
    </row>
    <row r="111" ht="171.75" customHeight="1">
      <c r="A111" s="807"/>
      <c r="B111" s="807"/>
      <c r="C111" s="807"/>
      <c r="D111" s="807"/>
      <c r="E111" s="807"/>
      <c r="F111" s="807"/>
      <c r="G111" s="807"/>
      <c r="H111" s="807"/>
      <c r="I111" s="807"/>
      <c r="J111" s="807"/>
      <c r="K111" s="807"/>
      <c r="L111" s="807"/>
      <c r="M111" s="807"/>
      <c r="N111" s="807"/>
      <c r="O111" s="807"/>
      <c r="P111" s="807"/>
      <c r="Q111" s="807"/>
      <c r="R111" s="807"/>
      <c r="S111" s="807"/>
      <c r="T111" s="807"/>
      <c r="U111" s="807"/>
      <c r="V111" s="807"/>
      <c r="W111" s="807"/>
      <c r="X111" s="807"/>
      <c r="Y111" s="807"/>
      <c r="Z111" s="807"/>
    </row>
    <row r="112" ht="171.75" customHeight="1">
      <c r="A112" s="807"/>
      <c r="B112" s="807"/>
      <c r="C112" s="807"/>
      <c r="D112" s="807"/>
      <c r="E112" s="807"/>
      <c r="F112" s="807"/>
      <c r="G112" s="807"/>
      <c r="H112" s="807"/>
      <c r="I112" s="807"/>
      <c r="J112" s="807"/>
      <c r="K112" s="807"/>
      <c r="L112" s="807"/>
      <c r="M112" s="807"/>
      <c r="N112" s="807"/>
      <c r="O112" s="807"/>
      <c r="P112" s="807"/>
      <c r="Q112" s="807"/>
      <c r="R112" s="807"/>
      <c r="S112" s="807"/>
      <c r="T112" s="807"/>
      <c r="U112" s="807"/>
      <c r="V112" s="807"/>
      <c r="W112" s="807"/>
      <c r="X112" s="807"/>
      <c r="Y112" s="807"/>
      <c r="Z112" s="807"/>
    </row>
    <row r="113" ht="171.75" customHeight="1">
      <c r="A113" s="807"/>
      <c r="B113" s="807"/>
      <c r="C113" s="807"/>
      <c r="D113" s="807"/>
      <c r="E113" s="807"/>
      <c r="F113" s="807"/>
      <c r="G113" s="807"/>
      <c r="H113" s="807"/>
      <c r="I113" s="807"/>
      <c r="J113" s="807"/>
      <c r="K113" s="807"/>
      <c r="L113" s="807"/>
      <c r="M113" s="807"/>
      <c r="N113" s="807"/>
      <c r="O113" s="807"/>
      <c r="P113" s="807"/>
      <c r="Q113" s="807"/>
      <c r="R113" s="807"/>
      <c r="S113" s="807"/>
      <c r="T113" s="807"/>
      <c r="U113" s="807"/>
      <c r="V113" s="807"/>
      <c r="W113" s="807"/>
      <c r="X113" s="807"/>
      <c r="Y113" s="807"/>
      <c r="Z113" s="807"/>
    </row>
    <row r="114" ht="171.75" customHeight="1">
      <c r="A114" s="807"/>
      <c r="B114" s="807"/>
      <c r="C114" s="807"/>
      <c r="D114" s="807"/>
      <c r="E114" s="807"/>
      <c r="F114" s="807"/>
      <c r="G114" s="807"/>
      <c r="H114" s="807"/>
      <c r="I114" s="807"/>
      <c r="J114" s="807"/>
      <c r="K114" s="807"/>
      <c r="L114" s="807"/>
      <c r="M114" s="807"/>
      <c r="N114" s="807"/>
      <c r="O114" s="807"/>
      <c r="P114" s="807"/>
      <c r="Q114" s="807"/>
      <c r="R114" s="807"/>
      <c r="S114" s="807"/>
      <c r="T114" s="807"/>
      <c r="U114" s="807"/>
      <c r="V114" s="807"/>
      <c r="W114" s="807"/>
      <c r="X114" s="807"/>
      <c r="Y114" s="807"/>
      <c r="Z114" s="807"/>
    </row>
    <row r="115" ht="171.75" customHeight="1">
      <c r="A115" s="807"/>
      <c r="B115" s="807"/>
      <c r="C115" s="807"/>
      <c r="D115" s="807"/>
      <c r="E115" s="807"/>
      <c r="F115" s="807"/>
      <c r="G115" s="807"/>
      <c r="H115" s="807"/>
      <c r="I115" s="807"/>
      <c r="J115" s="807"/>
      <c r="K115" s="807"/>
      <c r="L115" s="807"/>
      <c r="M115" s="807"/>
      <c r="N115" s="807"/>
      <c r="O115" s="807"/>
      <c r="P115" s="807"/>
      <c r="Q115" s="807"/>
      <c r="R115" s="807"/>
      <c r="S115" s="807"/>
      <c r="T115" s="807"/>
      <c r="U115" s="807"/>
      <c r="V115" s="807"/>
      <c r="W115" s="807"/>
      <c r="X115" s="807"/>
      <c r="Y115" s="807"/>
      <c r="Z115" s="807"/>
    </row>
    <row r="116" ht="171.75" customHeight="1">
      <c r="A116" s="807"/>
      <c r="B116" s="807"/>
      <c r="C116" s="807"/>
      <c r="D116" s="807"/>
      <c r="E116" s="807"/>
      <c r="F116" s="807"/>
      <c r="G116" s="807"/>
      <c r="H116" s="807"/>
      <c r="I116" s="807"/>
      <c r="J116" s="807"/>
      <c r="K116" s="807"/>
      <c r="L116" s="807"/>
      <c r="M116" s="807"/>
      <c r="N116" s="807"/>
      <c r="O116" s="807"/>
      <c r="P116" s="807"/>
      <c r="Q116" s="807"/>
      <c r="R116" s="807"/>
      <c r="S116" s="807"/>
      <c r="T116" s="807"/>
      <c r="U116" s="807"/>
      <c r="V116" s="807"/>
      <c r="W116" s="807"/>
      <c r="X116" s="807"/>
      <c r="Y116" s="807"/>
      <c r="Z116" s="807"/>
    </row>
    <row r="117" ht="171.75" customHeight="1">
      <c r="A117" s="807"/>
      <c r="B117" s="807"/>
      <c r="C117" s="807"/>
      <c r="D117" s="807"/>
      <c r="E117" s="807"/>
      <c r="F117" s="807"/>
      <c r="G117" s="807"/>
      <c r="H117" s="807"/>
      <c r="I117" s="807"/>
      <c r="J117" s="807"/>
      <c r="K117" s="807"/>
      <c r="L117" s="807"/>
      <c r="M117" s="807"/>
      <c r="N117" s="807"/>
      <c r="O117" s="807"/>
      <c r="P117" s="807"/>
      <c r="Q117" s="807"/>
      <c r="R117" s="807"/>
      <c r="S117" s="807"/>
      <c r="T117" s="807"/>
      <c r="U117" s="807"/>
      <c r="V117" s="807"/>
      <c r="W117" s="807"/>
      <c r="X117" s="807"/>
      <c r="Y117" s="807"/>
      <c r="Z117" s="807"/>
    </row>
    <row r="118" ht="171.75" customHeight="1">
      <c r="A118" s="807"/>
      <c r="B118" s="807"/>
      <c r="C118" s="807"/>
      <c r="D118" s="807"/>
      <c r="E118" s="807"/>
      <c r="F118" s="807"/>
      <c r="G118" s="807"/>
      <c r="H118" s="807"/>
      <c r="I118" s="807"/>
      <c r="J118" s="807"/>
      <c r="K118" s="807"/>
      <c r="L118" s="807"/>
      <c r="M118" s="807"/>
      <c r="N118" s="807"/>
      <c r="O118" s="807"/>
      <c r="P118" s="807"/>
      <c r="Q118" s="807"/>
      <c r="R118" s="807"/>
      <c r="S118" s="807"/>
      <c r="T118" s="807"/>
      <c r="U118" s="807"/>
      <c r="V118" s="807"/>
      <c r="W118" s="807"/>
      <c r="X118" s="807"/>
      <c r="Y118" s="807"/>
      <c r="Z118" s="807"/>
    </row>
    <row r="119" ht="171.75" customHeight="1">
      <c r="A119" s="807"/>
      <c r="B119" s="807"/>
      <c r="C119" s="807"/>
      <c r="D119" s="807"/>
      <c r="E119" s="807"/>
      <c r="F119" s="807"/>
      <c r="G119" s="807"/>
      <c r="H119" s="807"/>
      <c r="I119" s="807"/>
      <c r="J119" s="807"/>
      <c r="K119" s="807"/>
      <c r="L119" s="807"/>
      <c r="M119" s="807"/>
      <c r="N119" s="807"/>
      <c r="O119" s="807"/>
      <c r="P119" s="807"/>
      <c r="Q119" s="807"/>
      <c r="R119" s="807"/>
      <c r="S119" s="807"/>
      <c r="T119" s="807"/>
      <c r="U119" s="807"/>
      <c r="V119" s="807"/>
      <c r="W119" s="807"/>
      <c r="X119" s="807"/>
      <c r="Y119" s="807"/>
      <c r="Z119" s="807"/>
    </row>
    <row r="120" ht="171.75" customHeight="1">
      <c r="A120" s="807"/>
      <c r="B120" s="807"/>
      <c r="C120" s="807"/>
      <c r="D120" s="807"/>
      <c r="E120" s="807"/>
      <c r="F120" s="807"/>
      <c r="G120" s="807"/>
      <c r="H120" s="807"/>
      <c r="I120" s="807"/>
      <c r="J120" s="807"/>
      <c r="K120" s="807"/>
      <c r="L120" s="807"/>
      <c r="M120" s="807"/>
      <c r="N120" s="807"/>
      <c r="O120" s="807"/>
      <c r="P120" s="807"/>
      <c r="Q120" s="807"/>
      <c r="R120" s="807"/>
      <c r="S120" s="807"/>
      <c r="T120" s="807"/>
      <c r="U120" s="807"/>
      <c r="V120" s="807"/>
      <c r="W120" s="807"/>
      <c r="X120" s="807"/>
      <c r="Y120" s="807"/>
      <c r="Z120" s="807"/>
    </row>
    <row r="121" ht="171.75" customHeight="1">
      <c r="A121" s="807"/>
      <c r="B121" s="807"/>
      <c r="C121" s="807"/>
      <c r="D121" s="807"/>
      <c r="E121" s="807"/>
      <c r="F121" s="807"/>
      <c r="G121" s="807"/>
      <c r="H121" s="807"/>
      <c r="I121" s="807"/>
      <c r="J121" s="807"/>
      <c r="K121" s="807"/>
      <c r="L121" s="807"/>
      <c r="M121" s="807"/>
      <c r="N121" s="807"/>
      <c r="O121" s="807"/>
      <c r="P121" s="807"/>
      <c r="Q121" s="807"/>
      <c r="R121" s="807"/>
      <c r="S121" s="807"/>
      <c r="T121" s="807"/>
      <c r="U121" s="807"/>
      <c r="V121" s="807"/>
      <c r="W121" s="807"/>
      <c r="X121" s="807"/>
      <c r="Y121" s="807"/>
      <c r="Z121" s="807"/>
    </row>
    <row r="122" ht="171.75" customHeight="1">
      <c r="A122" s="807"/>
      <c r="B122" s="807"/>
      <c r="C122" s="807"/>
      <c r="D122" s="807"/>
      <c r="E122" s="807"/>
      <c r="F122" s="807"/>
      <c r="G122" s="807"/>
      <c r="H122" s="807"/>
      <c r="I122" s="807"/>
      <c r="J122" s="807"/>
      <c r="K122" s="807"/>
      <c r="L122" s="807"/>
      <c r="M122" s="807"/>
      <c r="N122" s="807"/>
      <c r="O122" s="807"/>
      <c r="P122" s="807"/>
      <c r="Q122" s="807"/>
      <c r="R122" s="807"/>
      <c r="S122" s="807"/>
      <c r="T122" s="807"/>
      <c r="U122" s="807"/>
      <c r="V122" s="807"/>
      <c r="W122" s="807"/>
      <c r="X122" s="807"/>
      <c r="Y122" s="807"/>
      <c r="Z122" s="807"/>
    </row>
    <row r="123" ht="171.75" customHeight="1">
      <c r="A123" s="807"/>
      <c r="B123" s="807"/>
      <c r="C123" s="807"/>
      <c r="D123" s="807"/>
      <c r="E123" s="807"/>
      <c r="F123" s="807"/>
      <c r="G123" s="807"/>
      <c r="H123" s="807"/>
      <c r="I123" s="807"/>
      <c r="J123" s="807"/>
      <c r="K123" s="807"/>
      <c r="L123" s="807"/>
      <c r="M123" s="807"/>
      <c r="N123" s="807"/>
      <c r="O123" s="807"/>
      <c r="P123" s="807"/>
      <c r="Q123" s="807"/>
      <c r="R123" s="807"/>
      <c r="S123" s="807"/>
      <c r="T123" s="807"/>
      <c r="U123" s="807"/>
      <c r="V123" s="807"/>
      <c r="W123" s="807"/>
      <c r="X123" s="807"/>
      <c r="Y123" s="807"/>
      <c r="Z123" s="807"/>
    </row>
    <row r="124" ht="171.75" customHeight="1">
      <c r="A124" s="807"/>
      <c r="B124" s="807"/>
      <c r="C124" s="807"/>
      <c r="D124" s="807"/>
      <c r="E124" s="807"/>
      <c r="F124" s="807"/>
      <c r="G124" s="807"/>
      <c r="H124" s="807"/>
      <c r="I124" s="807"/>
      <c r="J124" s="807"/>
      <c r="K124" s="807"/>
      <c r="L124" s="807"/>
      <c r="M124" s="807"/>
      <c r="N124" s="807"/>
      <c r="O124" s="807"/>
      <c r="P124" s="807"/>
      <c r="Q124" s="807"/>
      <c r="R124" s="807"/>
      <c r="S124" s="807"/>
      <c r="T124" s="807"/>
      <c r="U124" s="807"/>
      <c r="V124" s="807"/>
      <c r="W124" s="807"/>
      <c r="X124" s="807"/>
      <c r="Y124" s="807"/>
      <c r="Z124" s="807"/>
    </row>
    <row r="125" ht="171.75" customHeight="1">
      <c r="A125" s="807"/>
      <c r="B125" s="807"/>
      <c r="C125" s="807"/>
      <c r="D125" s="807"/>
      <c r="E125" s="807"/>
      <c r="F125" s="807"/>
      <c r="G125" s="807"/>
      <c r="H125" s="807"/>
      <c r="I125" s="807"/>
      <c r="J125" s="807"/>
      <c r="K125" s="807"/>
      <c r="L125" s="807"/>
      <c r="M125" s="807"/>
      <c r="N125" s="807"/>
      <c r="O125" s="807"/>
      <c r="P125" s="807"/>
      <c r="Q125" s="807"/>
      <c r="R125" s="807"/>
      <c r="S125" s="807"/>
      <c r="T125" s="807"/>
      <c r="U125" s="807"/>
      <c r="V125" s="807"/>
      <c r="W125" s="807"/>
      <c r="X125" s="807"/>
      <c r="Y125" s="807"/>
      <c r="Z125" s="807"/>
    </row>
    <row r="126" ht="171.75" customHeight="1">
      <c r="A126" s="807"/>
      <c r="B126" s="807"/>
      <c r="C126" s="807"/>
      <c r="D126" s="807"/>
      <c r="E126" s="807"/>
      <c r="F126" s="807"/>
      <c r="G126" s="807"/>
      <c r="H126" s="807"/>
      <c r="I126" s="807"/>
      <c r="J126" s="807"/>
      <c r="K126" s="807"/>
      <c r="L126" s="807"/>
      <c r="M126" s="807"/>
      <c r="N126" s="807"/>
      <c r="O126" s="807"/>
      <c r="P126" s="807"/>
      <c r="Q126" s="807"/>
      <c r="R126" s="807"/>
      <c r="S126" s="807"/>
      <c r="T126" s="807"/>
      <c r="U126" s="807"/>
      <c r="V126" s="807"/>
      <c r="W126" s="807"/>
      <c r="X126" s="807"/>
      <c r="Y126" s="807"/>
      <c r="Z126" s="807"/>
    </row>
    <row r="127" ht="171.75" customHeight="1">
      <c r="A127" s="807"/>
      <c r="B127" s="807"/>
      <c r="C127" s="807"/>
      <c r="D127" s="807"/>
      <c r="E127" s="807"/>
      <c r="F127" s="807"/>
      <c r="G127" s="807"/>
      <c r="H127" s="807"/>
      <c r="I127" s="807"/>
      <c r="J127" s="807"/>
      <c r="K127" s="807"/>
      <c r="L127" s="807"/>
      <c r="M127" s="807"/>
      <c r="N127" s="807"/>
      <c r="O127" s="807"/>
      <c r="P127" s="807"/>
      <c r="Q127" s="807"/>
      <c r="R127" s="807"/>
      <c r="S127" s="807"/>
      <c r="T127" s="807"/>
      <c r="U127" s="807"/>
      <c r="V127" s="807"/>
      <c r="W127" s="807"/>
      <c r="X127" s="807"/>
      <c r="Y127" s="807"/>
      <c r="Z127" s="807"/>
    </row>
    <row r="128" ht="171.75" customHeight="1">
      <c r="A128" s="807"/>
      <c r="B128" s="807"/>
      <c r="C128" s="807"/>
      <c r="D128" s="807"/>
      <c r="E128" s="807"/>
      <c r="F128" s="807"/>
      <c r="G128" s="807"/>
      <c r="H128" s="807"/>
      <c r="I128" s="807"/>
      <c r="J128" s="807"/>
      <c r="K128" s="807"/>
      <c r="L128" s="807"/>
      <c r="M128" s="807"/>
      <c r="N128" s="807"/>
      <c r="O128" s="807"/>
      <c r="P128" s="807"/>
      <c r="Q128" s="807"/>
      <c r="R128" s="807"/>
      <c r="S128" s="807"/>
      <c r="T128" s="807"/>
      <c r="U128" s="807"/>
      <c r="V128" s="807"/>
      <c r="W128" s="807"/>
      <c r="X128" s="807"/>
      <c r="Y128" s="807"/>
      <c r="Z128" s="807"/>
    </row>
    <row r="129" ht="171.75" customHeight="1">
      <c r="A129" s="807"/>
      <c r="B129" s="807"/>
      <c r="C129" s="807"/>
      <c r="D129" s="807"/>
      <c r="E129" s="807"/>
      <c r="F129" s="807"/>
      <c r="G129" s="807"/>
      <c r="H129" s="807"/>
      <c r="I129" s="807"/>
      <c r="J129" s="807"/>
      <c r="K129" s="807"/>
      <c r="L129" s="807"/>
      <c r="M129" s="807"/>
      <c r="N129" s="807"/>
      <c r="O129" s="807"/>
      <c r="P129" s="807"/>
      <c r="Q129" s="807"/>
      <c r="R129" s="807"/>
      <c r="S129" s="807"/>
      <c r="T129" s="807"/>
      <c r="U129" s="807"/>
      <c r="V129" s="807"/>
      <c r="W129" s="807"/>
      <c r="X129" s="807"/>
      <c r="Y129" s="807"/>
      <c r="Z129" s="807"/>
    </row>
    <row r="130" ht="171.75" customHeight="1">
      <c r="A130" s="807"/>
      <c r="B130" s="807"/>
      <c r="C130" s="807"/>
      <c r="D130" s="807"/>
      <c r="E130" s="807"/>
      <c r="F130" s="807"/>
      <c r="G130" s="807"/>
      <c r="H130" s="807"/>
      <c r="I130" s="807"/>
      <c r="J130" s="807"/>
      <c r="K130" s="807"/>
      <c r="L130" s="807"/>
      <c r="M130" s="807"/>
      <c r="N130" s="807"/>
      <c r="O130" s="807"/>
      <c r="P130" s="807"/>
      <c r="Q130" s="807"/>
      <c r="R130" s="807"/>
      <c r="S130" s="807"/>
      <c r="T130" s="807"/>
      <c r="U130" s="807"/>
      <c r="V130" s="807"/>
      <c r="W130" s="807"/>
      <c r="X130" s="807"/>
      <c r="Y130" s="807"/>
      <c r="Z130" s="807"/>
    </row>
    <row r="131" ht="171.75" customHeight="1">
      <c r="A131" s="807"/>
      <c r="B131" s="807"/>
      <c r="C131" s="807"/>
      <c r="D131" s="807"/>
      <c r="E131" s="807"/>
      <c r="F131" s="807"/>
      <c r="G131" s="807"/>
      <c r="H131" s="807"/>
      <c r="I131" s="807"/>
      <c r="J131" s="807"/>
      <c r="K131" s="807"/>
      <c r="L131" s="807"/>
      <c r="M131" s="807"/>
      <c r="N131" s="807"/>
      <c r="O131" s="807"/>
      <c r="P131" s="807"/>
      <c r="Q131" s="807"/>
      <c r="R131" s="807"/>
      <c r="S131" s="807"/>
      <c r="T131" s="807"/>
      <c r="U131" s="807"/>
      <c r="V131" s="807"/>
      <c r="W131" s="807"/>
      <c r="X131" s="807"/>
      <c r="Y131" s="807"/>
      <c r="Z131" s="807"/>
    </row>
    <row r="132" ht="171.75" customHeight="1">
      <c r="A132" s="807"/>
      <c r="B132" s="807"/>
      <c r="C132" s="807"/>
      <c r="D132" s="807"/>
      <c r="E132" s="807"/>
      <c r="F132" s="807"/>
      <c r="G132" s="807"/>
      <c r="H132" s="807"/>
      <c r="I132" s="807"/>
      <c r="J132" s="807"/>
      <c r="K132" s="807"/>
      <c r="L132" s="807"/>
      <c r="M132" s="807"/>
      <c r="N132" s="807"/>
      <c r="O132" s="807"/>
      <c r="P132" s="807"/>
      <c r="Q132" s="807"/>
      <c r="R132" s="807"/>
      <c r="S132" s="807"/>
      <c r="T132" s="807"/>
      <c r="U132" s="807"/>
      <c r="V132" s="807"/>
      <c r="W132" s="807"/>
      <c r="X132" s="807"/>
      <c r="Y132" s="807"/>
      <c r="Z132" s="807"/>
    </row>
    <row r="133" ht="171.75" customHeight="1">
      <c r="A133" s="807"/>
      <c r="B133" s="807"/>
      <c r="C133" s="807"/>
      <c r="D133" s="807"/>
      <c r="E133" s="807"/>
      <c r="F133" s="807"/>
      <c r="G133" s="807"/>
      <c r="H133" s="807"/>
      <c r="I133" s="807"/>
      <c r="J133" s="807"/>
      <c r="K133" s="807"/>
      <c r="L133" s="807"/>
      <c r="M133" s="807"/>
      <c r="N133" s="807"/>
      <c r="O133" s="807"/>
      <c r="P133" s="807"/>
      <c r="Q133" s="807"/>
      <c r="R133" s="807"/>
      <c r="S133" s="807"/>
      <c r="T133" s="807"/>
      <c r="U133" s="807"/>
      <c r="V133" s="807"/>
      <c r="W133" s="807"/>
      <c r="X133" s="807"/>
      <c r="Y133" s="807"/>
      <c r="Z133" s="807"/>
    </row>
    <row r="134" ht="171.75" customHeight="1">
      <c r="A134" s="807"/>
      <c r="B134" s="807"/>
      <c r="C134" s="807"/>
      <c r="D134" s="807"/>
      <c r="E134" s="807"/>
      <c r="F134" s="807"/>
      <c r="G134" s="807"/>
      <c r="H134" s="807"/>
      <c r="I134" s="807"/>
      <c r="J134" s="807"/>
      <c r="K134" s="807"/>
      <c r="L134" s="807"/>
      <c r="M134" s="807"/>
      <c r="N134" s="807"/>
      <c r="O134" s="807"/>
      <c r="P134" s="807"/>
      <c r="Q134" s="807"/>
      <c r="R134" s="807"/>
      <c r="S134" s="807"/>
      <c r="T134" s="807"/>
      <c r="U134" s="807"/>
      <c r="V134" s="807"/>
      <c r="W134" s="807"/>
      <c r="X134" s="807"/>
      <c r="Y134" s="807"/>
      <c r="Z134" s="807"/>
    </row>
    <row r="135" ht="171.75" customHeight="1">
      <c r="A135" s="807"/>
      <c r="B135" s="807"/>
      <c r="C135" s="807"/>
      <c r="D135" s="807"/>
      <c r="E135" s="807"/>
      <c r="F135" s="807"/>
      <c r="G135" s="807"/>
      <c r="H135" s="807"/>
      <c r="I135" s="807"/>
      <c r="J135" s="807"/>
      <c r="K135" s="807"/>
      <c r="L135" s="807"/>
      <c r="M135" s="807"/>
      <c r="N135" s="807"/>
      <c r="O135" s="807"/>
      <c r="P135" s="807"/>
      <c r="Q135" s="807"/>
      <c r="R135" s="807"/>
      <c r="S135" s="807"/>
      <c r="T135" s="807"/>
      <c r="U135" s="807"/>
      <c r="V135" s="807"/>
      <c r="W135" s="807"/>
      <c r="X135" s="807"/>
      <c r="Y135" s="807"/>
      <c r="Z135" s="807"/>
    </row>
    <row r="136" ht="171.75" customHeight="1">
      <c r="A136" s="807"/>
      <c r="B136" s="807"/>
      <c r="C136" s="807"/>
      <c r="D136" s="807"/>
      <c r="E136" s="807"/>
      <c r="F136" s="807"/>
      <c r="G136" s="807"/>
      <c r="H136" s="807"/>
      <c r="I136" s="807"/>
      <c r="J136" s="807"/>
      <c r="K136" s="807"/>
      <c r="L136" s="807"/>
      <c r="M136" s="807"/>
      <c r="N136" s="807"/>
      <c r="O136" s="807"/>
      <c r="P136" s="807"/>
      <c r="Q136" s="807"/>
      <c r="R136" s="807"/>
      <c r="S136" s="807"/>
      <c r="T136" s="807"/>
      <c r="U136" s="807"/>
      <c r="V136" s="807"/>
      <c r="W136" s="807"/>
      <c r="X136" s="807"/>
      <c r="Y136" s="807"/>
      <c r="Z136" s="807"/>
    </row>
    <row r="137" ht="171.75" customHeight="1">
      <c r="A137" s="807"/>
      <c r="B137" s="807"/>
      <c r="C137" s="807"/>
      <c r="D137" s="807"/>
      <c r="E137" s="807"/>
      <c r="F137" s="807"/>
      <c r="G137" s="807"/>
      <c r="H137" s="807"/>
      <c r="I137" s="807"/>
      <c r="J137" s="807"/>
      <c r="K137" s="807"/>
      <c r="L137" s="807"/>
      <c r="M137" s="807"/>
      <c r="N137" s="807"/>
      <c r="O137" s="807"/>
      <c r="P137" s="807"/>
      <c r="Q137" s="807"/>
      <c r="R137" s="807"/>
      <c r="S137" s="807"/>
      <c r="T137" s="807"/>
      <c r="U137" s="807"/>
      <c r="V137" s="807"/>
      <c r="W137" s="807"/>
      <c r="X137" s="807"/>
      <c r="Y137" s="807"/>
      <c r="Z137" s="807"/>
    </row>
    <row r="138" ht="171.75" customHeight="1">
      <c r="A138" s="807"/>
      <c r="B138" s="807"/>
      <c r="C138" s="807"/>
      <c r="D138" s="807"/>
      <c r="E138" s="807"/>
      <c r="F138" s="807"/>
      <c r="G138" s="807"/>
      <c r="H138" s="807"/>
      <c r="I138" s="807"/>
      <c r="J138" s="807"/>
      <c r="K138" s="807"/>
      <c r="L138" s="807"/>
      <c r="M138" s="807"/>
      <c r="N138" s="807"/>
      <c r="O138" s="807"/>
      <c r="P138" s="807"/>
      <c r="Q138" s="807"/>
      <c r="R138" s="807"/>
      <c r="S138" s="807"/>
      <c r="T138" s="807"/>
      <c r="U138" s="807"/>
      <c r="V138" s="807"/>
      <c r="W138" s="807"/>
      <c r="X138" s="807"/>
      <c r="Y138" s="807"/>
      <c r="Z138" s="807"/>
    </row>
    <row r="139" ht="171.75" customHeight="1">
      <c r="A139" s="807"/>
      <c r="B139" s="807"/>
      <c r="C139" s="807"/>
      <c r="D139" s="807"/>
      <c r="E139" s="807"/>
      <c r="F139" s="807"/>
      <c r="G139" s="807"/>
      <c r="H139" s="807"/>
      <c r="I139" s="807"/>
      <c r="J139" s="807"/>
      <c r="K139" s="807"/>
      <c r="L139" s="807"/>
      <c r="M139" s="807"/>
      <c r="N139" s="807"/>
      <c r="O139" s="807"/>
      <c r="P139" s="807"/>
      <c r="Q139" s="807"/>
      <c r="R139" s="807"/>
      <c r="S139" s="807"/>
      <c r="T139" s="807"/>
      <c r="U139" s="807"/>
      <c r="V139" s="807"/>
      <c r="W139" s="807"/>
      <c r="X139" s="807"/>
      <c r="Y139" s="807"/>
      <c r="Z139" s="807"/>
    </row>
    <row r="140" ht="171.75" customHeight="1">
      <c r="A140" s="807"/>
      <c r="B140" s="807"/>
      <c r="C140" s="807"/>
      <c r="D140" s="807"/>
      <c r="E140" s="807"/>
      <c r="F140" s="807"/>
      <c r="G140" s="807"/>
      <c r="H140" s="807"/>
      <c r="I140" s="807"/>
      <c r="J140" s="807"/>
      <c r="K140" s="807"/>
      <c r="L140" s="807"/>
      <c r="M140" s="807"/>
      <c r="N140" s="807"/>
      <c r="O140" s="807"/>
      <c r="P140" s="807"/>
      <c r="Q140" s="807"/>
      <c r="R140" s="807"/>
      <c r="S140" s="807"/>
      <c r="T140" s="807"/>
      <c r="U140" s="807"/>
      <c r="V140" s="807"/>
      <c r="W140" s="807"/>
      <c r="X140" s="807"/>
      <c r="Y140" s="807"/>
      <c r="Z140" s="807"/>
    </row>
    <row r="141" ht="171.75" customHeight="1">
      <c r="A141" s="807"/>
      <c r="B141" s="807"/>
      <c r="C141" s="807"/>
      <c r="D141" s="807"/>
      <c r="E141" s="807"/>
      <c r="F141" s="807"/>
      <c r="G141" s="807"/>
      <c r="H141" s="807"/>
      <c r="I141" s="807"/>
      <c r="J141" s="807"/>
      <c r="K141" s="807"/>
      <c r="L141" s="807"/>
      <c r="M141" s="807"/>
      <c r="N141" s="807"/>
      <c r="O141" s="807"/>
      <c r="P141" s="807"/>
      <c r="Q141" s="807"/>
      <c r="R141" s="807"/>
      <c r="S141" s="807"/>
      <c r="T141" s="807"/>
      <c r="U141" s="807"/>
      <c r="V141" s="807"/>
      <c r="W141" s="807"/>
      <c r="X141" s="807"/>
      <c r="Y141" s="807"/>
      <c r="Z141" s="807"/>
    </row>
    <row r="142" ht="171.75" customHeight="1">
      <c r="A142" s="807"/>
      <c r="B142" s="807"/>
      <c r="C142" s="807"/>
      <c r="D142" s="807"/>
      <c r="E142" s="807"/>
      <c r="F142" s="807"/>
      <c r="G142" s="807"/>
      <c r="H142" s="807"/>
      <c r="I142" s="807"/>
      <c r="J142" s="807"/>
      <c r="K142" s="807"/>
      <c r="L142" s="807"/>
      <c r="M142" s="807"/>
      <c r="N142" s="807"/>
      <c r="O142" s="807"/>
      <c r="P142" s="807"/>
      <c r="Q142" s="807"/>
      <c r="R142" s="807"/>
      <c r="S142" s="807"/>
      <c r="T142" s="807"/>
      <c r="U142" s="807"/>
      <c r="V142" s="807"/>
      <c r="W142" s="807"/>
      <c r="X142" s="807"/>
      <c r="Y142" s="807"/>
      <c r="Z142" s="807"/>
    </row>
    <row r="143" ht="171.75" customHeight="1">
      <c r="A143" s="807"/>
      <c r="B143" s="807"/>
      <c r="C143" s="807"/>
      <c r="D143" s="807"/>
      <c r="E143" s="807"/>
      <c r="F143" s="807"/>
      <c r="G143" s="807"/>
      <c r="H143" s="807"/>
      <c r="I143" s="807"/>
      <c r="J143" s="807"/>
      <c r="K143" s="807"/>
      <c r="L143" s="807"/>
      <c r="M143" s="807"/>
      <c r="N143" s="807"/>
      <c r="O143" s="807"/>
      <c r="P143" s="807"/>
      <c r="Q143" s="807"/>
      <c r="R143" s="807"/>
      <c r="S143" s="807"/>
      <c r="T143" s="807"/>
      <c r="U143" s="807"/>
      <c r="V143" s="807"/>
      <c r="W143" s="807"/>
      <c r="X143" s="807"/>
      <c r="Y143" s="807"/>
      <c r="Z143" s="807"/>
    </row>
    <row r="144" ht="171.75" customHeight="1">
      <c r="A144" s="807"/>
      <c r="B144" s="807"/>
      <c r="C144" s="807"/>
      <c r="D144" s="807"/>
      <c r="E144" s="807"/>
      <c r="F144" s="807"/>
      <c r="G144" s="807"/>
      <c r="H144" s="807"/>
      <c r="I144" s="807"/>
      <c r="J144" s="807"/>
      <c r="K144" s="807"/>
      <c r="L144" s="807"/>
      <c r="M144" s="807"/>
      <c r="N144" s="807"/>
      <c r="O144" s="807"/>
      <c r="P144" s="807"/>
      <c r="Q144" s="807"/>
      <c r="R144" s="807"/>
      <c r="S144" s="807"/>
      <c r="T144" s="807"/>
      <c r="U144" s="807"/>
      <c r="V144" s="807"/>
      <c r="W144" s="807"/>
      <c r="X144" s="807"/>
      <c r="Y144" s="807"/>
      <c r="Z144" s="807"/>
    </row>
    <row r="145" ht="171.75" customHeight="1">
      <c r="A145" s="807"/>
      <c r="B145" s="807"/>
      <c r="C145" s="807"/>
      <c r="D145" s="807"/>
      <c r="E145" s="807"/>
      <c r="F145" s="807"/>
      <c r="G145" s="807"/>
      <c r="H145" s="807"/>
      <c r="I145" s="807"/>
      <c r="J145" s="807"/>
      <c r="K145" s="807"/>
      <c r="L145" s="807"/>
      <c r="M145" s="807"/>
      <c r="N145" s="807"/>
      <c r="O145" s="807"/>
      <c r="P145" s="807"/>
      <c r="Q145" s="807"/>
      <c r="R145" s="807"/>
      <c r="S145" s="807"/>
      <c r="T145" s="807"/>
      <c r="U145" s="807"/>
      <c r="V145" s="807"/>
      <c r="W145" s="807"/>
      <c r="X145" s="807"/>
      <c r="Y145" s="807"/>
      <c r="Z145" s="807"/>
    </row>
    <row r="146" ht="171.75" customHeight="1">
      <c r="A146" s="807"/>
      <c r="B146" s="807"/>
      <c r="C146" s="807"/>
      <c r="D146" s="807"/>
      <c r="E146" s="807"/>
      <c r="F146" s="807"/>
      <c r="G146" s="807"/>
      <c r="H146" s="807"/>
      <c r="I146" s="807"/>
      <c r="J146" s="807"/>
      <c r="K146" s="807"/>
      <c r="L146" s="807"/>
      <c r="M146" s="807"/>
      <c r="N146" s="807"/>
      <c r="O146" s="807"/>
      <c r="P146" s="807"/>
      <c r="Q146" s="807"/>
      <c r="R146" s="807"/>
      <c r="S146" s="807"/>
      <c r="T146" s="807"/>
      <c r="U146" s="807"/>
      <c r="V146" s="807"/>
      <c r="W146" s="807"/>
      <c r="X146" s="807"/>
      <c r="Y146" s="807"/>
      <c r="Z146" s="807"/>
    </row>
    <row r="147" ht="171.75" customHeight="1">
      <c r="A147" s="807"/>
      <c r="B147" s="807"/>
      <c r="C147" s="807"/>
      <c r="D147" s="807"/>
      <c r="E147" s="807"/>
      <c r="F147" s="807"/>
      <c r="G147" s="807"/>
      <c r="H147" s="807"/>
      <c r="I147" s="807"/>
      <c r="J147" s="807"/>
      <c r="K147" s="807"/>
      <c r="L147" s="807"/>
      <c r="M147" s="807"/>
      <c r="N147" s="807"/>
      <c r="O147" s="807"/>
      <c r="P147" s="807"/>
      <c r="Q147" s="807"/>
      <c r="R147" s="807"/>
      <c r="S147" s="807"/>
      <c r="T147" s="807"/>
      <c r="U147" s="807"/>
      <c r="V147" s="807"/>
      <c r="W147" s="807"/>
      <c r="X147" s="807"/>
      <c r="Y147" s="807"/>
      <c r="Z147" s="807"/>
    </row>
    <row r="148" ht="171.75" customHeight="1">
      <c r="A148" s="807"/>
      <c r="B148" s="807"/>
      <c r="C148" s="807"/>
      <c r="D148" s="807"/>
      <c r="E148" s="807"/>
      <c r="F148" s="807"/>
      <c r="G148" s="807"/>
      <c r="H148" s="807"/>
      <c r="I148" s="807"/>
      <c r="J148" s="807"/>
      <c r="K148" s="807"/>
      <c r="L148" s="807"/>
      <c r="M148" s="807"/>
      <c r="N148" s="807"/>
      <c r="O148" s="807"/>
      <c r="P148" s="807"/>
      <c r="Q148" s="807"/>
      <c r="R148" s="807"/>
      <c r="S148" s="807"/>
      <c r="T148" s="807"/>
      <c r="U148" s="807"/>
      <c r="V148" s="807"/>
      <c r="W148" s="807"/>
      <c r="X148" s="807"/>
      <c r="Y148" s="807"/>
      <c r="Z148" s="807"/>
    </row>
    <row r="149" ht="171.75" customHeight="1">
      <c r="A149" s="807"/>
      <c r="B149" s="807"/>
      <c r="C149" s="807"/>
      <c r="D149" s="807"/>
      <c r="E149" s="807"/>
      <c r="F149" s="807"/>
      <c r="G149" s="807"/>
      <c r="H149" s="807"/>
      <c r="I149" s="807"/>
      <c r="J149" s="807"/>
      <c r="K149" s="807"/>
      <c r="L149" s="807"/>
      <c r="M149" s="807"/>
      <c r="N149" s="807"/>
      <c r="O149" s="807"/>
      <c r="P149" s="807"/>
      <c r="Q149" s="807"/>
      <c r="R149" s="807"/>
      <c r="S149" s="807"/>
      <c r="T149" s="807"/>
      <c r="U149" s="807"/>
      <c r="V149" s="807"/>
      <c r="W149" s="807"/>
      <c r="X149" s="807"/>
      <c r="Y149" s="807"/>
      <c r="Z149" s="807"/>
    </row>
    <row r="150" ht="171.75" customHeight="1">
      <c r="A150" s="807"/>
      <c r="B150" s="807"/>
      <c r="C150" s="807"/>
      <c r="D150" s="807"/>
      <c r="E150" s="807"/>
      <c r="F150" s="807"/>
      <c r="G150" s="807"/>
      <c r="H150" s="807"/>
      <c r="I150" s="807"/>
      <c r="J150" s="807"/>
      <c r="K150" s="807"/>
      <c r="L150" s="807"/>
      <c r="M150" s="807"/>
      <c r="N150" s="807"/>
      <c r="O150" s="807"/>
      <c r="P150" s="807"/>
      <c r="Q150" s="807"/>
      <c r="R150" s="807"/>
      <c r="S150" s="807"/>
      <c r="T150" s="807"/>
      <c r="U150" s="807"/>
      <c r="V150" s="807"/>
      <c r="W150" s="807"/>
      <c r="X150" s="807"/>
      <c r="Y150" s="807"/>
      <c r="Z150" s="807"/>
    </row>
    <row r="151" ht="171.75" customHeight="1">
      <c r="A151" s="807"/>
      <c r="B151" s="807"/>
      <c r="C151" s="807"/>
      <c r="D151" s="807"/>
      <c r="E151" s="807"/>
      <c r="F151" s="807"/>
      <c r="G151" s="807"/>
      <c r="H151" s="807"/>
      <c r="I151" s="807"/>
      <c r="J151" s="807"/>
      <c r="K151" s="807"/>
      <c r="L151" s="807"/>
      <c r="M151" s="807"/>
      <c r="N151" s="807"/>
      <c r="O151" s="807"/>
      <c r="P151" s="807"/>
      <c r="Q151" s="807"/>
      <c r="R151" s="807"/>
      <c r="S151" s="807"/>
      <c r="T151" s="807"/>
      <c r="U151" s="807"/>
      <c r="V151" s="807"/>
      <c r="W151" s="807"/>
      <c r="X151" s="807"/>
      <c r="Y151" s="807"/>
      <c r="Z151" s="807"/>
    </row>
    <row r="152" ht="171.75" customHeight="1">
      <c r="A152" s="807"/>
      <c r="B152" s="807"/>
      <c r="C152" s="807"/>
      <c r="D152" s="807"/>
      <c r="E152" s="807"/>
      <c r="F152" s="807"/>
      <c r="G152" s="807"/>
      <c r="H152" s="807"/>
      <c r="I152" s="807"/>
      <c r="J152" s="807"/>
      <c r="K152" s="807"/>
      <c r="L152" s="807"/>
      <c r="M152" s="807"/>
      <c r="N152" s="807"/>
      <c r="O152" s="807"/>
      <c r="P152" s="807"/>
      <c r="Q152" s="807"/>
      <c r="R152" s="807"/>
      <c r="S152" s="807"/>
      <c r="T152" s="807"/>
      <c r="U152" s="807"/>
      <c r="V152" s="807"/>
      <c r="W152" s="807"/>
      <c r="X152" s="807"/>
      <c r="Y152" s="807"/>
      <c r="Z152" s="807"/>
    </row>
    <row r="153" ht="171.75" customHeight="1">
      <c r="A153" s="807"/>
      <c r="B153" s="807"/>
      <c r="C153" s="807"/>
      <c r="D153" s="807"/>
      <c r="E153" s="807"/>
      <c r="F153" s="807"/>
      <c r="G153" s="807"/>
      <c r="H153" s="807"/>
      <c r="I153" s="807"/>
      <c r="J153" s="807"/>
      <c r="K153" s="807"/>
      <c r="L153" s="807"/>
      <c r="M153" s="807"/>
      <c r="N153" s="807"/>
      <c r="O153" s="807"/>
      <c r="P153" s="807"/>
      <c r="Q153" s="807"/>
      <c r="R153" s="807"/>
      <c r="S153" s="807"/>
      <c r="T153" s="807"/>
      <c r="U153" s="807"/>
      <c r="V153" s="807"/>
      <c r="W153" s="807"/>
      <c r="X153" s="807"/>
      <c r="Y153" s="807"/>
      <c r="Z153" s="807"/>
    </row>
    <row r="154" ht="171.75" customHeight="1">
      <c r="A154" s="807"/>
      <c r="B154" s="807"/>
      <c r="C154" s="807"/>
      <c r="D154" s="807"/>
      <c r="E154" s="807"/>
      <c r="F154" s="807"/>
      <c r="G154" s="807"/>
      <c r="H154" s="807"/>
      <c r="I154" s="807"/>
      <c r="J154" s="807"/>
      <c r="K154" s="807"/>
      <c r="L154" s="807"/>
      <c r="M154" s="807"/>
      <c r="N154" s="807"/>
      <c r="O154" s="807"/>
      <c r="P154" s="807"/>
      <c r="Q154" s="807"/>
      <c r="R154" s="807"/>
      <c r="S154" s="807"/>
      <c r="T154" s="807"/>
      <c r="U154" s="807"/>
      <c r="V154" s="807"/>
      <c r="W154" s="807"/>
      <c r="X154" s="807"/>
      <c r="Y154" s="807"/>
      <c r="Z154" s="807"/>
    </row>
    <row r="155" ht="171.75" customHeight="1">
      <c r="A155" s="807"/>
      <c r="B155" s="807"/>
      <c r="C155" s="807"/>
      <c r="D155" s="807"/>
      <c r="E155" s="807"/>
      <c r="F155" s="807"/>
      <c r="G155" s="807"/>
      <c r="H155" s="807"/>
      <c r="I155" s="807"/>
      <c r="J155" s="807"/>
      <c r="K155" s="807"/>
      <c r="L155" s="807"/>
      <c r="M155" s="807"/>
      <c r="N155" s="807"/>
      <c r="O155" s="807"/>
      <c r="P155" s="807"/>
      <c r="Q155" s="807"/>
      <c r="R155" s="807"/>
      <c r="S155" s="807"/>
      <c r="T155" s="807"/>
      <c r="U155" s="807"/>
      <c r="V155" s="807"/>
      <c r="W155" s="807"/>
      <c r="X155" s="807"/>
      <c r="Y155" s="807"/>
      <c r="Z155" s="807"/>
    </row>
    <row r="156" ht="171.75" customHeight="1">
      <c r="A156" s="807"/>
      <c r="B156" s="807"/>
      <c r="C156" s="807"/>
      <c r="D156" s="807"/>
      <c r="E156" s="807"/>
      <c r="F156" s="807"/>
      <c r="G156" s="807"/>
      <c r="H156" s="807"/>
      <c r="I156" s="807"/>
      <c r="J156" s="807"/>
      <c r="K156" s="807"/>
      <c r="L156" s="807"/>
      <c r="M156" s="807"/>
      <c r="N156" s="807"/>
      <c r="O156" s="807"/>
      <c r="P156" s="807"/>
      <c r="Q156" s="807"/>
      <c r="R156" s="807"/>
      <c r="S156" s="807"/>
      <c r="T156" s="807"/>
      <c r="U156" s="807"/>
      <c r="V156" s="807"/>
      <c r="W156" s="807"/>
      <c r="X156" s="807"/>
      <c r="Y156" s="807"/>
      <c r="Z156" s="807"/>
    </row>
    <row r="157" ht="171.75" customHeight="1">
      <c r="A157" s="807"/>
      <c r="B157" s="807"/>
      <c r="C157" s="807"/>
      <c r="D157" s="807"/>
      <c r="E157" s="807"/>
      <c r="F157" s="807"/>
      <c r="G157" s="807"/>
      <c r="H157" s="807"/>
      <c r="I157" s="807"/>
      <c r="J157" s="807"/>
      <c r="K157" s="807"/>
      <c r="L157" s="807"/>
      <c r="M157" s="807"/>
      <c r="N157" s="807"/>
      <c r="O157" s="807"/>
      <c r="P157" s="807"/>
      <c r="Q157" s="807"/>
      <c r="R157" s="807"/>
      <c r="S157" s="807"/>
      <c r="T157" s="807"/>
      <c r="U157" s="807"/>
      <c r="V157" s="807"/>
      <c r="W157" s="807"/>
      <c r="X157" s="807"/>
      <c r="Y157" s="807"/>
      <c r="Z157" s="807"/>
    </row>
    <row r="158" ht="171.75" customHeight="1">
      <c r="A158" s="807"/>
      <c r="B158" s="807"/>
      <c r="C158" s="807"/>
      <c r="D158" s="807"/>
      <c r="E158" s="807"/>
      <c r="F158" s="807"/>
      <c r="G158" s="807"/>
      <c r="H158" s="807"/>
      <c r="I158" s="807"/>
      <c r="J158" s="807"/>
      <c r="K158" s="807"/>
      <c r="L158" s="807"/>
      <c r="M158" s="807"/>
      <c r="N158" s="807"/>
      <c r="O158" s="807"/>
      <c r="P158" s="807"/>
      <c r="Q158" s="807"/>
      <c r="R158" s="807"/>
      <c r="S158" s="807"/>
      <c r="T158" s="807"/>
      <c r="U158" s="807"/>
      <c r="V158" s="807"/>
      <c r="W158" s="807"/>
      <c r="X158" s="807"/>
      <c r="Y158" s="807"/>
      <c r="Z158" s="807"/>
    </row>
    <row r="159" ht="171.75" customHeight="1">
      <c r="A159" s="807"/>
      <c r="B159" s="807"/>
      <c r="C159" s="807"/>
      <c r="D159" s="807"/>
      <c r="E159" s="807"/>
      <c r="F159" s="807"/>
      <c r="G159" s="807"/>
      <c r="H159" s="807"/>
      <c r="I159" s="807"/>
      <c r="J159" s="807"/>
      <c r="K159" s="807"/>
      <c r="L159" s="807"/>
      <c r="M159" s="807"/>
      <c r="N159" s="807"/>
      <c r="O159" s="807"/>
      <c r="P159" s="807"/>
      <c r="Q159" s="807"/>
      <c r="R159" s="807"/>
      <c r="S159" s="807"/>
      <c r="T159" s="807"/>
      <c r="U159" s="807"/>
      <c r="V159" s="807"/>
      <c r="W159" s="807"/>
      <c r="X159" s="807"/>
      <c r="Y159" s="807"/>
      <c r="Z159" s="807"/>
    </row>
    <row r="160" ht="171.75" customHeight="1">
      <c r="A160" s="807"/>
      <c r="B160" s="807"/>
      <c r="C160" s="807"/>
      <c r="D160" s="807"/>
      <c r="E160" s="807"/>
      <c r="F160" s="807"/>
      <c r="G160" s="807"/>
      <c r="H160" s="807"/>
      <c r="I160" s="807"/>
      <c r="J160" s="807"/>
      <c r="K160" s="807"/>
      <c r="L160" s="807"/>
      <c r="M160" s="807"/>
      <c r="N160" s="807"/>
      <c r="O160" s="807"/>
      <c r="P160" s="807"/>
      <c r="Q160" s="807"/>
      <c r="R160" s="807"/>
      <c r="S160" s="807"/>
      <c r="T160" s="807"/>
      <c r="U160" s="807"/>
      <c r="V160" s="807"/>
      <c r="W160" s="807"/>
      <c r="X160" s="807"/>
      <c r="Y160" s="807"/>
      <c r="Z160" s="807"/>
    </row>
    <row r="161" ht="171.75" customHeight="1">
      <c r="A161" s="807"/>
      <c r="B161" s="807"/>
      <c r="C161" s="807"/>
      <c r="D161" s="807"/>
      <c r="E161" s="807"/>
      <c r="F161" s="807"/>
      <c r="G161" s="807"/>
      <c r="H161" s="807"/>
      <c r="I161" s="807"/>
      <c r="J161" s="807"/>
      <c r="K161" s="807"/>
      <c r="L161" s="807"/>
      <c r="M161" s="807"/>
      <c r="N161" s="807"/>
      <c r="O161" s="807"/>
      <c r="P161" s="807"/>
      <c r="Q161" s="807"/>
      <c r="R161" s="807"/>
      <c r="S161" s="807"/>
      <c r="T161" s="807"/>
      <c r="U161" s="807"/>
      <c r="V161" s="807"/>
      <c r="W161" s="807"/>
      <c r="X161" s="807"/>
      <c r="Y161" s="807"/>
      <c r="Z161" s="807"/>
    </row>
    <row r="162" ht="171.75" customHeight="1">
      <c r="A162" s="807"/>
      <c r="B162" s="807"/>
      <c r="C162" s="807"/>
      <c r="D162" s="807"/>
      <c r="E162" s="807"/>
      <c r="F162" s="807"/>
      <c r="G162" s="807"/>
      <c r="H162" s="807"/>
      <c r="I162" s="807"/>
      <c r="J162" s="807"/>
      <c r="K162" s="807"/>
      <c r="L162" s="807"/>
      <c r="M162" s="807"/>
      <c r="N162" s="807"/>
      <c r="O162" s="807"/>
      <c r="P162" s="807"/>
      <c r="Q162" s="807"/>
      <c r="R162" s="807"/>
      <c r="S162" s="807"/>
      <c r="T162" s="807"/>
      <c r="U162" s="807"/>
      <c r="V162" s="807"/>
      <c r="W162" s="807"/>
      <c r="X162" s="807"/>
      <c r="Y162" s="807"/>
      <c r="Z162" s="807"/>
    </row>
    <row r="163" ht="171.75" customHeight="1">
      <c r="A163" s="807"/>
      <c r="B163" s="807"/>
      <c r="C163" s="807"/>
      <c r="D163" s="807"/>
      <c r="E163" s="807"/>
      <c r="F163" s="807"/>
      <c r="G163" s="807"/>
      <c r="H163" s="807"/>
      <c r="I163" s="807"/>
      <c r="J163" s="807"/>
      <c r="K163" s="807"/>
      <c r="L163" s="807"/>
      <c r="M163" s="807"/>
      <c r="N163" s="807"/>
      <c r="O163" s="807"/>
      <c r="P163" s="807"/>
      <c r="Q163" s="807"/>
      <c r="R163" s="807"/>
      <c r="S163" s="807"/>
      <c r="T163" s="807"/>
      <c r="U163" s="807"/>
      <c r="V163" s="807"/>
      <c r="W163" s="807"/>
      <c r="X163" s="807"/>
      <c r="Y163" s="807"/>
      <c r="Z163" s="807"/>
    </row>
    <row r="164" ht="171.75" customHeight="1">
      <c r="A164" s="807"/>
      <c r="B164" s="807"/>
      <c r="C164" s="807"/>
      <c r="D164" s="807"/>
      <c r="E164" s="807"/>
      <c r="F164" s="807"/>
      <c r="G164" s="807"/>
      <c r="H164" s="807"/>
      <c r="I164" s="807"/>
      <c r="J164" s="807"/>
      <c r="K164" s="807"/>
      <c r="L164" s="807"/>
      <c r="M164" s="807"/>
      <c r="N164" s="807"/>
      <c r="O164" s="807"/>
      <c r="P164" s="807"/>
      <c r="Q164" s="807"/>
      <c r="R164" s="807"/>
      <c r="S164" s="807"/>
      <c r="T164" s="807"/>
      <c r="U164" s="807"/>
      <c r="V164" s="807"/>
      <c r="W164" s="807"/>
      <c r="X164" s="807"/>
      <c r="Y164" s="807"/>
      <c r="Z164" s="807"/>
    </row>
    <row r="165" ht="171.75" customHeight="1">
      <c r="A165" s="807"/>
      <c r="B165" s="807"/>
      <c r="C165" s="807"/>
      <c r="D165" s="807"/>
      <c r="E165" s="807"/>
      <c r="F165" s="807"/>
      <c r="G165" s="807"/>
      <c r="H165" s="807"/>
      <c r="I165" s="807"/>
      <c r="J165" s="807"/>
      <c r="K165" s="807"/>
      <c r="L165" s="807"/>
      <c r="M165" s="807"/>
      <c r="N165" s="807"/>
      <c r="O165" s="807"/>
      <c r="P165" s="807"/>
      <c r="Q165" s="807"/>
      <c r="R165" s="807"/>
      <c r="S165" s="807"/>
      <c r="T165" s="807"/>
      <c r="U165" s="807"/>
      <c r="V165" s="807"/>
      <c r="W165" s="807"/>
      <c r="X165" s="807"/>
      <c r="Y165" s="807"/>
      <c r="Z165" s="807"/>
    </row>
    <row r="166" ht="171.75" customHeight="1">
      <c r="A166" s="807"/>
      <c r="B166" s="807"/>
      <c r="C166" s="807"/>
      <c r="D166" s="807"/>
      <c r="E166" s="807"/>
      <c r="F166" s="807"/>
      <c r="G166" s="807"/>
      <c r="H166" s="807"/>
      <c r="I166" s="807"/>
      <c r="J166" s="807"/>
      <c r="K166" s="807"/>
      <c r="L166" s="807"/>
      <c r="M166" s="807"/>
      <c r="N166" s="807"/>
      <c r="O166" s="807"/>
      <c r="P166" s="807"/>
      <c r="Q166" s="807"/>
      <c r="R166" s="807"/>
      <c r="S166" s="807"/>
      <c r="T166" s="807"/>
      <c r="U166" s="807"/>
      <c r="V166" s="807"/>
      <c r="W166" s="807"/>
      <c r="X166" s="807"/>
      <c r="Y166" s="807"/>
      <c r="Z166" s="807"/>
    </row>
    <row r="167" ht="171.75" customHeight="1">
      <c r="A167" s="807"/>
      <c r="B167" s="807"/>
      <c r="C167" s="807"/>
      <c r="D167" s="807"/>
      <c r="E167" s="807"/>
      <c r="F167" s="807"/>
      <c r="G167" s="807"/>
      <c r="H167" s="807"/>
      <c r="I167" s="807"/>
      <c r="J167" s="807"/>
      <c r="K167" s="807"/>
      <c r="L167" s="807"/>
      <c r="M167" s="807"/>
      <c r="N167" s="807"/>
      <c r="O167" s="807"/>
      <c r="P167" s="807"/>
      <c r="Q167" s="807"/>
      <c r="R167" s="807"/>
      <c r="S167" s="807"/>
      <c r="T167" s="807"/>
      <c r="U167" s="807"/>
      <c r="V167" s="807"/>
      <c r="W167" s="807"/>
      <c r="X167" s="807"/>
      <c r="Y167" s="807"/>
      <c r="Z167" s="807"/>
    </row>
    <row r="168" ht="171.75" customHeight="1">
      <c r="A168" s="807"/>
      <c r="B168" s="807"/>
      <c r="C168" s="807"/>
      <c r="D168" s="807"/>
      <c r="E168" s="807"/>
      <c r="F168" s="807"/>
      <c r="G168" s="807"/>
      <c r="H168" s="807"/>
      <c r="I168" s="807"/>
      <c r="J168" s="807"/>
      <c r="K168" s="807"/>
      <c r="L168" s="807"/>
      <c r="M168" s="807"/>
      <c r="N168" s="807"/>
      <c r="O168" s="807"/>
      <c r="P168" s="807"/>
      <c r="Q168" s="807"/>
      <c r="R168" s="807"/>
      <c r="S168" s="807"/>
      <c r="T168" s="807"/>
      <c r="U168" s="807"/>
      <c r="V168" s="807"/>
      <c r="W168" s="807"/>
      <c r="X168" s="807"/>
      <c r="Y168" s="807"/>
      <c r="Z168" s="807"/>
    </row>
    <row r="169" ht="171.75" customHeight="1">
      <c r="A169" s="807"/>
      <c r="B169" s="807"/>
      <c r="C169" s="807"/>
      <c r="D169" s="807"/>
      <c r="E169" s="807"/>
      <c r="F169" s="807"/>
      <c r="G169" s="807"/>
      <c r="H169" s="807"/>
      <c r="I169" s="807"/>
      <c r="J169" s="807"/>
      <c r="K169" s="807"/>
      <c r="L169" s="807"/>
      <c r="M169" s="807"/>
      <c r="N169" s="807"/>
      <c r="O169" s="807"/>
      <c r="P169" s="807"/>
      <c r="Q169" s="807"/>
      <c r="R169" s="807"/>
      <c r="S169" s="807"/>
      <c r="T169" s="807"/>
      <c r="U169" s="807"/>
      <c r="V169" s="807"/>
      <c r="W169" s="807"/>
      <c r="X169" s="807"/>
      <c r="Y169" s="807"/>
      <c r="Z169" s="807"/>
    </row>
    <row r="170" ht="171.75" customHeight="1">
      <c r="A170" s="807"/>
      <c r="B170" s="807"/>
      <c r="C170" s="807"/>
      <c r="D170" s="807"/>
      <c r="E170" s="807"/>
      <c r="F170" s="807"/>
      <c r="G170" s="807"/>
      <c r="H170" s="807"/>
      <c r="I170" s="807"/>
      <c r="J170" s="807"/>
      <c r="K170" s="807"/>
      <c r="L170" s="807"/>
      <c r="M170" s="807"/>
      <c r="N170" s="807"/>
      <c r="O170" s="807"/>
      <c r="P170" s="807"/>
      <c r="Q170" s="807"/>
      <c r="R170" s="807"/>
      <c r="S170" s="807"/>
      <c r="T170" s="807"/>
      <c r="U170" s="807"/>
      <c r="V170" s="807"/>
      <c r="W170" s="807"/>
      <c r="X170" s="807"/>
      <c r="Y170" s="807"/>
      <c r="Z170" s="807"/>
    </row>
    <row r="171" ht="171.75" customHeight="1">
      <c r="A171" s="807"/>
      <c r="B171" s="807"/>
      <c r="C171" s="807"/>
      <c r="D171" s="807"/>
      <c r="E171" s="807"/>
      <c r="F171" s="807"/>
      <c r="G171" s="807"/>
      <c r="H171" s="807"/>
      <c r="I171" s="807"/>
      <c r="J171" s="807"/>
      <c r="K171" s="807"/>
      <c r="L171" s="807"/>
      <c r="M171" s="807"/>
      <c r="N171" s="807"/>
      <c r="O171" s="807"/>
      <c r="P171" s="807"/>
      <c r="Q171" s="807"/>
      <c r="R171" s="807"/>
      <c r="S171" s="807"/>
      <c r="T171" s="807"/>
      <c r="U171" s="807"/>
      <c r="V171" s="807"/>
      <c r="W171" s="807"/>
      <c r="X171" s="807"/>
      <c r="Y171" s="807"/>
      <c r="Z171" s="807"/>
    </row>
    <row r="172" ht="171.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row>
    <row r="173" ht="171.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row>
    <row r="174" ht="171.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row>
    <row r="175" ht="171.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row>
    <row r="176" ht="171.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row>
    <row r="177" ht="171.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row>
    <row r="178" ht="171.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row>
    <row r="179" ht="171.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row>
    <row r="180" ht="171.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row>
    <row r="181" ht="171.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row>
    <row r="182" ht="171.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row>
    <row r="183" ht="171.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row>
    <row r="184" ht="171.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row>
    <row r="185" ht="171.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row>
    <row r="186" ht="171.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row>
    <row r="187" ht="171.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row>
    <row r="188" ht="171.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row>
    <row r="189" ht="171.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row>
    <row r="190" ht="171.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row>
    <row r="191" ht="171.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row>
    <row r="192" ht="171.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row>
    <row r="193" ht="171.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row>
    <row r="194" ht="171.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row>
    <row r="195" ht="171.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row>
    <row r="196" ht="171.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row>
    <row r="197" ht="171.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row>
    <row r="198" ht="171.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row>
    <row r="199" ht="171.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row>
    <row r="200" ht="171.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row>
    <row r="201" ht="171.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row>
    <row r="202" ht="171.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row>
    <row r="203" ht="171.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row>
    <row r="204" ht="171.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row>
    <row r="205" ht="171.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row>
    <row r="206" ht="171.75" customHeight="1">
      <c r="A206" s="807"/>
      <c r="B206" s="807"/>
      <c r="C206" s="807"/>
      <c r="D206" s="807"/>
      <c r="E206" s="807"/>
      <c r="F206" s="807"/>
      <c r="G206" s="807"/>
      <c r="H206" s="807"/>
      <c r="I206" s="807"/>
      <c r="J206" s="807"/>
      <c r="K206" s="807"/>
      <c r="L206" s="807"/>
      <c r="M206" s="807"/>
      <c r="N206" s="807"/>
      <c r="O206" s="807"/>
      <c r="P206" s="807"/>
      <c r="Q206" s="807"/>
      <c r="R206" s="807"/>
      <c r="S206" s="807"/>
      <c r="T206" s="807"/>
      <c r="U206" s="807"/>
      <c r="V206" s="807"/>
      <c r="W206" s="807"/>
      <c r="X206" s="807"/>
      <c r="Y206" s="807"/>
      <c r="Z206" s="807"/>
    </row>
    <row r="207" ht="171.75" customHeight="1">
      <c r="A207" s="807"/>
      <c r="B207" s="807"/>
      <c r="C207" s="807"/>
      <c r="D207" s="807"/>
      <c r="E207" s="807"/>
      <c r="F207" s="807"/>
      <c r="G207" s="807"/>
      <c r="H207" s="807"/>
      <c r="I207" s="807"/>
      <c r="J207" s="807"/>
      <c r="K207" s="807"/>
      <c r="L207" s="807"/>
      <c r="M207" s="807"/>
      <c r="N207" s="807"/>
      <c r="O207" s="807"/>
      <c r="P207" s="807"/>
      <c r="Q207" s="807"/>
      <c r="R207" s="807"/>
      <c r="S207" s="807"/>
      <c r="T207" s="807"/>
      <c r="U207" s="807"/>
      <c r="V207" s="807"/>
      <c r="W207" s="807"/>
      <c r="X207" s="807"/>
      <c r="Y207" s="807"/>
      <c r="Z207" s="807"/>
    </row>
    <row r="208" ht="171.75" customHeight="1">
      <c r="A208" s="807"/>
      <c r="B208" s="807"/>
      <c r="C208" s="807"/>
      <c r="D208" s="807"/>
      <c r="E208" s="807"/>
      <c r="F208" s="807"/>
      <c r="G208" s="807"/>
      <c r="H208" s="807"/>
      <c r="I208" s="807"/>
      <c r="J208" s="807"/>
      <c r="K208" s="807"/>
      <c r="L208" s="807"/>
      <c r="M208" s="807"/>
      <c r="N208" s="807"/>
      <c r="O208" s="807"/>
      <c r="P208" s="807"/>
      <c r="Q208" s="807"/>
      <c r="R208" s="807"/>
      <c r="S208" s="807"/>
      <c r="T208" s="807"/>
      <c r="U208" s="807"/>
      <c r="V208" s="807"/>
      <c r="W208" s="807"/>
      <c r="X208" s="807"/>
      <c r="Y208" s="807"/>
      <c r="Z208" s="807"/>
    </row>
    <row r="209" ht="171.75" customHeight="1">
      <c r="A209" s="807"/>
      <c r="B209" s="807"/>
      <c r="C209" s="807"/>
      <c r="D209" s="807"/>
      <c r="E209" s="807"/>
      <c r="F209" s="807"/>
      <c r="G209" s="807"/>
      <c r="H209" s="807"/>
      <c r="I209" s="807"/>
      <c r="J209" s="807"/>
      <c r="K209" s="807"/>
      <c r="L209" s="807"/>
      <c r="M209" s="807"/>
      <c r="N209" s="807"/>
      <c r="O209" s="807"/>
      <c r="P209" s="807"/>
      <c r="Q209" s="807"/>
      <c r="R209" s="807"/>
      <c r="S209" s="807"/>
      <c r="T209" s="807"/>
      <c r="U209" s="807"/>
      <c r="V209" s="807"/>
      <c r="W209" s="807"/>
      <c r="X209" s="807"/>
      <c r="Y209" s="807"/>
      <c r="Z209" s="807"/>
    </row>
    <row r="210" ht="171.75" customHeight="1">
      <c r="A210" s="807"/>
      <c r="B210" s="807"/>
      <c r="C210" s="807"/>
      <c r="D210" s="807"/>
      <c r="E210" s="807"/>
      <c r="F210" s="807"/>
      <c r="G210" s="807"/>
      <c r="H210" s="807"/>
      <c r="I210" s="807"/>
      <c r="J210" s="807"/>
      <c r="K210" s="807"/>
      <c r="L210" s="807"/>
      <c r="M210" s="807"/>
      <c r="N210" s="807"/>
      <c r="O210" s="807"/>
      <c r="P210" s="807"/>
      <c r="Q210" s="807"/>
      <c r="R210" s="807"/>
      <c r="S210" s="807"/>
      <c r="T210" s="807"/>
      <c r="U210" s="807"/>
      <c r="V210" s="807"/>
      <c r="W210" s="807"/>
      <c r="X210" s="807"/>
      <c r="Y210" s="807"/>
      <c r="Z210" s="807"/>
    </row>
    <row r="211" ht="171.75" customHeight="1">
      <c r="A211" s="807"/>
      <c r="B211" s="807"/>
      <c r="C211" s="807"/>
      <c r="D211" s="807"/>
      <c r="E211" s="807"/>
      <c r="F211" s="807"/>
      <c r="G211" s="807"/>
      <c r="H211" s="807"/>
      <c r="I211" s="807"/>
      <c r="J211" s="807"/>
      <c r="K211" s="807"/>
      <c r="L211" s="807"/>
      <c r="M211" s="807"/>
      <c r="N211" s="807"/>
      <c r="O211" s="807"/>
      <c r="P211" s="807"/>
      <c r="Q211" s="807"/>
      <c r="R211" s="807"/>
      <c r="S211" s="807"/>
      <c r="T211" s="807"/>
      <c r="U211" s="807"/>
      <c r="V211" s="807"/>
      <c r="W211" s="807"/>
      <c r="X211" s="807"/>
      <c r="Y211" s="807"/>
      <c r="Z211" s="807"/>
    </row>
    <row r="212" ht="171.75" customHeight="1">
      <c r="A212" s="807"/>
      <c r="B212" s="807"/>
      <c r="C212" s="807"/>
      <c r="D212" s="807"/>
      <c r="E212" s="807"/>
      <c r="F212" s="807"/>
      <c r="G212" s="807"/>
      <c r="H212" s="807"/>
      <c r="I212" s="807"/>
      <c r="J212" s="807"/>
      <c r="K212" s="807"/>
      <c r="L212" s="807"/>
      <c r="M212" s="807"/>
      <c r="N212" s="807"/>
      <c r="O212" s="807"/>
      <c r="P212" s="807"/>
      <c r="Q212" s="807"/>
      <c r="R212" s="807"/>
      <c r="S212" s="807"/>
      <c r="T212" s="807"/>
      <c r="U212" s="807"/>
      <c r="V212" s="807"/>
      <c r="W212" s="807"/>
      <c r="X212" s="807"/>
      <c r="Y212" s="807"/>
      <c r="Z212" s="807"/>
    </row>
    <row r="213" ht="171.75" customHeight="1">
      <c r="A213" s="807"/>
      <c r="B213" s="807"/>
      <c r="C213" s="807"/>
      <c r="D213" s="807"/>
      <c r="E213" s="807"/>
      <c r="F213" s="807"/>
      <c r="G213" s="807"/>
      <c r="H213" s="807"/>
      <c r="I213" s="807"/>
      <c r="J213" s="807"/>
      <c r="K213" s="807"/>
      <c r="L213" s="807"/>
      <c r="M213" s="807"/>
      <c r="N213" s="807"/>
      <c r="O213" s="807"/>
      <c r="P213" s="807"/>
      <c r="Q213" s="807"/>
      <c r="R213" s="807"/>
      <c r="S213" s="807"/>
      <c r="T213" s="807"/>
      <c r="U213" s="807"/>
      <c r="V213" s="807"/>
      <c r="W213" s="807"/>
      <c r="X213" s="807"/>
      <c r="Y213" s="807"/>
      <c r="Z213" s="807"/>
    </row>
    <row r="214" ht="171.75" customHeight="1">
      <c r="A214" s="807"/>
      <c r="B214" s="807"/>
      <c r="C214" s="807"/>
      <c r="D214" s="807"/>
      <c r="E214" s="807"/>
      <c r="F214" s="807"/>
      <c r="G214" s="807"/>
      <c r="H214" s="807"/>
      <c r="I214" s="807"/>
      <c r="J214" s="807"/>
      <c r="K214" s="807"/>
      <c r="L214" s="807"/>
      <c r="M214" s="807"/>
      <c r="N214" s="807"/>
      <c r="O214" s="807"/>
      <c r="P214" s="807"/>
      <c r="Q214" s="807"/>
      <c r="R214" s="807"/>
      <c r="S214" s="807"/>
      <c r="T214" s="807"/>
      <c r="U214" s="807"/>
      <c r="V214" s="807"/>
      <c r="W214" s="807"/>
      <c r="X214" s="807"/>
      <c r="Y214" s="807"/>
      <c r="Z214" s="807"/>
    </row>
    <row r="215" ht="171.75" customHeight="1">
      <c r="A215" s="807"/>
      <c r="B215" s="807"/>
      <c r="C215" s="807"/>
      <c r="D215" s="807"/>
      <c r="E215" s="807"/>
      <c r="F215" s="807"/>
      <c r="G215" s="807"/>
      <c r="H215" s="807"/>
      <c r="I215" s="807"/>
      <c r="J215" s="807"/>
      <c r="K215" s="807"/>
      <c r="L215" s="807"/>
      <c r="M215" s="807"/>
      <c r="N215" s="807"/>
      <c r="O215" s="807"/>
      <c r="P215" s="807"/>
      <c r="Q215" s="807"/>
      <c r="R215" s="807"/>
      <c r="S215" s="807"/>
      <c r="T215" s="807"/>
      <c r="U215" s="807"/>
      <c r="V215" s="807"/>
      <c r="W215" s="807"/>
      <c r="X215" s="807"/>
      <c r="Y215" s="807"/>
      <c r="Z215" s="807"/>
    </row>
    <row r="216" ht="171.75" customHeight="1">
      <c r="A216" s="807"/>
      <c r="B216" s="807"/>
      <c r="C216" s="807"/>
      <c r="D216" s="807"/>
      <c r="E216" s="807"/>
      <c r="F216" s="807"/>
      <c r="G216" s="807"/>
      <c r="H216" s="807"/>
      <c r="I216" s="807"/>
      <c r="J216" s="807"/>
      <c r="K216" s="807"/>
      <c r="L216" s="807"/>
      <c r="M216" s="807"/>
      <c r="N216" s="807"/>
      <c r="O216" s="807"/>
      <c r="P216" s="807"/>
      <c r="Q216" s="807"/>
      <c r="R216" s="807"/>
      <c r="S216" s="807"/>
      <c r="T216" s="807"/>
      <c r="U216" s="807"/>
      <c r="V216" s="807"/>
      <c r="W216" s="807"/>
      <c r="X216" s="807"/>
      <c r="Y216" s="807"/>
      <c r="Z216" s="807"/>
    </row>
    <row r="217" ht="171.75" customHeight="1">
      <c r="A217" s="807"/>
      <c r="B217" s="807"/>
      <c r="C217" s="807"/>
      <c r="D217" s="807"/>
      <c r="E217" s="807"/>
      <c r="F217" s="807"/>
      <c r="G217" s="807"/>
      <c r="H217" s="807"/>
      <c r="I217" s="807"/>
      <c r="J217" s="807"/>
      <c r="K217" s="807"/>
      <c r="L217" s="807"/>
      <c r="M217" s="807"/>
      <c r="N217" s="807"/>
      <c r="O217" s="807"/>
      <c r="P217" s="807"/>
      <c r="Q217" s="807"/>
      <c r="R217" s="807"/>
      <c r="S217" s="807"/>
      <c r="T217" s="807"/>
      <c r="U217" s="807"/>
      <c r="V217" s="807"/>
      <c r="W217" s="807"/>
      <c r="X217" s="807"/>
      <c r="Y217" s="807"/>
      <c r="Z217" s="807"/>
    </row>
    <row r="218" ht="171.75" customHeight="1">
      <c r="A218" s="807"/>
      <c r="B218" s="807"/>
      <c r="C218" s="807"/>
      <c r="D218" s="807"/>
      <c r="E218" s="807"/>
      <c r="F218" s="807"/>
      <c r="G218" s="807"/>
      <c r="H218" s="807"/>
      <c r="I218" s="807"/>
      <c r="J218" s="807"/>
      <c r="K218" s="807"/>
      <c r="L218" s="807"/>
      <c r="M218" s="807"/>
      <c r="N218" s="807"/>
      <c r="O218" s="807"/>
      <c r="P218" s="807"/>
      <c r="Q218" s="807"/>
      <c r="R218" s="807"/>
      <c r="S218" s="807"/>
      <c r="T218" s="807"/>
      <c r="U218" s="807"/>
      <c r="V218" s="807"/>
      <c r="W218" s="807"/>
      <c r="X218" s="807"/>
      <c r="Y218" s="807"/>
      <c r="Z218" s="807"/>
    </row>
    <row r="219" ht="171.75" customHeight="1">
      <c r="A219" s="807"/>
      <c r="B219" s="807"/>
      <c r="C219" s="807"/>
      <c r="D219" s="807"/>
      <c r="E219" s="807"/>
      <c r="F219" s="807"/>
      <c r="G219" s="807"/>
      <c r="H219" s="807"/>
      <c r="I219" s="807"/>
      <c r="J219" s="807"/>
      <c r="K219" s="807"/>
      <c r="L219" s="807"/>
      <c r="M219" s="807"/>
      <c r="N219" s="807"/>
      <c r="O219" s="807"/>
      <c r="P219" s="807"/>
      <c r="Q219" s="807"/>
      <c r="R219" s="807"/>
      <c r="S219" s="807"/>
      <c r="T219" s="807"/>
      <c r="U219" s="807"/>
      <c r="V219" s="807"/>
      <c r="W219" s="807"/>
      <c r="X219" s="807"/>
      <c r="Y219" s="807"/>
      <c r="Z219" s="807"/>
    </row>
    <row r="220" ht="171.75" customHeight="1">
      <c r="A220" s="807"/>
      <c r="B220" s="807"/>
      <c r="C220" s="807"/>
      <c r="D220" s="807"/>
      <c r="E220" s="807"/>
      <c r="F220" s="807"/>
      <c r="G220" s="807"/>
      <c r="H220" s="807"/>
      <c r="I220" s="807"/>
      <c r="J220" s="807"/>
      <c r="K220" s="807"/>
      <c r="L220" s="807"/>
      <c r="M220" s="807"/>
      <c r="N220" s="807"/>
      <c r="O220" s="807"/>
      <c r="P220" s="807"/>
      <c r="Q220" s="807"/>
      <c r="R220" s="807"/>
      <c r="S220" s="807"/>
      <c r="T220" s="807"/>
      <c r="U220" s="807"/>
      <c r="V220" s="807"/>
      <c r="W220" s="807"/>
      <c r="X220" s="807"/>
      <c r="Y220" s="807"/>
      <c r="Z220" s="807"/>
    </row>
    <row r="221" ht="171.75" customHeight="1">
      <c r="A221" s="807"/>
      <c r="B221" s="807"/>
      <c r="C221" s="807"/>
      <c r="D221" s="807"/>
      <c r="E221" s="807"/>
      <c r="F221" s="807"/>
      <c r="G221" s="807"/>
      <c r="H221" s="807"/>
      <c r="I221" s="807"/>
      <c r="J221" s="807"/>
      <c r="K221" s="807"/>
      <c r="L221" s="807"/>
      <c r="M221" s="807"/>
      <c r="N221" s="807"/>
      <c r="O221" s="807"/>
      <c r="P221" s="807"/>
      <c r="Q221" s="807"/>
      <c r="R221" s="807"/>
      <c r="S221" s="807"/>
      <c r="T221" s="807"/>
      <c r="U221" s="807"/>
      <c r="V221" s="807"/>
      <c r="W221" s="807"/>
      <c r="X221" s="807"/>
      <c r="Y221" s="807"/>
      <c r="Z221" s="807"/>
    </row>
    <row r="222" ht="171.75" customHeight="1">
      <c r="A222" s="807"/>
      <c r="B222" s="807"/>
      <c r="C222" s="807"/>
      <c r="D222" s="807"/>
      <c r="E222" s="807"/>
      <c r="F222" s="807"/>
      <c r="G222" s="807"/>
      <c r="H222" s="807"/>
      <c r="I222" s="807"/>
      <c r="J222" s="807"/>
      <c r="K222" s="807"/>
      <c r="L222" s="807"/>
      <c r="M222" s="807"/>
      <c r="N222" s="807"/>
      <c r="O222" s="807"/>
      <c r="P222" s="807"/>
      <c r="Q222" s="807"/>
      <c r="R222" s="807"/>
      <c r="S222" s="807"/>
      <c r="T222" s="807"/>
      <c r="U222" s="807"/>
      <c r="V222" s="807"/>
      <c r="W222" s="807"/>
      <c r="X222" s="807"/>
      <c r="Y222" s="807"/>
      <c r="Z222" s="807"/>
    </row>
    <row r="223" ht="171.75" customHeight="1">
      <c r="A223" s="807"/>
      <c r="B223" s="807"/>
      <c r="C223" s="807"/>
      <c r="D223" s="807"/>
      <c r="E223" s="807"/>
      <c r="F223" s="807"/>
      <c r="G223" s="807"/>
      <c r="H223" s="807"/>
      <c r="I223" s="807"/>
      <c r="J223" s="807"/>
      <c r="K223" s="807"/>
      <c r="L223" s="807"/>
      <c r="M223" s="807"/>
      <c r="N223" s="807"/>
      <c r="O223" s="807"/>
      <c r="P223" s="807"/>
      <c r="Q223" s="807"/>
      <c r="R223" s="807"/>
      <c r="S223" s="807"/>
      <c r="T223" s="807"/>
      <c r="U223" s="807"/>
      <c r="V223" s="807"/>
      <c r="W223" s="807"/>
      <c r="X223" s="807"/>
      <c r="Y223" s="807"/>
      <c r="Z223" s="807"/>
    </row>
    <row r="224" ht="171.75" customHeight="1">
      <c r="A224" s="807"/>
      <c r="B224" s="807"/>
      <c r="C224" s="807"/>
      <c r="D224" s="807"/>
      <c r="E224" s="807"/>
      <c r="F224" s="807"/>
      <c r="G224" s="807"/>
      <c r="H224" s="807"/>
      <c r="I224" s="807"/>
      <c r="J224" s="807"/>
      <c r="K224" s="807"/>
      <c r="L224" s="807"/>
      <c r="M224" s="807"/>
      <c r="N224" s="807"/>
      <c r="O224" s="807"/>
      <c r="P224" s="807"/>
      <c r="Q224" s="807"/>
      <c r="R224" s="807"/>
      <c r="S224" s="807"/>
      <c r="T224" s="807"/>
      <c r="U224" s="807"/>
      <c r="V224" s="807"/>
      <c r="W224" s="807"/>
      <c r="X224" s="807"/>
      <c r="Y224" s="807"/>
      <c r="Z224" s="807"/>
    </row>
    <row r="225" ht="171.75" customHeight="1">
      <c r="A225" s="807"/>
      <c r="B225" s="807"/>
      <c r="C225" s="807"/>
      <c r="D225" s="807"/>
      <c r="E225" s="807"/>
      <c r="F225" s="807"/>
      <c r="G225" s="807"/>
      <c r="H225" s="807"/>
      <c r="I225" s="807"/>
      <c r="J225" s="807"/>
      <c r="K225" s="807"/>
      <c r="L225" s="807"/>
      <c r="M225" s="807"/>
      <c r="N225" s="807"/>
      <c r="O225" s="807"/>
      <c r="P225" s="807"/>
      <c r="Q225" s="807"/>
      <c r="R225" s="807"/>
      <c r="S225" s="807"/>
      <c r="T225" s="807"/>
      <c r="U225" s="807"/>
      <c r="V225" s="807"/>
      <c r="W225" s="807"/>
      <c r="X225" s="807"/>
      <c r="Y225" s="807"/>
      <c r="Z225" s="807"/>
    </row>
    <row r="226" ht="171.75" customHeight="1">
      <c r="A226" s="807"/>
      <c r="B226" s="807"/>
      <c r="C226" s="807"/>
      <c r="D226" s="807"/>
      <c r="E226" s="807"/>
      <c r="F226" s="807"/>
      <c r="G226" s="807"/>
      <c r="H226" s="807"/>
      <c r="I226" s="807"/>
      <c r="J226" s="807"/>
      <c r="K226" s="807"/>
      <c r="L226" s="807"/>
      <c r="M226" s="807"/>
      <c r="N226" s="807"/>
      <c r="O226" s="807"/>
      <c r="P226" s="807"/>
      <c r="Q226" s="807"/>
      <c r="R226" s="807"/>
      <c r="S226" s="807"/>
      <c r="T226" s="807"/>
      <c r="U226" s="807"/>
      <c r="V226" s="807"/>
      <c r="W226" s="807"/>
      <c r="X226" s="807"/>
      <c r="Y226" s="807"/>
      <c r="Z226" s="807"/>
    </row>
    <row r="227" ht="171.75" customHeight="1">
      <c r="A227" s="807"/>
      <c r="B227" s="807"/>
      <c r="C227" s="807"/>
      <c r="D227" s="807"/>
      <c r="E227" s="807"/>
      <c r="F227" s="807"/>
      <c r="G227" s="807"/>
      <c r="H227" s="807"/>
      <c r="I227" s="807"/>
      <c r="J227" s="807"/>
      <c r="K227" s="807"/>
      <c r="L227" s="807"/>
      <c r="M227" s="807"/>
      <c r="N227" s="807"/>
      <c r="O227" s="807"/>
      <c r="P227" s="807"/>
      <c r="Q227" s="807"/>
      <c r="R227" s="807"/>
      <c r="S227" s="807"/>
      <c r="T227" s="807"/>
      <c r="U227" s="807"/>
      <c r="V227" s="807"/>
      <c r="W227" s="807"/>
      <c r="X227" s="807"/>
      <c r="Y227" s="807"/>
      <c r="Z227" s="807"/>
    </row>
    <row r="228" ht="171.75" customHeight="1">
      <c r="A228" s="807"/>
      <c r="B228" s="807"/>
      <c r="C228" s="807"/>
      <c r="D228" s="807"/>
      <c r="E228" s="807"/>
      <c r="F228" s="807"/>
      <c r="G228" s="807"/>
      <c r="H228" s="807"/>
      <c r="I228" s="807"/>
      <c r="J228" s="807"/>
      <c r="K228" s="807"/>
      <c r="L228" s="807"/>
      <c r="M228" s="807"/>
      <c r="N228" s="807"/>
      <c r="O228" s="807"/>
      <c r="P228" s="807"/>
      <c r="Q228" s="807"/>
      <c r="R228" s="807"/>
      <c r="S228" s="807"/>
      <c r="T228" s="807"/>
      <c r="U228" s="807"/>
      <c r="V228" s="807"/>
      <c r="W228" s="807"/>
      <c r="X228" s="807"/>
      <c r="Y228" s="807"/>
      <c r="Z228" s="807"/>
    </row>
    <row r="229" ht="171.75" customHeight="1">
      <c r="A229" s="807"/>
      <c r="B229" s="807"/>
      <c r="C229" s="807"/>
      <c r="D229" s="807"/>
      <c r="E229" s="807"/>
      <c r="F229" s="807"/>
      <c r="G229" s="807"/>
      <c r="H229" s="807"/>
      <c r="I229" s="807"/>
      <c r="J229" s="807"/>
      <c r="K229" s="807"/>
      <c r="L229" s="807"/>
      <c r="M229" s="807"/>
      <c r="N229" s="807"/>
      <c r="O229" s="807"/>
      <c r="P229" s="807"/>
      <c r="Q229" s="807"/>
      <c r="R229" s="807"/>
      <c r="S229" s="807"/>
      <c r="T229" s="807"/>
      <c r="U229" s="807"/>
      <c r="V229" s="807"/>
      <c r="W229" s="807"/>
      <c r="X229" s="807"/>
      <c r="Y229" s="807"/>
      <c r="Z229" s="807"/>
    </row>
    <row r="230" ht="171.75" customHeight="1">
      <c r="A230" s="807"/>
      <c r="B230" s="807"/>
      <c r="C230" s="807"/>
      <c r="D230" s="807"/>
      <c r="E230" s="807"/>
      <c r="F230" s="807"/>
      <c r="G230" s="807"/>
      <c r="H230" s="807"/>
      <c r="I230" s="807"/>
      <c r="J230" s="807"/>
      <c r="K230" s="807"/>
      <c r="L230" s="807"/>
      <c r="M230" s="807"/>
      <c r="N230" s="807"/>
      <c r="O230" s="807"/>
      <c r="P230" s="807"/>
      <c r="Q230" s="807"/>
      <c r="R230" s="807"/>
      <c r="S230" s="807"/>
      <c r="T230" s="807"/>
      <c r="U230" s="807"/>
      <c r="V230" s="807"/>
      <c r="W230" s="807"/>
      <c r="X230" s="807"/>
      <c r="Y230" s="807"/>
      <c r="Z230" s="807"/>
    </row>
    <row r="231" ht="171.75" customHeight="1">
      <c r="A231" s="807"/>
      <c r="B231" s="807"/>
      <c r="C231" s="807"/>
      <c r="D231" s="807"/>
      <c r="E231" s="807"/>
      <c r="F231" s="807"/>
      <c r="G231" s="807"/>
      <c r="H231" s="807"/>
      <c r="I231" s="807"/>
      <c r="J231" s="807"/>
      <c r="K231" s="807"/>
      <c r="L231" s="807"/>
      <c r="M231" s="807"/>
      <c r="N231" s="807"/>
      <c r="O231" s="807"/>
      <c r="P231" s="807"/>
      <c r="Q231" s="807"/>
      <c r="R231" s="807"/>
      <c r="S231" s="807"/>
      <c r="T231" s="807"/>
      <c r="U231" s="807"/>
      <c r="V231" s="807"/>
      <c r="W231" s="807"/>
      <c r="X231" s="807"/>
      <c r="Y231" s="807"/>
      <c r="Z231" s="807"/>
    </row>
    <row r="232" ht="171.75" customHeight="1">
      <c r="A232" s="807"/>
      <c r="B232" s="807"/>
      <c r="C232" s="807"/>
      <c r="D232" s="807"/>
      <c r="E232" s="807"/>
      <c r="F232" s="807"/>
      <c r="G232" s="807"/>
      <c r="H232" s="807"/>
      <c r="I232" s="807"/>
      <c r="J232" s="807"/>
      <c r="K232" s="807"/>
      <c r="L232" s="807"/>
      <c r="M232" s="807"/>
      <c r="N232" s="807"/>
      <c r="O232" s="807"/>
      <c r="P232" s="807"/>
      <c r="Q232" s="807"/>
      <c r="R232" s="807"/>
      <c r="S232" s="807"/>
      <c r="T232" s="807"/>
      <c r="U232" s="807"/>
      <c r="V232" s="807"/>
      <c r="W232" s="807"/>
      <c r="X232" s="807"/>
      <c r="Y232" s="807"/>
      <c r="Z232" s="807"/>
    </row>
    <row r="233" ht="171.75" customHeight="1">
      <c r="A233" s="807"/>
      <c r="B233" s="807"/>
      <c r="C233" s="807"/>
      <c r="D233" s="807"/>
      <c r="E233" s="807"/>
      <c r="F233" s="807"/>
      <c r="G233" s="807"/>
      <c r="H233" s="807"/>
      <c r="I233" s="807"/>
      <c r="J233" s="807"/>
      <c r="K233" s="807"/>
      <c r="L233" s="807"/>
      <c r="M233" s="807"/>
      <c r="N233" s="807"/>
      <c r="O233" s="807"/>
      <c r="P233" s="807"/>
      <c r="Q233" s="807"/>
      <c r="R233" s="807"/>
      <c r="S233" s="807"/>
      <c r="T233" s="807"/>
      <c r="U233" s="807"/>
      <c r="V233" s="807"/>
      <c r="W233" s="807"/>
      <c r="X233" s="807"/>
      <c r="Y233" s="807"/>
      <c r="Z233" s="807"/>
    </row>
    <row r="234" ht="171.75" customHeight="1">
      <c r="A234" s="807"/>
      <c r="B234" s="807"/>
      <c r="C234" s="807"/>
      <c r="D234" s="807"/>
      <c r="E234" s="807"/>
      <c r="F234" s="807"/>
      <c r="G234" s="807"/>
      <c r="H234" s="807"/>
      <c r="I234" s="807"/>
      <c r="J234" s="807"/>
      <c r="K234" s="807"/>
      <c r="L234" s="807"/>
      <c r="M234" s="807"/>
      <c r="N234" s="807"/>
      <c r="O234" s="807"/>
      <c r="P234" s="807"/>
      <c r="Q234" s="807"/>
      <c r="R234" s="807"/>
      <c r="S234" s="807"/>
      <c r="T234" s="807"/>
      <c r="U234" s="807"/>
      <c r="V234" s="807"/>
      <c r="W234" s="807"/>
      <c r="X234" s="807"/>
      <c r="Y234" s="807"/>
      <c r="Z234" s="807"/>
    </row>
    <row r="235" ht="171.75" customHeight="1">
      <c r="A235" s="807"/>
      <c r="B235" s="807"/>
      <c r="C235" s="807"/>
      <c r="D235" s="807"/>
      <c r="E235" s="807"/>
      <c r="F235" s="807"/>
      <c r="G235" s="807"/>
      <c r="H235" s="807"/>
      <c r="I235" s="807"/>
      <c r="J235" s="807"/>
      <c r="K235" s="807"/>
      <c r="L235" s="807"/>
      <c r="M235" s="807"/>
      <c r="N235" s="807"/>
      <c r="O235" s="807"/>
      <c r="P235" s="807"/>
      <c r="Q235" s="807"/>
      <c r="R235" s="807"/>
      <c r="S235" s="807"/>
      <c r="T235" s="807"/>
      <c r="U235" s="807"/>
      <c r="V235" s="807"/>
      <c r="W235" s="807"/>
      <c r="X235" s="807"/>
      <c r="Y235" s="807"/>
      <c r="Z235" s="807"/>
    </row>
    <row r="236" ht="171.75" customHeight="1">
      <c r="A236" s="807"/>
      <c r="B236" s="807"/>
      <c r="C236" s="807"/>
      <c r="D236" s="807"/>
      <c r="E236" s="807"/>
      <c r="F236" s="807"/>
      <c r="G236" s="807"/>
      <c r="H236" s="807"/>
      <c r="I236" s="807"/>
      <c r="J236" s="807"/>
      <c r="K236" s="807"/>
      <c r="L236" s="807"/>
      <c r="M236" s="807"/>
      <c r="N236" s="807"/>
      <c r="O236" s="807"/>
      <c r="P236" s="807"/>
      <c r="Q236" s="807"/>
      <c r="R236" s="807"/>
      <c r="S236" s="807"/>
      <c r="T236" s="807"/>
      <c r="U236" s="807"/>
      <c r="V236" s="807"/>
      <c r="W236" s="807"/>
      <c r="X236" s="807"/>
      <c r="Y236" s="807"/>
      <c r="Z236" s="807"/>
    </row>
    <row r="237" ht="171.75" customHeight="1">
      <c r="A237" s="807"/>
      <c r="B237" s="807"/>
      <c r="C237" s="807"/>
      <c r="D237" s="807"/>
      <c r="E237" s="807"/>
      <c r="F237" s="807"/>
      <c r="G237" s="807"/>
      <c r="H237" s="807"/>
      <c r="I237" s="807"/>
      <c r="J237" s="807"/>
      <c r="K237" s="807"/>
      <c r="L237" s="807"/>
      <c r="M237" s="807"/>
      <c r="N237" s="807"/>
      <c r="O237" s="807"/>
      <c r="P237" s="807"/>
      <c r="Q237" s="807"/>
      <c r="R237" s="807"/>
      <c r="S237" s="807"/>
      <c r="T237" s="807"/>
      <c r="U237" s="807"/>
      <c r="V237" s="807"/>
      <c r="W237" s="807"/>
      <c r="X237" s="807"/>
      <c r="Y237" s="807"/>
      <c r="Z237" s="807"/>
    </row>
    <row r="238" ht="171.75" customHeight="1">
      <c r="A238" s="807"/>
      <c r="B238" s="807"/>
      <c r="C238" s="807"/>
      <c r="D238" s="807"/>
      <c r="E238" s="807"/>
      <c r="F238" s="807"/>
      <c r="G238" s="807"/>
      <c r="H238" s="807"/>
      <c r="I238" s="807"/>
      <c r="J238" s="807"/>
      <c r="K238" s="807"/>
      <c r="L238" s="807"/>
      <c r="M238" s="807"/>
      <c r="N238" s="807"/>
      <c r="O238" s="807"/>
      <c r="P238" s="807"/>
      <c r="Q238" s="807"/>
      <c r="R238" s="807"/>
      <c r="S238" s="807"/>
      <c r="T238" s="807"/>
      <c r="U238" s="807"/>
      <c r="V238" s="807"/>
      <c r="W238" s="807"/>
      <c r="X238" s="807"/>
      <c r="Y238" s="807"/>
      <c r="Z238" s="807"/>
    </row>
    <row r="239" ht="171.75" customHeight="1">
      <c r="A239" s="807"/>
      <c r="B239" s="807"/>
      <c r="C239" s="807"/>
      <c r="D239" s="807"/>
      <c r="E239" s="807"/>
      <c r="F239" s="807"/>
      <c r="G239" s="807"/>
      <c r="H239" s="807"/>
      <c r="I239" s="807"/>
      <c r="J239" s="807"/>
      <c r="K239" s="807"/>
      <c r="L239" s="807"/>
      <c r="M239" s="807"/>
      <c r="N239" s="807"/>
      <c r="O239" s="807"/>
      <c r="P239" s="807"/>
      <c r="Q239" s="807"/>
      <c r="R239" s="807"/>
      <c r="S239" s="807"/>
      <c r="T239" s="807"/>
      <c r="U239" s="807"/>
      <c r="V239" s="807"/>
      <c r="W239" s="807"/>
      <c r="X239" s="807"/>
      <c r="Y239" s="807"/>
      <c r="Z239" s="807"/>
    </row>
    <row r="240" ht="171.75" customHeight="1">
      <c r="A240" s="807"/>
      <c r="B240" s="807"/>
      <c r="C240" s="807"/>
      <c r="D240" s="807"/>
      <c r="E240" s="807"/>
      <c r="F240" s="807"/>
      <c r="G240" s="807"/>
      <c r="H240" s="807"/>
      <c r="I240" s="807"/>
      <c r="J240" s="807"/>
      <c r="K240" s="807"/>
      <c r="L240" s="807"/>
      <c r="M240" s="807"/>
      <c r="N240" s="807"/>
      <c r="O240" s="807"/>
      <c r="P240" s="807"/>
      <c r="Q240" s="807"/>
      <c r="R240" s="807"/>
      <c r="S240" s="807"/>
      <c r="T240" s="807"/>
      <c r="U240" s="807"/>
      <c r="V240" s="807"/>
      <c r="W240" s="807"/>
      <c r="X240" s="807"/>
      <c r="Y240" s="807"/>
      <c r="Z240" s="807"/>
    </row>
    <row r="241" ht="171.75" customHeight="1">
      <c r="A241" s="807"/>
      <c r="B241" s="807"/>
      <c r="C241" s="807"/>
      <c r="D241" s="807"/>
      <c r="E241" s="807"/>
      <c r="F241" s="807"/>
      <c r="G241" s="807"/>
      <c r="H241" s="807"/>
      <c r="I241" s="807"/>
      <c r="J241" s="807"/>
      <c r="K241" s="807"/>
      <c r="L241" s="807"/>
      <c r="M241" s="807"/>
      <c r="N241" s="807"/>
      <c r="O241" s="807"/>
      <c r="P241" s="807"/>
      <c r="Q241" s="807"/>
      <c r="R241" s="807"/>
      <c r="S241" s="807"/>
      <c r="T241" s="807"/>
      <c r="U241" s="807"/>
      <c r="V241" s="807"/>
      <c r="W241" s="807"/>
      <c r="X241" s="807"/>
      <c r="Y241" s="807"/>
      <c r="Z241" s="807"/>
    </row>
    <row r="242" ht="171.75" customHeight="1">
      <c r="A242" s="807"/>
      <c r="B242" s="807"/>
      <c r="C242" s="807"/>
      <c r="D242" s="807"/>
      <c r="E242" s="807"/>
      <c r="F242" s="807"/>
      <c r="G242" s="807"/>
      <c r="H242" s="807"/>
      <c r="I242" s="807"/>
      <c r="J242" s="807"/>
      <c r="K242" s="807"/>
      <c r="L242" s="807"/>
      <c r="M242" s="807"/>
      <c r="N242" s="807"/>
      <c r="O242" s="807"/>
      <c r="P242" s="807"/>
      <c r="Q242" s="807"/>
      <c r="R242" s="807"/>
      <c r="S242" s="807"/>
      <c r="T242" s="807"/>
      <c r="U242" s="807"/>
      <c r="V242" s="807"/>
      <c r="W242" s="807"/>
      <c r="X242" s="807"/>
      <c r="Y242" s="807"/>
      <c r="Z242" s="807"/>
    </row>
    <row r="243" ht="171.75" customHeight="1">
      <c r="A243" s="807"/>
      <c r="B243" s="807"/>
      <c r="C243" s="807"/>
      <c r="D243" s="807"/>
      <c r="E243" s="807"/>
      <c r="F243" s="807"/>
      <c r="G243" s="807"/>
      <c r="H243" s="807"/>
      <c r="I243" s="807"/>
      <c r="J243" s="807"/>
      <c r="K243" s="807"/>
      <c r="L243" s="807"/>
      <c r="M243" s="807"/>
      <c r="N243" s="807"/>
      <c r="O243" s="807"/>
      <c r="P243" s="807"/>
      <c r="Q243" s="807"/>
      <c r="R243" s="807"/>
      <c r="S243" s="807"/>
      <c r="T243" s="807"/>
      <c r="U243" s="807"/>
      <c r="V243" s="807"/>
      <c r="W243" s="807"/>
      <c r="X243" s="807"/>
      <c r="Y243" s="807"/>
      <c r="Z243" s="807"/>
    </row>
    <row r="244" ht="171.75" customHeight="1">
      <c r="A244" s="807"/>
      <c r="B244" s="807"/>
      <c r="C244" s="807"/>
      <c r="D244" s="807"/>
      <c r="E244" s="807"/>
      <c r="F244" s="807"/>
      <c r="G244" s="807"/>
      <c r="H244" s="807"/>
      <c r="I244" s="807"/>
      <c r="J244" s="807"/>
      <c r="K244" s="807"/>
      <c r="L244" s="807"/>
      <c r="M244" s="807"/>
      <c r="N244" s="807"/>
      <c r="O244" s="807"/>
      <c r="P244" s="807"/>
      <c r="Q244" s="807"/>
      <c r="R244" s="807"/>
      <c r="S244" s="807"/>
      <c r="T244" s="807"/>
      <c r="U244" s="807"/>
      <c r="V244" s="807"/>
      <c r="W244" s="807"/>
      <c r="X244" s="807"/>
      <c r="Y244" s="807"/>
      <c r="Z244" s="807"/>
    </row>
    <row r="245" ht="171.75" customHeight="1">
      <c r="A245" s="807"/>
      <c r="B245" s="807"/>
      <c r="C245" s="807"/>
      <c r="D245" s="807"/>
      <c r="E245" s="807"/>
      <c r="F245" s="807"/>
      <c r="G245" s="807"/>
      <c r="H245" s="807"/>
      <c r="I245" s="807"/>
      <c r="J245" s="807"/>
      <c r="K245" s="807"/>
      <c r="L245" s="807"/>
      <c r="M245" s="807"/>
      <c r="N245" s="807"/>
      <c r="O245" s="807"/>
      <c r="P245" s="807"/>
      <c r="Q245" s="807"/>
      <c r="R245" s="807"/>
      <c r="S245" s="807"/>
      <c r="T245" s="807"/>
      <c r="U245" s="807"/>
      <c r="V245" s="807"/>
      <c r="W245" s="807"/>
      <c r="X245" s="807"/>
      <c r="Y245" s="807"/>
      <c r="Z245" s="807"/>
    </row>
    <row r="246" ht="171.75" customHeight="1">
      <c r="A246" s="807"/>
      <c r="B246" s="807"/>
      <c r="C246" s="807"/>
      <c r="D246" s="807"/>
      <c r="E246" s="807"/>
      <c r="F246" s="807"/>
      <c r="G246" s="807"/>
      <c r="H246" s="807"/>
      <c r="I246" s="807"/>
      <c r="J246" s="807"/>
      <c r="K246" s="807"/>
      <c r="L246" s="807"/>
      <c r="M246" s="807"/>
      <c r="N246" s="807"/>
      <c r="O246" s="807"/>
      <c r="P246" s="807"/>
      <c r="Q246" s="807"/>
      <c r="R246" s="807"/>
      <c r="S246" s="807"/>
      <c r="T246" s="807"/>
      <c r="U246" s="807"/>
      <c r="V246" s="807"/>
      <c r="W246" s="807"/>
      <c r="X246" s="807"/>
      <c r="Y246" s="807"/>
      <c r="Z246" s="807"/>
    </row>
    <row r="247" ht="171.75" customHeight="1">
      <c r="A247" s="807"/>
      <c r="B247" s="807"/>
      <c r="C247" s="807"/>
      <c r="D247" s="807"/>
      <c r="E247" s="807"/>
      <c r="F247" s="807"/>
      <c r="G247" s="807"/>
      <c r="H247" s="807"/>
      <c r="I247" s="807"/>
      <c r="J247" s="807"/>
      <c r="K247" s="807"/>
      <c r="L247" s="807"/>
      <c r="M247" s="807"/>
      <c r="N247" s="807"/>
      <c r="O247" s="807"/>
      <c r="P247" s="807"/>
      <c r="Q247" s="807"/>
      <c r="R247" s="807"/>
      <c r="S247" s="807"/>
      <c r="T247" s="807"/>
      <c r="U247" s="807"/>
      <c r="V247" s="807"/>
      <c r="W247" s="807"/>
      <c r="X247" s="807"/>
      <c r="Y247" s="807"/>
      <c r="Z247" s="807"/>
    </row>
    <row r="248" ht="171.75" customHeight="1">
      <c r="A248" s="807"/>
      <c r="B248" s="807"/>
      <c r="C248" s="807"/>
      <c r="D248" s="807"/>
      <c r="E248" s="807"/>
      <c r="F248" s="807"/>
      <c r="G248" s="807"/>
      <c r="H248" s="807"/>
      <c r="I248" s="807"/>
      <c r="J248" s="807"/>
      <c r="K248" s="807"/>
      <c r="L248" s="807"/>
      <c r="M248" s="807"/>
      <c r="N248" s="807"/>
      <c r="O248" s="807"/>
      <c r="P248" s="807"/>
      <c r="Q248" s="807"/>
      <c r="R248" s="807"/>
      <c r="S248" s="807"/>
      <c r="T248" s="807"/>
      <c r="U248" s="807"/>
      <c r="V248" s="807"/>
      <c r="W248" s="807"/>
      <c r="X248" s="807"/>
      <c r="Y248" s="807"/>
      <c r="Z248" s="807"/>
    </row>
    <row r="249" ht="171.75" customHeight="1">
      <c r="A249" s="807"/>
      <c r="B249" s="807"/>
      <c r="C249" s="807"/>
      <c r="D249" s="807"/>
      <c r="E249" s="807"/>
      <c r="F249" s="807"/>
      <c r="G249" s="807"/>
      <c r="H249" s="807"/>
      <c r="I249" s="807"/>
      <c r="J249" s="807"/>
      <c r="K249" s="807"/>
      <c r="L249" s="807"/>
      <c r="M249" s="807"/>
      <c r="N249" s="807"/>
      <c r="O249" s="807"/>
      <c r="P249" s="807"/>
      <c r="Q249" s="807"/>
      <c r="R249" s="807"/>
      <c r="S249" s="807"/>
      <c r="T249" s="807"/>
      <c r="U249" s="807"/>
      <c r="V249" s="807"/>
      <c r="W249" s="807"/>
      <c r="X249" s="807"/>
      <c r="Y249" s="807"/>
      <c r="Z249" s="807"/>
    </row>
    <row r="250" ht="171.75" customHeight="1">
      <c r="A250" s="807"/>
      <c r="B250" s="807"/>
      <c r="C250" s="807"/>
      <c r="D250" s="807"/>
      <c r="E250" s="807"/>
      <c r="F250" s="807"/>
      <c r="G250" s="807"/>
      <c r="H250" s="807"/>
      <c r="I250" s="807"/>
      <c r="J250" s="807"/>
      <c r="K250" s="807"/>
      <c r="L250" s="807"/>
      <c r="M250" s="807"/>
      <c r="N250" s="807"/>
      <c r="O250" s="807"/>
      <c r="P250" s="807"/>
      <c r="Q250" s="807"/>
      <c r="R250" s="807"/>
      <c r="S250" s="807"/>
      <c r="T250" s="807"/>
      <c r="U250" s="807"/>
      <c r="V250" s="807"/>
      <c r="W250" s="807"/>
      <c r="X250" s="807"/>
      <c r="Y250" s="807"/>
      <c r="Z250" s="807"/>
    </row>
    <row r="251" ht="171.75" customHeight="1">
      <c r="A251" s="807"/>
      <c r="B251" s="807"/>
      <c r="C251" s="807"/>
      <c r="D251" s="807"/>
      <c r="E251" s="807"/>
      <c r="F251" s="807"/>
      <c r="G251" s="807"/>
      <c r="H251" s="807"/>
      <c r="I251" s="807"/>
      <c r="J251" s="807"/>
      <c r="K251" s="807"/>
      <c r="L251" s="807"/>
      <c r="M251" s="807"/>
      <c r="N251" s="807"/>
      <c r="O251" s="807"/>
      <c r="P251" s="807"/>
      <c r="Q251" s="807"/>
      <c r="R251" s="807"/>
      <c r="S251" s="807"/>
      <c r="T251" s="807"/>
      <c r="U251" s="807"/>
      <c r="V251" s="807"/>
      <c r="W251" s="807"/>
      <c r="X251" s="807"/>
      <c r="Y251" s="807"/>
      <c r="Z251" s="807"/>
    </row>
    <row r="252" ht="171.75" customHeight="1">
      <c r="A252" s="807"/>
      <c r="B252" s="807"/>
      <c r="C252" s="807"/>
      <c r="D252" s="807"/>
      <c r="E252" s="807"/>
      <c r="F252" s="807"/>
      <c r="G252" s="807"/>
      <c r="H252" s="807"/>
      <c r="I252" s="807"/>
      <c r="J252" s="807"/>
      <c r="K252" s="807"/>
      <c r="L252" s="807"/>
      <c r="M252" s="807"/>
      <c r="N252" s="807"/>
      <c r="O252" s="807"/>
      <c r="P252" s="807"/>
      <c r="Q252" s="807"/>
      <c r="R252" s="807"/>
      <c r="S252" s="807"/>
      <c r="T252" s="807"/>
      <c r="U252" s="807"/>
      <c r="V252" s="807"/>
      <c r="W252" s="807"/>
      <c r="X252" s="807"/>
      <c r="Y252" s="807"/>
      <c r="Z252" s="807"/>
    </row>
    <row r="253" ht="171.75" customHeight="1">
      <c r="A253" s="807"/>
      <c r="B253" s="807"/>
      <c r="C253" s="807"/>
      <c r="D253" s="807"/>
      <c r="E253" s="807"/>
      <c r="F253" s="807"/>
      <c r="G253" s="807"/>
      <c r="H253" s="807"/>
      <c r="I253" s="807"/>
      <c r="J253" s="807"/>
      <c r="K253" s="807"/>
      <c r="L253" s="807"/>
      <c r="M253" s="807"/>
      <c r="N253" s="807"/>
      <c r="O253" s="807"/>
      <c r="P253" s="807"/>
      <c r="Q253" s="807"/>
      <c r="R253" s="807"/>
      <c r="S253" s="807"/>
      <c r="T253" s="807"/>
      <c r="U253" s="807"/>
      <c r="V253" s="807"/>
      <c r="W253" s="807"/>
      <c r="X253" s="807"/>
      <c r="Y253" s="807"/>
      <c r="Z253" s="807"/>
    </row>
    <row r="254" ht="171.75" customHeight="1">
      <c r="A254" s="807"/>
      <c r="B254" s="807"/>
      <c r="C254" s="807"/>
      <c r="D254" s="807"/>
      <c r="E254" s="807"/>
      <c r="F254" s="807"/>
      <c r="G254" s="807"/>
      <c r="H254" s="807"/>
      <c r="I254" s="807"/>
      <c r="J254" s="807"/>
      <c r="K254" s="807"/>
      <c r="L254" s="807"/>
      <c r="M254" s="807"/>
      <c r="N254" s="807"/>
      <c r="O254" s="807"/>
      <c r="P254" s="807"/>
      <c r="Q254" s="807"/>
      <c r="R254" s="807"/>
      <c r="S254" s="807"/>
      <c r="T254" s="807"/>
      <c r="U254" s="807"/>
      <c r="V254" s="807"/>
      <c r="W254" s="807"/>
      <c r="X254" s="807"/>
      <c r="Y254" s="807"/>
      <c r="Z254" s="807"/>
    </row>
    <row r="255" ht="171.75" customHeight="1">
      <c r="A255" s="807"/>
      <c r="B255" s="807"/>
      <c r="C255" s="807"/>
      <c r="D255" s="807"/>
      <c r="E255" s="807"/>
      <c r="F255" s="807"/>
      <c r="G255" s="807"/>
      <c r="H255" s="807"/>
      <c r="I255" s="807"/>
      <c r="J255" s="807"/>
      <c r="K255" s="807"/>
      <c r="L255" s="807"/>
      <c r="M255" s="807"/>
      <c r="N255" s="807"/>
      <c r="O255" s="807"/>
      <c r="P255" s="807"/>
      <c r="Q255" s="807"/>
      <c r="R255" s="807"/>
      <c r="S255" s="807"/>
      <c r="T255" s="807"/>
      <c r="U255" s="807"/>
      <c r="V255" s="807"/>
      <c r="W255" s="807"/>
      <c r="X255" s="807"/>
      <c r="Y255" s="807"/>
      <c r="Z255" s="807"/>
    </row>
    <row r="256" ht="171.75" customHeight="1">
      <c r="A256" s="807"/>
      <c r="B256" s="807"/>
      <c r="C256" s="807"/>
      <c r="D256" s="807"/>
      <c r="E256" s="807"/>
      <c r="F256" s="807"/>
      <c r="G256" s="807"/>
      <c r="H256" s="807"/>
      <c r="I256" s="807"/>
      <c r="J256" s="807"/>
      <c r="K256" s="807"/>
      <c r="L256" s="807"/>
      <c r="M256" s="807"/>
      <c r="N256" s="807"/>
      <c r="O256" s="807"/>
      <c r="P256" s="807"/>
      <c r="Q256" s="807"/>
      <c r="R256" s="807"/>
      <c r="S256" s="807"/>
      <c r="T256" s="807"/>
      <c r="U256" s="807"/>
      <c r="V256" s="807"/>
      <c r="W256" s="807"/>
      <c r="X256" s="807"/>
      <c r="Y256" s="807"/>
      <c r="Z256" s="807"/>
    </row>
    <row r="257" ht="171.75" customHeight="1">
      <c r="A257" s="807"/>
      <c r="B257" s="807"/>
      <c r="C257" s="807"/>
      <c r="D257" s="807"/>
      <c r="E257" s="807"/>
      <c r="F257" s="807"/>
      <c r="G257" s="807"/>
      <c r="H257" s="807"/>
      <c r="I257" s="807"/>
      <c r="J257" s="807"/>
      <c r="K257" s="807"/>
      <c r="L257" s="807"/>
      <c r="M257" s="807"/>
      <c r="N257" s="807"/>
      <c r="O257" s="807"/>
      <c r="P257" s="807"/>
      <c r="Q257" s="807"/>
      <c r="R257" s="807"/>
      <c r="S257" s="807"/>
      <c r="T257" s="807"/>
      <c r="U257" s="807"/>
      <c r="V257" s="807"/>
      <c r="W257" s="807"/>
      <c r="X257" s="807"/>
      <c r="Y257" s="807"/>
      <c r="Z257" s="807"/>
    </row>
    <row r="258" ht="171.75" customHeight="1">
      <c r="A258" s="807"/>
      <c r="B258" s="807"/>
      <c r="C258" s="807"/>
      <c r="D258" s="807"/>
      <c r="E258" s="807"/>
      <c r="F258" s="807"/>
      <c r="G258" s="807"/>
      <c r="H258" s="807"/>
      <c r="I258" s="807"/>
      <c r="J258" s="807"/>
      <c r="K258" s="807"/>
      <c r="L258" s="807"/>
      <c r="M258" s="807"/>
      <c r="N258" s="807"/>
      <c r="O258" s="807"/>
      <c r="P258" s="807"/>
      <c r="Q258" s="807"/>
      <c r="R258" s="807"/>
      <c r="S258" s="807"/>
      <c r="T258" s="807"/>
      <c r="U258" s="807"/>
      <c r="V258" s="807"/>
      <c r="W258" s="807"/>
      <c r="X258" s="807"/>
      <c r="Y258" s="807"/>
      <c r="Z258" s="807"/>
    </row>
    <row r="259" ht="171.75" customHeight="1">
      <c r="A259" s="807"/>
      <c r="B259" s="807"/>
      <c r="C259" s="807"/>
      <c r="D259" s="807"/>
      <c r="E259" s="807"/>
      <c r="F259" s="807"/>
      <c r="G259" s="807"/>
      <c r="H259" s="807"/>
      <c r="I259" s="807"/>
      <c r="J259" s="807"/>
      <c r="K259" s="807"/>
      <c r="L259" s="807"/>
      <c r="M259" s="807"/>
      <c r="N259" s="807"/>
      <c r="O259" s="807"/>
      <c r="P259" s="807"/>
      <c r="Q259" s="807"/>
      <c r="R259" s="807"/>
      <c r="S259" s="807"/>
      <c r="T259" s="807"/>
      <c r="U259" s="807"/>
      <c r="V259" s="807"/>
      <c r="W259" s="807"/>
      <c r="X259" s="807"/>
      <c r="Y259" s="807"/>
      <c r="Z259" s="807"/>
    </row>
    <row r="260" ht="171.75" customHeight="1">
      <c r="A260" s="807"/>
      <c r="B260" s="807"/>
      <c r="C260" s="807"/>
      <c r="D260" s="807"/>
      <c r="E260" s="807"/>
      <c r="F260" s="807"/>
      <c r="G260" s="807"/>
      <c r="H260" s="807"/>
      <c r="I260" s="807"/>
      <c r="J260" s="807"/>
      <c r="K260" s="807"/>
      <c r="L260" s="807"/>
      <c r="M260" s="807"/>
      <c r="N260" s="807"/>
      <c r="O260" s="807"/>
      <c r="P260" s="807"/>
      <c r="Q260" s="807"/>
      <c r="R260" s="807"/>
      <c r="S260" s="807"/>
      <c r="T260" s="807"/>
      <c r="U260" s="807"/>
      <c r="V260" s="807"/>
      <c r="W260" s="807"/>
      <c r="X260" s="807"/>
      <c r="Y260" s="807"/>
      <c r="Z260" s="807"/>
    </row>
    <row r="261" ht="171.75" customHeight="1">
      <c r="A261" s="807"/>
      <c r="B261" s="807"/>
      <c r="C261" s="807"/>
      <c r="D261" s="807"/>
      <c r="E261" s="807"/>
      <c r="F261" s="807"/>
      <c r="G261" s="807"/>
      <c r="H261" s="807"/>
      <c r="I261" s="807"/>
      <c r="J261" s="807"/>
      <c r="K261" s="807"/>
      <c r="L261" s="807"/>
      <c r="M261" s="807"/>
      <c r="N261" s="807"/>
      <c r="O261" s="807"/>
      <c r="P261" s="807"/>
      <c r="Q261" s="807"/>
      <c r="R261" s="807"/>
      <c r="S261" s="807"/>
      <c r="T261" s="807"/>
      <c r="U261" s="807"/>
      <c r="V261" s="807"/>
      <c r="W261" s="807"/>
      <c r="X261" s="807"/>
      <c r="Y261" s="807"/>
      <c r="Z261" s="807"/>
    </row>
    <row r="262" ht="171.75" customHeight="1">
      <c r="A262" s="807"/>
      <c r="B262" s="807"/>
      <c r="C262" s="807"/>
      <c r="D262" s="807"/>
      <c r="E262" s="807"/>
      <c r="F262" s="807"/>
      <c r="G262" s="807"/>
      <c r="H262" s="807"/>
      <c r="I262" s="807"/>
      <c r="J262" s="807"/>
      <c r="K262" s="807"/>
      <c r="L262" s="807"/>
      <c r="M262" s="807"/>
      <c r="N262" s="807"/>
      <c r="O262" s="807"/>
      <c r="P262" s="807"/>
      <c r="Q262" s="807"/>
      <c r="R262" s="807"/>
      <c r="S262" s="807"/>
      <c r="T262" s="807"/>
      <c r="U262" s="807"/>
      <c r="V262" s="807"/>
      <c r="W262" s="807"/>
      <c r="X262" s="807"/>
      <c r="Y262" s="807"/>
      <c r="Z262" s="807"/>
    </row>
    <row r="263" ht="171.75" customHeight="1">
      <c r="A263" s="807"/>
      <c r="B263" s="807"/>
      <c r="C263" s="807"/>
      <c r="D263" s="807"/>
      <c r="E263" s="807"/>
      <c r="F263" s="807"/>
      <c r="G263" s="807"/>
      <c r="H263" s="807"/>
      <c r="I263" s="807"/>
      <c r="J263" s="807"/>
      <c r="K263" s="807"/>
      <c r="L263" s="807"/>
      <c r="M263" s="807"/>
      <c r="N263" s="807"/>
      <c r="O263" s="807"/>
      <c r="P263" s="807"/>
      <c r="Q263" s="807"/>
      <c r="R263" s="807"/>
      <c r="S263" s="807"/>
      <c r="T263" s="807"/>
      <c r="U263" s="807"/>
      <c r="V263" s="807"/>
      <c r="W263" s="807"/>
      <c r="X263" s="807"/>
      <c r="Y263" s="807"/>
      <c r="Z263" s="807"/>
    </row>
    <row r="264" ht="171.75" customHeight="1">
      <c r="A264" s="807"/>
      <c r="B264" s="807"/>
      <c r="C264" s="807"/>
      <c r="D264" s="807"/>
      <c r="E264" s="807"/>
      <c r="F264" s="807"/>
      <c r="G264" s="807"/>
      <c r="H264" s="807"/>
      <c r="I264" s="807"/>
      <c r="J264" s="807"/>
      <c r="K264" s="807"/>
      <c r="L264" s="807"/>
      <c r="M264" s="807"/>
      <c r="N264" s="807"/>
      <c r="O264" s="807"/>
      <c r="P264" s="807"/>
      <c r="Q264" s="807"/>
      <c r="R264" s="807"/>
      <c r="S264" s="807"/>
      <c r="T264" s="807"/>
      <c r="U264" s="807"/>
      <c r="V264" s="807"/>
      <c r="W264" s="807"/>
      <c r="X264" s="807"/>
      <c r="Y264" s="807"/>
      <c r="Z264" s="807"/>
    </row>
    <row r="265" ht="171.75" customHeight="1">
      <c r="A265" s="807"/>
      <c r="B265" s="807"/>
      <c r="C265" s="807"/>
      <c r="D265" s="807"/>
      <c r="E265" s="807"/>
      <c r="F265" s="807"/>
      <c r="G265" s="807"/>
      <c r="H265" s="807"/>
      <c r="I265" s="807"/>
      <c r="J265" s="807"/>
      <c r="K265" s="807"/>
      <c r="L265" s="807"/>
      <c r="M265" s="807"/>
      <c r="N265" s="807"/>
      <c r="O265" s="807"/>
      <c r="P265" s="807"/>
      <c r="Q265" s="807"/>
      <c r="R265" s="807"/>
      <c r="S265" s="807"/>
      <c r="T265" s="807"/>
      <c r="U265" s="807"/>
      <c r="V265" s="807"/>
      <c r="W265" s="807"/>
      <c r="X265" s="807"/>
      <c r="Y265" s="807"/>
      <c r="Z265" s="807"/>
    </row>
    <row r="266" ht="171.75" customHeight="1">
      <c r="A266" s="807"/>
      <c r="B266" s="807"/>
      <c r="C266" s="807"/>
      <c r="D266" s="807"/>
      <c r="E266" s="807"/>
      <c r="F266" s="807"/>
      <c r="G266" s="807"/>
      <c r="H266" s="807"/>
      <c r="I266" s="807"/>
      <c r="J266" s="807"/>
      <c r="K266" s="807"/>
      <c r="L266" s="807"/>
      <c r="M266" s="807"/>
      <c r="N266" s="807"/>
      <c r="O266" s="807"/>
      <c r="P266" s="807"/>
      <c r="Q266" s="807"/>
      <c r="R266" s="807"/>
      <c r="S266" s="807"/>
      <c r="T266" s="807"/>
      <c r="U266" s="807"/>
      <c r="V266" s="807"/>
      <c r="W266" s="807"/>
      <c r="X266" s="807"/>
      <c r="Y266" s="807"/>
      <c r="Z266" s="807"/>
    </row>
    <row r="267" ht="171.75" customHeight="1">
      <c r="A267" s="807"/>
      <c r="B267" s="807"/>
      <c r="C267" s="807"/>
      <c r="D267" s="807"/>
      <c r="E267" s="807"/>
      <c r="F267" s="807"/>
      <c r="G267" s="807"/>
      <c r="H267" s="807"/>
      <c r="I267" s="807"/>
      <c r="J267" s="807"/>
      <c r="K267" s="807"/>
      <c r="L267" s="807"/>
      <c r="M267" s="807"/>
      <c r="N267" s="807"/>
      <c r="O267" s="807"/>
      <c r="P267" s="807"/>
      <c r="Q267" s="807"/>
      <c r="R267" s="807"/>
      <c r="S267" s="807"/>
      <c r="T267" s="807"/>
      <c r="U267" s="807"/>
      <c r="V267" s="807"/>
      <c r="W267" s="807"/>
      <c r="X267" s="807"/>
      <c r="Y267" s="807"/>
      <c r="Z267" s="807"/>
    </row>
    <row r="268" ht="171.75" customHeight="1">
      <c r="A268" s="807"/>
      <c r="B268" s="807"/>
      <c r="C268" s="807"/>
      <c r="D268" s="807"/>
      <c r="E268" s="807"/>
      <c r="F268" s="807"/>
      <c r="G268" s="807"/>
      <c r="H268" s="807"/>
      <c r="I268" s="807"/>
      <c r="J268" s="807"/>
      <c r="K268" s="807"/>
      <c r="L268" s="807"/>
      <c r="M268" s="807"/>
      <c r="N268" s="807"/>
      <c r="O268" s="807"/>
      <c r="P268" s="807"/>
      <c r="Q268" s="807"/>
      <c r="R268" s="807"/>
      <c r="S268" s="807"/>
      <c r="T268" s="807"/>
      <c r="U268" s="807"/>
      <c r="V268" s="807"/>
      <c r="W268" s="807"/>
      <c r="X268" s="807"/>
      <c r="Y268" s="807"/>
      <c r="Z268" s="807"/>
    </row>
    <row r="269" ht="171.75" customHeight="1">
      <c r="A269" s="807"/>
      <c r="B269" s="807"/>
      <c r="C269" s="807"/>
      <c r="D269" s="807"/>
      <c r="E269" s="807"/>
      <c r="F269" s="807"/>
      <c r="G269" s="807"/>
      <c r="H269" s="807"/>
      <c r="I269" s="807"/>
      <c r="J269" s="807"/>
      <c r="K269" s="807"/>
      <c r="L269" s="807"/>
      <c r="M269" s="807"/>
      <c r="N269" s="807"/>
      <c r="O269" s="807"/>
      <c r="P269" s="807"/>
      <c r="Q269" s="807"/>
      <c r="R269" s="807"/>
      <c r="S269" s="807"/>
      <c r="T269" s="807"/>
      <c r="U269" s="807"/>
      <c r="V269" s="807"/>
      <c r="W269" s="807"/>
      <c r="X269" s="807"/>
      <c r="Y269" s="807"/>
      <c r="Z269" s="807"/>
    </row>
    <row r="270" ht="171.75" customHeight="1">
      <c r="A270" s="807"/>
      <c r="B270" s="807"/>
      <c r="C270" s="807"/>
      <c r="D270" s="807"/>
      <c r="E270" s="807"/>
      <c r="F270" s="807"/>
      <c r="G270" s="807"/>
      <c r="H270" s="807"/>
      <c r="I270" s="807"/>
      <c r="J270" s="807"/>
      <c r="K270" s="807"/>
      <c r="L270" s="807"/>
      <c r="M270" s="807"/>
      <c r="N270" s="807"/>
      <c r="O270" s="807"/>
      <c r="P270" s="807"/>
      <c r="Q270" s="807"/>
      <c r="R270" s="807"/>
      <c r="S270" s="807"/>
      <c r="T270" s="807"/>
      <c r="U270" s="807"/>
      <c r="V270" s="807"/>
      <c r="W270" s="807"/>
      <c r="X270" s="807"/>
      <c r="Y270" s="807"/>
      <c r="Z270" s="807"/>
    </row>
    <row r="271" ht="171.75" customHeight="1">
      <c r="A271" s="807"/>
      <c r="B271" s="807"/>
      <c r="C271" s="807"/>
      <c r="D271" s="807"/>
      <c r="E271" s="807"/>
      <c r="F271" s="807"/>
      <c r="G271" s="807"/>
      <c r="H271" s="807"/>
      <c r="I271" s="807"/>
      <c r="J271" s="807"/>
      <c r="K271" s="807"/>
      <c r="L271" s="807"/>
      <c r="M271" s="807"/>
      <c r="N271" s="807"/>
      <c r="O271" s="807"/>
      <c r="P271" s="807"/>
      <c r="Q271" s="807"/>
      <c r="R271" s="807"/>
      <c r="S271" s="807"/>
      <c r="T271" s="807"/>
      <c r="U271" s="807"/>
      <c r="V271" s="807"/>
      <c r="W271" s="807"/>
      <c r="X271" s="807"/>
      <c r="Y271" s="807"/>
      <c r="Z271" s="807"/>
    </row>
    <row r="272" ht="171.75" customHeight="1">
      <c r="A272" s="807"/>
      <c r="B272" s="807"/>
      <c r="C272" s="807"/>
      <c r="D272" s="807"/>
      <c r="E272" s="807"/>
      <c r="F272" s="807"/>
      <c r="G272" s="807"/>
      <c r="H272" s="807"/>
      <c r="I272" s="807"/>
      <c r="J272" s="807"/>
      <c r="K272" s="807"/>
      <c r="L272" s="807"/>
      <c r="M272" s="807"/>
      <c r="N272" s="807"/>
      <c r="O272" s="807"/>
      <c r="P272" s="807"/>
      <c r="Q272" s="807"/>
      <c r="R272" s="807"/>
      <c r="S272" s="807"/>
      <c r="T272" s="807"/>
      <c r="U272" s="807"/>
      <c r="V272" s="807"/>
      <c r="W272" s="807"/>
      <c r="X272" s="807"/>
      <c r="Y272" s="807"/>
      <c r="Z272" s="807"/>
    </row>
    <row r="273" ht="171.75" customHeight="1">
      <c r="A273" s="807"/>
      <c r="B273" s="807"/>
      <c r="C273" s="807"/>
      <c r="D273" s="807"/>
      <c r="E273" s="807"/>
      <c r="F273" s="807"/>
      <c r="G273" s="807"/>
      <c r="H273" s="807"/>
      <c r="I273" s="807"/>
      <c r="J273" s="807"/>
      <c r="K273" s="807"/>
      <c r="L273" s="807"/>
      <c r="M273" s="807"/>
      <c r="N273" s="807"/>
      <c r="O273" s="807"/>
      <c r="P273" s="807"/>
      <c r="Q273" s="807"/>
      <c r="R273" s="807"/>
      <c r="S273" s="807"/>
      <c r="T273" s="807"/>
      <c r="U273" s="807"/>
      <c r="V273" s="807"/>
      <c r="W273" s="807"/>
      <c r="X273" s="807"/>
      <c r="Y273" s="807"/>
      <c r="Z273" s="807"/>
    </row>
    <row r="274" ht="171.75" customHeight="1">
      <c r="A274" s="807"/>
      <c r="B274" s="807"/>
      <c r="C274" s="807"/>
      <c r="D274" s="807"/>
      <c r="E274" s="807"/>
      <c r="F274" s="807"/>
      <c r="G274" s="807"/>
      <c r="H274" s="807"/>
      <c r="I274" s="807"/>
      <c r="J274" s="807"/>
      <c r="K274" s="807"/>
      <c r="L274" s="807"/>
      <c r="M274" s="807"/>
      <c r="N274" s="807"/>
      <c r="O274" s="807"/>
      <c r="P274" s="807"/>
      <c r="Q274" s="807"/>
      <c r="R274" s="807"/>
      <c r="S274" s="807"/>
      <c r="T274" s="807"/>
      <c r="U274" s="807"/>
      <c r="V274" s="807"/>
      <c r="W274" s="807"/>
      <c r="X274" s="807"/>
      <c r="Y274" s="807"/>
      <c r="Z274" s="807"/>
    </row>
    <row r="275" ht="171.75" customHeight="1">
      <c r="A275" s="807"/>
      <c r="B275" s="807"/>
      <c r="C275" s="807"/>
      <c r="D275" s="807"/>
      <c r="E275" s="807"/>
      <c r="F275" s="807"/>
      <c r="G275" s="807"/>
      <c r="H275" s="807"/>
      <c r="I275" s="807"/>
      <c r="J275" s="807"/>
      <c r="K275" s="807"/>
      <c r="L275" s="807"/>
      <c r="M275" s="807"/>
      <c r="N275" s="807"/>
      <c r="O275" s="807"/>
      <c r="P275" s="807"/>
      <c r="Q275" s="807"/>
      <c r="R275" s="807"/>
      <c r="S275" s="807"/>
      <c r="T275" s="807"/>
      <c r="U275" s="807"/>
      <c r="V275" s="807"/>
      <c r="W275" s="807"/>
      <c r="X275" s="807"/>
      <c r="Y275" s="807"/>
      <c r="Z275" s="807"/>
    </row>
    <row r="276" ht="171.75" customHeight="1">
      <c r="A276" s="807"/>
      <c r="B276" s="807"/>
      <c r="C276" s="807"/>
      <c r="D276" s="807"/>
      <c r="E276" s="807"/>
      <c r="F276" s="807"/>
      <c r="G276" s="807"/>
      <c r="H276" s="807"/>
      <c r="I276" s="807"/>
      <c r="J276" s="807"/>
      <c r="K276" s="807"/>
      <c r="L276" s="807"/>
      <c r="M276" s="807"/>
      <c r="N276" s="807"/>
      <c r="O276" s="807"/>
      <c r="P276" s="807"/>
      <c r="Q276" s="807"/>
      <c r="R276" s="807"/>
      <c r="S276" s="807"/>
      <c r="T276" s="807"/>
      <c r="U276" s="807"/>
      <c r="V276" s="807"/>
      <c r="W276" s="807"/>
      <c r="X276" s="807"/>
      <c r="Y276" s="807"/>
      <c r="Z276" s="807"/>
    </row>
    <row r="277" ht="171.75" customHeight="1">
      <c r="A277" s="807"/>
      <c r="B277" s="807"/>
      <c r="C277" s="807"/>
      <c r="D277" s="807"/>
      <c r="E277" s="807"/>
      <c r="F277" s="807"/>
      <c r="G277" s="807"/>
      <c r="H277" s="807"/>
      <c r="I277" s="807"/>
      <c r="J277" s="807"/>
      <c r="K277" s="807"/>
      <c r="L277" s="807"/>
      <c r="M277" s="807"/>
      <c r="N277" s="807"/>
      <c r="O277" s="807"/>
      <c r="P277" s="807"/>
      <c r="Q277" s="807"/>
      <c r="R277" s="807"/>
      <c r="S277" s="807"/>
      <c r="T277" s="807"/>
      <c r="U277" s="807"/>
      <c r="V277" s="807"/>
      <c r="W277" s="807"/>
      <c r="X277" s="807"/>
      <c r="Y277" s="807"/>
      <c r="Z277" s="807"/>
    </row>
    <row r="278" ht="171.75" customHeight="1">
      <c r="A278" s="807"/>
      <c r="B278" s="807"/>
      <c r="C278" s="807"/>
      <c r="D278" s="807"/>
      <c r="E278" s="807"/>
      <c r="F278" s="807"/>
      <c r="G278" s="807"/>
      <c r="H278" s="807"/>
      <c r="I278" s="807"/>
      <c r="J278" s="807"/>
      <c r="K278" s="807"/>
      <c r="L278" s="807"/>
      <c r="M278" s="807"/>
      <c r="N278" s="807"/>
      <c r="O278" s="807"/>
      <c r="P278" s="807"/>
      <c r="Q278" s="807"/>
      <c r="R278" s="807"/>
      <c r="S278" s="807"/>
      <c r="T278" s="807"/>
      <c r="U278" s="807"/>
      <c r="V278" s="807"/>
      <c r="W278" s="807"/>
      <c r="X278" s="807"/>
      <c r="Y278" s="807"/>
      <c r="Z278" s="807"/>
    </row>
    <row r="279" ht="171.75" customHeight="1">
      <c r="A279" s="807"/>
      <c r="B279" s="807"/>
      <c r="C279" s="807"/>
      <c r="D279" s="807"/>
      <c r="E279" s="807"/>
      <c r="F279" s="807"/>
      <c r="G279" s="807"/>
      <c r="H279" s="807"/>
      <c r="I279" s="807"/>
      <c r="J279" s="807"/>
      <c r="K279" s="807"/>
      <c r="L279" s="807"/>
      <c r="M279" s="807"/>
      <c r="N279" s="807"/>
      <c r="O279" s="807"/>
      <c r="P279" s="807"/>
      <c r="Q279" s="807"/>
      <c r="R279" s="807"/>
      <c r="S279" s="807"/>
      <c r="T279" s="807"/>
      <c r="U279" s="807"/>
      <c r="V279" s="807"/>
      <c r="W279" s="807"/>
      <c r="X279" s="807"/>
      <c r="Y279" s="807"/>
      <c r="Z279" s="807"/>
    </row>
    <row r="280" ht="171.75" customHeight="1">
      <c r="A280" s="807"/>
      <c r="B280" s="807"/>
      <c r="C280" s="807"/>
      <c r="D280" s="807"/>
      <c r="E280" s="807"/>
      <c r="F280" s="807"/>
      <c r="G280" s="807"/>
      <c r="H280" s="807"/>
      <c r="I280" s="807"/>
      <c r="J280" s="807"/>
      <c r="K280" s="807"/>
      <c r="L280" s="807"/>
      <c r="M280" s="807"/>
      <c r="N280" s="807"/>
      <c r="O280" s="807"/>
      <c r="P280" s="807"/>
      <c r="Q280" s="807"/>
      <c r="R280" s="807"/>
      <c r="S280" s="807"/>
      <c r="T280" s="807"/>
      <c r="U280" s="807"/>
      <c r="V280" s="807"/>
      <c r="W280" s="807"/>
      <c r="X280" s="807"/>
      <c r="Y280" s="807"/>
      <c r="Z280" s="807"/>
    </row>
    <row r="281" ht="171.75" customHeight="1">
      <c r="A281" s="807"/>
      <c r="B281" s="807"/>
      <c r="C281" s="807"/>
      <c r="D281" s="807"/>
      <c r="E281" s="807"/>
      <c r="F281" s="807"/>
      <c r="G281" s="807"/>
      <c r="H281" s="807"/>
      <c r="I281" s="807"/>
      <c r="J281" s="807"/>
      <c r="K281" s="807"/>
      <c r="L281" s="807"/>
      <c r="M281" s="807"/>
      <c r="N281" s="807"/>
      <c r="O281" s="807"/>
      <c r="P281" s="807"/>
      <c r="Q281" s="807"/>
      <c r="R281" s="807"/>
      <c r="S281" s="807"/>
      <c r="T281" s="807"/>
      <c r="U281" s="807"/>
      <c r="V281" s="807"/>
      <c r="W281" s="807"/>
      <c r="X281" s="807"/>
      <c r="Y281" s="807"/>
      <c r="Z281" s="807"/>
    </row>
    <row r="282" ht="171.75" customHeight="1">
      <c r="A282" s="807"/>
      <c r="B282" s="807"/>
      <c r="C282" s="807"/>
      <c r="D282" s="807"/>
      <c r="E282" s="807"/>
      <c r="F282" s="807"/>
      <c r="G282" s="807"/>
      <c r="H282" s="807"/>
      <c r="I282" s="807"/>
      <c r="J282" s="807"/>
      <c r="K282" s="807"/>
      <c r="L282" s="807"/>
      <c r="M282" s="807"/>
      <c r="N282" s="807"/>
      <c r="O282" s="807"/>
      <c r="P282" s="807"/>
      <c r="Q282" s="807"/>
      <c r="R282" s="807"/>
      <c r="S282" s="807"/>
      <c r="T282" s="807"/>
      <c r="U282" s="807"/>
      <c r="V282" s="807"/>
      <c r="W282" s="807"/>
      <c r="X282" s="807"/>
      <c r="Y282" s="807"/>
      <c r="Z282" s="807"/>
    </row>
    <row r="283" ht="171.75" customHeight="1">
      <c r="A283" s="807"/>
      <c r="B283" s="807"/>
      <c r="C283" s="807"/>
      <c r="D283" s="807"/>
      <c r="E283" s="807"/>
      <c r="F283" s="807"/>
      <c r="G283" s="807"/>
      <c r="H283" s="807"/>
      <c r="I283" s="807"/>
      <c r="J283" s="807"/>
      <c r="K283" s="807"/>
      <c r="L283" s="807"/>
      <c r="M283" s="807"/>
      <c r="N283" s="807"/>
      <c r="O283" s="807"/>
      <c r="P283" s="807"/>
      <c r="Q283" s="807"/>
      <c r="R283" s="807"/>
      <c r="S283" s="807"/>
      <c r="T283" s="807"/>
      <c r="U283" s="807"/>
      <c r="V283" s="807"/>
      <c r="W283" s="807"/>
      <c r="X283" s="807"/>
      <c r="Y283" s="807"/>
      <c r="Z283" s="807"/>
    </row>
    <row r="284" ht="171.75" customHeight="1">
      <c r="A284" s="807"/>
      <c r="B284" s="807"/>
      <c r="C284" s="807"/>
      <c r="D284" s="807"/>
      <c r="E284" s="807"/>
      <c r="F284" s="807"/>
      <c r="G284" s="807"/>
      <c r="H284" s="807"/>
      <c r="I284" s="807"/>
      <c r="J284" s="807"/>
      <c r="K284" s="807"/>
      <c r="L284" s="807"/>
      <c r="M284" s="807"/>
      <c r="N284" s="807"/>
      <c r="O284" s="807"/>
      <c r="P284" s="807"/>
      <c r="Q284" s="807"/>
      <c r="R284" s="807"/>
      <c r="S284" s="807"/>
      <c r="T284" s="807"/>
      <c r="U284" s="807"/>
      <c r="V284" s="807"/>
      <c r="W284" s="807"/>
      <c r="X284" s="807"/>
      <c r="Y284" s="807"/>
      <c r="Z284" s="807"/>
    </row>
    <row r="285" ht="171.75" customHeight="1">
      <c r="A285" s="807"/>
      <c r="B285" s="807"/>
      <c r="C285" s="807"/>
      <c r="D285" s="807"/>
      <c r="E285" s="807"/>
      <c r="F285" s="807"/>
      <c r="G285" s="807"/>
      <c r="H285" s="807"/>
      <c r="I285" s="807"/>
      <c r="J285" s="807"/>
      <c r="K285" s="807"/>
      <c r="L285" s="807"/>
      <c r="M285" s="807"/>
      <c r="N285" s="807"/>
      <c r="O285" s="807"/>
      <c r="P285" s="807"/>
      <c r="Q285" s="807"/>
      <c r="R285" s="807"/>
      <c r="S285" s="807"/>
      <c r="T285" s="807"/>
      <c r="U285" s="807"/>
      <c r="V285" s="807"/>
      <c r="W285" s="807"/>
      <c r="X285" s="807"/>
      <c r="Y285" s="807"/>
      <c r="Z285" s="807"/>
    </row>
    <row r="286" ht="171.75" customHeight="1">
      <c r="A286" s="807"/>
      <c r="B286" s="807"/>
      <c r="C286" s="807"/>
      <c r="D286" s="807"/>
      <c r="E286" s="807"/>
      <c r="F286" s="807"/>
      <c r="G286" s="807"/>
      <c r="H286" s="807"/>
      <c r="I286" s="807"/>
      <c r="J286" s="807"/>
      <c r="K286" s="807"/>
      <c r="L286" s="807"/>
      <c r="M286" s="807"/>
      <c r="N286" s="807"/>
      <c r="O286" s="807"/>
      <c r="P286" s="807"/>
      <c r="Q286" s="807"/>
      <c r="R286" s="807"/>
      <c r="S286" s="807"/>
      <c r="T286" s="807"/>
      <c r="U286" s="807"/>
      <c r="V286" s="807"/>
      <c r="W286" s="807"/>
      <c r="X286" s="807"/>
      <c r="Y286" s="807"/>
      <c r="Z286" s="807"/>
    </row>
    <row r="287" ht="171.75" customHeight="1">
      <c r="A287" s="807"/>
      <c r="B287" s="807"/>
      <c r="C287" s="807"/>
      <c r="D287" s="807"/>
      <c r="E287" s="807"/>
      <c r="F287" s="807"/>
      <c r="G287" s="807"/>
      <c r="H287" s="807"/>
      <c r="I287" s="807"/>
      <c r="J287" s="807"/>
      <c r="K287" s="807"/>
      <c r="L287" s="807"/>
      <c r="M287" s="807"/>
      <c r="N287" s="807"/>
      <c r="O287" s="807"/>
      <c r="P287" s="807"/>
      <c r="Q287" s="807"/>
      <c r="R287" s="807"/>
      <c r="S287" s="807"/>
      <c r="T287" s="807"/>
      <c r="U287" s="807"/>
      <c r="V287" s="807"/>
      <c r="W287" s="807"/>
      <c r="X287" s="807"/>
      <c r="Y287" s="807"/>
      <c r="Z287" s="807"/>
    </row>
    <row r="288" ht="171.75" customHeight="1">
      <c r="A288" s="807"/>
      <c r="B288" s="807"/>
      <c r="C288" s="807"/>
      <c r="D288" s="807"/>
      <c r="E288" s="807"/>
      <c r="F288" s="807"/>
      <c r="G288" s="807"/>
      <c r="H288" s="807"/>
      <c r="I288" s="807"/>
      <c r="J288" s="807"/>
      <c r="K288" s="807"/>
      <c r="L288" s="807"/>
      <c r="M288" s="807"/>
      <c r="N288" s="807"/>
      <c r="O288" s="807"/>
      <c r="P288" s="807"/>
      <c r="Q288" s="807"/>
      <c r="R288" s="807"/>
      <c r="S288" s="807"/>
      <c r="T288" s="807"/>
      <c r="U288" s="807"/>
      <c r="V288" s="807"/>
      <c r="W288" s="807"/>
      <c r="X288" s="807"/>
      <c r="Y288" s="807"/>
      <c r="Z288" s="807"/>
    </row>
    <row r="289" ht="171.75" customHeight="1">
      <c r="A289" s="807"/>
      <c r="B289" s="807"/>
      <c r="C289" s="807"/>
      <c r="D289" s="807"/>
      <c r="E289" s="807"/>
      <c r="F289" s="807"/>
      <c r="G289" s="807"/>
      <c r="H289" s="807"/>
      <c r="I289" s="807"/>
      <c r="J289" s="807"/>
      <c r="K289" s="807"/>
      <c r="L289" s="807"/>
      <c r="M289" s="807"/>
      <c r="N289" s="807"/>
      <c r="O289" s="807"/>
      <c r="P289" s="807"/>
      <c r="Q289" s="807"/>
      <c r="R289" s="807"/>
      <c r="S289" s="807"/>
      <c r="T289" s="807"/>
      <c r="U289" s="807"/>
      <c r="V289" s="807"/>
      <c r="W289" s="807"/>
      <c r="X289" s="807"/>
      <c r="Y289" s="807"/>
      <c r="Z289" s="807"/>
    </row>
    <row r="290" ht="171.75" customHeight="1">
      <c r="A290" s="807"/>
      <c r="B290" s="807"/>
      <c r="C290" s="807"/>
      <c r="D290" s="807"/>
      <c r="E290" s="807"/>
      <c r="F290" s="807"/>
      <c r="G290" s="807"/>
      <c r="H290" s="807"/>
      <c r="I290" s="807"/>
      <c r="J290" s="807"/>
      <c r="K290" s="807"/>
      <c r="L290" s="807"/>
      <c r="M290" s="807"/>
      <c r="N290" s="807"/>
      <c r="O290" s="807"/>
      <c r="P290" s="807"/>
      <c r="Q290" s="807"/>
      <c r="R290" s="807"/>
      <c r="S290" s="807"/>
      <c r="T290" s="807"/>
      <c r="U290" s="807"/>
      <c r="V290" s="807"/>
      <c r="W290" s="807"/>
      <c r="X290" s="807"/>
      <c r="Y290" s="807"/>
      <c r="Z290" s="807"/>
    </row>
    <row r="291" ht="171.75" customHeight="1">
      <c r="A291" s="807"/>
      <c r="B291" s="807"/>
      <c r="C291" s="807"/>
      <c r="D291" s="807"/>
      <c r="E291" s="807"/>
      <c r="F291" s="807"/>
      <c r="G291" s="807"/>
      <c r="H291" s="807"/>
      <c r="I291" s="807"/>
      <c r="J291" s="807"/>
      <c r="K291" s="807"/>
      <c r="L291" s="807"/>
      <c r="M291" s="807"/>
      <c r="N291" s="807"/>
      <c r="O291" s="807"/>
      <c r="P291" s="807"/>
      <c r="Q291" s="807"/>
      <c r="R291" s="807"/>
      <c r="S291" s="807"/>
      <c r="T291" s="807"/>
      <c r="U291" s="807"/>
      <c r="V291" s="807"/>
      <c r="W291" s="807"/>
      <c r="X291" s="807"/>
      <c r="Y291" s="807"/>
      <c r="Z291" s="807"/>
    </row>
    <row r="292" ht="171.75" customHeight="1">
      <c r="A292" s="807"/>
      <c r="B292" s="807"/>
      <c r="C292" s="807"/>
      <c r="D292" s="807"/>
      <c r="E292" s="807"/>
      <c r="F292" s="807"/>
      <c r="G292" s="807"/>
      <c r="H292" s="807"/>
      <c r="I292" s="807"/>
      <c r="J292" s="807"/>
      <c r="K292" s="807"/>
      <c r="L292" s="807"/>
      <c r="M292" s="807"/>
      <c r="N292" s="807"/>
      <c r="O292" s="807"/>
      <c r="P292" s="807"/>
      <c r="Q292" s="807"/>
      <c r="R292" s="807"/>
      <c r="S292" s="807"/>
      <c r="T292" s="807"/>
      <c r="U292" s="807"/>
      <c r="V292" s="807"/>
      <c r="W292" s="807"/>
      <c r="X292" s="807"/>
      <c r="Y292" s="807"/>
      <c r="Z292" s="807"/>
    </row>
    <row r="293" ht="171.75" customHeight="1">
      <c r="A293" s="807"/>
      <c r="B293" s="807"/>
      <c r="C293" s="807"/>
      <c r="D293" s="807"/>
      <c r="E293" s="807"/>
      <c r="F293" s="807"/>
      <c r="G293" s="807"/>
      <c r="H293" s="807"/>
      <c r="I293" s="807"/>
      <c r="J293" s="807"/>
      <c r="K293" s="807"/>
      <c r="L293" s="807"/>
      <c r="M293" s="807"/>
      <c r="N293" s="807"/>
      <c r="O293" s="807"/>
      <c r="P293" s="807"/>
      <c r="Q293" s="807"/>
      <c r="R293" s="807"/>
      <c r="S293" s="807"/>
      <c r="T293" s="807"/>
      <c r="U293" s="807"/>
      <c r="V293" s="807"/>
      <c r="W293" s="807"/>
      <c r="X293" s="807"/>
      <c r="Y293" s="807"/>
      <c r="Z293" s="807"/>
    </row>
    <row r="294" ht="171.75" customHeight="1">
      <c r="A294" s="807"/>
      <c r="B294" s="807"/>
      <c r="C294" s="807"/>
      <c r="D294" s="807"/>
      <c r="E294" s="807"/>
      <c r="F294" s="807"/>
      <c r="G294" s="807"/>
      <c r="H294" s="807"/>
      <c r="I294" s="807"/>
      <c r="J294" s="807"/>
      <c r="K294" s="807"/>
      <c r="L294" s="807"/>
      <c r="M294" s="807"/>
      <c r="N294" s="807"/>
      <c r="O294" s="807"/>
      <c r="P294" s="807"/>
      <c r="Q294" s="807"/>
      <c r="R294" s="807"/>
      <c r="S294" s="807"/>
      <c r="T294" s="807"/>
      <c r="U294" s="807"/>
      <c r="V294" s="807"/>
      <c r="W294" s="807"/>
      <c r="X294" s="807"/>
      <c r="Y294" s="807"/>
      <c r="Z294" s="807"/>
    </row>
    <row r="295" ht="171.75" customHeight="1">
      <c r="A295" s="807"/>
      <c r="B295" s="807"/>
      <c r="C295" s="807"/>
      <c r="D295" s="807"/>
      <c r="E295" s="807"/>
      <c r="F295" s="807"/>
      <c r="G295" s="807"/>
      <c r="H295" s="807"/>
      <c r="I295" s="807"/>
      <c r="J295" s="807"/>
      <c r="K295" s="807"/>
      <c r="L295" s="807"/>
      <c r="M295" s="807"/>
      <c r="N295" s="807"/>
      <c r="O295" s="807"/>
      <c r="P295" s="807"/>
      <c r="Q295" s="807"/>
      <c r="R295" s="807"/>
      <c r="S295" s="807"/>
      <c r="T295" s="807"/>
      <c r="U295" s="807"/>
      <c r="V295" s="807"/>
      <c r="W295" s="807"/>
      <c r="X295" s="807"/>
      <c r="Y295" s="807"/>
      <c r="Z295" s="807"/>
    </row>
    <row r="296" ht="171.75" customHeight="1">
      <c r="A296" s="807"/>
      <c r="B296" s="807"/>
      <c r="C296" s="807"/>
      <c r="D296" s="807"/>
      <c r="E296" s="807"/>
      <c r="F296" s="807"/>
      <c r="G296" s="807"/>
      <c r="H296" s="807"/>
      <c r="I296" s="807"/>
      <c r="J296" s="807"/>
      <c r="K296" s="807"/>
      <c r="L296" s="807"/>
      <c r="M296" s="807"/>
      <c r="N296" s="807"/>
      <c r="O296" s="807"/>
      <c r="P296" s="807"/>
      <c r="Q296" s="807"/>
      <c r="R296" s="807"/>
      <c r="S296" s="807"/>
      <c r="T296" s="807"/>
      <c r="U296" s="807"/>
      <c r="V296" s="807"/>
      <c r="W296" s="807"/>
      <c r="X296" s="807"/>
      <c r="Y296" s="807"/>
      <c r="Z296" s="807"/>
    </row>
    <row r="297" ht="171.75" customHeight="1">
      <c r="A297" s="807"/>
      <c r="B297" s="807"/>
      <c r="C297" s="807"/>
      <c r="D297" s="807"/>
      <c r="E297" s="807"/>
      <c r="F297" s="807"/>
      <c r="G297" s="807"/>
      <c r="H297" s="807"/>
      <c r="I297" s="807"/>
      <c r="J297" s="807"/>
      <c r="K297" s="807"/>
      <c r="L297" s="807"/>
      <c r="M297" s="807"/>
      <c r="N297" s="807"/>
      <c r="O297" s="807"/>
      <c r="P297" s="807"/>
      <c r="Q297" s="807"/>
      <c r="R297" s="807"/>
      <c r="S297" s="807"/>
      <c r="T297" s="807"/>
      <c r="U297" s="807"/>
      <c r="V297" s="807"/>
      <c r="W297" s="807"/>
      <c r="X297" s="807"/>
      <c r="Y297" s="807"/>
      <c r="Z297" s="807"/>
    </row>
    <row r="298" ht="171.75" customHeight="1">
      <c r="A298" s="807"/>
      <c r="B298" s="807"/>
      <c r="C298" s="807"/>
      <c r="D298" s="807"/>
      <c r="E298" s="807"/>
      <c r="F298" s="807"/>
      <c r="G298" s="807"/>
      <c r="H298" s="807"/>
      <c r="I298" s="807"/>
      <c r="J298" s="807"/>
      <c r="K298" s="807"/>
      <c r="L298" s="807"/>
      <c r="M298" s="807"/>
      <c r="N298" s="807"/>
      <c r="O298" s="807"/>
      <c r="P298" s="807"/>
      <c r="Q298" s="807"/>
      <c r="R298" s="807"/>
      <c r="S298" s="807"/>
      <c r="T298" s="807"/>
      <c r="U298" s="807"/>
      <c r="V298" s="807"/>
      <c r="W298" s="807"/>
      <c r="X298" s="807"/>
      <c r="Y298" s="807"/>
      <c r="Z298" s="807"/>
    </row>
    <row r="299" ht="171.75" customHeight="1">
      <c r="A299" s="807"/>
      <c r="B299" s="807"/>
      <c r="C299" s="807"/>
      <c r="D299" s="807"/>
      <c r="E299" s="807"/>
      <c r="F299" s="807"/>
      <c r="G299" s="807"/>
      <c r="H299" s="807"/>
      <c r="I299" s="807"/>
      <c r="J299" s="807"/>
      <c r="K299" s="807"/>
      <c r="L299" s="807"/>
      <c r="M299" s="807"/>
      <c r="N299" s="807"/>
      <c r="O299" s="807"/>
      <c r="P299" s="807"/>
      <c r="Q299" s="807"/>
      <c r="R299" s="807"/>
      <c r="S299" s="807"/>
      <c r="T299" s="807"/>
      <c r="U299" s="807"/>
      <c r="V299" s="807"/>
      <c r="W299" s="807"/>
      <c r="X299" s="807"/>
      <c r="Y299" s="807"/>
      <c r="Z299" s="807"/>
    </row>
    <row r="300" ht="171.75" customHeight="1">
      <c r="A300" s="807"/>
      <c r="B300" s="807"/>
      <c r="C300" s="807"/>
      <c r="D300" s="807"/>
      <c r="E300" s="807"/>
      <c r="F300" s="807"/>
      <c r="G300" s="807"/>
      <c r="H300" s="807"/>
      <c r="I300" s="807"/>
      <c r="J300" s="807"/>
      <c r="K300" s="807"/>
      <c r="L300" s="807"/>
      <c r="M300" s="807"/>
      <c r="N300" s="807"/>
      <c r="O300" s="807"/>
      <c r="P300" s="807"/>
      <c r="Q300" s="807"/>
      <c r="R300" s="807"/>
      <c r="S300" s="807"/>
      <c r="T300" s="807"/>
      <c r="U300" s="807"/>
      <c r="V300" s="807"/>
      <c r="W300" s="807"/>
      <c r="X300" s="807"/>
      <c r="Y300" s="807"/>
      <c r="Z300" s="807"/>
    </row>
    <row r="301" ht="171.75" customHeight="1">
      <c r="A301" s="807"/>
      <c r="B301" s="807"/>
      <c r="C301" s="807"/>
      <c r="D301" s="807"/>
      <c r="E301" s="807"/>
      <c r="F301" s="807"/>
      <c r="G301" s="807"/>
      <c r="H301" s="807"/>
      <c r="I301" s="807"/>
      <c r="J301" s="807"/>
      <c r="K301" s="807"/>
      <c r="L301" s="807"/>
      <c r="M301" s="807"/>
      <c r="N301" s="807"/>
      <c r="O301" s="807"/>
      <c r="P301" s="807"/>
      <c r="Q301" s="807"/>
      <c r="R301" s="807"/>
      <c r="S301" s="807"/>
      <c r="T301" s="807"/>
      <c r="U301" s="807"/>
      <c r="V301" s="807"/>
      <c r="W301" s="807"/>
      <c r="X301" s="807"/>
      <c r="Y301" s="807"/>
      <c r="Z301" s="807"/>
    </row>
    <row r="302" ht="171.75" customHeight="1">
      <c r="A302" s="807"/>
      <c r="B302" s="807"/>
      <c r="C302" s="807"/>
      <c r="D302" s="807"/>
      <c r="E302" s="807"/>
      <c r="F302" s="807"/>
      <c r="G302" s="807"/>
      <c r="H302" s="807"/>
      <c r="I302" s="807"/>
      <c r="J302" s="807"/>
      <c r="K302" s="807"/>
      <c r="L302" s="807"/>
      <c r="M302" s="807"/>
      <c r="N302" s="807"/>
      <c r="O302" s="807"/>
      <c r="P302" s="807"/>
      <c r="Q302" s="807"/>
      <c r="R302" s="807"/>
      <c r="S302" s="807"/>
      <c r="T302" s="807"/>
      <c r="U302" s="807"/>
      <c r="V302" s="807"/>
      <c r="W302" s="807"/>
      <c r="X302" s="807"/>
      <c r="Y302" s="807"/>
      <c r="Z302" s="807"/>
    </row>
    <row r="303" ht="171.75" customHeight="1">
      <c r="A303" s="807"/>
      <c r="B303" s="807"/>
      <c r="C303" s="807"/>
      <c r="D303" s="807"/>
      <c r="E303" s="807"/>
      <c r="F303" s="807"/>
      <c r="G303" s="807"/>
      <c r="H303" s="807"/>
      <c r="I303" s="807"/>
      <c r="J303" s="807"/>
      <c r="K303" s="807"/>
      <c r="L303" s="807"/>
      <c r="M303" s="807"/>
      <c r="N303" s="807"/>
      <c r="O303" s="807"/>
      <c r="P303" s="807"/>
      <c r="Q303" s="807"/>
      <c r="R303" s="807"/>
      <c r="S303" s="807"/>
      <c r="T303" s="807"/>
      <c r="U303" s="807"/>
      <c r="V303" s="807"/>
      <c r="W303" s="807"/>
      <c r="X303" s="807"/>
      <c r="Y303" s="807"/>
      <c r="Z303" s="807"/>
    </row>
    <row r="304" ht="171.75" customHeight="1">
      <c r="A304" s="807"/>
      <c r="B304" s="807"/>
      <c r="C304" s="807"/>
      <c r="D304" s="807"/>
      <c r="E304" s="807"/>
      <c r="F304" s="807"/>
      <c r="G304" s="807"/>
      <c r="H304" s="807"/>
      <c r="I304" s="807"/>
      <c r="J304" s="807"/>
      <c r="K304" s="807"/>
      <c r="L304" s="807"/>
      <c r="M304" s="807"/>
      <c r="N304" s="807"/>
      <c r="O304" s="807"/>
      <c r="P304" s="807"/>
      <c r="Q304" s="807"/>
      <c r="R304" s="807"/>
      <c r="S304" s="807"/>
      <c r="T304" s="807"/>
      <c r="U304" s="807"/>
      <c r="V304" s="807"/>
      <c r="W304" s="807"/>
      <c r="X304" s="807"/>
      <c r="Y304" s="807"/>
      <c r="Z304" s="807"/>
    </row>
    <row r="305" ht="171.75" customHeight="1">
      <c r="A305" s="807"/>
      <c r="B305" s="807"/>
      <c r="C305" s="807"/>
      <c r="D305" s="807"/>
      <c r="E305" s="807"/>
      <c r="F305" s="807"/>
      <c r="G305" s="807"/>
      <c r="H305" s="807"/>
      <c r="I305" s="807"/>
      <c r="J305" s="807"/>
      <c r="K305" s="807"/>
      <c r="L305" s="807"/>
      <c r="M305" s="807"/>
      <c r="N305" s="807"/>
      <c r="O305" s="807"/>
      <c r="P305" s="807"/>
      <c r="Q305" s="807"/>
      <c r="R305" s="807"/>
      <c r="S305" s="807"/>
      <c r="T305" s="807"/>
      <c r="U305" s="807"/>
      <c r="V305" s="807"/>
      <c r="W305" s="807"/>
      <c r="X305" s="807"/>
      <c r="Y305" s="807"/>
      <c r="Z305" s="807"/>
    </row>
    <row r="306" ht="171.75" customHeight="1">
      <c r="A306" s="807"/>
      <c r="B306" s="807"/>
      <c r="C306" s="807"/>
      <c r="D306" s="807"/>
      <c r="E306" s="807"/>
      <c r="F306" s="807"/>
      <c r="G306" s="807"/>
      <c r="H306" s="807"/>
      <c r="I306" s="807"/>
      <c r="J306" s="807"/>
      <c r="K306" s="807"/>
      <c r="L306" s="807"/>
      <c r="M306" s="807"/>
      <c r="N306" s="807"/>
      <c r="O306" s="807"/>
      <c r="P306" s="807"/>
      <c r="Q306" s="807"/>
      <c r="R306" s="807"/>
      <c r="S306" s="807"/>
      <c r="T306" s="807"/>
      <c r="U306" s="807"/>
      <c r="V306" s="807"/>
      <c r="W306" s="807"/>
      <c r="X306" s="807"/>
      <c r="Y306" s="807"/>
      <c r="Z306" s="807"/>
    </row>
    <row r="307" ht="171.75" customHeight="1">
      <c r="A307" s="807"/>
      <c r="B307" s="807"/>
      <c r="C307" s="807"/>
      <c r="D307" s="807"/>
      <c r="E307" s="807"/>
      <c r="F307" s="807"/>
      <c r="G307" s="807"/>
      <c r="H307" s="807"/>
      <c r="I307" s="807"/>
      <c r="J307" s="807"/>
      <c r="K307" s="807"/>
      <c r="L307" s="807"/>
      <c r="M307" s="807"/>
      <c r="N307" s="807"/>
      <c r="O307" s="807"/>
      <c r="P307" s="807"/>
      <c r="Q307" s="807"/>
      <c r="R307" s="807"/>
      <c r="S307" s="807"/>
      <c r="T307" s="807"/>
      <c r="U307" s="807"/>
      <c r="V307" s="807"/>
      <c r="W307" s="807"/>
      <c r="X307" s="807"/>
      <c r="Y307" s="807"/>
      <c r="Z307" s="807"/>
    </row>
    <row r="308" ht="171.75" customHeight="1">
      <c r="A308" s="807"/>
      <c r="B308" s="807"/>
      <c r="C308" s="807"/>
      <c r="D308" s="807"/>
      <c r="E308" s="807"/>
      <c r="F308" s="807"/>
      <c r="G308" s="807"/>
      <c r="H308" s="807"/>
      <c r="I308" s="807"/>
      <c r="J308" s="807"/>
      <c r="K308" s="807"/>
      <c r="L308" s="807"/>
      <c r="M308" s="807"/>
      <c r="N308" s="807"/>
      <c r="O308" s="807"/>
      <c r="P308" s="807"/>
      <c r="Q308" s="807"/>
      <c r="R308" s="807"/>
      <c r="S308" s="807"/>
      <c r="T308" s="807"/>
      <c r="U308" s="807"/>
      <c r="V308" s="807"/>
      <c r="W308" s="807"/>
      <c r="X308" s="807"/>
      <c r="Y308" s="807"/>
      <c r="Z308" s="807"/>
    </row>
    <row r="309" ht="171.75" customHeight="1">
      <c r="A309" s="807"/>
      <c r="B309" s="807"/>
      <c r="C309" s="807"/>
      <c r="D309" s="807"/>
      <c r="E309" s="807"/>
      <c r="F309" s="807"/>
      <c r="G309" s="807"/>
      <c r="H309" s="807"/>
      <c r="I309" s="807"/>
      <c r="J309" s="807"/>
      <c r="K309" s="807"/>
      <c r="L309" s="807"/>
      <c r="M309" s="807"/>
      <c r="N309" s="807"/>
      <c r="O309" s="807"/>
      <c r="P309" s="807"/>
      <c r="Q309" s="807"/>
      <c r="R309" s="807"/>
      <c r="S309" s="807"/>
      <c r="T309" s="807"/>
      <c r="U309" s="807"/>
      <c r="V309" s="807"/>
      <c r="W309" s="807"/>
      <c r="X309" s="807"/>
      <c r="Y309" s="807"/>
      <c r="Z309" s="807"/>
    </row>
    <row r="310" ht="171.75" customHeight="1">
      <c r="A310" s="807"/>
      <c r="B310" s="807"/>
      <c r="C310" s="807"/>
      <c r="D310" s="807"/>
      <c r="E310" s="807"/>
      <c r="F310" s="807"/>
      <c r="G310" s="807"/>
      <c r="H310" s="807"/>
      <c r="I310" s="807"/>
      <c r="J310" s="807"/>
      <c r="K310" s="807"/>
      <c r="L310" s="807"/>
      <c r="M310" s="807"/>
      <c r="N310" s="807"/>
      <c r="O310" s="807"/>
      <c r="P310" s="807"/>
      <c r="Q310" s="807"/>
      <c r="R310" s="807"/>
      <c r="S310" s="807"/>
      <c r="T310" s="807"/>
      <c r="U310" s="807"/>
      <c r="V310" s="807"/>
      <c r="W310" s="807"/>
      <c r="X310" s="807"/>
      <c r="Y310" s="807"/>
      <c r="Z310" s="807"/>
    </row>
    <row r="311" ht="171.75" customHeight="1">
      <c r="A311" s="807"/>
      <c r="B311" s="807"/>
      <c r="C311" s="807"/>
      <c r="D311" s="807"/>
      <c r="E311" s="807"/>
      <c r="F311" s="807"/>
      <c r="G311" s="807"/>
      <c r="H311" s="807"/>
      <c r="I311" s="807"/>
      <c r="J311" s="807"/>
      <c r="K311" s="807"/>
      <c r="L311" s="807"/>
      <c r="M311" s="807"/>
      <c r="N311" s="807"/>
      <c r="O311" s="807"/>
      <c r="P311" s="807"/>
      <c r="Q311" s="807"/>
      <c r="R311" s="807"/>
      <c r="S311" s="807"/>
      <c r="T311" s="807"/>
      <c r="U311" s="807"/>
      <c r="V311" s="807"/>
      <c r="W311" s="807"/>
      <c r="X311" s="807"/>
      <c r="Y311" s="807"/>
      <c r="Z311" s="807"/>
    </row>
    <row r="312" ht="171.75" customHeight="1">
      <c r="A312" s="807"/>
      <c r="B312" s="807"/>
      <c r="C312" s="807"/>
      <c r="D312" s="807"/>
      <c r="E312" s="807"/>
      <c r="F312" s="807"/>
      <c r="G312" s="807"/>
      <c r="H312" s="807"/>
      <c r="I312" s="807"/>
      <c r="J312" s="807"/>
      <c r="K312" s="807"/>
      <c r="L312" s="807"/>
      <c r="M312" s="807"/>
      <c r="N312" s="807"/>
      <c r="O312" s="807"/>
      <c r="P312" s="807"/>
      <c r="Q312" s="807"/>
      <c r="R312" s="807"/>
      <c r="S312" s="807"/>
      <c r="T312" s="807"/>
      <c r="U312" s="807"/>
      <c r="V312" s="807"/>
      <c r="W312" s="807"/>
      <c r="X312" s="807"/>
      <c r="Y312" s="807"/>
      <c r="Z312" s="807"/>
    </row>
    <row r="313" ht="171.75" customHeight="1">
      <c r="A313" s="807"/>
      <c r="B313" s="807"/>
      <c r="C313" s="807"/>
      <c r="D313" s="807"/>
      <c r="E313" s="807"/>
      <c r="F313" s="807"/>
      <c r="G313" s="807"/>
      <c r="H313" s="807"/>
      <c r="I313" s="807"/>
      <c r="J313" s="807"/>
      <c r="K313" s="807"/>
      <c r="L313" s="807"/>
      <c r="M313" s="807"/>
      <c r="N313" s="807"/>
      <c r="O313" s="807"/>
      <c r="P313" s="807"/>
      <c r="Q313" s="807"/>
      <c r="R313" s="807"/>
      <c r="S313" s="807"/>
      <c r="T313" s="807"/>
      <c r="U313" s="807"/>
      <c r="V313" s="807"/>
      <c r="W313" s="807"/>
      <c r="X313" s="807"/>
      <c r="Y313" s="807"/>
      <c r="Z313" s="807"/>
    </row>
    <row r="314" ht="171.75" customHeight="1">
      <c r="A314" s="807"/>
      <c r="B314" s="807"/>
      <c r="C314" s="807"/>
      <c r="D314" s="807"/>
      <c r="E314" s="807"/>
      <c r="F314" s="807"/>
      <c r="G314" s="807"/>
      <c r="H314" s="807"/>
      <c r="I314" s="807"/>
      <c r="J314" s="807"/>
      <c r="K314" s="807"/>
      <c r="L314" s="807"/>
      <c r="M314" s="807"/>
      <c r="N314" s="807"/>
      <c r="O314" s="807"/>
      <c r="P314" s="807"/>
      <c r="Q314" s="807"/>
      <c r="R314" s="807"/>
      <c r="S314" s="807"/>
      <c r="T314" s="807"/>
      <c r="U314" s="807"/>
      <c r="V314" s="807"/>
      <c r="W314" s="807"/>
      <c r="X314" s="807"/>
      <c r="Y314" s="807"/>
      <c r="Z314" s="807"/>
    </row>
    <row r="315" ht="171.75" customHeight="1">
      <c r="A315" s="807"/>
      <c r="B315" s="807"/>
      <c r="C315" s="807"/>
      <c r="D315" s="807"/>
      <c r="E315" s="807"/>
      <c r="F315" s="807"/>
      <c r="G315" s="807"/>
      <c r="H315" s="807"/>
      <c r="I315" s="807"/>
      <c r="J315" s="807"/>
      <c r="K315" s="807"/>
      <c r="L315" s="807"/>
      <c r="M315" s="807"/>
      <c r="N315" s="807"/>
      <c r="O315" s="807"/>
      <c r="P315" s="807"/>
      <c r="Q315" s="807"/>
      <c r="R315" s="807"/>
      <c r="S315" s="807"/>
      <c r="T315" s="807"/>
      <c r="U315" s="807"/>
      <c r="V315" s="807"/>
      <c r="W315" s="807"/>
      <c r="X315" s="807"/>
      <c r="Y315" s="807"/>
      <c r="Z315" s="807"/>
    </row>
    <row r="316" ht="171.75" customHeight="1">
      <c r="A316" s="807"/>
      <c r="B316" s="807"/>
      <c r="C316" s="807"/>
      <c r="D316" s="807"/>
      <c r="E316" s="807"/>
      <c r="F316" s="807"/>
      <c r="G316" s="807"/>
      <c r="H316" s="807"/>
      <c r="I316" s="807"/>
      <c r="J316" s="807"/>
      <c r="K316" s="807"/>
      <c r="L316" s="807"/>
      <c r="M316" s="807"/>
      <c r="N316" s="807"/>
      <c r="O316" s="807"/>
      <c r="P316" s="807"/>
      <c r="Q316" s="807"/>
      <c r="R316" s="807"/>
      <c r="S316" s="807"/>
      <c r="T316" s="807"/>
      <c r="U316" s="807"/>
      <c r="V316" s="807"/>
      <c r="W316" s="807"/>
      <c r="X316" s="807"/>
      <c r="Y316" s="807"/>
      <c r="Z316" s="807"/>
    </row>
    <row r="317" ht="171.75" customHeight="1">
      <c r="A317" s="807"/>
      <c r="B317" s="807"/>
      <c r="C317" s="807"/>
      <c r="D317" s="807"/>
      <c r="E317" s="807"/>
      <c r="F317" s="807"/>
      <c r="G317" s="807"/>
      <c r="H317" s="807"/>
      <c r="I317" s="807"/>
      <c r="J317" s="807"/>
      <c r="K317" s="807"/>
      <c r="L317" s="807"/>
      <c r="M317" s="807"/>
      <c r="N317" s="807"/>
      <c r="O317" s="807"/>
      <c r="P317" s="807"/>
      <c r="Q317" s="807"/>
      <c r="R317" s="807"/>
      <c r="S317" s="807"/>
      <c r="T317" s="807"/>
      <c r="U317" s="807"/>
      <c r="V317" s="807"/>
      <c r="W317" s="807"/>
      <c r="X317" s="807"/>
      <c r="Y317" s="807"/>
      <c r="Z317" s="807"/>
    </row>
    <row r="318" ht="171.75" customHeight="1">
      <c r="A318" s="807"/>
      <c r="B318" s="807"/>
      <c r="C318" s="807"/>
      <c r="D318" s="807"/>
      <c r="E318" s="807"/>
      <c r="F318" s="807"/>
      <c r="G318" s="807"/>
      <c r="H318" s="807"/>
      <c r="I318" s="807"/>
      <c r="J318" s="807"/>
      <c r="K318" s="807"/>
      <c r="L318" s="807"/>
      <c r="M318" s="807"/>
      <c r="N318" s="807"/>
      <c r="O318" s="807"/>
      <c r="P318" s="807"/>
      <c r="Q318" s="807"/>
      <c r="R318" s="807"/>
      <c r="S318" s="807"/>
      <c r="T318" s="807"/>
      <c r="U318" s="807"/>
      <c r="V318" s="807"/>
      <c r="W318" s="807"/>
      <c r="X318" s="807"/>
      <c r="Y318" s="807"/>
      <c r="Z318" s="807"/>
    </row>
    <row r="319" ht="171.75" customHeight="1">
      <c r="A319" s="807"/>
      <c r="B319" s="807"/>
      <c r="C319" s="807"/>
      <c r="D319" s="807"/>
      <c r="E319" s="807"/>
      <c r="F319" s="807"/>
      <c r="G319" s="807"/>
      <c r="H319" s="807"/>
      <c r="I319" s="807"/>
      <c r="J319" s="807"/>
      <c r="K319" s="807"/>
      <c r="L319" s="807"/>
      <c r="M319" s="807"/>
      <c r="N319" s="807"/>
      <c r="O319" s="807"/>
      <c r="P319" s="807"/>
      <c r="Q319" s="807"/>
      <c r="R319" s="807"/>
      <c r="S319" s="807"/>
      <c r="T319" s="807"/>
      <c r="U319" s="807"/>
      <c r="V319" s="807"/>
      <c r="W319" s="807"/>
      <c r="X319" s="807"/>
      <c r="Y319" s="807"/>
      <c r="Z319" s="807"/>
    </row>
    <row r="320" ht="171.75" customHeight="1">
      <c r="A320" s="807"/>
      <c r="B320" s="807"/>
      <c r="C320" s="807"/>
      <c r="D320" s="807"/>
      <c r="E320" s="807"/>
      <c r="F320" s="807"/>
      <c r="G320" s="807"/>
      <c r="H320" s="807"/>
      <c r="I320" s="807"/>
      <c r="J320" s="807"/>
      <c r="K320" s="807"/>
      <c r="L320" s="807"/>
      <c r="M320" s="807"/>
      <c r="N320" s="807"/>
      <c r="O320" s="807"/>
      <c r="P320" s="807"/>
      <c r="Q320" s="807"/>
      <c r="R320" s="807"/>
      <c r="S320" s="807"/>
      <c r="T320" s="807"/>
      <c r="U320" s="807"/>
      <c r="V320" s="807"/>
      <c r="W320" s="807"/>
      <c r="X320" s="807"/>
      <c r="Y320" s="807"/>
      <c r="Z320" s="807"/>
    </row>
    <row r="321" ht="171.75" customHeight="1">
      <c r="A321" s="807"/>
      <c r="B321" s="807"/>
      <c r="C321" s="807"/>
      <c r="D321" s="807"/>
      <c r="E321" s="807"/>
      <c r="F321" s="807"/>
      <c r="G321" s="807"/>
      <c r="H321" s="807"/>
      <c r="I321" s="807"/>
      <c r="J321" s="807"/>
      <c r="K321" s="807"/>
      <c r="L321" s="807"/>
      <c r="M321" s="807"/>
      <c r="N321" s="807"/>
      <c r="O321" s="807"/>
      <c r="P321" s="807"/>
      <c r="Q321" s="807"/>
      <c r="R321" s="807"/>
      <c r="S321" s="807"/>
      <c r="T321" s="807"/>
      <c r="U321" s="807"/>
      <c r="V321" s="807"/>
      <c r="W321" s="807"/>
      <c r="X321" s="807"/>
      <c r="Y321" s="807"/>
      <c r="Z321" s="807"/>
    </row>
    <row r="322" ht="171.75" customHeight="1">
      <c r="A322" s="807"/>
      <c r="B322" s="807"/>
      <c r="C322" s="807"/>
      <c r="D322" s="807"/>
      <c r="E322" s="807"/>
      <c r="F322" s="807"/>
      <c r="G322" s="807"/>
      <c r="H322" s="807"/>
      <c r="I322" s="807"/>
      <c r="J322" s="807"/>
      <c r="K322" s="807"/>
      <c r="L322" s="807"/>
      <c r="M322" s="807"/>
      <c r="N322" s="807"/>
      <c r="O322" s="807"/>
      <c r="P322" s="807"/>
      <c r="Q322" s="807"/>
      <c r="R322" s="807"/>
      <c r="S322" s="807"/>
      <c r="T322" s="807"/>
      <c r="U322" s="807"/>
      <c r="V322" s="807"/>
      <c r="W322" s="807"/>
      <c r="X322" s="807"/>
      <c r="Y322" s="807"/>
      <c r="Z322" s="807"/>
    </row>
    <row r="323" ht="171.75" customHeight="1">
      <c r="A323" s="807"/>
      <c r="B323" s="807"/>
      <c r="C323" s="807"/>
      <c r="D323" s="807"/>
      <c r="E323" s="807"/>
      <c r="F323" s="807"/>
      <c r="G323" s="807"/>
      <c r="H323" s="807"/>
      <c r="I323" s="807"/>
      <c r="J323" s="807"/>
      <c r="K323" s="807"/>
      <c r="L323" s="807"/>
      <c r="M323" s="807"/>
      <c r="N323" s="807"/>
      <c r="O323" s="807"/>
      <c r="P323" s="807"/>
      <c r="Q323" s="807"/>
      <c r="R323" s="807"/>
      <c r="S323" s="807"/>
      <c r="T323" s="807"/>
      <c r="U323" s="807"/>
      <c r="V323" s="807"/>
      <c r="W323" s="807"/>
      <c r="X323" s="807"/>
      <c r="Y323" s="807"/>
      <c r="Z323" s="807"/>
    </row>
    <row r="324" ht="171.75" customHeight="1">
      <c r="A324" s="807"/>
      <c r="B324" s="807"/>
      <c r="C324" s="807"/>
      <c r="D324" s="807"/>
      <c r="E324" s="807"/>
      <c r="F324" s="807"/>
      <c r="G324" s="807"/>
      <c r="H324" s="807"/>
      <c r="I324" s="807"/>
      <c r="J324" s="807"/>
      <c r="K324" s="807"/>
      <c r="L324" s="807"/>
      <c r="M324" s="807"/>
      <c r="N324" s="807"/>
      <c r="O324" s="807"/>
      <c r="P324" s="807"/>
      <c r="Q324" s="807"/>
      <c r="R324" s="807"/>
      <c r="S324" s="807"/>
      <c r="T324" s="807"/>
      <c r="U324" s="807"/>
      <c r="V324" s="807"/>
      <c r="W324" s="807"/>
      <c r="X324" s="807"/>
      <c r="Y324" s="807"/>
      <c r="Z324" s="807"/>
    </row>
    <row r="325" ht="171.75" customHeight="1">
      <c r="A325" s="807"/>
      <c r="B325" s="807"/>
      <c r="C325" s="807"/>
      <c r="D325" s="807"/>
      <c r="E325" s="807"/>
      <c r="F325" s="807"/>
      <c r="G325" s="807"/>
      <c r="H325" s="807"/>
      <c r="I325" s="807"/>
      <c r="J325" s="807"/>
      <c r="K325" s="807"/>
      <c r="L325" s="807"/>
      <c r="M325" s="807"/>
      <c r="N325" s="807"/>
      <c r="O325" s="807"/>
      <c r="P325" s="807"/>
      <c r="Q325" s="807"/>
      <c r="R325" s="807"/>
      <c r="S325" s="807"/>
      <c r="T325" s="807"/>
      <c r="U325" s="807"/>
      <c r="V325" s="807"/>
      <c r="W325" s="807"/>
      <c r="X325" s="807"/>
      <c r="Y325" s="807"/>
      <c r="Z325" s="807"/>
    </row>
    <row r="326" ht="171.75" customHeight="1">
      <c r="A326" s="807"/>
      <c r="B326" s="807"/>
      <c r="C326" s="807"/>
      <c r="D326" s="807"/>
      <c r="E326" s="807"/>
      <c r="F326" s="807"/>
      <c r="G326" s="807"/>
      <c r="H326" s="807"/>
      <c r="I326" s="807"/>
      <c r="J326" s="807"/>
      <c r="K326" s="807"/>
      <c r="L326" s="807"/>
      <c r="M326" s="807"/>
      <c r="N326" s="807"/>
      <c r="O326" s="807"/>
      <c r="P326" s="807"/>
      <c r="Q326" s="807"/>
      <c r="R326" s="807"/>
      <c r="S326" s="807"/>
      <c r="T326" s="807"/>
      <c r="U326" s="807"/>
      <c r="V326" s="807"/>
      <c r="W326" s="807"/>
      <c r="X326" s="807"/>
      <c r="Y326" s="807"/>
      <c r="Z326" s="807"/>
    </row>
    <row r="327" ht="171.75" customHeight="1">
      <c r="A327" s="807"/>
      <c r="B327" s="807"/>
      <c r="C327" s="807"/>
      <c r="D327" s="807"/>
      <c r="E327" s="807"/>
      <c r="F327" s="807"/>
      <c r="G327" s="807"/>
      <c r="H327" s="807"/>
      <c r="I327" s="807"/>
      <c r="J327" s="807"/>
      <c r="K327" s="807"/>
      <c r="L327" s="807"/>
      <c r="M327" s="807"/>
      <c r="N327" s="807"/>
      <c r="O327" s="807"/>
      <c r="P327" s="807"/>
      <c r="Q327" s="807"/>
      <c r="R327" s="807"/>
      <c r="S327" s="807"/>
      <c r="T327" s="807"/>
      <c r="U327" s="807"/>
      <c r="V327" s="807"/>
      <c r="W327" s="807"/>
      <c r="X327" s="807"/>
      <c r="Y327" s="807"/>
      <c r="Z327" s="807"/>
    </row>
    <row r="328" ht="171.75" customHeight="1">
      <c r="A328" s="807"/>
      <c r="B328" s="807"/>
      <c r="C328" s="807"/>
      <c r="D328" s="807"/>
      <c r="E328" s="807"/>
      <c r="F328" s="807"/>
      <c r="G328" s="807"/>
      <c r="H328" s="807"/>
      <c r="I328" s="807"/>
      <c r="J328" s="807"/>
      <c r="K328" s="807"/>
      <c r="L328" s="807"/>
      <c r="M328" s="807"/>
      <c r="N328" s="807"/>
      <c r="O328" s="807"/>
      <c r="P328" s="807"/>
      <c r="Q328" s="807"/>
      <c r="R328" s="807"/>
      <c r="S328" s="807"/>
      <c r="T328" s="807"/>
      <c r="U328" s="807"/>
      <c r="V328" s="807"/>
      <c r="W328" s="807"/>
      <c r="X328" s="807"/>
      <c r="Y328" s="807"/>
      <c r="Z328" s="807"/>
    </row>
    <row r="329" ht="171.75" customHeight="1">
      <c r="A329" s="807"/>
      <c r="B329" s="807"/>
      <c r="C329" s="807"/>
      <c r="D329" s="807"/>
      <c r="E329" s="807"/>
      <c r="F329" s="807"/>
      <c r="G329" s="807"/>
      <c r="H329" s="807"/>
      <c r="I329" s="807"/>
      <c r="J329" s="807"/>
      <c r="K329" s="807"/>
      <c r="L329" s="807"/>
      <c r="M329" s="807"/>
      <c r="N329" s="807"/>
      <c r="O329" s="807"/>
      <c r="P329" s="807"/>
      <c r="Q329" s="807"/>
      <c r="R329" s="807"/>
      <c r="S329" s="807"/>
      <c r="T329" s="807"/>
      <c r="U329" s="807"/>
      <c r="V329" s="807"/>
      <c r="W329" s="807"/>
      <c r="X329" s="807"/>
      <c r="Y329" s="807"/>
      <c r="Z329" s="807"/>
    </row>
    <row r="330" ht="171.75" customHeight="1">
      <c r="A330" s="807"/>
      <c r="B330" s="807"/>
      <c r="C330" s="807"/>
      <c r="D330" s="807"/>
      <c r="E330" s="807"/>
      <c r="F330" s="807"/>
      <c r="G330" s="807"/>
      <c r="H330" s="807"/>
      <c r="I330" s="807"/>
      <c r="J330" s="807"/>
      <c r="K330" s="807"/>
      <c r="L330" s="807"/>
      <c r="M330" s="807"/>
      <c r="N330" s="807"/>
      <c r="O330" s="807"/>
      <c r="P330" s="807"/>
      <c r="Q330" s="807"/>
      <c r="R330" s="807"/>
      <c r="S330" s="807"/>
      <c r="T330" s="807"/>
      <c r="U330" s="807"/>
      <c r="V330" s="807"/>
      <c r="W330" s="807"/>
      <c r="X330" s="807"/>
      <c r="Y330" s="807"/>
      <c r="Z330" s="807"/>
    </row>
    <row r="331" ht="171.75" customHeight="1">
      <c r="A331" s="807"/>
      <c r="B331" s="807"/>
      <c r="C331" s="807"/>
      <c r="D331" s="807"/>
      <c r="E331" s="807"/>
      <c r="F331" s="807"/>
      <c r="G331" s="807"/>
      <c r="H331" s="807"/>
      <c r="I331" s="807"/>
      <c r="J331" s="807"/>
      <c r="K331" s="807"/>
      <c r="L331" s="807"/>
      <c r="M331" s="807"/>
      <c r="N331" s="807"/>
      <c r="O331" s="807"/>
      <c r="P331" s="807"/>
      <c r="Q331" s="807"/>
      <c r="R331" s="807"/>
      <c r="S331" s="807"/>
      <c r="T331" s="807"/>
      <c r="U331" s="807"/>
      <c r="V331" s="807"/>
      <c r="W331" s="807"/>
      <c r="X331" s="807"/>
      <c r="Y331" s="807"/>
      <c r="Z331" s="807"/>
    </row>
    <row r="332" ht="171.75" customHeight="1">
      <c r="A332" s="807"/>
      <c r="B332" s="807"/>
      <c r="C332" s="807"/>
      <c r="D332" s="807"/>
      <c r="E332" s="807"/>
      <c r="F332" s="807"/>
      <c r="G332" s="807"/>
      <c r="H332" s="807"/>
      <c r="I332" s="807"/>
      <c r="J332" s="807"/>
      <c r="K332" s="807"/>
      <c r="L332" s="807"/>
      <c r="M332" s="807"/>
      <c r="N332" s="807"/>
      <c r="O332" s="807"/>
      <c r="P332" s="807"/>
      <c r="Q332" s="807"/>
      <c r="R332" s="807"/>
      <c r="S332" s="807"/>
      <c r="T332" s="807"/>
      <c r="U332" s="807"/>
      <c r="V332" s="807"/>
      <c r="W332" s="807"/>
      <c r="X332" s="807"/>
      <c r="Y332" s="807"/>
      <c r="Z332" s="807"/>
    </row>
    <row r="333" ht="171.75" customHeight="1">
      <c r="A333" s="807"/>
      <c r="B333" s="807"/>
      <c r="C333" s="807"/>
      <c r="D333" s="807"/>
      <c r="E333" s="807"/>
      <c r="F333" s="807"/>
      <c r="G333" s="807"/>
      <c r="H333" s="807"/>
      <c r="I333" s="807"/>
      <c r="J333" s="807"/>
      <c r="K333" s="807"/>
      <c r="L333" s="807"/>
      <c r="M333" s="807"/>
      <c r="N333" s="807"/>
      <c r="O333" s="807"/>
      <c r="P333" s="807"/>
      <c r="Q333" s="807"/>
      <c r="R333" s="807"/>
      <c r="S333" s="807"/>
      <c r="T333" s="807"/>
      <c r="U333" s="807"/>
      <c r="V333" s="807"/>
      <c r="W333" s="807"/>
      <c r="X333" s="807"/>
      <c r="Y333" s="807"/>
      <c r="Z333" s="807"/>
    </row>
    <row r="334" ht="171.75" customHeight="1">
      <c r="A334" s="807"/>
      <c r="B334" s="807"/>
      <c r="C334" s="807"/>
      <c r="D334" s="807"/>
      <c r="E334" s="807"/>
      <c r="F334" s="807"/>
      <c r="G334" s="807"/>
      <c r="H334" s="807"/>
      <c r="I334" s="807"/>
      <c r="J334" s="807"/>
      <c r="K334" s="807"/>
      <c r="L334" s="807"/>
      <c r="M334" s="807"/>
      <c r="N334" s="807"/>
      <c r="O334" s="807"/>
      <c r="P334" s="807"/>
      <c r="Q334" s="807"/>
      <c r="R334" s="807"/>
      <c r="S334" s="807"/>
      <c r="T334" s="807"/>
      <c r="U334" s="807"/>
      <c r="V334" s="807"/>
      <c r="W334" s="807"/>
      <c r="X334" s="807"/>
      <c r="Y334" s="807"/>
      <c r="Z334" s="807"/>
    </row>
    <row r="335" ht="171.75" customHeight="1">
      <c r="A335" s="807"/>
      <c r="B335" s="807"/>
      <c r="C335" s="807"/>
      <c r="D335" s="807"/>
      <c r="E335" s="807"/>
      <c r="F335" s="807"/>
      <c r="G335" s="807"/>
      <c r="H335" s="807"/>
      <c r="I335" s="807"/>
      <c r="J335" s="807"/>
      <c r="K335" s="807"/>
      <c r="L335" s="807"/>
      <c r="M335" s="807"/>
      <c r="N335" s="807"/>
      <c r="O335" s="807"/>
      <c r="P335" s="807"/>
      <c r="Q335" s="807"/>
      <c r="R335" s="807"/>
      <c r="S335" s="807"/>
      <c r="T335" s="807"/>
      <c r="U335" s="807"/>
      <c r="V335" s="807"/>
      <c r="W335" s="807"/>
      <c r="X335" s="807"/>
      <c r="Y335" s="807"/>
      <c r="Z335" s="807"/>
    </row>
    <row r="336" ht="171.75" customHeight="1">
      <c r="A336" s="807"/>
      <c r="B336" s="807"/>
      <c r="C336" s="807"/>
      <c r="D336" s="807"/>
      <c r="E336" s="807"/>
      <c r="F336" s="807"/>
      <c r="G336" s="807"/>
      <c r="H336" s="807"/>
      <c r="I336" s="807"/>
      <c r="J336" s="807"/>
      <c r="K336" s="807"/>
      <c r="L336" s="807"/>
      <c r="M336" s="807"/>
      <c r="N336" s="807"/>
      <c r="O336" s="807"/>
      <c r="P336" s="807"/>
      <c r="Q336" s="807"/>
      <c r="R336" s="807"/>
      <c r="S336" s="807"/>
      <c r="T336" s="807"/>
      <c r="U336" s="807"/>
      <c r="V336" s="807"/>
      <c r="W336" s="807"/>
      <c r="X336" s="807"/>
      <c r="Y336" s="807"/>
      <c r="Z336" s="807"/>
    </row>
    <row r="337" ht="171.75" customHeight="1">
      <c r="A337" s="807"/>
      <c r="B337" s="807"/>
      <c r="C337" s="807"/>
      <c r="D337" s="807"/>
      <c r="E337" s="807"/>
      <c r="F337" s="807"/>
      <c r="G337" s="807"/>
      <c r="H337" s="807"/>
      <c r="I337" s="807"/>
      <c r="J337" s="807"/>
      <c r="K337" s="807"/>
      <c r="L337" s="807"/>
      <c r="M337" s="807"/>
      <c r="N337" s="807"/>
      <c r="O337" s="807"/>
      <c r="P337" s="807"/>
      <c r="Q337" s="807"/>
      <c r="R337" s="807"/>
      <c r="S337" s="807"/>
      <c r="T337" s="807"/>
      <c r="U337" s="807"/>
      <c r="V337" s="807"/>
      <c r="W337" s="807"/>
      <c r="X337" s="807"/>
      <c r="Y337" s="807"/>
      <c r="Z337" s="807"/>
    </row>
    <row r="338" ht="171.75" customHeight="1">
      <c r="A338" s="807"/>
      <c r="B338" s="807"/>
      <c r="C338" s="807"/>
      <c r="D338" s="807"/>
      <c r="E338" s="807"/>
      <c r="F338" s="807"/>
      <c r="G338" s="807"/>
      <c r="H338" s="807"/>
      <c r="I338" s="807"/>
      <c r="J338" s="807"/>
      <c r="K338" s="807"/>
      <c r="L338" s="807"/>
      <c r="M338" s="807"/>
      <c r="N338" s="807"/>
      <c r="O338" s="807"/>
      <c r="P338" s="807"/>
      <c r="Q338" s="807"/>
      <c r="R338" s="807"/>
      <c r="S338" s="807"/>
      <c r="T338" s="807"/>
      <c r="U338" s="807"/>
      <c r="V338" s="807"/>
      <c r="W338" s="807"/>
      <c r="X338" s="807"/>
      <c r="Y338" s="807"/>
      <c r="Z338" s="807"/>
    </row>
    <row r="339" ht="171.75" customHeight="1">
      <c r="A339" s="807"/>
      <c r="B339" s="807"/>
      <c r="C339" s="807"/>
      <c r="D339" s="807"/>
      <c r="E339" s="807"/>
      <c r="F339" s="807"/>
      <c r="G339" s="807"/>
      <c r="H339" s="807"/>
      <c r="I339" s="807"/>
      <c r="J339" s="807"/>
      <c r="K339" s="807"/>
      <c r="L339" s="807"/>
      <c r="M339" s="807"/>
      <c r="N339" s="807"/>
      <c r="O339" s="807"/>
      <c r="P339" s="807"/>
      <c r="Q339" s="807"/>
      <c r="R339" s="807"/>
      <c r="S339" s="807"/>
      <c r="T339" s="807"/>
      <c r="U339" s="807"/>
      <c r="V339" s="807"/>
      <c r="W339" s="807"/>
      <c r="X339" s="807"/>
      <c r="Y339" s="807"/>
      <c r="Z339" s="807"/>
    </row>
    <row r="340" ht="171.75" customHeight="1">
      <c r="A340" s="807"/>
      <c r="B340" s="807"/>
      <c r="C340" s="807"/>
      <c r="D340" s="807"/>
      <c r="E340" s="807"/>
      <c r="F340" s="807"/>
      <c r="G340" s="807"/>
      <c r="H340" s="807"/>
      <c r="I340" s="807"/>
      <c r="J340" s="807"/>
      <c r="K340" s="807"/>
      <c r="L340" s="807"/>
      <c r="M340" s="807"/>
      <c r="N340" s="807"/>
      <c r="O340" s="807"/>
      <c r="P340" s="807"/>
      <c r="Q340" s="807"/>
      <c r="R340" s="807"/>
      <c r="S340" s="807"/>
      <c r="T340" s="807"/>
      <c r="U340" s="807"/>
      <c r="V340" s="807"/>
      <c r="W340" s="807"/>
      <c r="X340" s="807"/>
      <c r="Y340" s="807"/>
      <c r="Z340" s="807"/>
    </row>
    <row r="341" ht="171.75" customHeight="1">
      <c r="A341" s="807"/>
      <c r="B341" s="807"/>
      <c r="C341" s="807"/>
      <c r="D341" s="807"/>
      <c r="E341" s="807"/>
      <c r="F341" s="807"/>
      <c r="G341" s="807"/>
      <c r="H341" s="807"/>
      <c r="I341" s="807"/>
      <c r="J341" s="807"/>
      <c r="K341" s="807"/>
      <c r="L341" s="807"/>
      <c r="M341" s="807"/>
      <c r="N341" s="807"/>
      <c r="O341" s="807"/>
      <c r="P341" s="807"/>
      <c r="Q341" s="807"/>
      <c r="R341" s="807"/>
      <c r="S341" s="807"/>
      <c r="T341" s="807"/>
      <c r="U341" s="807"/>
      <c r="V341" s="807"/>
      <c r="W341" s="807"/>
      <c r="X341" s="807"/>
      <c r="Y341" s="807"/>
      <c r="Z341" s="807"/>
    </row>
    <row r="342" ht="171.75" customHeight="1">
      <c r="A342" s="807"/>
      <c r="B342" s="807"/>
      <c r="C342" s="807"/>
      <c r="D342" s="807"/>
      <c r="E342" s="807"/>
      <c r="F342" s="807"/>
      <c r="G342" s="807"/>
      <c r="H342" s="807"/>
      <c r="I342" s="807"/>
      <c r="J342" s="807"/>
      <c r="K342" s="807"/>
      <c r="L342" s="807"/>
      <c r="M342" s="807"/>
      <c r="N342" s="807"/>
      <c r="O342" s="807"/>
      <c r="P342" s="807"/>
      <c r="Q342" s="807"/>
      <c r="R342" s="807"/>
      <c r="S342" s="807"/>
      <c r="T342" s="807"/>
      <c r="U342" s="807"/>
      <c r="V342" s="807"/>
      <c r="W342" s="807"/>
      <c r="X342" s="807"/>
      <c r="Y342" s="807"/>
      <c r="Z342" s="807"/>
    </row>
    <row r="343" ht="171.75" customHeight="1">
      <c r="A343" s="807"/>
      <c r="B343" s="807"/>
      <c r="C343" s="807"/>
      <c r="D343" s="807"/>
      <c r="E343" s="807"/>
      <c r="F343" s="807"/>
      <c r="G343" s="807"/>
      <c r="H343" s="807"/>
      <c r="I343" s="807"/>
      <c r="J343" s="807"/>
      <c r="K343" s="807"/>
      <c r="L343" s="807"/>
      <c r="M343" s="807"/>
      <c r="N343" s="807"/>
      <c r="O343" s="807"/>
      <c r="P343" s="807"/>
      <c r="Q343" s="807"/>
      <c r="R343" s="807"/>
      <c r="S343" s="807"/>
      <c r="T343" s="807"/>
      <c r="U343" s="807"/>
      <c r="V343" s="807"/>
      <c r="W343" s="807"/>
      <c r="X343" s="807"/>
      <c r="Y343" s="807"/>
      <c r="Z343" s="807"/>
    </row>
    <row r="344" ht="171.75" customHeight="1">
      <c r="A344" s="807"/>
      <c r="B344" s="807"/>
      <c r="C344" s="807"/>
      <c r="D344" s="807"/>
      <c r="E344" s="807"/>
      <c r="F344" s="807"/>
      <c r="G344" s="807"/>
      <c r="H344" s="807"/>
      <c r="I344" s="807"/>
      <c r="J344" s="807"/>
      <c r="K344" s="807"/>
      <c r="L344" s="807"/>
      <c r="M344" s="807"/>
      <c r="N344" s="807"/>
      <c r="O344" s="807"/>
      <c r="P344" s="807"/>
      <c r="Q344" s="807"/>
      <c r="R344" s="807"/>
      <c r="S344" s="807"/>
      <c r="T344" s="807"/>
      <c r="U344" s="807"/>
      <c r="V344" s="807"/>
      <c r="W344" s="807"/>
      <c r="X344" s="807"/>
      <c r="Y344" s="807"/>
      <c r="Z344" s="807"/>
    </row>
    <row r="345" ht="171.75" customHeight="1">
      <c r="A345" s="807"/>
      <c r="B345" s="807"/>
      <c r="C345" s="807"/>
      <c r="D345" s="807"/>
      <c r="E345" s="807"/>
      <c r="F345" s="807"/>
      <c r="G345" s="807"/>
      <c r="H345" s="807"/>
      <c r="I345" s="807"/>
      <c r="J345" s="807"/>
      <c r="K345" s="807"/>
      <c r="L345" s="807"/>
      <c r="M345" s="807"/>
      <c r="N345" s="807"/>
      <c r="O345" s="807"/>
      <c r="P345" s="807"/>
      <c r="Q345" s="807"/>
      <c r="R345" s="807"/>
      <c r="S345" s="807"/>
      <c r="T345" s="807"/>
      <c r="U345" s="807"/>
      <c r="V345" s="807"/>
      <c r="W345" s="807"/>
      <c r="X345" s="807"/>
      <c r="Y345" s="807"/>
      <c r="Z345" s="807"/>
    </row>
    <row r="346" ht="171.75" customHeight="1">
      <c r="A346" s="807"/>
      <c r="B346" s="807"/>
      <c r="C346" s="807"/>
      <c r="D346" s="807"/>
      <c r="E346" s="807"/>
      <c r="F346" s="807"/>
      <c r="G346" s="807"/>
      <c r="H346" s="807"/>
      <c r="I346" s="807"/>
      <c r="J346" s="807"/>
      <c r="K346" s="807"/>
      <c r="L346" s="807"/>
      <c r="M346" s="807"/>
      <c r="N346" s="807"/>
      <c r="O346" s="807"/>
      <c r="P346" s="807"/>
      <c r="Q346" s="807"/>
      <c r="R346" s="807"/>
      <c r="S346" s="807"/>
      <c r="T346" s="807"/>
      <c r="U346" s="807"/>
      <c r="V346" s="807"/>
      <c r="W346" s="807"/>
      <c r="X346" s="807"/>
      <c r="Y346" s="807"/>
      <c r="Z346" s="807"/>
    </row>
    <row r="347" ht="171.75" customHeight="1">
      <c r="A347" s="807"/>
      <c r="B347" s="807"/>
      <c r="C347" s="807"/>
      <c r="D347" s="807"/>
      <c r="E347" s="807"/>
      <c r="F347" s="807"/>
      <c r="G347" s="807"/>
      <c r="H347" s="807"/>
      <c r="I347" s="807"/>
      <c r="J347" s="807"/>
      <c r="K347" s="807"/>
      <c r="L347" s="807"/>
      <c r="M347" s="807"/>
      <c r="N347" s="807"/>
      <c r="O347" s="807"/>
      <c r="P347" s="807"/>
      <c r="Q347" s="807"/>
      <c r="R347" s="807"/>
      <c r="S347" s="807"/>
      <c r="T347" s="807"/>
      <c r="U347" s="807"/>
      <c r="V347" s="807"/>
      <c r="W347" s="807"/>
      <c r="X347" s="807"/>
      <c r="Y347" s="807"/>
      <c r="Z347" s="807"/>
    </row>
    <row r="348" ht="171.75" customHeight="1">
      <c r="A348" s="807"/>
      <c r="B348" s="807"/>
      <c r="C348" s="807"/>
      <c r="D348" s="807"/>
      <c r="E348" s="807"/>
      <c r="F348" s="807"/>
      <c r="G348" s="807"/>
      <c r="H348" s="807"/>
      <c r="I348" s="807"/>
      <c r="J348" s="807"/>
      <c r="K348" s="807"/>
      <c r="L348" s="807"/>
      <c r="M348" s="807"/>
      <c r="N348" s="807"/>
      <c r="O348" s="807"/>
      <c r="P348" s="807"/>
      <c r="Q348" s="807"/>
      <c r="R348" s="807"/>
      <c r="S348" s="807"/>
      <c r="T348" s="807"/>
      <c r="U348" s="807"/>
      <c r="V348" s="807"/>
      <c r="W348" s="807"/>
      <c r="X348" s="807"/>
      <c r="Y348" s="807"/>
      <c r="Z348" s="807"/>
    </row>
    <row r="349" ht="171.75" customHeight="1">
      <c r="A349" s="807"/>
      <c r="B349" s="807"/>
      <c r="C349" s="807"/>
      <c r="D349" s="807"/>
      <c r="E349" s="807"/>
      <c r="F349" s="807"/>
      <c r="G349" s="807"/>
      <c r="H349" s="807"/>
      <c r="I349" s="807"/>
      <c r="J349" s="807"/>
      <c r="K349" s="807"/>
      <c r="L349" s="807"/>
      <c r="M349" s="807"/>
      <c r="N349" s="807"/>
      <c r="O349" s="807"/>
      <c r="P349" s="807"/>
      <c r="Q349" s="807"/>
      <c r="R349" s="807"/>
      <c r="S349" s="807"/>
      <c r="T349" s="807"/>
      <c r="U349" s="807"/>
      <c r="V349" s="807"/>
      <c r="W349" s="807"/>
      <c r="X349" s="807"/>
      <c r="Y349" s="807"/>
      <c r="Z349" s="807"/>
    </row>
    <row r="350" ht="171.75" customHeight="1">
      <c r="A350" s="807"/>
      <c r="B350" s="807"/>
      <c r="C350" s="807"/>
      <c r="D350" s="807"/>
      <c r="E350" s="807"/>
      <c r="F350" s="807"/>
      <c r="G350" s="807"/>
      <c r="H350" s="807"/>
      <c r="I350" s="807"/>
      <c r="J350" s="807"/>
      <c r="K350" s="807"/>
      <c r="L350" s="807"/>
      <c r="M350" s="807"/>
      <c r="N350" s="807"/>
      <c r="O350" s="807"/>
      <c r="P350" s="807"/>
      <c r="Q350" s="807"/>
      <c r="R350" s="807"/>
      <c r="S350" s="807"/>
      <c r="T350" s="807"/>
      <c r="U350" s="807"/>
      <c r="V350" s="807"/>
      <c r="W350" s="807"/>
      <c r="X350" s="807"/>
      <c r="Y350" s="807"/>
      <c r="Z350" s="807"/>
    </row>
    <row r="351" ht="171.75" customHeight="1">
      <c r="A351" s="807"/>
      <c r="B351" s="807"/>
      <c r="C351" s="807"/>
      <c r="D351" s="807"/>
      <c r="E351" s="807"/>
      <c r="F351" s="807"/>
      <c r="G351" s="807"/>
      <c r="H351" s="807"/>
      <c r="I351" s="807"/>
      <c r="J351" s="807"/>
      <c r="K351" s="807"/>
      <c r="L351" s="807"/>
      <c r="M351" s="807"/>
      <c r="N351" s="807"/>
      <c r="O351" s="807"/>
      <c r="P351" s="807"/>
      <c r="Q351" s="807"/>
      <c r="R351" s="807"/>
      <c r="S351" s="807"/>
      <c r="T351" s="807"/>
      <c r="U351" s="807"/>
      <c r="V351" s="807"/>
      <c r="W351" s="807"/>
      <c r="X351" s="807"/>
      <c r="Y351" s="807"/>
      <c r="Z351" s="807"/>
    </row>
    <row r="352" ht="171.75" customHeight="1">
      <c r="A352" s="807"/>
      <c r="B352" s="807"/>
      <c r="C352" s="807"/>
      <c r="D352" s="807"/>
      <c r="E352" s="807"/>
      <c r="F352" s="807"/>
      <c r="G352" s="807"/>
      <c r="H352" s="807"/>
      <c r="I352" s="807"/>
      <c r="J352" s="807"/>
      <c r="K352" s="807"/>
      <c r="L352" s="807"/>
      <c r="M352" s="807"/>
      <c r="N352" s="807"/>
      <c r="O352" s="807"/>
      <c r="P352" s="807"/>
      <c r="Q352" s="807"/>
      <c r="R352" s="807"/>
      <c r="S352" s="807"/>
      <c r="T352" s="807"/>
      <c r="U352" s="807"/>
      <c r="V352" s="807"/>
      <c r="W352" s="807"/>
      <c r="X352" s="807"/>
      <c r="Y352" s="807"/>
      <c r="Z352" s="807"/>
    </row>
    <row r="353" ht="171.75" customHeight="1">
      <c r="A353" s="807"/>
      <c r="B353" s="807"/>
      <c r="C353" s="807"/>
      <c r="D353" s="807"/>
      <c r="E353" s="807"/>
      <c r="F353" s="807"/>
      <c r="G353" s="807"/>
      <c r="H353" s="807"/>
      <c r="I353" s="807"/>
      <c r="J353" s="807"/>
      <c r="K353" s="807"/>
      <c r="L353" s="807"/>
      <c r="M353" s="807"/>
      <c r="N353" s="807"/>
      <c r="O353" s="807"/>
      <c r="P353" s="807"/>
      <c r="Q353" s="807"/>
      <c r="R353" s="807"/>
      <c r="S353" s="807"/>
      <c r="T353" s="807"/>
      <c r="U353" s="807"/>
      <c r="V353" s="807"/>
      <c r="W353" s="807"/>
      <c r="X353" s="807"/>
      <c r="Y353" s="807"/>
      <c r="Z353" s="807"/>
    </row>
    <row r="354" ht="171.75" customHeight="1">
      <c r="A354" s="807"/>
      <c r="B354" s="807"/>
      <c r="C354" s="807"/>
      <c r="D354" s="807"/>
      <c r="E354" s="807"/>
      <c r="F354" s="807"/>
      <c r="G354" s="807"/>
      <c r="H354" s="807"/>
      <c r="I354" s="807"/>
      <c r="J354" s="807"/>
      <c r="K354" s="807"/>
      <c r="L354" s="807"/>
      <c r="M354" s="807"/>
      <c r="N354" s="807"/>
      <c r="O354" s="807"/>
      <c r="P354" s="807"/>
      <c r="Q354" s="807"/>
      <c r="R354" s="807"/>
      <c r="S354" s="807"/>
      <c r="T354" s="807"/>
      <c r="U354" s="807"/>
      <c r="V354" s="807"/>
      <c r="W354" s="807"/>
      <c r="X354" s="807"/>
      <c r="Y354" s="807"/>
      <c r="Z354" s="807"/>
    </row>
    <row r="355" ht="171.75" customHeight="1">
      <c r="A355" s="807"/>
      <c r="B355" s="807"/>
      <c r="C355" s="807"/>
      <c r="D355" s="807"/>
      <c r="E355" s="807"/>
      <c r="F355" s="807"/>
      <c r="G355" s="807"/>
      <c r="H355" s="807"/>
      <c r="I355" s="807"/>
      <c r="J355" s="807"/>
      <c r="K355" s="807"/>
      <c r="L355" s="807"/>
      <c r="M355" s="807"/>
      <c r="N355" s="807"/>
      <c r="O355" s="807"/>
      <c r="P355" s="807"/>
      <c r="Q355" s="807"/>
      <c r="R355" s="807"/>
      <c r="S355" s="807"/>
      <c r="T355" s="807"/>
      <c r="U355" s="807"/>
      <c r="V355" s="807"/>
      <c r="W355" s="807"/>
      <c r="X355" s="807"/>
      <c r="Y355" s="807"/>
      <c r="Z355" s="807"/>
    </row>
    <row r="356" ht="171.75" customHeight="1">
      <c r="A356" s="807"/>
      <c r="B356" s="807"/>
      <c r="C356" s="807"/>
      <c r="D356" s="807"/>
      <c r="E356" s="807"/>
      <c r="F356" s="807"/>
      <c r="G356" s="807"/>
      <c r="H356" s="807"/>
      <c r="I356" s="807"/>
      <c r="J356" s="807"/>
      <c r="K356" s="807"/>
      <c r="L356" s="807"/>
      <c r="M356" s="807"/>
      <c r="N356" s="807"/>
      <c r="O356" s="807"/>
      <c r="P356" s="807"/>
      <c r="Q356" s="807"/>
      <c r="R356" s="807"/>
      <c r="S356" s="807"/>
      <c r="T356" s="807"/>
      <c r="U356" s="807"/>
      <c r="V356" s="807"/>
      <c r="W356" s="807"/>
      <c r="X356" s="807"/>
      <c r="Y356" s="807"/>
      <c r="Z356" s="807"/>
    </row>
    <row r="357" ht="171.75" customHeight="1">
      <c r="A357" s="807"/>
      <c r="B357" s="807"/>
      <c r="C357" s="807"/>
      <c r="D357" s="807"/>
      <c r="E357" s="807"/>
      <c r="F357" s="807"/>
      <c r="G357" s="807"/>
      <c r="H357" s="807"/>
      <c r="I357" s="807"/>
      <c r="J357" s="807"/>
      <c r="K357" s="807"/>
      <c r="L357" s="807"/>
      <c r="M357" s="807"/>
      <c r="N357" s="807"/>
      <c r="O357" s="807"/>
      <c r="P357" s="807"/>
      <c r="Q357" s="807"/>
      <c r="R357" s="807"/>
      <c r="S357" s="807"/>
      <c r="T357" s="807"/>
      <c r="U357" s="807"/>
      <c r="V357" s="807"/>
      <c r="W357" s="807"/>
      <c r="X357" s="807"/>
      <c r="Y357" s="807"/>
      <c r="Z357" s="807"/>
    </row>
    <row r="358" ht="171.75" customHeight="1">
      <c r="A358" s="807"/>
      <c r="B358" s="807"/>
      <c r="C358" s="807"/>
      <c r="D358" s="807"/>
      <c r="E358" s="807"/>
      <c r="F358" s="807"/>
      <c r="G358" s="807"/>
      <c r="H358" s="807"/>
      <c r="I358" s="807"/>
      <c r="J358" s="807"/>
      <c r="K358" s="807"/>
      <c r="L358" s="807"/>
      <c r="M358" s="807"/>
      <c r="N358" s="807"/>
      <c r="O358" s="807"/>
      <c r="P358" s="807"/>
      <c r="Q358" s="807"/>
      <c r="R358" s="807"/>
      <c r="S358" s="807"/>
      <c r="T358" s="807"/>
      <c r="U358" s="807"/>
      <c r="V358" s="807"/>
      <c r="W358" s="807"/>
      <c r="X358" s="807"/>
      <c r="Y358" s="807"/>
      <c r="Z358" s="807"/>
    </row>
    <row r="359" ht="171.75" customHeight="1">
      <c r="A359" s="807"/>
      <c r="B359" s="807"/>
      <c r="C359" s="807"/>
      <c r="D359" s="807"/>
      <c r="E359" s="807"/>
      <c r="F359" s="807"/>
      <c r="G359" s="807"/>
      <c r="H359" s="807"/>
      <c r="I359" s="807"/>
      <c r="J359" s="807"/>
      <c r="K359" s="807"/>
      <c r="L359" s="807"/>
      <c r="M359" s="807"/>
      <c r="N359" s="807"/>
      <c r="O359" s="807"/>
      <c r="P359" s="807"/>
      <c r="Q359" s="807"/>
      <c r="R359" s="807"/>
      <c r="S359" s="807"/>
      <c r="T359" s="807"/>
      <c r="U359" s="807"/>
      <c r="V359" s="807"/>
      <c r="W359" s="807"/>
      <c r="X359" s="807"/>
      <c r="Y359" s="807"/>
      <c r="Z359" s="807"/>
    </row>
    <row r="360" ht="171.75" customHeight="1">
      <c r="A360" s="807"/>
      <c r="B360" s="807"/>
      <c r="C360" s="807"/>
      <c r="D360" s="807"/>
      <c r="E360" s="807"/>
      <c r="F360" s="807"/>
      <c r="G360" s="807"/>
      <c r="H360" s="807"/>
      <c r="I360" s="807"/>
      <c r="J360" s="807"/>
      <c r="K360" s="807"/>
      <c r="L360" s="807"/>
      <c r="M360" s="807"/>
      <c r="N360" s="807"/>
      <c r="O360" s="807"/>
      <c r="P360" s="807"/>
      <c r="Q360" s="807"/>
      <c r="R360" s="807"/>
      <c r="S360" s="807"/>
      <c r="T360" s="807"/>
      <c r="U360" s="807"/>
      <c r="V360" s="807"/>
      <c r="W360" s="807"/>
      <c r="X360" s="807"/>
      <c r="Y360" s="807"/>
      <c r="Z360" s="807"/>
    </row>
    <row r="361" ht="171.75" customHeight="1">
      <c r="A361" s="807"/>
      <c r="B361" s="807"/>
      <c r="C361" s="807"/>
      <c r="D361" s="807"/>
      <c r="E361" s="807"/>
      <c r="F361" s="807"/>
      <c r="G361" s="807"/>
      <c r="H361" s="807"/>
      <c r="I361" s="807"/>
      <c r="J361" s="807"/>
      <c r="K361" s="807"/>
      <c r="L361" s="807"/>
      <c r="M361" s="807"/>
      <c r="N361" s="807"/>
      <c r="O361" s="807"/>
      <c r="P361" s="807"/>
      <c r="Q361" s="807"/>
      <c r="R361" s="807"/>
      <c r="S361" s="807"/>
      <c r="T361" s="807"/>
      <c r="U361" s="807"/>
      <c r="V361" s="807"/>
      <c r="W361" s="807"/>
      <c r="X361" s="807"/>
      <c r="Y361" s="807"/>
      <c r="Z361" s="807"/>
    </row>
    <row r="362" ht="171.75" customHeight="1">
      <c r="A362" s="807"/>
      <c r="B362" s="807"/>
      <c r="C362" s="807"/>
      <c r="D362" s="807"/>
      <c r="E362" s="807"/>
      <c r="F362" s="807"/>
      <c r="G362" s="807"/>
      <c r="H362" s="807"/>
      <c r="I362" s="807"/>
      <c r="J362" s="807"/>
      <c r="K362" s="807"/>
      <c r="L362" s="807"/>
      <c r="M362" s="807"/>
      <c r="N362" s="807"/>
      <c r="O362" s="807"/>
      <c r="P362" s="807"/>
      <c r="Q362" s="807"/>
      <c r="R362" s="807"/>
      <c r="S362" s="807"/>
      <c r="T362" s="807"/>
      <c r="U362" s="807"/>
      <c r="V362" s="807"/>
      <c r="W362" s="807"/>
      <c r="X362" s="807"/>
      <c r="Y362" s="807"/>
      <c r="Z362" s="807"/>
    </row>
    <row r="363" ht="171.75" customHeight="1">
      <c r="A363" s="807"/>
      <c r="B363" s="807"/>
      <c r="C363" s="807"/>
      <c r="D363" s="807"/>
      <c r="E363" s="807"/>
      <c r="F363" s="807"/>
      <c r="G363" s="807"/>
      <c r="H363" s="807"/>
      <c r="I363" s="807"/>
      <c r="J363" s="807"/>
      <c r="K363" s="807"/>
      <c r="L363" s="807"/>
      <c r="M363" s="807"/>
      <c r="N363" s="807"/>
      <c r="O363" s="807"/>
      <c r="P363" s="807"/>
      <c r="Q363" s="807"/>
      <c r="R363" s="807"/>
      <c r="S363" s="807"/>
      <c r="T363" s="807"/>
      <c r="U363" s="807"/>
      <c r="V363" s="807"/>
      <c r="W363" s="807"/>
      <c r="X363" s="807"/>
      <c r="Y363" s="807"/>
      <c r="Z363" s="807"/>
    </row>
    <row r="364" ht="171.75" customHeight="1">
      <c r="A364" s="807"/>
      <c r="B364" s="807"/>
      <c r="C364" s="807"/>
      <c r="D364" s="807"/>
      <c r="E364" s="807"/>
      <c r="F364" s="807"/>
      <c r="G364" s="807"/>
      <c r="H364" s="807"/>
      <c r="I364" s="807"/>
      <c r="J364" s="807"/>
      <c r="K364" s="807"/>
      <c r="L364" s="807"/>
      <c r="M364" s="807"/>
      <c r="N364" s="807"/>
      <c r="O364" s="807"/>
      <c r="P364" s="807"/>
      <c r="Q364" s="807"/>
      <c r="R364" s="807"/>
      <c r="S364" s="807"/>
      <c r="T364" s="807"/>
      <c r="U364" s="807"/>
      <c r="V364" s="807"/>
      <c r="W364" s="807"/>
      <c r="X364" s="807"/>
      <c r="Y364" s="807"/>
      <c r="Z364" s="807"/>
    </row>
    <row r="365" ht="171.75" customHeight="1">
      <c r="A365" s="807"/>
      <c r="B365" s="807"/>
      <c r="C365" s="807"/>
      <c r="D365" s="807"/>
      <c r="E365" s="807"/>
      <c r="F365" s="807"/>
      <c r="G365" s="807"/>
      <c r="H365" s="807"/>
      <c r="I365" s="807"/>
      <c r="J365" s="807"/>
      <c r="K365" s="807"/>
      <c r="L365" s="807"/>
      <c r="M365" s="807"/>
      <c r="N365" s="807"/>
      <c r="O365" s="807"/>
      <c r="P365" s="807"/>
      <c r="Q365" s="807"/>
      <c r="R365" s="807"/>
      <c r="S365" s="807"/>
      <c r="T365" s="807"/>
      <c r="U365" s="807"/>
      <c r="V365" s="807"/>
      <c r="W365" s="807"/>
      <c r="X365" s="807"/>
      <c r="Y365" s="807"/>
      <c r="Z365" s="807"/>
    </row>
    <row r="366" ht="171.75" customHeight="1">
      <c r="A366" s="807"/>
      <c r="B366" s="807"/>
      <c r="C366" s="807"/>
      <c r="D366" s="807"/>
      <c r="E366" s="807"/>
      <c r="F366" s="807"/>
      <c r="G366" s="807"/>
      <c r="H366" s="807"/>
      <c r="I366" s="807"/>
      <c r="J366" s="807"/>
      <c r="K366" s="807"/>
      <c r="L366" s="807"/>
      <c r="M366" s="807"/>
      <c r="N366" s="807"/>
      <c r="O366" s="807"/>
      <c r="P366" s="807"/>
      <c r="Q366" s="807"/>
      <c r="R366" s="807"/>
      <c r="S366" s="807"/>
      <c r="T366" s="807"/>
      <c r="U366" s="807"/>
      <c r="V366" s="807"/>
      <c r="W366" s="807"/>
      <c r="X366" s="807"/>
      <c r="Y366" s="807"/>
      <c r="Z366" s="807"/>
    </row>
    <row r="367" ht="171.75" customHeight="1">
      <c r="A367" s="807"/>
      <c r="B367" s="807"/>
      <c r="C367" s="807"/>
      <c r="D367" s="807"/>
      <c r="E367" s="807"/>
      <c r="F367" s="807"/>
      <c r="G367" s="807"/>
      <c r="H367" s="807"/>
      <c r="I367" s="807"/>
      <c r="J367" s="807"/>
      <c r="K367" s="807"/>
      <c r="L367" s="807"/>
      <c r="M367" s="807"/>
      <c r="N367" s="807"/>
      <c r="O367" s="807"/>
      <c r="P367" s="807"/>
      <c r="Q367" s="807"/>
      <c r="R367" s="807"/>
      <c r="S367" s="807"/>
      <c r="T367" s="807"/>
      <c r="U367" s="807"/>
      <c r="V367" s="807"/>
      <c r="W367" s="807"/>
      <c r="X367" s="807"/>
      <c r="Y367" s="807"/>
      <c r="Z367" s="807"/>
    </row>
    <row r="368" ht="171.75" customHeight="1">
      <c r="A368" s="807"/>
      <c r="B368" s="807"/>
      <c r="C368" s="807"/>
      <c r="D368" s="807"/>
      <c r="E368" s="807"/>
      <c r="F368" s="807"/>
      <c r="G368" s="807"/>
      <c r="H368" s="807"/>
      <c r="I368" s="807"/>
      <c r="J368" s="807"/>
      <c r="K368" s="807"/>
      <c r="L368" s="807"/>
      <c r="M368" s="807"/>
      <c r="N368" s="807"/>
      <c r="O368" s="807"/>
      <c r="P368" s="807"/>
      <c r="Q368" s="807"/>
      <c r="R368" s="807"/>
      <c r="S368" s="807"/>
      <c r="T368" s="807"/>
      <c r="U368" s="807"/>
      <c r="V368" s="807"/>
      <c r="W368" s="807"/>
      <c r="X368" s="807"/>
      <c r="Y368" s="807"/>
      <c r="Z368" s="807"/>
    </row>
    <row r="369" ht="171.75" customHeight="1">
      <c r="A369" s="807"/>
      <c r="B369" s="807"/>
      <c r="C369" s="807"/>
      <c r="D369" s="807"/>
      <c r="E369" s="807"/>
      <c r="F369" s="807"/>
      <c r="G369" s="807"/>
      <c r="H369" s="807"/>
      <c r="I369" s="807"/>
      <c r="J369" s="807"/>
      <c r="K369" s="807"/>
      <c r="L369" s="807"/>
      <c r="M369" s="807"/>
      <c r="N369" s="807"/>
      <c r="O369" s="807"/>
      <c r="P369" s="807"/>
      <c r="Q369" s="807"/>
      <c r="R369" s="807"/>
      <c r="S369" s="807"/>
      <c r="T369" s="807"/>
      <c r="U369" s="807"/>
      <c r="V369" s="807"/>
      <c r="W369" s="807"/>
      <c r="X369" s="807"/>
      <c r="Y369" s="807"/>
      <c r="Z369" s="807"/>
    </row>
    <row r="370" ht="171.75" customHeight="1">
      <c r="A370" s="807"/>
      <c r="B370" s="807"/>
      <c r="C370" s="807"/>
      <c r="D370" s="807"/>
      <c r="E370" s="807"/>
      <c r="F370" s="807"/>
      <c r="G370" s="807"/>
      <c r="H370" s="807"/>
      <c r="I370" s="807"/>
      <c r="J370" s="807"/>
      <c r="K370" s="807"/>
      <c r="L370" s="807"/>
      <c r="M370" s="807"/>
      <c r="N370" s="807"/>
      <c r="O370" s="807"/>
      <c r="P370" s="807"/>
      <c r="Q370" s="807"/>
      <c r="R370" s="807"/>
      <c r="S370" s="807"/>
      <c r="T370" s="807"/>
      <c r="U370" s="807"/>
      <c r="V370" s="807"/>
      <c r="W370" s="807"/>
      <c r="X370" s="807"/>
      <c r="Y370" s="807"/>
      <c r="Z370" s="807"/>
    </row>
    <row r="371" ht="171.75" customHeight="1">
      <c r="A371" s="807"/>
      <c r="B371" s="807"/>
      <c r="C371" s="807"/>
      <c r="D371" s="807"/>
      <c r="E371" s="807"/>
      <c r="F371" s="807"/>
      <c r="G371" s="807"/>
      <c r="H371" s="807"/>
      <c r="I371" s="807"/>
      <c r="J371" s="807"/>
      <c r="K371" s="807"/>
      <c r="L371" s="807"/>
      <c r="M371" s="807"/>
      <c r="N371" s="807"/>
      <c r="O371" s="807"/>
      <c r="P371" s="807"/>
      <c r="Q371" s="807"/>
      <c r="R371" s="807"/>
      <c r="S371" s="807"/>
      <c r="T371" s="807"/>
      <c r="U371" s="807"/>
      <c r="V371" s="807"/>
      <c r="W371" s="807"/>
      <c r="X371" s="807"/>
      <c r="Y371" s="807"/>
      <c r="Z371" s="807"/>
    </row>
    <row r="372" ht="171.75" customHeight="1">
      <c r="A372" s="807"/>
      <c r="B372" s="807"/>
      <c r="C372" s="807"/>
      <c r="D372" s="807"/>
      <c r="E372" s="807"/>
      <c r="F372" s="807"/>
      <c r="G372" s="807"/>
      <c r="H372" s="807"/>
      <c r="I372" s="807"/>
      <c r="J372" s="807"/>
      <c r="K372" s="807"/>
      <c r="L372" s="807"/>
      <c r="M372" s="807"/>
      <c r="N372" s="807"/>
      <c r="O372" s="807"/>
      <c r="P372" s="807"/>
      <c r="Q372" s="807"/>
      <c r="R372" s="807"/>
      <c r="S372" s="807"/>
      <c r="T372" s="807"/>
      <c r="U372" s="807"/>
      <c r="V372" s="807"/>
      <c r="W372" s="807"/>
      <c r="X372" s="807"/>
      <c r="Y372" s="807"/>
      <c r="Z372" s="807"/>
    </row>
    <row r="373" ht="171.75" customHeight="1">
      <c r="A373" s="807"/>
      <c r="B373" s="807"/>
      <c r="C373" s="807"/>
      <c r="D373" s="807"/>
      <c r="E373" s="807"/>
      <c r="F373" s="807"/>
      <c r="G373" s="807"/>
      <c r="H373" s="807"/>
      <c r="I373" s="807"/>
      <c r="J373" s="807"/>
      <c r="K373" s="807"/>
      <c r="L373" s="807"/>
      <c r="M373" s="807"/>
      <c r="N373" s="807"/>
      <c r="O373" s="807"/>
      <c r="P373" s="807"/>
      <c r="Q373" s="807"/>
      <c r="R373" s="807"/>
      <c r="S373" s="807"/>
      <c r="T373" s="807"/>
      <c r="U373" s="807"/>
      <c r="V373" s="807"/>
      <c r="W373" s="807"/>
      <c r="X373" s="807"/>
      <c r="Y373" s="807"/>
      <c r="Z373" s="807"/>
    </row>
    <row r="374" ht="171.75" customHeight="1">
      <c r="A374" s="807"/>
      <c r="B374" s="807"/>
      <c r="C374" s="807"/>
      <c r="D374" s="807"/>
      <c r="E374" s="807"/>
      <c r="F374" s="807"/>
      <c r="G374" s="807"/>
      <c r="H374" s="807"/>
      <c r="I374" s="807"/>
      <c r="J374" s="807"/>
      <c r="K374" s="807"/>
      <c r="L374" s="807"/>
      <c r="M374" s="807"/>
      <c r="N374" s="807"/>
      <c r="O374" s="807"/>
      <c r="P374" s="807"/>
      <c r="Q374" s="807"/>
      <c r="R374" s="807"/>
      <c r="S374" s="807"/>
      <c r="T374" s="807"/>
      <c r="U374" s="807"/>
      <c r="V374" s="807"/>
      <c r="W374" s="807"/>
      <c r="X374" s="807"/>
      <c r="Y374" s="807"/>
      <c r="Z374" s="807"/>
    </row>
    <row r="375" ht="171.75" customHeight="1">
      <c r="A375" s="807"/>
      <c r="B375" s="807"/>
      <c r="C375" s="807"/>
      <c r="D375" s="807"/>
      <c r="E375" s="807"/>
      <c r="F375" s="807"/>
      <c r="G375" s="807"/>
      <c r="H375" s="807"/>
      <c r="I375" s="807"/>
      <c r="J375" s="807"/>
      <c r="K375" s="807"/>
      <c r="L375" s="807"/>
      <c r="M375" s="807"/>
      <c r="N375" s="807"/>
      <c r="O375" s="807"/>
      <c r="P375" s="807"/>
      <c r="Q375" s="807"/>
      <c r="R375" s="807"/>
      <c r="S375" s="807"/>
      <c r="T375" s="807"/>
      <c r="U375" s="807"/>
      <c r="V375" s="807"/>
      <c r="W375" s="807"/>
      <c r="X375" s="807"/>
      <c r="Y375" s="807"/>
      <c r="Z375" s="807"/>
    </row>
    <row r="376" ht="171.75" customHeight="1">
      <c r="A376" s="807"/>
      <c r="B376" s="807"/>
      <c r="C376" s="807"/>
      <c r="D376" s="807"/>
      <c r="E376" s="807"/>
      <c r="F376" s="807"/>
      <c r="G376" s="807"/>
      <c r="H376" s="807"/>
      <c r="I376" s="807"/>
      <c r="J376" s="807"/>
      <c r="K376" s="807"/>
      <c r="L376" s="807"/>
      <c r="M376" s="807"/>
      <c r="N376" s="807"/>
      <c r="O376" s="807"/>
      <c r="P376" s="807"/>
      <c r="Q376" s="807"/>
      <c r="R376" s="807"/>
      <c r="S376" s="807"/>
      <c r="T376" s="807"/>
      <c r="U376" s="807"/>
      <c r="V376" s="807"/>
      <c r="W376" s="807"/>
      <c r="X376" s="807"/>
      <c r="Y376" s="807"/>
      <c r="Z376" s="807"/>
    </row>
    <row r="377" ht="171.75" customHeight="1">
      <c r="A377" s="807"/>
      <c r="B377" s="807"/>
      <c r="C377" s="807"/>
      <c r="D377" s="807"/>
      <c r="E377" s="807"/>
      <c r="F377" s="807"/>
      <c r="G377" s="807"/>
      <c r="H377" s="807"/>
      <c r="I377" s="807"/>
      <c r="J377" s="807"/>
      <c r="K377" s="807"/>
      <c r="L377" s="807"/>
      <c r="M377" s="807"/>
      <c r="N377" s="807"/>
      <c r="O377" s="807"/>
      <c r="P377" s="807"/>
      <c r="Q377" s="807"/>
      <c r="R377" s="807"/>
      <c r="S377" s="807"/>
      <c r="T377" s="807"/>
      <c r="U377" s="807"/>
      <c r="V377" s="807"/>
      <c r="W377" s="807"/>
      <c r="X377" s="807"/>
      <c r="Y377" s="807"/>
      <c r="Z377" s="807"/>
    </row>
    <row r="378" ht="171.75" customHeight="1">
      <c r="A378" s="807"/>
      <c r="B378" s="807"/>
      <c r="C378" s="807"/>
      <c r="D378" s="807"/>
      <c r="E378" s="807"/>
      <c r="F378" s="807"/>
      <c r="G378" s="807"/>
      <c r="H378" s="807"/>
      <c r="I378" s="807"/>
      <c r="J378" s="807"/>
      <c r="K378" s="807"/>
      <c r="L378" s="807"/>
      <c r="M378" s="807"/>
      <c r="N378" s="807"/>
      <c r="O378" s="807"/>
      <c r="P378" s="807"/>
      <c r="Q378" s="807"/>
      <c r="R378" s="807"/>
      <c r="S378" s="807"/>
      <c r="T378" s="807"/>
      <c r="U378" s="807"/>
      <c r="V378" s="807"/>
      <c r="W378" s="807"/>
      <c r="X378" s="807"/>
      <c r="Y378" s="807"/>
      <c r="Z378" s="807"/>
    </row>
    <row r="379" ht="171.75" customHeight="1">
      <c r="A379" s="807"/>
      <c r="B379" s="807"/>
      <c r="C379" s="807"/>
      <c r="D379" s="807"/>
      <c r="E379" s="807"/>
      <c r="F379" s="807"/>
      <c r="G379" s="807"/>
      <c r="H379" s="807"/>
      <c r="I379" s="807"/>
      <c r="J379" s="807"/>
      <c r="K379" s="807"/>
      <c r="L379" s="807"/>
      <c r="M379" s="807"/>
      <c r="N379" s="807"/>
      <c r="O379" s="807"/>
      <c r="P379" s="807"/>
      <c r="Q379" s="807"/>
      <c r="R379" s="807"/>
      <c r="S379" s="807"/>
      <c r="T379" s="807"/>
      <c r="U379" s="807"/>
      <c r="V379" s="807"/>
      <c r="W379" s="807"/>
      <c r="X379" s="807"/>
      <c r="Y379" s="807"/>
      <c r="Z379" s="807"/>
    </row>
    <row r="380" ht="171.75" customHeight="1">
      <c r="A380" s="807"/>
      <c r="B380" s="807"/>
      <c r="C380" s="807"/>
      <c r="D380" s="807"/>
      <c r="E380" s="807"/>
      <c r="F380" s="807"/>
      <c r="G380" s="807"/>
      <c r="H380" s="807"/>
      <c r="I380" s="807"/>
      <c r="J380" s="807"/>
      <c r="K380" s="807"/>
      <c r="L380" s="807"/>
      <c r="M380" s="807"/>
      <c r="N380" s="807"/>
      <c r="O380" s="807"/>
      <c r="P380" s="807"/>
      <c r="Q380" s="807"/>
      <c r="R380" s="807"/>
      <c r="S380" s="807"/>
      <c r="T380" s="807"/>
      <c r="U380" s="807"/>
      <c r="V380" s="807"/>
      <c r="W380" s="807"/>
      <c r="X380" s="807"/>
      <c r="Y380" s="807"/>
      <c r="Z380" s="807"/>
    </row>
    <row r="381" ht="171.75" customHeight="1">
      <c r="A381" s="807"/>
      <c r="B381" s="807"/>
      <c r="C381" s="807"/>
      <c r="D381" s="807"/>
      <c r="E381" s="807"/>
      <c r="F381" s="807"/>
      <c r="G381" s="807"/>
      <c r="H381" s="807"/>
      <c r="I381" s="807"/>
      <c r="J381" s="807"/>
      <c r="K381" s="807"/>
      <c r="L381" s="807"/>
      <c r="M381" s="807"/>
      <c r="N381" s="807"/>
      <c r="O381" s="807"/>
      <c r="P381" s="807"/>
      <c r="Q381" s="807"/>
      <c r="R381" s="807"/>
      <c r="S381" s="807"/>
      <c r="T381" s="807"/>
      <c r="U381" s="807"/>
      <c r="V381" s="807"/>
      <c r="W381" s="807"/>
      <c r="X381" s="807"/>
      <c r="Y381" s="807"/>
      <c r="Z381" s="807"/>
    </row>
    <row r="382" ht="171.75" customHeight="1">
      <c r="A382" s="807"/>
      <c r="B382" s="807"/>
      <c r="C382" s="807"/>
      <c r="D382" s="807"/>
      <c r="E382" s="807"/>
      <c r="F382" s="807"/>
      <c r="G382" s="807"/>
      <c r="H382" s="807"/>
      <c r="I382" s="807"/>
      <c r="J382" s="807"/>
      <c r="K382" s="807"/>
      <c r="L382" s="807"/>
      <c r="M382" s="807"/>
      <c r="N382" s="807"/>
      <c r="O382" s="807"/>
      <c r="P382" s="807"/>
      <c r="Q382" s="807"/>
      <c r="R382" s="807"/>
      <c r="S382" s="807"/>
      <c r="T382" s="807"/>
      <c r="U382" s="807"/>
      <c r="V382" s="807"/>
      <c r="W382" s="807"/>
      <c r="X382" s="807"/>
      <c r="Y382" s="807"/>
      <c r="Z382" s="807"/>
    </row>
    <row r="383" ht="171.75" customHeight="1">
      <c r="A383" s="807"/>
      <c r="B383" s="807"/>
      <c r="C383" s="807"/>
      <c r="D383" s="807"/>
      <c r="E383" s="807"/>
      <c r="F383" s="807"/>
      <c r="G383" s="807"/>
      <c r="H383" s="807"/>
      <c r="I383" s="807"/>
      <c r="J383" s="807"/>
      <c r="K383" s="807"/>
      <c r="L383" s="807"/>
      <c r="M383" s="807"/>
      <c r="N383" s="807"/>
      <c r="O383" s="807"/>
      <c r="P383" s="807"/>
      <c r="Q383" s="807"/>
      <c r="R383" s="807"/>
      <c r="S383" s="807"/>
      <c r="T383" s="807"/>
      <c r="U383" s="807"/>
      <c r="V383" s="807"/>
      <c r="W383" s="807"/>
      <c r="X383" s="807"/>
      <c r="Y383" s="807"/>
      <c r="Z383" s="807"/>
    </row>
    <row r="384" ht="171.75" customHeight="1">
      <c r="A384" s="807"/>
      <c r="B384" s="807"/>
      <c r="C384" s="807"/>
      <c r="D384" s="807"/>
      <c r="E384" s="807"/>
      <c r="F384" s="807"/>
      <c r="G384" s="807"/>
      <c r="H384" s="807"/>
      <c r="I384" s="807"/>
      <c r="J384" s="807"/>
      <c r="K384" s="807"/>
      <c r="L384" s="807"/>
      <c r="M384" s="807"/>
      <c r="N384" s="807"/>
      <c r="O384" s="807"/>
      <c r="P384" s="807"/>
      <c r="Q384" s="807"/>
      <c r="R384" s="807"/>
      <c r="S384" s="807"/>
      <c r="T384" s="807"/>
      <c r="U384" s="807"/>
      <c r="V384" s="807"/>
      <c r="W384" s="807"/>
      <c r="X384" s="807"/>
      <c r="Y384" s="807"/>
      <c r="Z384" s="807"/>
    </row>
    <row r="385" ht="171.75" customHeight="1">
      <c r="A385" s="807"/>
      <c r="B385" s="807"/>
      <c r="C385" s="807"/>
      <c r="D385" s="807"/>
      <c r="E385" s="807"/>
      <c r="F385" s="807"/>
      <c r="G385" s="807"/>
      <c r="H385" s="807"/>
      <c r="I385" s="807"/>
      <c r="J385" s="807"/>
      <c r="K385" s="807"/>
      <c r="L385" s="807"/>
      <c r="M385" s="807"/>
      <c r="N385" s="807"/>
      <c r="O385" s="807"/>
      <c r="P385" s="807"/>
      <c r="Q385" s="807"/>
      <c r="R385" s="807"/>
      <c r="S385" s="807"/>
      <c r="T385" s="807"/>
      <c r="U385" s="807"/>
      <c r="V385" s="807"/>
      <c r="W385" s="807"/>
      <c r="X385" s="807"/>
      <c r="Y385" s="807"/>
      <c r="Z385" s="807"/>
    </row>
    <row r="386" ht="171.75" customHeight="1">
      <c r="A386" s="807"/>
      <c r="B386" s="807"/>
      <c r="C386" s="807"/>
      <c r="D386" s="807"/>
      <c r="E386" s="807"/>
      <c r="F386" s="807"/>
      <c r="G386" s="807"/>
      <c r="H386" s="807"/>
      <c r="I386" s="807"/>
      <c r="J386" s="807"/>
      <c r="K386" s="807"/>
      <c r="L386" s="807"/>
      <c r="M386" s="807"/>
      <c r="N386" s="807"/>
      <c r="O386" s="807"/>
      <c r="P386" s="807"/>
      <c r="Q386" s="807"/>
      <c r="R386" s="807"/>
      <c r="S386" s="807"/>
      <c r="T386" s="807"/>
      <c r="U386" s="807"/>
      <c r="V386" s="807"/>
      <c r="W386" s="807"/>
      <c r="X386" s="807"/>
      <c r="Y386" s="807"/>
      <c r="Z386" s="807"/>
    </row>
    <row r="387" ht="171.75" customHeight="1">
      <c r="A387" s="807"/>
      <c r="B387" s="807"/>
      <c r="C387" s="807"/>
      <c r="D387" s="807"/>
      <c r="E387" s="807"/>
      <c r="F387" s="807"/>
      <c r="G387" s="807"/>
      <c r="H387" s="807"/>
      <c r="I387" s="807"/>
      <c r="J387" s="807"/>
      <c r="K387" s="807"/>
      <c r="L387" s="807"/>
      <c r="M387" s="807"/>
      <c r="N387" s="807"/>
      <c r="O387" s="807"/>
      <c r="P387" s="807"/>
      <c r="Q387" s="807"/>
      <c r="R387" s="807"/>
      <c r="S387" s="807"/>
      <c r="T387" s="807"/>
      <c r="U387" s="807"/>
      <c r="V387" s="807"/>
      <c r="W387" s="807"/>
      <c r="X387" s="807"/>
      <c r="Y387" s="807"/>
      <c r="Z387" s="807"/>
    </row>
    <row r="388" ht="171.75" customHeight="1">
      <c r="A388" s="807"/>
      <c r="B388" s="807"/>
      <c r="C388" s="807"/>
      <c r="D388" s="807"/>
      <c r="E388" s="807"/>
      <c r="F388" s="807"/>
      <c r="G388" s="807"/>
      <c r="H388" s="807"/>
      <c r="I388" s="807"/>
      <c r="J388" s="807"/>
      <c r="K388" s="807"/>
      <c r="L388" s="807"/>
      <c r="M388" s="807"/>
      <c r="N388" s="807"/>
      <c r="O388" s="807"/>
      <c r="P388" s="807"/>
      <c r="Q388" s="807"/>
      <c r="R388" s="807"/>
      <c r="S388" s="807"/>
      <c r="T388" s="807"/>
      <c r="U388" s="807"/>
      <c r="V388" s="807"/>
      <c r="W388" s="807"/>
      <c r="X388" s="807"/>
      <c r="Y388" s="807"/>
      <c r="Z388" s="807"/>
    </row>
    <row r="389" ht="171.75" customHeight="1">
      <c r="A389" s="807"/>
      <c r="B389" s="807"/>
      <c r="C389" s="807"/>
      <c r="D389" s="807"/>
      <c r="E389" s="807"/>
      <c r="F389" s="807"/>
      <c r="G389" s="807"/>
      <c r="H389" s="807"/>
      <c r="I389" s="807"/>
      <c r="J389" s="807"/>
      <c r="K389" s="807"/>
      <c r="L389" s="807"/>
      <c r="M389" s="807"/>
      <c r="N389" s="807"/>
      <c r="O389" s="807"/>
      <c r="P389" s="807"/>
      <c r="Q389" s="807"/>
      <c r="R389" s="807"/>
      <c r="S389" s="807"/>
      <c r="T389" s="807"/>
      <c r="U389" s="807"/>
      <c r="V389" s="807"/>
      <c r="W389" s="807"/>
      <c r="X389" s="807"/>
      <c r="Y389" s="807"/>
      <c r="Z389" s="807"/>
    </row>
    <row r="390" ht="171.75" customHeight="1">
      <c r="A390" s="807"/>
      <c r="B390" s="807"/>
      <c r="C390" s="807"/>
      <c r="D390" s="807"/>
      <c r="E390" s="807"/>
      <c r="F390" s="807"/>
      <c r="G390" s="807"/>
      <c r="H390" s="807"/>
      <c r="I390" s="807"/>
      <c r="J390" s="807"/>
      <c r="K390" s="807"/>
      <c r="L390" s="807"/>
      <c r="M390" s="807"/>
      <c r="N390" s="807"/>
      <c r="O390" s="807"/>
      <c r="P390" s="807"/>
      <c r="Q390" s="807"/>
      <c r="R390" s="807"/>
      <c r="S390" s="807"/>
      <c r="T390" s="807"/>
      <c r="U390" s="807"/>
      <c r="V390" s="807"/>
      <c r="W390" s="807"/>
      <c r="X390" s="807"/>
      <c r="Y390" s="807"/>
      <c r="Z390" s="807"/>
    </row>
    <row r="391" ht="171.75" customHeight="1">
      <c r="A391" s="807"/>
      <c r="B391" s="807"/>
      <c r="C391" s="807"/>
      <c r="D391" s="807"/>
      <c r="E391" s="807"/>
      <c r="F391" s="807"/>
      <c r="G391" s="807"/>
      <c r="H391" s="807"/>
      <c r="I391" s="807"/>
      <c r="J391" s="807"/>
      <c r="K391" s="807"/>
      <c r="L391" s="807"/>
      <c r="M391" s="807"/>
      <c r="N391" s="807"/>
      <c r="O391" s="807"/>
      <c r="P391" s="807"/>
      <c r="Q391" s="807"/>
      <c r="R391" s="807"/>
      <c r="S391" s="807"/>
      <c r="T391" s="807"/>
      <c r="U391" s="807"/>
      <c r="V391" s="807"/>
      <c r="W391" s="807"/>
      <c r="X391" s="807"/>
      <c r="Y391" s="807"/>
      <c r="Z391" s="807"/>
    </row>
    <row r="392" ht="171.75" customHeight="1">
      <c r="A392" s="807"/>
      <c r="B392" s="807"/>
      <c r="C392" s="807"/>
      <c r="D392" s="807"/>
      <c r="E392" s="807"/>
      <c r="F392" s="807"/>
      <c r="G392" s="807"/>
      <c r="H392" s="807"/>
      <c r="I392" s="807"/>
      <c r="J392" s="807"/>
      <c r="K392" s="807"/>
      <c r="L392" s="807"/>
      <c r="M392" s="807"/>
      <c r="N392" s="807"/>
      <c r="O392" s="807"/>
      <c r="P392" s="807"/>
      <c r="Q392" s="807"/>
      <c r="R392" s="807"/>
      <c r="S392" s="807"/>
      <c r="T392" s="807"/>
      <c r="U392" s="807"/>
      <c r="V392" s="807"/>
      <c r="W392" s="807"/>
      <c r="X392" s="807"/>
      <c r="Y392" s="807"/>
      <c r="Z392" s="807"/>
    </row>
    <row r="393" ht="171.75" customHeight="1">
      <c r="A393" s="807"/>
      <c r="B393" s="807"/>
      <c r="C393" s="807"/>
      <c r="D393" s="807"/>
      <c r="E393" s="807"/>
      <c r="F393" s="807"/>
      <c r="G393" s="807"/>
      <c r="H393" s="807"/>
      <c r="I393" s="807"/>
      <c r="J393" s="807"/>
      <c r="K393" s="807"/>
      <c r="L393" s="807"/>
      <c r="M393" s="807"/>
      <c r="N393" s="807"/>
      <c r="O393" s="807"/>
      <c r="P393" s="807"/>
      <c r="Q393" s="807"/>
      <c r="R393" s="807"/>
      <c r="S393" s="807"/>
      <c r="T393" s="807"/>
      <c r="U393" s="807"/>
      <c r="V393" s="807"/>
      <c r="W393" s="807"/>
      <c r="X393" s="807"/>
      <c r="Y393" s="807"/>
      <c r="Z393" s="807"/>
    </row>
    <row r="394" ht="171.75" customHeight="1">
      <c r="A394" s="807"/>
      <c r="B394" s="807"/>
      <c r="C394" s="807"/>
      <c r="D394" s="807"/>
      <c r="E394" s="807"/>
      <c r="F394" s="807"/>
      <c r="G394" s="807"/>
      <c r="H394" s="807"/>
      <c r="I394" s="807"/>
      <c r="J394" s="807"/>
      <c r="K394" s="807"/>
      <c r="L394" s="807"/>
      <c r="M394" s="807"/>
      <c r="N394" s="807"/>
      <c r="O394" s="807"/>
      <c r="P394" s="807"/>
      <c r="Q394" s="807"/>
      <c r="R394" s="807"/>
      <c r="S394" s="807"/>
      <c r="T394" s="807"/>
      <c r="U394" s="807"/>
      <c r="V394" s="807"/>
      <c r="W394" s="807"/>
      <c r="X394" s="807"/>
      <c r="Y394" s="807"/>
      <c r="Z394" s="807"/>
    </row>
    <row r="395" ht="171.75" customHeight="1">
      <c r="A395" s="807"/>
      <c r="B395" s="807"/>
      <c r="C395" s="807"/>
      <c r="D395" s="807"/>
      <c r="E395" s="807"/>
      <c r="F395" s="807"/>
      <c r="G395" s="807"/>
      <c r="H395" s="807"/>
      <c r="I395" s="807"/>
      <c r="J395" s="807"/>
      <c r="K395" s="807"/>
      <c r="L395" s="807"/>
      <c r="M395" s="807"/>
      <c r="N395" s="807"/>
      <c r="O395" s="807"/>
      <c r="P395" s="807"/>
      <c r="Q395" s="807"/>
      <c r="R395" s="807"/>
      <c r="S395" s="807"/>
      <c r="T395" s="807"/>
      <c r="U395" s="807"/>
      <c r="V395" s="807"/>
      <c r="W395" s="807"/>
      <c r="X395" s="807"/>
      <c r="Y395" s="807"/>
      <c r="Z395" s="807"/>
    </row>
    <row r="396" ht="171.75" customHeight="1">
      <c r="A396" s="807"/>
      <c r="B396" s="807"/>
      <c r="C396" s="807"/>
      <c r="D396" s="807"/>
      <c r="E396" s="807"/>
      <c r="F396" s="807"/>
      <c r="G396" s="807"/>
      <c r="H396" s="807"/>
      <c r="I396" s="807"/>
      <c r="J396" s="807"/>
      <c r="K396" s="807"/>
      <c r="L396" s="807"/>
      <c r="M396" s="807"/>
      <c r="N396" s="807"/>
      <c r="O396" s="807"/>
      <c r="P396" s="807"/>
      <c r="Q396" s="807"/>
      <c r="R396" s="807"/>
      <c r="S396" s="807"/>
      <c r="T396" s="807"/>
      <c r="U396" s="807"/>
      <c r="V396" s="807"/>
      <c r="W396" s="807"/>
      <c r="X396" s="807"/>
      <c r="Y396" s="807"/>
      <c r="Z396" s="807"/>
    </row>
    <row r="397" ht="171.75" customHeight="1">
      <c r="A397" s="807"/>
      <c r="B397" s="807"/>
      <c r="C397" s="807"/>
      <c r="D397" s="807"/>
      <c r="E397" s="807"/>
      <c r="F397" s="807"/>
      <c r="G397" s="807"/>
      <c r="H397" s="807"/>
      <c r="I397" s="807"/>
      <c r="J397" s="807"/>
      <c r="K397" s="807"/>
      <c r="L397" s="807"/>
      <c r="M397" s="807"/>
      <c r="N397" s="807"/>
      <c r="O397" s="807"/>
      <c r="P397" s="807"/>
      <c r="Q397" s="807"/>
      <c r="R397" s="807"/>
      <c r="S397" s="807"/>
      <c r="T397" s="807"/>
      <c r="U397" s="807"/>
      <c r="V397" s="807"/>
      <c r="W397" s="807"/>
      <c r="X397" s="807"/>
      <c r="Y397" s="807"/>
      <c r="Z397" s="807"/>
    </row>
    <row r="398" ht="171.75" customHeight="1">
      <c r="A398" s="807"/>
      <c r="B398" s="807"/>
      <c r="C398" s="807"/>
      <c r="D398" s="807"/>
      <c r="E398" s="807"/>
      <c r="F398" s="807"/>
      <c r="G398" s="807"/>
      <c r="H398" s="807"/>
      <c r="I398" s="807"/>
      <c r="J398" s="807"/>
      <c r="K398" s="807"/>
      <c r="L398" s="807"/>
      <c r="M398" s="807"/>
      <c r="N398" s="807"/>
      <c r="O398" s="807"/>
      <c r="P398" s="807"/>
      <c r="Q398" s="807"/>
      <c r="R398" s="807"/>
      <c r="S398" s="807"/>
      <c r="T398" s="807"/>
      <c r="U398" s="807"/>
      <c r="V398" s="807"/>
      <c r="W398" s="807"/>
      <c r="X398" s="807"/>
      <c r="Y398" s="807"/>
      <c r="Z398" s="807"/>
    </row>
    <row r="399" ht="171.75" customHeight="1">
      <c r="A399" s="807"/>
      <c r="B399" s="807"/>
      <c r="C399" s="807"/>
      <c r="D399" s="807"/>
      <c r="E399" s="807"/>
      <c r="F399" s="807"/>
      <c r="G399" s="807"/>
      <c r="H399" s="807"/>
      <c r="I399" s="807"/>
      <c r="J399" s="807"/>
      <c r="K399" s="807"/>
      <c r="L399" s="807"/>
      <c r="M399" s="807"/>
      <c r="N399" s="807"/>
      <c r="O399" s="807"/>
      <c r="P399" s="807"/>
      <c r="Q399" s="807"/>
      <c r="R399" s="807"/>
      <c r="S399" s="807"/>
      <c r="T399" s="807"/>
      <c r="U399" s="807"/>
      <c r="V399" s="807"/>
      <c r="W399" s="807"/>
      <c r="X399" s="807"/>
      <c r="Y399" s="807"/>
      <c r="Z399" s="807"/>
    </row>
    <row r="400" ht="171.75" customHeight="1">
      <c r="A400" s="807"/>
      <c r="B400" s="807"/>
      <c r="C400" s="807"/>
      <c r="D400" s="807"/>
      <c r="E400" s="807"/>
      <c r="F400" s="807"/>
      <c r="G400" s="807"/>
      <c r="H400" s="807"/>
      <c r="I400" s="807"/>
      <c r="J400" s="807"/>
      <c r="K400" s="807"/>
      <c r="L400" s="807"/>
      <c r="M400" s="807"/>
      <c r="N400" s="807"/>
      <c r="O400" s="807"/>
      <c r="P400" s="807"/>
      <c r="Q400" s="807"/>
      <c r="R400" s="807"/>
      <c r="S400" s="807"/>
      <c r="T400" s="807"/>
      <c r="U400" s="807"/>
      <c r="V400" s="807"/>
      <c r="W400" s="807"/>
      <c r="X400" s="807"/>
      <c r="Y400" s="807"/>
      <c r="Z400" s="807"/>
    </row>
    <row r="401" ht="171.75" customHeight="1">
      <c r="A401" s="807"/>
      <c r="B401" s="807"/>
      <c r="C401" s="807"/>
      <c r="D401" s="807"/>
      <c r="E401" s="807"/>
      <c r="F401" s="807"/>
      <c r="G401" s="807"/>
      <c r="H401" s="807"/>
      <c r="I401" s="807"/>
      <c r="J401" s="807"/>
      <c r="K401" s="807"/>
      <c r="L401" s="807"/>
      <c r="M401" s="807"/>
      <c r="N401" s="807"/>
      <c r="O401" s="807"/>
      <c r="P401" s="807"/>
      <c r="Q401" s="807"/>
      <c r="R401" s="807"/>
      <c r="S401" s="807"/>
      <c r="T401" s="807"/>
      <c r="U401" s="807"/>
      <c r="V401" s="807"/>
      <c r="W401" s="807"/>
      <c r="X401" s="807"/>
      <c r="Y401" s="807"/>
      <c r="Z401" s="807"/>
    </row>
    <row r="402" ht="171.75" customHeight="1">
      <c r="A402" s="807"/>
      <c r="B402" s="807"/>
      <c r="C402" s="807"/>
      <c r="D402" s="807"/>
      <c r="E402" s="807"/>
      <c r="F402" s="807"/>
      <c r="G402" s="807"/>
      <c r="H402" s="807"/>
      <c r="I402" s="807"/>
      <c r="J402" s="807"/>
      <c r="K402" s="807"/>
      <c r="L402" s="807"/>
      <c r="M402" s="807"/>
      <c r="N402" s="807"/>
      <c r="O402" s="807"/>
      <c r="P402" s="807"/>
      <c r="Q402" s="807"/>
      <c r="R402" s="807"/>
      <c r="S402" s="807"/>
      <c r="T402" s="807"/>
      <c r="U402" s="807"/>
      <c r="V402" s="807"/>
      <c r="W402" s="807"/>
      <c r="X402" s="807"/>
      <c r="Y402" s="807"/>
      <c r="Z402" s="807"/>
    </row>
    <row r="403" ht="171.75" customHeight="1">
      <c r="A403" s="807"/>
      <c r="B403" s="807"/>
      <c r="C403" s="807"/>
      <c r="D403" s="807"/>
      <c r="E403" s="807"/>
      <c r="F403" s="807"/>
      <c r="G403" s="807"/>
      <c r="H403" s="807"/>
      <c r="I403" s="807"/>
      <c r="J403" s="807"/>
      <c r="K403" s="807"/>
      <c r="L403" s="807"/>
      <c r="M403" s="807"/>
      <c r="N403" s="807"/>
      <c r="O403" s="807"/>
      <c r="P403" s="807"/>
      <c r="Q403" s="807"/>
      <c r="R403" s="807"/>
      <c r="S403" s="807"/>
      <c r="T403" s="807"/>
      <c r="U403" s="807"/>
      <c r="V403" s="807"/>
      <c r="W403" s="807"/>
      <c r="X403" s="807"/>
      <c r="Y403" s="807"/>
      <c r="Z403" s="807"/>
    </row>
    <row r="404" ht="171.75" customHeight="1">
      <c r="A404" s="807"/>
      <c r="B404" s="807"/>
      <c r="C404" s="807"/>
      <c r="D404" s="807"/>
      <c r="E404" s="807"/>
      <c r="F404" s="807"/>
      <c r="G404" s="807"/>
      <c r="H404" s="807"/>
      <c r="I404" s="807"/>
      <c r="J404" s="807"/>
      <c r="K404" s="807"/>
      <c r="L404" s="807"/>
      <c r="M404" s="807"/>
      <c r="N404" s="807"/>
      <c r="O404" s="807"/>
      <c r="P404" s="807"/>
      <c r="Q404" s="807"/>
      <c r="R404" s="807"/>
      <c r="S404" s="807"/>
      <c r="T404" s="807"/>
      <c r="U404" s="807"/>
      <c r="V404" s="807"/>
      <c r="W404" s="807"/>
      <c r="X404" s="807"/>
      <c r="Y404" s="807"/>
      <c r="Z404" s="807"/>
    </row>
    <row r="405" ht="171.75" customHeight="1">
      <c r="A405" s="807"/>
      <c r="B405" s="807"/>
      <c r="C405" s="807"/>
      <c r="D405" s="807"/>
      <c r="E405" s="807"/>
      <c r="F405" s="807"/>
      <c r="G405" s="807"/>
      <c r="H405" s="807"/>
      <c r="I405" s="807"/>
      <c r="J405" s="807"/>
      <c r="K405" s="807"/>
      <c r="L405" s="807"/>
      <c r="M405" s="807"/>
      <c r="N405" s="807"/>
      <c r="O405" s="807"/>
      <c r="P405" s="807"/>
      <c r="Q405" s="807"/>
      <c r="R405" s="807"/>
      <c r="S405" s="807"/>
      <c r="T405" s="807"/>
      <c r="U405" s="807"/>
      <c r="V405" s="807"/>
      <c r="W405" s="807"/>
      <c r="X405" s="807"/>
      <c r="Y405" s="807"/>
      <c r="Z405" s="807"/>
    </row>
    <row r="406" ht="171.75" customHeight="1">
      <c r="A406" s="807"/>
      <c r="B406" s="807"/>
      <c r="C406" s="807"/>
      <c r="D406" s="807"/>
      <c r="E406" s="807"/>
      <c r="F406" s="807"/>
      <c r="G406" s="807"/>
      <c r="H406" s="807"/>
      <c r="I406" s="807"/>
      <c r="J406" s="807"/>
      <c r="K406" s="807"/>
      <c r="L406" s="807"/>
      <c r="M406" s="807"/>
      <c r="N406" s="807"/>
      <c r="O406" s="807"/>
      <c r="P406" s="807"/>
      <c r="Q406" s="807"/>
      <c r="R406" s="807"/>
      <c r="S406" s="807"/>
      <c r="T406" s="807"/>
      <c r="U406" s="807"/>
      <c r="V406" s="807"/>
      <c r="W406" s="807"/>
      <c r="X406" s="807"/>
      <c r="Y406" s="807"/>
      <c r="Z406" s="807"/>
    </row>
    <row r="407" ht="171.75" customHeight="1">
      <c r="A407" s="807"/>
      <c r="B407" s="807"/>
      <c r="C407" s="807"/>
      <c r="D407" s="807"/>
      <c r="E407" s="807"/>
      <c r="F407" s="807"/>
      <c r="G407" s="807"/>
      <c r="H407" s="807"/>
      <c r="I407" s="807"/>
      <c r="J407" s="807"/>
      <c r="K407" s="807"/>
      <c r="L407" s="807"/>
      <c r="M407" s="807"/>
      <c r="N407" s="807"/>
      <c r="O407" s="807"/>
      <c r="P407" s="807"/>
      <c r="Q407" s="807"/>
      <c r="R407" s="807"/>
      <c r="S407" s="807"/>
      <c r="T407" s="807"/>
      <c r="U407" s="807"/>
      <c r="V407" s="807"/>
      <c r="W407" s="807"/>
      <c r="X407" s="807"/>
      <c r="Y407" s="807"/>
      <c r="Z407" s="807"/>
    </row>
    <row r="408" ht="171.75" customHeight="1">
      <c r="A408" s="807"/>
      <c r="B408" s="807"/>
      <c r="C408" s="807"/>
      <c r="D408" s="807"/>
      <c r="E408" s="807"/>
      <c r="F408" s="807"/>
      <c r="G408" s="807"/>
      <c r="H408" s="807"/>
      <c r="I408" s="807"/>
      <c r="J408" s="807"/>
      <c r="K408" s="807"/>
      <c r="L408" s="807"/>
      <c r="M408" s="807"/>
      <c r="N408" s="807"/>
      <c r="O408" s="807"/>
      <c r="P408" s="807"/>
      <c r="Q408" s="807"/>
      <c r="R408" s="807"/>
      <c r="S408" s="807"/>
      <c r="T408" s="807"/>
      <c r="U408" s="807"/>
      <c r="V408" s="807"/>
      <c r="W408" s="807"/>
      <c r="X408" s="807"/>
      <c r="Y408" s="807"/>
      <c r="Z408" s="807"/>
    </row>
    <row r="409" ht="171.75" customHeight="1">
      <c r="A409" s="807"/>
      <c r="B409" s="807"/>
      <c r="C409" s="807"/>
      <c r="D409" s="807"/>
      <c r="E409" s="807"/>
      <c r="F409" s="807"/>
      <c r="G409" s="807"/>
      <c r="H409" s="807"/>
      <c r="I409" s="807"/>
      <c r="J409" s="807"/>
      <c r="K409" s="807"/>
      <c r="L409" s="807"/>
      <c r="M409" s="807"/>
      <c r="N409" s="807"/>
      <c r="O409" s="807"/>
      <c r="P409" s="807"/>
      <c r="Q409" s="807"/>
      <c r="R409" s="807"/>
      <c r="S409" s="807"/>
      <c r="T409" s="807"/>
      <c r="U409" s="807"/>
      <c r="V409" s="807"/>
      <c r="W409" s="807"/>
      <c r="X409" s="807"/>
      <c r="Y409" s="807"/>
      <c r="Z409" s="807"/>
    </row>
    <row r="410" ht="171.75" customHeight="1">
      <c r="A410" s="807"/>
      <c r="B410" s="807"/>
      <c r="C410" s="807"/>
      <c r="D410" s="807"/>
      <c r="E410" s="807"/>
      <c r="F410" s="807"/>
      <c r="G410" s="807"/>
      <c r="H410" s="807"/>
      <c r="I410" s="807"/>
      <c r="J410" s="807"/>
      <c r="K410" s="807"/>
      <c r="L410" s="807"/>
      <c r="M410" s="807"/>
      <c r="N410" s="807"/>
      <c r="O410" s="807"/>
      <c r="P410" s="807"/>
      <c r="Q410" s="807"/>
      <c r="R410" s="807"/>
      <c r="S410" s="807"/>
      <c r="T410" s="807"/>
      <c r="U410" s="807"/>
      <c r="V410" s="807"/>
      <c r="W410" s="807"/>
      <c r="X410" s="807"/>
      <c r="Y410" s="807"/>
      <c r="Z410" s="807"/>
    </row>
    <row r="411" ht="171.75" customHeight="1">
      <c r="A411" s="807"/>
      <c r="B411" s="807"/>
      <c r="C411" s="807"/>
      <c r="D411" s="807"/>
      <c r="E411" s="807"/>
      <c r="F411" s="807"/>
      <c r="G411" s="807"/>
      <c r="H411" s="807"/>
      <c r="I411" s="807"/>
      <c r="J411" s="807"/>
      <c r="K411" s="807"/>
      <c r="L411" s="807"/>
      <c r="M411" s="807"/>
      <c r="N411" s="807"/>
      <c r="O411" s="807"/>
      <c r="P411" s="807"/>
      <c r="Q411" s="807"/>
      <c r="R411" s="807"/>
      <c r="S411" s="807"/>
      <c r="T411" s="807"/>
      <c r="U411" s="807"/>
      <c r="V411" s="807"/>
      <c r="W411" s="807"/>
      <c r="X411" s="807"/>
      <c r="Y411" s="807"/>
      <c r="Z411" s="807"/>
    </row>
    <row r="412" ht="171.75" customHeight="1">
      <c r="A412" s="807"/>
      <c r="B412" s="807"/>
      <c r="C412" s="807"/>
      <c r="D412" s="807"/>
      <c r="E412" s="807"/>
      <c r="F412" s="807"/>
      <c r="G412" s="807"/>
      <c r="H412" s="807"/>
      <c r="I412" s="807"/>
      <c r="J412" s="807"/>
      <c r="K412" s="807"/>
      <c r="L412" s="807"/>
      <c r="M412" s="807"/>
      <c r="N412" s="807"/>
      <c r="O412" s="807"/>
      <c r="P412" s="807"/>
      <c r="Q412" s="807"/>
      <c r="R412" s="807"/>
      <c r="S412" s="807"/>
      <c r="T412" s="807"/>
      <c r="U412" s="807"/>
      <c r="V412" s="807"/>
      <c r="W412" s="807"/>
      <c r="X412" s="807"/>
      <c r="Y412" s="807"/>
      <c r="Z412" s="807"/>
    </row>
    <row r="413" ht="171.75" customHeight="1">
      <c r="A413" s="807"/>
      <c r="B413" s="807"/>
      <c r="C413" s="807"/>
      <c r="D413" s="807"/>
      <c r="E413" s="807"/>
      <c r="F413" s="807"/>
      <c r="G413" s="807"/>
      <c r="H413" s="807"/>
      <c r="I413" s="807"/>
      <c r="J413" s="807"/>
      <c r="K413" s="807"/>
      <c r="L413" s="807"/>
      <c r="M413" s="807"/>
      <c r="N413" s="807"/>
      <c r="O413" s="807"/>
      <c r="P413" s="807"/>
      <c r="Q413" s="807"/>
      <c r="R413" s="807"/>
      <c r="S413" s="807"/>
      <c r="T413" s="807"/>
      <c r="U413" s="807"/>
      <c r="V413" s="807"/>
      <c r="W413" s="807"/>
      <c r="X413" s="807"/>
      <c r="Y413" s="807"/>
      <c r="Z413" s="807"/>
    </row>
    <row r="414" ht="171.75" customHeight="1">
      <c r="A414" s="807"/>
      <c r="B414" s="807"/>
      <c r="C414" s="807"/>
      <c r="D414" s="807"/>
      <c r="E414" s="807"/>
      <c r="F414" s="807"/>
      <c r="G414" s="807"/>
      <c r="H414" s="807"/>
      <c r="I414" s="807"/>
      <c r="J414" s="807"/>
      <c r="K414" s="807"/>
      <c r="L414" s="807"/>
      <c r="M414" s="807"/>
      <c r="N414" s="807"/>
      <c r="O414" s="807"/>
      <c r="P414" s="807"/>
      <c r="Q414" s="807"/>
      <c r="R414" s="807"/>
      <c r="S414" s="807"/>
      <c r="T414" s="807"/>
      <c r="U414" s="807"/>
      <c r="V414" s="807"/>
      <c r="W414" s="807"/>
      <c r="X414" s="807"/>
      <c r="Y414" s="807"/>
      <c r="Z414" s="807"/>
    </row>
    <row r="415" ht="171.75" customHeight="1">
      <c r="A415" s="807"/>
      <c r="B415" s="807"/>
      <c r="C415" s="807"/>
      <c r="D415" s="807"/>
      <c r="E415" s="807"/>
      <c r="F415" s="807"/>
      <c r="G415" s="807"/>
      <c r="H415" s="807"/>
      <c r="I415" s="807"/>
      <c r="J415" s="807"/>
      <c r="K415" s="807"/>
      <c r="L415" s="807"/>
      <c r="M415" s="807"/>
      <c r="N415" s="807"/>
      <c r="O415" s="807"/>
      <c r="P415" s="807"/>
      <c r="Q415" s="807"/>
      <c r="R415" s="807"/>
      <c r="S415" s="807"/>
      <c r="T415" s="807"/>
      <c r="U415" s="807"/>
      <c r="V415" s="807"/>
      <c r="W415" s="807"/>
      <c r="X415" s="807"/>
      <c r="Y415" s="807"/>
      <c r="Z415" s="807"/>
    </row>
    <row r="416" ht="171.75" customHeight="1">
      <c r="A416" s="807"/>
      <c r="B416" s="807"/>
      <c r="C416" s="807"/>
      <c r="D416" s="807"/>
      <c r="E416" s="807"/>
      <c r="F416" s="807"/>
      <c r="G416" s="807"/>
      <c r="H416" s="807"/>
      <c r="I416" s="807"/>
      <c r="J416" s="807"/>
      <c r="K416" s="807"/>
      <c r="L416" s="807"/>
      <c r="M416" s="807"/>
      <c r="N416" s="807"/>
      <c r="O416" s="807"/>
      <c r="P416" s="807"/>
      <c r="Q416" s="807"/>
      <c r="R416" s="807"/>
      <c r="S416" s="807"/>
      <c r="T416" s="807"/>
      <c r="U416" s="807"/>
      <c r="V416" s="807"/>
      <c r="W416" s="807"/>
      <c r="X416" s="807"/>
      <c r="Y416" s="807"/>
      <c r="Z416" s="807"/>
    </row>
    <row r="417" ht="171.75" customHeight="1">
      <c r="A417" s="807"/>
      <c r="B417" s="807"/>
      <c r="C417" s="807"/>
      <c r="D417" s="807"/>
      <c r="E417" s="807"/>
      <c r="F417" s="807"/>
      <c r="G417" s="807"/>
      <c r="H417" s="807"/>
      <c r="I417" s="807"/>
      <c r="J417" s="807"/>
      <c r="K417" s="807"/>
      <c r="L417" s="807"/>
      <c r="M417" s="807"/>
      <c r="N417" s="807"/>
      <c r="O417" s="807"/>
      <c r="P417" s="807"/>
      <c r="Q417" s="807"/>
      <c r="R417" s="807"/>
      <c r="S417" s="807"/>
      <c r="T417" s="807"/>
      <c r="U417" s="807"/>
      <c r="V417" s="807"/>
      <c r="W417" s="807"/>
      <c r="X417" s="807"/>
      <c r="Y417" s="807"/>
      <c r="Z417" s="807"/>
    </row>
    <row r="418" ht="171.75" customHeight="1">
      <c r="A418" s="807"/>
      <c r="B418" s="807"/>
      <c r="C418" s="807"/>
      <c r="D418" s="807"/>
      <c r="E418" s="807"/>
      <c r="F418" s="807"/>
      <c r="G418" s="807"/>
      <c r="H418" s="807"/>
      <c r="I418" s="807"/>
      <c r="J418" s="807"/>
      <c r="K418" s="807"/>
      <c r="L418" s="807"/>
      <c r="M418" s="807"/>
      <c r="N418" s="807"/>
      <c r="O418" s="807"/>
      <c r="P418" s="807"/>
      <c r="Q418" s="807"/>
      <c r="R418" s="807"/>
      <c r="S418" s="807"/>
      <c r="T418" s="807"/>
      <c r="U418" s="807"/>
      <c r="V418" s="807"/>
      <c r="W418" s="807"/>
      <c r="X418" s="807"/>
      <c r="Y418" s="807"/>
      <c r="Z418" s="807"/>
    </row>
    <row r="419" ht="171.75" customHeight="1">
      <c r="A419" s="807"/>
      <c r="B419" s="807"/>
      <c r="C419" s="807"/>
      <c r="D419" s="807"/>
      <c r="E419" s="807"/>
      <c r="F419" s="807"/>
      <c r="G419" s="807"/>
      <c r="H419" s="807"/>
      <c r="I419" s="807"/>
      <c r="J419" s="807"/>
      <c r="K419" s="807"/>
      <c r="L419" s="807"/>
      <c r="M419" s="807"/>
      <c r="N419" s="807"/>
      <c r="O419" s="807"/>
      <c r="P419" s="807"/>
      <c r="Q419" s="807"/>
      <c r="R419" s="807"/>
      <c r="S419" s="807"/>
      <c r="T419" s="807"/>
      <c r="U419" s="807"/>
      <c r="V419" s="807"/>
      <c r="W419" s="807"/>
      <c r="X419" s="807"/>
      <c r="Y419" s="807"/>
      <c r="Z419" s="807"/>
    </row>
    <row r="420" ht="171.75" customHeight="1">
      <c r="A420" s="807"/>
      <c r="B420" s="807"/>
      <c r="C420" s="807"/>
      <c r="D420" s="807"/>
      <c r="E420" s="807"/>
      <c r="F420" s="807"/>
      <c r="G420" s="807"/>
      <c r="H420" s="807"/>
      <c r="I420" s="807"/>
      <c r="J420" s="807"/>
      <c r="K420" s="807"/>
      <c r="L420" s="807"/>
      <c r="M420" s="807"/>
      <c r="N420" s="807"/>
      <c r="O420" s="807"/>
      <c r="P420" s="807"/>
      <c r="Q420" s="807"/>
      <c r="R420" s="807"/>
      <c r="S420" s="807"/>
      <c r="T420" s="807"/>
      <c r="U420" s="807"/>
      <c r="V420" s="807"/>
      <c r="W420" s="807"/>
      <c r="X420" s="807"/>
      <c r="Y420" s="807"/>
      <c r="Z420" s="807"/>
    </row>
    <row r="421" ht="171.75" customHeight="1">
      <c r="A421" s="807"/>
      <c r="B421" s="807"/>
      <c r="C421" s="807"/>
      <c r="D421" s="807"/>
      <c r="E421" s="807"/>
      <c r="F421" s="807"/>
      <c r="G421" s="807"/>
      <c r="H421" s="807"/>
      <c r="I421" s="807"/>
      <c r="J421" s="807"/>
      <c r="K421" s="807"/>
      <c r="L421" s="807"/>
      <c r="M421" s="807"/>
      <c r="N421" s="807"/>
      <c r="O421" s="807"/>
      <c r="P421" s="807"/>
      <c r="Q421" s="807"/>
      <c r="R421" s="807"/>
      <c r="S421" s="807"/>
      <c r="T421" s="807"/>
      <c r="U421" s="807"/>
      <c r="V421" s="807"/>
      <c r="W421" s="807"/>
      <c r="X421" s="807"/>
      <c r="Y421" s="807"/>
      <c r="Z421" s="807"/>
    </row>
    <row r="422" ht="171.75" customHeight="1">
      <c r="A422" s="807"/>
      <c r="B422" s="807"/>
      <c r="C422" s="807"/>
      <c r="D422" s="807"/>
      <c r="E422" s="807"/>
      <c r="F422" s="807"/>
      <c r="G422" s="807"/>
      <c r="H422" s="807"/>
      <c r="I422" s="807"/>
      <c r="J422" s="807"/>
      <c r="K422" s="807"/>
      <c r="L422" s="807"/>
      <c r="M422" s="807"/>
      <c r="N422" s="807"/>
      <c r="O422" s="807"/>
      <c r="P422" s="807"/>
      <c r="Q422" s="807"/>
      <c r="R422" s="807"/>
      <c r="S422" s="807"/>
      <c r="T422" s="807"/>
      <c r="U422" s="807"/>
      <c r="V422" s="807"/>
      <c r="W422" s="807"/>
      <c r="X422" s="807"/>
      <c r="Y422" s="807"/>
      <c r="Z422" s="807"/>
    </row>
    <row r="423" ht="171.75" customHeight="1">
      <c r="A423" s="807"/>
      <c r="B423" s="807"/>
      <c r="C423" s="807"/>
      <c r="D423" s="807"/>
      <c r="E423" s="807"/>
      <c r="F423" s="807"/>
      <c r="G423" s="807"/>
      <c r="H423" s="807"/>
      <c r="I423" s="807"/>
      <c r="J423" s="807"/>
      <c r="K423" s="807"/>
      <c r="L423" s="807"/>
      <c r="M423" s="807"/>
      <c r="N423" s="807"/>
      <c r="O423" s="807"/>
      <c r="P423" s="807"/>
      <c r="Q423" s="807"/>
      <c r="R423" s="807"/>
      <c r="S423" s="807"/>
      <c r="T423" s="807"/>
      <c r="U423" s="807"/>
      <c r="V423" s="807"/>
      <c r="W423" s="807"/>
      <c r="X423" s="807"/>
      <c r="Y423" s="807"/>
      <c r="Z423" s="807"/>
    </row>
    <row r="424" ht="171.75" customHeight="1">
      <c r="A424" s="807"/>
      <c r="B424" s="807"/>
      <c r="C424" s="807"/>
      <c r="D424" s="807"/>
      <c r="E424" s="807"/>
      <c r="F424" s="807"/>
      <c r="G424" s="807"/>
      <c r="H424" s="807"/>
      <c r="I424" s="807"/>
      <c r="J424" s="807"/>
      <c r="K424" s="807"/>
      <c r="L424" s="807"/>
      <c r="M424" s="807"/>
      <c r="N424" s="807"/>
      <c r="O424" s="807"/>
      <c r="P424" s="807"/>
      <c r="Q424" s="807"/>
      <c r="R424" s="807"/>
      <c r="S424" s="807"/>
      <c r="T424" s="807"/>
      <c r="U424" s="807"/>
      <c r="V424" s="807"/>
      <c r="W424" s="807"/>
      <c r="X424" s="807"/>
      <c r="Y424" s="807"/>
      <c r="Z424" s="807"/>
    </row>
    <row r="425" ht="171.75" customHeight="1">
      <c r="A425" s="807"/>
      <c r="B425" s="807"/>
      <c r="C425" s="807"/>
      <c r="D425" s="807"/>
      <c r="E425" s="807"/>
      <c r="F425" s="807"/>
      <c r="G425" s="807"/>
      <c r="H425" s="807"/>
      <c r="I425" s="807"/>
      <c r="J425" s="807"/>
      <c r="K425" s="807"/>
      <c r="L425" s="807"/>
      <c r="M425" s="807"/>
      <c r="N425" s="807"/>
      <c r="O425" s="807"/>
      <c r="P425" s="807"/>
      <c r="Q425" s="807"/>
      <c r="R425" s="807"/>
      <c r="S425" s="807"/>
      <c r="T425" s="807"/>
      <c r="U425" s="807"/>
      <c r="V425" s="807"/>
      <c r="W425" s="807"/>
      <c r="X425" s="807"/>
      <c r="Y425" s="807"/>
      <c r="Z425" s="807"/>
    </row>
    <row r="426" ht="171.75" customHeight="1">
      <c r="A426" s="807"/>
      <c r="B426" s="807"/>
      <c r="C426" s="807"/>
      <c r="D426" s="807"/>
      <c r="E426" s="807"/>
      <c r="F426" s="807"/>
      <c r="G426" s="807"/>
      <c r="H426" s="807"/>
      <c r="I426" s="807"/>
      <c r="J426" s="807"/>
      <c r="K426" s="807"/>
      <c r="L426" s="807"/>
      <c r="M426" s="807"/>
      <c r="N426" s="807"/>
      <c r="O426" s="807"/>
      <c r="P426" s="807"/>
      <c r="Q426" s="807"/>
      <c r="R426" s="807"/>
      <c r="S426" s="807"/>
      <c r="T426" s="807"/>
      <c r="U426" s="807"/>
      <c r="V426" s="807"/>
      <c r="W426" s="807"/>
      <c r="X426" s="807"/>
      <c r="Y426" s="807"/>
      <c r="Z426" s="807"/>
    </row>
    <row r="427" ht="171.75" customHeight="1">
      <c r="A427" s="807"/>
      <c r="B427" s="807"/>
      <c r="C427" s="807"/>
      <c r="D427" s="807"/>
      <c r="E427" s="807"/>
      <c r="F427" s="807"/>
      <c r="G427" s="807"/>
      <c r="H427" s="807"/>
      <c r="I427" s="807"/>
      <c r="J427" s="807"/>
      <c r="K427" s="807"/>
      <c r="L427" s="807"/>
      <c r="M427" s="807"/>
      <c r="N427" s="807"/>
      <c r="O427" s="807"/>
      <c r="P427" s="807"/>
      <c r="Q427" s="807"/>
      <c r="R427" s="807"/>
      <c r="S427" s="807"/>
      <c r="T427" s="807"/>
      <c r="U427" s="807"/>
      <c r="V427" s="807"/>
      <c r="W427" s="807"/>
      <c r="X427" s="807"/>
      <c r="Y427" s="807"/>
      <c r="Z427" s="807"/>
    </row>
    <row r="428" ht="171.75" customHeight="1">
      <c r="A428" s="807"/>
      <c r="B428" s="807"/>
      <c r="C428" s="807"/>
      <c r="D428" s="807"/>
      <c r="E428" s="807"/>
      <c r="F428" s="807"/>
      <c r="G428" s="807"/>
      <c r="H428" s="807"/>
      <c r="I428" s="807"/>
      <c r="J428" s="807"/>
      <c r="K428" s="807"/>
      <c r="L428" s="807"/>
      <c r="M428" s="807"/>
      <c r="N428" s="807"/>
      <c r="O428" s="807"/>
      <c r="P428" s="807"/>
      <c r="Q428" s="807"/>
      <c r="R428" s="807"/>
      <c r="S428" s="807"/>
      <c r="T428" s="807"/>
      <c r="U428" s="807"/>
      <c r="V428" s="807"/>
      <c r="W428" s="807"/>
      <c r="X428" s="807"/>
      <c r="Y428" s="807"/>
      <c r="Z428" s="807"/>
    </row>
    <row r="429" ht="171.75" customHeight="1">
      <c r="A429" s="807"/>
      <c r="B429" s="807"/>
      <c r="C429" s="807"/>
      <c r="D429" s="807"/>
      <c r="E429" s="807"/>
      <c r="F429" s="807"/>
      <c r="G429" s="807"/>
      <c r="H429" s="807"/>
      <c r="I429" s="807"/>
      <c r="J429" s="807"/>
      <c r="K429" s="807"/>
      <c r="L429" s="807"/>
      <c r="M429" s="807"/>
      <c r="N429" s="807"/>
      <c r="O429" s="807"/>
      <c r="P429" s="807"/>
      <c r="Q429" s="807"/>
      <c r="R429" s="807"/>
      <c r="S429" s="807"/>
      <c r="T429" s="807"/>
      <c r="U429" s="807"/>
      <c r="V429" s="807"/>
      <c r="W429" s="807"/>
      <c r="X429" s="807"/>
      <c r="Y429" s="807"/>
      <c r="Z429" s="807"/>
    </row>
    <row r="430" ht="171.75" customHeight="1">
      <c r="A430" s="807"/>
      <c r="B430" s="807"/>
      <c r="C430" s="807"/>
      <c r="D430" s="807"/>
      <c r="E430" s="807"/>
      <c r="F430" s="807"/>
      <c r="G430" s="807"/>
      <c r="H430" s="807"/>
      <c r="I430" s="807"/>
      <c r="J430" s="807"/>
      <c r="K430" s="807"/>
      <c r="L430" s="807"/>
      <c r="M430" s="807"/>
      <c r="N430" s="807"/>
      <c r="O430" s="807"/>
      <c r="P430" s="807"/>
      <c r="Q430" s="807"/>
      <c r="R430" s="807"/>
      <c r="S430" s="807"/>
      <c r="T430" s="807"/>
      <c r="U430" s="807"/>
      <c r="V430" s="807"/>
      <c r="W430" s="807"/>
      <c r="X430" s="807"/>
      <c r="Y430" s="807"/>
      <c r="Z430" s="807"/>
    </row>
    <row r="431" ht="171.75" customHeight="1">
      <c r="A431" s="807"/>
      <c r="B431" s="807"/>
      <c r="C431" s="807"/>
      <c r="D431" s="807"/>
      <c r="E431" s="807"/>
      <c r="F431" s="807"/>
      <c r="G431" s="807"/>
      <c r="H431" s="807"/>
      <c r="I431" s="807"/>
      <c r="J431" s="807"/>
      <c r="K431" s="807"/>
      <c r="L431" s="807"/>
      <c r="M431" s="807"/>
      <c r="N431" s="807"/>
      <c r="O431" s="807"/>
      <c r="P431" s="807"/>
      <c r="Q431" s="807"/>
      <c r="R431" s="807"/>
      <c r="S431" s="807"/>
      <c r="T431" s="807"/>
      <c r="U431" s="807"/>
      <c r="V431" s="807"/>
      <c r="W431" s="807"/>
      <c r="X431" s="807"/>
      <c r="Y431" s="807"/>
      <c r="Z431" s="807"/>
    </row>
    <row r="432" ht="171.75" customHeight="1">
      <c r="A432" s="807"/>
      <c r="B432" s="807"/>
      <c r="C432" s="807"/>
      <c r="D432" s="807"/>
      <c r="E432" s="807"/>
      <c r="F432" s="807"/>
      <c r="G432" s="807"/>
      <c r="H432" s="807"/>
      <c r="I432" s="807"/>
      <c r="J432" s="807"/>
      <c r="K432" s="807"/>
      <c r="L432" s="807"/>
      <c r="M432" s="807"/>
      <c r="N432" s="807"/>
      <c r="O432" s="807"/>
      <c r="P432" s="807"/>
      <c r="Q432" s="807"/>
      <c r="R432" s="807"/>
      <c r="S432" s="807"/>
      <c r="T432" s="807"/>
      <c r="U432" s="807"/>
      <c r="V432" s="807"/>
      <c r="W432" s="807"/>
      <c r="X432" s="807"/>
      <c r="Y432" s="807"/>
      <c r="Z432" s="807"/>
    </row>
    <row r="433" ht="171.75" customHeight="1">
      <c r="A433" s="807"/>
      <c r="B433" s="807"/>
      <c r="C433" s="807"/>
      <c r="D433" s="807"/>
      <c r="E433" s="807"/>
      <c r="F433" s="807"/>
      <c r="G433" s="807"/>
      <c r="H433" s="807"/>
      <c r="I433" s="807"/>
      <c r="J433" s="807"/>
      <c r="K433" s="807"/>
      <c r="L433" s="807"/>
      <c r="M433" s="807"/>
      <c r="N433" s="807"/>
      <c r="O433" s="807"/>
      <c r="P433" s="807"/>
      <c r="Q433" s="807"/>
      <c r="R433" s="807"/>
      <c r="S433" s="807"/>
      <c r="T433" s="807"/>
      <c r="U433" s="807"/>
      <c r="V433" s="807"/>
      <c r="W433" s="807"/>
      <c r="X433" s="807"/>
      <c r="Y433" s="807"/>
      <c r="Z433" s="807"/>
    </row>
    <row r="434" ht="171.75" customHeight="1">
      <c r="A434" s="807"/>
      <c r="B434" s="807"/>
      <c r="C434" s="807"/>
      <c r="D434" s="807"/>
      <c r="E434" s="807"/>
      <c r="F434" s="807"/>
      <c r="G434" s="807"/>
      <c r="H434" s="807"/>
      <c r="I434" s="807"/>
      <c r="J434" s="807"/>
      <c r="K434" s="807"/>
      <c r="L434" s="807"/>
      <c r="M434" s="807"/>
      <c r="N434" s="807"/>
      <c r="O434" s="807"/>
      <c r="P434" s="807"/>
      <c r="Q434" s="807"/>
      <c r="R434" s="807"/>
      <c r="S434" s="807"/>
      <c r="T434" s="807"/>
      <c r="U434" s="807"/>
      <c r="V434" s="807"/>
      <c r="W434" s="807"/>
      <c r="X434" s="807"/>
      <c r="Y434" s="807"/>
      <c r="Z434" s="807"/>
    </row>
    <row r="435" ht="171.75" customHeight="1">
      <c r="A435" s="807"/>
      <c r="B435" s="807"/>
      <c r="C435" s="807"/>
      <c r="D435" s="807"/>
      <c r="E435" s="807"/>
      <c r="F435" s="807"/>
      <c r="G435" s="807"/>
      <c r="H435" s="807"/>
      <c r="I435" s="807"/>
      <c r="J435" s="807"/>
      <c r="K435" s="807"/>
      <c r="L435" s="807"/>
      <c r="M435" s="807"/>
      <c r="N435" s="807"/>
      <c r="O435" s="807"/>
      <c r="P435" s="807"/>
      <c r="Q435" s="807"/>
      <c r="R435" s="807"/>
      <c r="S435" s="807"/>
      <c r="T435" s="807"/>
      <c r="U435" s="807"/>
      <c r="V435" s="807"/>
      <c r="W435" s="807"/>
      <c r="X435" s="807"/>
      <c r="Y435" s="807"/>
      <c r="Z435" s="807"/>
    </row>
    <row r="436" ht="171.75" customHeight="1">
      <c r="A436" s="807"/>
      <c r="B436" s="807"/>
      <c r="C436" s="807"/>
      <c r="D436" s="807"/>
      <c r="E436" s="807"/>
      <c r="F436" s="807"/>
      <c r="G436" s="807"/>
      <c r="H436" s="807"/>
      <c r="I436" s="807"/>
      <c r="J436" s="807"/>
      <c r="K436" s="807"/>
      <c r="L436" s="807"/>
      <c r="M436" s="807"/>
      <c r="N436" s="807"/>
      <c r="O436" s="807"/>
      <c r="P436" s="807"/>
      <c r="Q436" s="807"/>
      <c r="R436" s="807"/>
      <c r="S436" s="807"/>
      <c r="T436" s="807"/>
      <c r="U436" s="807"/>
      <c r="V436" s="807"/>
      <c r="W436" s="807"/>
      <c r="X436" s="807"/>
      <c r="Y436" s="807"/>
      <c r="Z436" s="807"/>
    </row>
    <row r="437" ht="171.75" customHeight="1">
      <c r="A437" s="807"/>
      <c r="B437" s="807"/>
      <c r="C437" s="807"/>
      <c r="D437" s="807"/>
      <c r="E437" s="807"/>
      <c r="F437" s="807"/>
      <c r="G437" s="807"/>
      <c r="H437" s="807"/>
      <c r="I437" s="807"/>
      <c r="J437" s="807"/>
      <c r="K437" s="807"/>
      <c r="L437" s="807"/>
      <c r="M437" s="807"/>
      <c r="N437" s="807"/>
      <c r="O437" s="807"/>
      <c r="P437" s="807"/>
      <c r="Q437" s="807"/>
      <c r="R437" s="807"/>
      <c r="S437" s="807"/>
      <c r="T437" s="807"/>
      <c r="U437" s="807"/>
      <c r="V437" s="807"/>
      <c r="W437" s="807"/>
      <c r="X437" s="807"/>
      <c r="Y437" s="807"/>
      <c r="Z437" s="807"/>
    </row>
    <row r="438" ht="171.75" customHeight="1">
      <c r="A438" s="807"/>
      <c r="B438" s="807"/>
      <c r="C438" s="807"/>
      <c r="D438" s="807"/>
      <c r="E438" s="807"/>
      <c r="F438" s="807"/>
      <c r="G438" s="807"/>
      <c r="H438" s="807"/>
      <c r="I438" s="807"/>
      <c r="J438" s="807"/>
      <c r="K438" s="807"/>
      <c r="L438" s="807"/>
      <c r="M438" s="807"/>
      <c r="N438" s="807"/>
      <c r="O438" s="807"/>
      <c r="P438" s="807"/>
      <c r="Q438" s="807"/>
      <c r="R438" s="807"/>
      <c r="S438" s="807"/>
      <c r="T438" s="807"/>
      <c r="U438" s="807"/>
      <c r="V438" s="807"/>
      <c r="W438" s="807"/>
      <c r="X438" s="807"/>
      <c r="Y438" s="807"/>
      <c r="Z438" s="807"/>
    </row>
    <row r="439" ht="171.75" customHeight="1">
      <c r="A439" s="807"/>
      <c r="B439" s="807"/>
      <c r="C439" s="807"/>
      <c r="D439" s="807"/>
      <c r="E439" s="807"/>
      <c r="F439" s="807"/>
      <c r="G439" s="807"/>
      <c r="H439" s="807"/>
      <c r="I439" s="807"/>
      <c r="J439" s="807"/>
      <c r="K439" s="807"/>
      <c r="L439" s="807"/>
      <c r="M439" s="807"/>
      <c r="N439" s="807"/>
      <c r="O439" s="807"/>
      <c r="P439" s="807"/>
      <c r="Q439" s="807"/>
      <c r="R439" s="807"/>
      <c r="S439" s="807"/>
      <c r="T439" s="807"/>
      <c r="U439" s="807"/>
      <c r="V439" s="807"/>
      <c r="W439" s="807"/>
      <c r="X439" s="807"/>
      <c r="Y439" s="807"/>
      <c r="Z439" s="807"/>
    </row>
    <row r="440" ht="171.75" customHeight="1">
      <c r="A440" s="807"/>
      <c r="B440" s="807"/>
      <c r="C440" s="807"/>
      <c r="D440" s="807"/>
      <c r="E440" s="807"/>
      <c r="F440" s="807"/>
      <c r="G440" s="807"/>
      <c r="H440" s="807"/>
      <c r="I440" s="807"/>
      <c r="J440" s="807"/>
      <c r="K440" s="807"/>
      <c r="L440" s="807"/>
      <c r="M440" s="807"/>
      <c r="N440" s="807"/>
      <c r="O440" s="807"/>
      <c r="P440" s="807"/>
      <c r="Q440" s="807"/>
      <c r="R440" s="807"/>
      <c r="S440" s="807"/>
      <c r="T440" s="807"/>
      <c r="U440" s="807"/>
      <c r="V440" s="807"/>
      <c r="W440" s="807"/>
      <c r="X440" s="807"/>
      <c r="Y440" s="807"/>
      <c r="Z440" s="807"/>
    </row>
    <row r="441" ht="171.75" customHeight="1">
      <c r="A441" s="807"/>
      <c r="B441" s="807"/>
      <c r="C441" s="807"/>
      <c r="D441" s="807"/>
      <c r="E441" s="807"/>
      <c r="F441" s="807"/>
      <c r="G441" s="807"/>
      <c r="H441" s="807"/>
      <c r="I441" s="807"/>
      <c r="J441" s="807"/>
      <c r="K441" s="807"/>
      <c r="L441" s="807"/>
      <c r="M441" s="807"/>
      <c r="N441" s="807"/>
      <c r="O441" s="807"/>
      <c r="P441" s="807"/>
      <c r="Q441" s="807"/>
      <c r="R441" s="807"/>
      <c r="S441" s="807"/>
      <c r="T441" s="807"/>
      <c r="U441" s="807"/>
      <c r="V441" s="807"/>
      <c r="W441" s="807"/>
      <c r="X441" s="807"/>
      <c r="Y441" s="807"/>
      <c r="Z441" s="807"/>
    </row>
    <row r="442" ht="171.75" customHeight="1">
      <c r="A442" s="807"/>
      <c r="B442" s="807"/>
      <c r="C442" s="807"/>
      <c r="D442" s="807"/>
      <c r="E442" s="807"/>
      <c r="F442" s="807"/>
      <c r="G442" s="807"/>
      <c r="H442" s="807"/>
      <c r="I442" s="807"/>
      <c r="J442" s="807"/>
      <c r="K442" s="807"/>
      <c r="L442" s="807"/>
      <c r="M442" s="807"/>
      <c r="N442" s="807"/>
      <c r="O442" s="807"/>
      <c r="P442" s="807"/>
      <c r="Q442" s="807"/>
      <c r="R442" s="807"/>
      <c r="S442" s="807"/>
      <c r="T442" s="807"/>
      <c r="U442" s="807"/>
      <c r="V442" s="807"/>
      <c r="W442" s="807"/>
      <c r="X442" s="807"/>
      <c r="Y442" s="807"/>
      <c r="Z442" s="807"/>
    </row>
    <row r="443" ht="171.75" customHeight="1">
      <c r="A443" s="807"/>
      <c r="B443" s="807"/>
      <c r="C443" s="807"/>
      <c r="D443" s="807"/>
      <c r="E443" s="807"/>
      <c r="F443" s="807"/>
      <c r="G443" s="807"/>
      <c r="H443" s="807"/>
      <c r="I443" s="807"/>
      <c r="J443" s="807"/>
      <c r="K443" s="807"/>
      <c r="L443" s="807"/>
      <c r="M443" s="807"/>
      <c r="N443" s="807"/>
      <c r="O443" s="807"/>
      <c r="P443" s="807"/>
      <c r="Q443" s="807"/>
      <c r="R443" s="807"/>
      <c r="S443" s="807"/>
      <c r="T443" s="807"/>
      <c r="U443" s="807"/>
      <c r="V443" s="807"/>
      <c r="W443" s="807"/>
      <c r="X443" s="807"/>
      <c r="Y443" s="807"/>
      <c r="Z443" s="807"/>
    </row>
    <row r="444" ht="171.75" customHeight="1">
      <c r="A444" s="807"/>
      <c r="B444" s="807"/>
      <c r="C444" s="807"/>
      <c r="D444" s="807"/>
      <c r="E444" s="807"/>
      <c r="F444" s="807"/>
      <c r="G444" s="807"/>
      <c r="H444" s="807"/>
      <c r="I444" s="807"/>
      <c r="J444" s="807"/>
      <c r="K444" s="807"/>
      <c r="L444" s="807"/>
      <c r="M444" s="807"/>
      <c r="N444" s="807"/>
      <c r="O444" s="807"/>
      <c r="P444" s="807"/>
      <c r="Q444" s="807"/>
      <c r="R444" s="807"/>
      <c r="S444" s="807"/>
      <c r="T444" s="807"/>
      <c r="U444" s="807"/>
      <c r="V444" s="807"/>
      <c r="W444" s="807"/>
      <c r="X444" s="807"/>
      <c r="Y444" s="807"/>
      <c r="Z444" s="807"/>
    </row>
    <row r="445" ht="171.75" customHeight="1">
      <c r="A445" s="807"/>
      <c r="B445" s="807"/>
      <c r="C445" s="807"/>
      <c r="D445" s="807"/>
      <c r="E445" s="807"/>
      <c r="F445" s="807"/>
      <c r="G445" s="807"/>
      <c r="H445" s="807"/>
      <c r="I445" s="807"/>
      <c r="J445" s="807"/>
      <c r="K445" s="807"/>
      <c r="L445" s="807"/>
      <c r="M445" s="807"/>
      <c r="N445" s="807"/>
      <c r="O445" s="807"/>
      <c r="P445" s="807"/>
      <c r="Q445" s="807"/>
      <c r="R445" s="807"/>
      <c r="S445" s="807"/>
      <c r="T445" s="807"/>
      <c r="U445" s="807"/>
      <c r="V445" s="807"/>
      <c r="W445" s="807"/>
      <c r="X445" s="807"/>
      <c r="Y445" s="807"/>
      <c r="Z445" s="807"/>
    </row>
    <row r="446" ht="171.75" customHeight="1">
      <c r="A446" s="807"/>
      <c r="B446" s="807"/>
      <c r="C446" s="807"/>
      <c r="D446" s="807"/>
      <c r="E446" s="807"/>
      <c r="F446" s="807"/>
      <c r="G446" s="807"/>
      <c r="H446" s="807"/>
      <c r="I446" s="807"/>
      <c r="J446" s="807"/>
      <c r="K446" s="807"/>
      <c r="L446" s="807"/>
      <c r="M446" s="807"/>
      <c r="N446" s="807"/>
      <c r="O446" s="807"/>
      <c r="P446" s="807"/>
      <c r="Q446" s="807"/>
      <c r="R446" s="807"/>
      <c r="S446" s="807"/>
      <c r="T446" s="807"/>
      <c r="U446" s="807"/>
      <c r="V446" s="807"/>
      <c r="W446" s="807"/>
      <c r="X446" s="807"/>
      <c r="Y446" s="807"/>
      <c r="Z446" s="807"/>
    </row>
    <row r="447" ht="171.75" customHeight="1">
      <c r="A447" s="807"/>
      <c r="B447" s="807"/>
      <c r="C447" s="807"/>
      <c r="D447" s="807"/>
      <c r="E447" s="807"/>
      <c r="F447" s="807"/>
      <c r="G447" s="807"/>
      <c r="H447" s="807"/>
      <c r="I447" s="807"/>
      <c r="J447" s="807"/>
      <c r="K447" s="807"/>
      <c r="L447" s="807"/>
      <c r="M447" s="807"/>
      <c r="N447" s="807"/>
      <c r="O447" s="807"/>
      <c r="P447" s="807"/>
      <c r="Q447" s="807"/>
      <c r="R447" s="807"/>
      <c r="S447" s="807"/>
      <c r="T447" s="807"/>
      <c r="U447" s="807"/>
      <c r="V447" s="807"/>
      <c r="W447" s="807"/>
      <c r="X447" s="807"/>
      <c r="Y447" s="807"/>
      <c r="Z447" s="807"/>
    </row>
    <row r="448" ht="171.75" customHeight="1">
      <c r="A448" s="807"/>
      <c r="B448" s="807"/>
      <c r="C448" s="807"/>
      <c r="D448" s="807"/>
      <c r="E448" s="807"/>
      <c r="F448" s="807"/>
      <c r="G448" s="807"/>
      <c r="H448" s="807"/>
      <c r="I448" s="807"/>
      <c r="J448" s="807"/>
      <c r="K448" s="807"/>
      <c r="L448" s="807"/>
      <c r="M448" s="807"/>
      <c r="N448" s="807"/>
      <c r="O448" s="807"/>
      <c r="P448" s="807"/>
      <c r="Q448" s="807"/>
      <c r="R448" s="807"/>
      <c r="S448" s="807"/>
      <c r="T448" s="807"/>
      <c r="U448" s="807"/>
      <c r="V448" s="807"/>
      <c r="W448" s="807"/>
      <c r="X448" s="807"/>
      <c r="Y448" s="807"/>
      <c r="Z448" s="807"/>
    </row>
    <row r="449" ht="171.75" customHeight="1">
      <c r="A449" s="807"/>
      <c r="B449" s="807"/>
      <c r="C449" s="807"/>
      <c r="D449" s="807"/>
      <c r="E449" s="807"/>
      <c r="F449" s="807"/>
      <c r="G449" s="807"/>
      <c r="H449" s="807"/>
      <c r="I449" s="807"/>
      <c r="J449" s="807"/>
      <c r="K449" s="807"/>
      <c r="L449" s="807"/>
      <c r="M449" s="807"/>
      <c r="N449" s="807"/>
      <c r="O449" s="807"/>
      <c r="P449" s="807"/>
      <c r="Q449" s="807"/>
      <c r="R449" s="807"/>
      <c r="S449" s="807"/>
      <c r="T449" s="807"/>
      <c r="U449" s="807"/>
      <c r="V449" s="807"/>
      <c r="W449" s="807"/>
      <c r="X449" s="807"/>
      <c r="Y449" s="807"/>
      <c r="Z449" s="807"/>
    </row>
    <row r="450" ht="171.75" customHeight="1">
      <c r="A450" s="807"/>
      <c r="B450" s="807"/>
      <c r="C450" s="807"/>
      <c r="D450" s="807"/>
      <c r="E450" s="807"/>
      <c r="F450" s="807"/>
      <c r="G450" s="807"/>
      <c r="H450" s="807"/>
      <c r="I450" s="807"/>
      <c r="J450" s="807"/>
      <c r="K450" s="807"/>
      <c r="L450" s="807"/>
      <c r="M450" s="807"/>
      <c r="N450" s="807"/>
      <c r="O450" s="807"/>
      <c r="P450" s="807"/>
      <c r="Q450" s="807"/>
      <c r="R450" s="807"/>
      <c r="S450" s="807"/>
      <c r="T450" s="807"/>
      <c r="U450" s="807"/>
      <c r="V450" s="807"/>
      <c r="W450" s="807"/>
      <c r="X450" s="807"/>
      <c r="Y450" s="807"/>
      <c r="Z450" s="807"/>
    </row>
    <row r="451" ht="171.75" customHeight="1">
      <c r="A451" s="807"/>
      <c r="B451" s="807"/>
      <c r="C451" s="807"/>
      <c r="D451" s="807"/>
      <c r="E451" s="807"/>
      <c r="F451" s="807"/>
      <c r="G451" s="807"/>
      <c r="H451" s="807"/>
      <c r="I451" s="807"/>
      <c r="J451" s="807"/>
      <c r="K451" s="807"/>
      <c r="L451" s="807"/>
      <c r="M451" s="807"/>
      <c r="N451" s="807"/>
      <c r="O451" s="807"/>
      <c r="P451" s="807"/>
      <c r="Q451" s="807"/>
      <c r="R451" s="807"/>
      <c r="S451" s="807"/>
      <c r="T451" s="807"/>
      <c r="U451" s="807"/>
      <c r="V451" s="807"/>
      <c r="W451" s="807"/>
      <c r="X451" s="807"/>
      <c r="Y451" s="807"/>
      <c r="Z451" s="807"/>
    </row>
    <row r="452" ht="171.75" customHeight="1">
      <c r="A452" s="807"/>
      <c r="B452" s="807"/>
      <c r="C452" s="807"/>
      <c r="D452" s="807"/>
      <c r="E452" s="807"/>
      <c r="F452" s="807"/>
      <c r="G452" s="807"/>
      <c r="H452" s="807"/>
      <c r="I452" s="807"/>
      <c r="J452" s="807"/>
      <c r="K452" s="807"/>
      <c r="L452" s="807"/>
      <c r="M452" s="807"/>
      <c r="N452" s="807"/>
      <c r="O452" s="807"/>
      <c r="P452" s="807"/>
      <c r="Q452" s="807"/>
      <c r="R452" s="807"/>
      <c r="S452" s="807"/>
      <c r="T452" s="807"/>
      <c r="U452" s="807"/>
      <c r="V452" s="807"/>
      <c r="W452" s="807"/>
      <c r="X452" s="807"/>
      <c r="Y452" s="807"/>
      <c r="Z452" s="807"/>
    </row>
    <row r="453" ht="171.75" customHeight="1">
      <c r="A453" s="807"/>
      <c r="B453" s="807"/>
      <c r="C453" s="807"/>
      <c r="D453" s="807"/>
      <c r="E453" s="807"/>
      <c r="F453" s="807"/>
      <c r="G453" s="807"/>
      <c r="H453" s="807"/>
      <c r="I453" s="807"/>
      <c r="J453" s="807"/>
      <c r="K453" s="807"/>
      <c r="L453" s="807"/>
      <c r="M453" s="807"/>
      <c r="N453" s="807"/>
      <c r="O453" s="807"/>
      <c r="P453" s="807"/>
      <c r="Q453" s="807"/>
      <c r="R453" s="807"/>
      <c r="S453" s="807"/>
      <c r="T453" s="807"/>
      <c r="U453" s="807"/>
      <c r="V453" s="807"/>
      <c r="W453" s="807"/>
      <c r="X453" s="807"/>
      <c r="Y453" s="807"/>
      <c r="Z453" s="807"/>
    </row>
    <row r="454" ht="171.75" customHeight="1">
      <c r="A454" s="807"/>
      <c r="B454" s="807"/>
      <c r="C454" s="807"/>
      <c r="D454" s="807"/>
      <c r="E454" s="807"/>
      <c r="F454" s="807"/>
      <c r="G454" s="807"/>
      <c r="H454" s="807"/>
      <c r="I454" s="807"/>
      <c r="J454" s="807"/>
      <c r="K454" s="807"/>
      <c r="L454" s="807"/>
      <c r="M454" s="807"/>
      <c r="N454" s="807"/>
      <c r="O454" s="807"/>
      <c r="P454" s="807"/>
      <c r="Q454" s="807"/>
      <c r="R454" s="807"/>
      <c r="S454" s="807"/>
      <c r="T454" s="807"/>
      <c r="U454" s="807"/>
      <c r="V454" s="807"/>
      <c r="W454" s="807"/>
      <c r="X454" s="807"/>
      <c r="Y454" s="807"/>
      <c r="Z454" s="807"/>
    </row>
    <row r="455" ht="171.75" customHeight="1">
      <c r="A455" s="807"/>
      <c r="B455" s="807"/>
      <c r="C455" s="807"/>
      <c r="D455" s="807"/>
      <c r="E455" s="807"/>
      <c r="F455" s="807"/>
      <c r="G455" s="807"/>
      <c r="H455" s="807"/>
      <c r="I455" s="807"/>
      <c r="J455" s="807"/>
      <c r="K455" s="807"/>
      <c r="L455" s="807"/>
      <c r="M455" s="807"/>
      <c r="N455" s="807"/>
      <c r="O455" s="807"/>
      <c r="P455" s="807"/>
      <c r="Q455" s="807"/>
      <c r="R455" s="807"/>
      <c r="S455" s="807"/>
      <c r="T455" s="807"/>
      <c r="U455" s="807"/>
      <c r="V455" s="807"/>
      <c r="W455" s="807"/>
      <c r="X455" s="807"/>
      <c r="Y455" s="807"/>
      <c r="Z455" s="807"/>
    </row>
    <row r="456" ht="171.75" customHeight="1">
      <c r="A456" s="807"/>
      <c r="B456" s="807"/>
      <c r="C456" s="807"/>
      <c r="D456" s="807"/>
      <c r="E456" s="807"/>
      <c r="F456" s="807"/>
      <c r="G456" s="807"/>
      <c r="H456" s="807"/>
      <c r="I456" s="807"/>
      <c r="J456" s="807"/>
      <c r="K456" s="807"/>
      <c r="L456" s="807"/>
      <c r="M456" s="807"/>
      <c r="N456" s="807"/>
      <c r="O456" s="807"/>
      <c r="P456" s="807"/>
      <c r="Q456" s="807"/>
      <c r="R456" s="807"/>
      <c r="S456" s="807"/>
      <c r="T456" s="807"/>
      <c r="U456" s="807"/>
      <c r="V456" s="807"/>
      <c r="W456" s="807"/>
      <c r="X456" s="807"/>
      <c r="Y456" s="807"/>
      <c r="Z456" s="807"/>
    </row>
    <row r="457" ht="171.75" customHeight="1">
      <c r="A457" s="807"/>
      <c r="B457" s="807"/>
      <c r="C457" s="807"/>
      <c r="D457" s="807"/>
      <c r="E457" s="807"/>
      <c r="F457" s="807"/>
      <c r="G457" s="807"/>
      <c r="H457" s="807"/>
      <c r="I457" s="807"/>
      <c r="J457" s="807"/>
      <c r="K457" s="807"/>
      <c r="L457" s="807"/>
      <c r="M457" s="807"/>
      <c r="N457" s="807"/>
      <c r="O457" s="807"/>
      <c r="P457" s="807"/>
      <c r="Q457" s="807"/>
      <c r="R457" s="807"/>
      <c r="S457" s="807"/>
      <c r="T457" s="807"/>
      <c r="U457" s="807"/>
      <c r="V457" s="807"/>
      <c r="W457" s="807"/>
      <c r="X457" s="807"/>
      <c r="Y457" s="807"/>
      <c r="Z457" s="807"/>
    </row>
    <row r="458" ht="171.75" customHeight="1">
      <c r="A458" s="807"/>
      <c r="B458" s="807"/>
      <c r="C458" s="807"/>
      <c r="D458" s="807"/>
      <c r="E458" s="807"/>
      <c r="F458" s="807"/>
      <c r="G458" s="807"/>
      <c r="H458" s="807"/>
      <c r="I458" s="807"/>
      <c r="J458" s="807"/>
      <c r="K458" s="807"/>
      <c r="L458" s="807"/>
      <c r="M458" s="807"/>
      <c r="N458" s="807"/>
      <c r="O458" s="807"/>
      <c r="P458" s="807"/>
      <c r="Q458" s="807"/>
      <c r="R458" s="807"/>
      <c r="S458" s="807"/>
      <c r="T458" s="807"/>
      <c r="U458" s="807"/>
      <c r="V458" s="807"/>
      <c r="W458" s="807"/>
      <c r="X458" s="807"/>
      <c r="Y458" s="807"/>
      <c r="Z458" s="807"/>
    </row>
    <row r="459" ht="171.75" customHeight="1">
      <c r="A459" s="807"/>
      <c r="B459" s="807"/>
      <c r="C459" s="807"/>
      <c r="D459" s="807"/>
      <c r="E459" s="807"/>
      <c r="F459" s="807"/>
      <c r="G459" s="807"/>
      <c r="H459" s="807"/>
      <c r="I459" s="807"/>
      <c r="J459" s="807"/>
      <c r="K459" s="807"/>
      <c r="L459" s="807"/>
      <c r="M459" s="807"/>
      <c r="N459" s="807"/>
      <c r="O459" s="807"/>
      <c r="P459" s="807"/>
      <c r="Q459" s="807"/>
      <c r="R459" s="807"/>
      <c r="S459" s="807"/>
      <c r="T459" s="807"/>
      <c r="U459" s="807"/>
      <c r="V459" s="807"/>
      <c r="W459" s="807"/>
      <c r="X459" s="807"/>
      <c r="Y459" s="807"/>
      <c r="Z459" s="807"/>
    </row>
    <row r="460" ht="171.75" customHeight="1">
      <c r="A460" s="807"/>
      <c r="B460" s="807"/>
      <c r="C460" s="807"/>
      <c r="D460" s="807"/>
      <c r="E460" s="807"/>
      <c r="F460" s="807"/>
      <c r="G460" s="807"/>
      <c r="H460" s="807"/>
      <c r="I460" s="807"/>
      <c r="J460" s="807"/>
      <c r="K460" s="807"/>
      <c r="L460" s="807"/>
      <c r="M460" s="807"/>
      <c r="N460" s="807"/>
      <c r="O460" s="807"/>
      <c r="P460" s="807"/>
      <c r="Q460" s="807"/>
      <c r="R460" s="807"/>
      <c r="S460" s="807"/>
      <c r="T460" s="807"/>
      <c r="U460" s="807"/>
      <c r="V460" s="807"/>
      <c r="W460" s="807"/>
      <c r="X460" s="807"/>
      <c r="Y460" s="807"/>
      <c r="Z460" s="807"/>
    </row>
    <row r="461" ht="171.75" customHeight="1">
      <c r="A461" s="807"/>
      <c r="B461" s="807"/>
      <c r="C461" s="807"/>
      <c r="D461" s="807"/>
      <c r="E461" s="807"/>
      <c r="F461" s="807"/>
      <c r="G461" s="807"/>
      <c r="H461" s="807"/>
      <c r="I461" s="807"/>
      <c r="J461" s="807"/>
      <c r="K461" s="807"/>
      <c r="L461" s="807"/>
      <c r="M461" s="807"/>
      <c r="N461" s="807"/>
      <c r="O461" s="807"/>
      <c r="P461" s="807"/>
      <c r="Q461" s="807"/>
      <c r="R461" s="807"/>
      <c r="S461" s="807"/>
      <c r="T461" s="807"/>
      <c r="U461" s="807"/>
      <c r="V461" s="807"/>
      <c r="W461" s="807"/>
      <c r="X461" s="807"/>
      <c r="Y461" s="807"/>
      <c r="Z461" s="807"/>
    </row>
    <row r="462" ht="171.75" customHeight="1">
      <c r="A462" s="807"/>
      <c r="B462" s="807"/>
      <c r="C462" s="807"/>
      <c r="D462" s="807"/>
      <c r="E462" s="807"/>
      <c r="F462" s="807"/>
      <c r="G462" s="807"/>
      <c r="H462" s="807"/>
      <c r="I462" s="807"/>
      <c r="J462" s="807"/>
      <c r="K462" s="807"/>
      <c r="L462" s="807"/>
      <c r="M462" s="807"/>
      <c r="N462" s="807"/>
      <c r="O462" s="807"/>
      <c r="P462" s="807"/>
      <c r="Q462" s="807"/>
      <c r="R462" s="807"/>
      <c r="S462" s="807"/>
      <c r="T462" s="807"/>
      <c r="U462" s="807"/>
      <c r="V462" s="807"/>
      <c r="W462" s="807"/>
      <c r="X462" s="807"/>
      <c r="Y462" s="807"/>
      <c r="Z462" s="807"/>
    </row>
    <row r="463" ht="171.75" customHeight="1">
      <c r="A463" s="807"/>
      <c r="B463" s="807"/>
      <c r="C463" s="807"/>
      <c r="D463" s="807"/>
      <c r="E463" s="807"/>
      <c r="F463" s="807"/>
      <c r="G463" s="807"/>
      <c r="H463" s="807"/>
      <c r="I463" s="807"/>
      <c r="J463" s="807"/>
      <c r="K463" s="807"/>
      <c r="L463" s="807"/>
      <c r="M463" s="807"/>
      <c r="N463" s="807"/>
      <c r="O463" s="807"/>
      <c r="P463" s="807"/>
      <c r="Q463" s="807"/>
      <c r="R463" s="807"/>
      <c r="S463" s="807"/>
      <c r="T463" s="807"/>
      <c r="U463" s="807"/>
      <c r="V463" s="807"/>
      <c r="W463" s="807"/>
      <c r="X463" s="807"/>
      <c r="Y463" s="807"/>
      <c r="Z463" s="807"/>
    </row>
    <row r="464" ht="171.75" customHeight="1">
      <c r="A464" s="807"/>
      <c r="B464" s="807"/>
      <c r="C464" s="807"/>
      <c r="D464" s="807"/>
      <c r="E464" s="807"/>
      <c r="F464" s="807"/>
      <c r="G464" s="807"/>
      <c r="H464" s="807"/>
      <c r="I464" s="807"/>
      <c r="J464" s="807"/>
      <c r="K464" s="807"/>
      <c r="L464" s="807"/>
      <c r="M464" s="807"/>
      <c r="N464" s="807"/>
      <c r="O464" s="807"/>
      <c r="P464" s="807"/>
      <c r="Q464" s="807"/>
      <c r="R464" s="807"/>
      <c r="S464" s="807"/>
      <c r="T464" s="807"/>
      <c r="U464" s="807"/>
      <c r="V464" s="807"/>
      <c r="W464" s="807"/>
      <c r="X464" s="807"/>
      <c r="Y464" s="807"/>
      <c r="Z464" s="807"/>
    </row>
    <row r="465" ht="171.75" customHeight="1">
      <c r="A465" s="807"/>
      <c r="B465" s="807"/>
      <c r="C465" s="807"/>
      <c r="D465" s="807"/>
      <c r="E465" s="807"/>
      <c r="F465" s="807"/>
      <c r="G465" s="807"/>
      <c r="H465" s="807"/>
      <c r="I465" s="807"/>
      <c r="J465" s="807"/>
      <c r="K465" s="807"/>
      <c r="L465" s="807"/>
      <c r="M465" s="807"/>
      <c r="N465" s="807"/>
      <c r="O465" s="807"/>
      <c r="P465" s="807"/>
      <c r="Q465" s="807"/>
      <c r="R465" s="807"/>
      <c r="S465" s="807"/>
      <c r="T465" s="807"/>
      <c r="U465" s="807"/>
      <c r="V465" s="807"/>
      <c r="W465" s="807"/>
      <c r="X465" s="807"/>
      <c r="Y465" s="807"/>
      <c r="Z465" s="807"/>
    </row>
    <row r="466" ht="171.75" customHeight="1">
      <c r="A466" s="807"/>
      <c r="B466" s="807"/>
      <c r="C466" s="807"/>
      <c r="D466" s="807"/>
      <c r="E466" s="807"/>
      <c r="F466" s="807"/>
      <c r="G466" s="807"/>
      <c r="H466" s="807"/>
      <c r="I466" s="807"/>
      <c r="J466" s="807"/>
      <c r="K466" s="807"/>
      <c r="L466" s="807"/>
      <c r="M466" s="807"/>
      <c r="N466" s="807"/>
      <c r="O466" s="807"/>
      <c r="P466" s="807"/>
      <c r="Q466" s="807"/>
      <c r="R466" s="807"/>
      <c r="S466" s="807"/>
      <c r="T466" s="807"/>
      <c r="U466" s="807"/>
      <c r="V466" s="807"/>
      <c r="W466" s="807"/>
      <c r="X466" s="807"/>
      <c r="Y466" s="807"/>
      <c r="Z466" s="807"/>
    </row>
    <row r="467" ht="171.75" customHeight="1">
      <c r="A467" s="807"/>
      <c r="B467" s="807"/>
      <c r="C467" s="807"/>
      <c r="D467" s="807"/>
      <c r="E467" s="807"/>
      <c r="F467" s="807"/>
      <c r="G467" s="807"/>
      <c r="H467" s="807"/>
      <c r="I467" s="807"/>
      <c r="J467" s="807"/>
      <c r="K467" s="807"/>
      <c r="L467" s="807"/>
      <c r="M467" s="807"/>
      <c r="N467" s="807"/>
      <c r="O467" s="807"/>
      <c r="P467" s="807"/>
      <c r="Q467" s="807"/>
      <c r="R467" s="807"/>
      <c r="S467" s="807"/>
      <c r="T467" s="807"/>
      <c r="U467" s="807"/>
      <c r="V467" s="807"/>
      <c r="W467" s="807"/>
      <c r="X467" s="807"/>
      <c r="Y467" s="807"/>
      <c r="Z467" s="807"/>
    </row>
    <row r="468" ht="171.75" customHeight="1">
      <c r="A468" s="807"/>
      <c r="B468" s="807"/>
      <c r="C468" s="807"/>
      <c r="D468" s="807"/>
      <c r="E468" s="807"/>
      <c r="F468" s="807"/>
      <c r="G468" s="807"/>
      <c r="H468" s="807"/>
      <c r="I468" s="807"/>
      <c r="J468" s="807"/>
      <c r="K468" s="807"/>
      <c r="L468" s="807"/>
      <c r="M468" s="807"/>
      <c r="N468" s="807"/>
      <c r="O468" s="807"/>
      <c r="P468" s="807"/>
      <c r="Q468" s="807"/>
      <c r="R468" s="807"/>
      <c r="S468" s="807"/>
      <c r="T468" s="807"/>
      <c r="U468" s="807"/>
      <c r="V468" s="807"/>
      <c r="W468" s="807"/>
      <c r="X468" s="807"/>
      <c r="Y468" s="807"/>
      <c r="Z468" s="807"/>
    </row>
    <row r="469" ht="171.75" customHeight="1">
      <c r="A469" s="807"/>
      <c r="B469" s="807"/>
      <c r="C469" s="807"/>
      <c r="D469" s="807"/>
      <c r="E469" s="807"/>
      <c r="F469" s="807"/>
      <c r="G469" s="807"/>
      <c r="H469" s="807"/>
      <c r="I469" s="807"/>
      <c r="J469" s="807"/>
      <c r="K469" s="807"/>
      <c r="L469" s="807"/>
      <c r="M469" s="807"/>
      <c r="N469" s="807"/>
      <c r="O469" s="807"/>
      <c r="P469" s="807"/>
      <c r="Q469" s="807"/>
      <c r="R469" s="807"/>
      <c r="S469" s="807"/>
      <c r="T469" s="807"/>
      <c r="U469" s="807"/>
      <c r="V469" s="807"/>
      <c r="W469" s="807"/>
      <c r="X469" s="807"/>
      <c r="Y469" s="807"/>
      <c r="Z469" s="807"/>
    </row>
    <row r="470" ht="171.75" customHeight="1">
      <c r="A470" s="807"/>
      <c r="B470" s="807"/>
      <c r="C470" s="807"/>
      <c r="D470" s="807"/>
      <c r="E470" s="807"/>
      <c r="F470" s="807"/>
      <c r="G470" s="807"/>
      <c r="H470" s="807"/>
      <c r="I470" s="807"/>
      <c r="J470" s="807"/>
      <c r="K470" s="807"/>
      <c r="L470" s="807"/>
      <c r="M470" s="807"/>
      <c r="N470" s="807"/>
      <c r="O470" s="807"/>
      <c r="P470" s="807"/>
      <c r="Q470" s="807"/>
      <c r="R470" s="807"/>
      <c r="S470" s="807"/>
      <c r="T470" s="807"/>
      <c r="U470" s="807"/>
      <c r="V470" s="807"/>
      <c r="W470" s="807"/>
      <c r="X470" s="807"/>
      <c r="Y470" s="807"/>
      <c r="Z470" s="807"/>
    </row>
    <row r="471" ht="171.75" customHeight="1">
      <c r="A471" s="807"/>
      <c r="B471" s="807"/>
      <c r="C471" s="807"/>
      <c r="D471" s="807"/>
      <c r="E471" s="807"/>
      <c r="F471" s="807"/>
      <c r="G471" s="807"/>
      <c r="H471" s="807"/>
      <c r="I471" s="807"/>
      <c r="J471" s="807"/>
      <c r="K471" s="807"/>
      <c r="L471" s="807"/>
      <c r="M471" s="807"/>
      <c r="N471" s="807"/>
      <c r="O471" s="807"/>
      <c r="P471" s="807"/>
      <c r="Q471" s="807"/>
      <c r="R471" s="807"/>
      <c r="S471" s="807"/>
      <c r="T471" s="807"/>
      <c r="U471" s="807"/>
      <c r="V471" s="807"/>
      <c r="W471" s="807"/>
      <c r="X471" s="807"/>
      <c r="Y471" s="807"/>
      <c r="Z471" s="807"/>
    </row>
    <row r="472" ht="171.75" customHeight="1">
      <c r="A472" s="807"/>
      <c r="B472" s="807"/>
      <c r="C472" s="807"/>
      <c r="D472" s="807"/>
      <c r="E472" s="807"/>
      <c r="F472" s="807"/>
      <c r="G472" s="807"/>
      <c r="H472" s="807"/>
      <c r="I472" s="807"/>
      <c r="J472" s="807"/>
      <c r="K472" s="807"/>
      <c r="L472" s="807"/>
      <c r="M472" s="807"/>
      <c r="N472" s="807"/>
      <c r="O472" s="807"/>
      <c r="P472" s="807"/>
      <c r="Q472" s="807"/>
      <c r="R472" s="807"/>
      <c r="S472" s="807"/>
      <c r="T472" s="807"/>
      <c r="U472" s="807"/>
      <c r="V472" s="807"/>
      <c r="W472" s="807"/>
      <c r="X472" s="807"/>
      <c r="Y472" s="807"/>
      <c r="Z472" s="807"/>
    </row>
    <row r="473" ht="171.75" customHeight="1">
      <c r="A473" s="807"/>
      <c r="B473" s="807"/>
      <c r="C473" s="807"/>
      <c r="D473" s="807"/>
      <c r="E473" s="807"/>
      <c r="F473" s="807"/>
      <c r="G473" s="807"/>
      <c r="H473" s="807"/>
      <c r="I473" s="807"/>
      <c r="J473" s="807"/>
      <c r="K473" s="807"/>
      <c r="L473" s="807"/>
      <c r="M473" s="807"/>
      <c r="N473" s="807"/>
      <c r="O473" s="807"/>
      <c r="P473" s="807"/>
      <c r="Q473" s="807"/>
      <c r="R473" s="807"/>
      <c r="S473" s="807"/>
      <c r="T473" s="807"/>
      <c r="U473" s="807"/>
      <c r="V473" s="807"/>
      <c r="W473" s="807"/>
      <c r="X473" s="807"/>
      <c r="Y473" s="807"/>
      <c r="Z473" s="807"/>
    </row>
    <row r="474" ht="171.75" customHeight="1">
      <c r="A474" s="807"/>
      <c r="B474" s="807"/>
      <c r="C474" s="807"/>
      <c r="D474" s="807"/>
      <c r="E474" s="807"/>
      <c r="F474" s="807"/>
      <c r="G474" s="807"/>
      <c r="H474" s="807"/>
      <c r="I474" s="807"/>
      <c r="J474" s="807"/>
      <c r="K474" s="807"/>
      <c r="L474" s="807"/>
      <c r="M474" s="807"/>
      <c r="N474" s="807"/>
      <c r="O474" s="807"/>
      <c r="P474" s="807"/>
      <c r="Q474" s="807"/>
      <c r="R474" s="807"/>
      <c r="S474" s="807"/>
      <c r="T474" s="807"/>
      <c r="U474" s="807"/>
      <c r="V474" s="807"/>
      <c r="W474" s="807"/>
      <c r="X474" s="807"/>
      <c r="Y474" s="807"/>
      <c r="Z474" s="807"/>
    </row>
    <row r="475" ht="171.75" customHeight="1">
      <c r="A475" s="807"/>
      <c r="B475" s="807"/>
      <c r="C475" s="807"/>
      <c r="D475" s="807"/>
      <c r="E475" s="807"/>
      <c r="F475" s="807"/>
      <c r="G475" s="807"/>
      <c r="H475" s="807"/>
      <c r="I475" s="807"/>
      <c r="J475" s="807"/>
      <c r="K475" s="807"/>
      <c r="L475" s="807"/>
      <c r="M475" s="807"/>
      <c r="N475" s="807"/>
      <c r="O475" s="807"/>
      <c r="P475" s="807"/>
      <c r="Q475" s="807"/>
      <c r="R475" s="807"/>
      <c r="S475" s="807"/>
      <c r="T475" s="807"/>
      <c r="U475" s="807"/>
      <c r="V475" s="807"/>
      <c r="W475" s="807"/>
      <c r="X475" s="807"/>
      <c r="Y475" s="807"/>
      <c r="Z475" s="807"/>
    </row>
    <row r="476" ht="171.75" customHeight="1">
      <c r="A476" s="807"/>
      <c r="B476" s="807"/>
      <c r="C476" s="807"/>
      <c r="D476" s="807"/>
      <c r="E476" s="807"/>
      <c r="F476" s="807"/>
      <c r="G476" s="807"/>
      <c r="H476" s="807"/>
      <c r="I476" s="807"/>
      <c r="J476" s="807"/>
      <c r="K476" s="807"/>
      <c r="L476" s="807"/>
      <c r="M476" s="807"/>
      <c r="N476" s="807"/>
      <c r="O476" s="807"/>
      <c r="P476" s="807"/>
      <c r="Q476" s="807"/>
      <c r="R476" s="807"/>
      <c r="S476" s="807"/>
      <c r="T476" s="807"/>
      <c r="U476" s="807"/>
      <c r="V476" s="807"/>
      <c r="W476" s="807"/>
      <c r="X476" s="807"/>
      <c r="Y476" s="807"/>
      <c r="Z476" s="807"/>
    </row>
    <row r="477" ht="171.75" customHeight="1">
      <c r="A477" s="807"/>
      <c r="B477" s="807"/>
      <c r="C477" s="807"/>
      <c r="D477" s="807"/>
      <c r="E477" s="807"/>
      <c r="F477" s="807"/>
      <c r="G477" s="807"/>
      <c r="H477" s="807"/>
      <c r="I477" s="807"/>
      <c r="J477" s="807"/>
      <c r="K477" s="807"/>
      <c r="L477" s="807"/>
      <c r="M477" s="807"/>
      <c r="N477" s="807"/>
      <c r="O477" s="807"/>
      <c r="P477" s="807"/>
      <c r="Q477" s="807"/>
      <c r="R477" s="807"/>
      <c r="S477" s="807"/>
      <c r="T477" s="807"/>
      <c r="U477" s="807"/>
      <c r="V477" s="807"/>
      <c r="W477" s="807"/>
      <c r="X477" s="807"/>
      <c r="Y477" s="807"/>
      <c r="Z477" s="807"/>
    </row>
    <row r="478" ht="171.75" customHeight="1">
      <c r="A478" s="807"/>
      <c r="B478" s="807"/>
      <c r="C478" s="807"/>
      <c r="D478" s="807"/>
      <c r="E478" s="807"/>
      <c r="F478" s="807"/>
      <c r="G478" s="807"/>
      <c r="H478" s="807"/>
      <c r="I478" s="807"/>
      <c r="J478" s="807"/>
      <c r="K478" s="807"/>
      <c r="L478" s="807"/>
      <c r="M478" s="807"/>
      <c r="N478" s="807"/>
      <c r="O478" s="807"/>
      <c r="P478" s="807"/>
      <c r="Q478" s="807"/>
      <c r="R478" s="807"/>
      <c r="S478" s="807"/>
      <c r="T478" s="807"/>
      <c r="U478" s="807"/>
      <c r="V478" s="807"/>
      <c r="W478" s="807"/>
      <c r="X478" s="807"/>
      <c r="Y478" s="807"/>
      <c r="Z478" s="807"/>
    </row>
    <row r="479" ht="171.75" customHeight="1">
      <c r="A479" s="807"/>
      <c r="B479" s="807"/>
      <c r="C479" s="807"/>
      <c r="D479" s="807"/>
      <c r="E479" s="807"/>
      <c r="F479" s="807"/>
      <c r="G479" s="807"/>
      <c r="H479" s="807"/>
      <c r="I479" s="807"/>
      <c r="J479" s="807"/>
      <c r="K479" s="807"/>
      <c r="L479" s="807"/>
      <c r="M479" s="807"/>
      <c r="N479" s="807"/>
      <c r="O479" s="807"/>
      <c r="P479" s="807"/>
      <c r="Q479" s="807"/>
      <c r="R479" s="807"/>
      <c r="S479" s="807"/>
      <c r="T479" s="807"/>
      <c r="U479" s="807"/>
      <c r="V479" s="807"/>
      <c r="W479" s="807"/>
      <c r="X479" s="807"/>
      <c r="Y479" s="807"/>
      <c r="Z479" s="807"/>
    </row>
    <row r="480" ht="171.75" customHeight="1">
      <c r="A480" s="807"/>
      <c r="B480" s="807"/>
      <c r="C480" s="807"/>
      <c r="D480" s="807"/>
      <c r="E480" s="807"/>
      <c r="F480" s="807"/>
      <c r="G480" s="807"/>
      <c r="H480" s="807"/>
      <c r="I480" s="807"/>
      <c r="J480" s="807"/>
      <c r="K480" s="807"/>
      <c r="L480" s="807"/>
      <c r="M480" s="807"/>
      <c r="N480" s="807"/>
      <c r="O480" s="807"/>
      <c r="P480" s="807"/>
      <c r="Q480" s="807"/>
      <c r="R480" s="807"/>
      <c r="S480" s="807"/>
      <c r="T480" s="807"/>
      <c r="U480" s="807"/>
      <c r="V480" s="807"/>
      <c r="W480" s="807"/>
      <c r="X480" s="807"/>
      <c r="Y480" s="807"/>
      <c r="Z480" s="807"/>
    </row>
    <row r="481" ht="171.75" customHeight="1">
      <c r="A481" s="807"/>
      <c r="B481" s="807"/>
      <c r="C481" s="807"/>
      <c r="D481" s="807"/>
      <c r="E481" s="807"/>
      <c r="F481" s="807"/>
      <c r="G481" s="807"/>
      <c r="H481" s="807"/>
      <c r="I481" s="807"/>
      <c r="J481" s="807"/>
      <c r="K481" s="807"/>
      <c r="L481" s="807"/>
      <c r="M481" s="807"/>
      <c r="N481" s="807"/>
      <c r="O481" s="807"/>
      <c r="P481" s="807"/>
      <c r="Q481" s="807"/>
      <c r="R481" s="807"/>
      <c r="S481" s="807"/>
      <c r="T481" s="807"/>
      <c r="U481" s="807"/>
      <c r="V481" s="807"/>
      <c r="W481" s="807"/>
      <c r="X481" s="807"/>
      <c r="Y481" s="807"/>
      <c r="Z481" s="807"/>
    </row>
    <row r="482" ht="171.75" customHeight="1">
      <c r="A482" s="807"/>
      <c r="B482" s="807"/>
      <c r="C482" s="807"/>
      <c r="D482" s="807"/>
      <c r="E482" s="807"/>
      <c r="F482" s="807"/>
      <c r="G482" s="807"/>
      <c r="H482" s="807"/>
      <c r="I482" s="807"/>
      <c r="J482" s="807"/>
      <c r="K482" s="807"/>
      <c r="L482" s="807"/>
      <c r="M482" s="807"/>
      <c r="N482" s="807"/>
      <c r="O482" s="807"/>
      <c r="P482" s="807"/>
      <c r="Q482" s="807"/>
      <c r="R482" s="807"/>
      <c r="S482" s="807"/>
      <c r="T482" s="807"/>
      <c r="U482" s="807"/>
      <c r="V482" s="807"/>
      <c r="W482" s="807"/>
      <c r="X482" s="807"/>
      <c r="Y482" s="807"/>
      <c r="Z482" s="807"/>
    </row>
    <row r="483" ht="171.75" customHeight="1">
      <c r="A483" s="807"/>
      <c r="B483" s="807"/>
      <c r="C483" s="807"/>
      <c r="D483" s="807"/>
      <c r="E483" s="807"/>
      <c r="F483" s="807"/>
      <c r="G483" s="807"/>
      <c r="H483" s="807"/>
      <c r="I483" s="807"/>
      <c r="J483" s="807"/>
      <c r="K483" s="807"/>
      <c r="L483" s="807"/>
      <c r="M483" s="807"/>
      <c r="N483" s="807"/>
      <c r="O483" s="807"/>
      <c r="P483" s="807"/>
      <c r="Q483" s="807"/>
      <c r="R483" s="807"/>
      <c r="S483" s="807"/>
      <c r="T483" s="807"/>
      <c r="U483" s="807"/>
      <c r="V483" s="807"/>
      <c r="W483" s="807"/>
      <c r="X483" s="807"/>
      <c r="Y483" s="807"/>
      <c r="Z483" s="807"/>
    </row>
    <row r="484" ht="171.75" customHeight="1">
      <c r="A484" s="807"/>
      <c r="B484" s="807"/>
      <c r="C484" s="807"/>
      <c r="D484" s="807"/>
      <c r="E484" s="807"/>
      <c r="F484" s="807"/>
      <c r="G484" s="807"/>
      <c r="H484" s="807"/>
      <c r="I484" s="807"/>
      <c r="J484" s="807"/>
      <c r="K484" s="807"/>
      <c r="L484" s="807"/>
      <c r="M484" s="807"/>
      <c r="N484" s="807"/>
      <c r="O484" s="807"/>
      <c r="P484" s="807"/>
      <c r="Q484" s="807"/>
      <c r="R484" s="807"/>
      <c r="S484" s="807"/>
      <c r="T484" s="807"/>
      <c r="U484" s="807"/>
      <c r="V484" s="807"/>
      <c r="W484" s="807"/>
      <c r="X484" s="807"/>
      <c r="Y484" s="807"/>
      <c r="Z484" s="807"/>
    </row>
    <row r="485" ht="171.75" customHeight="1">
      <c r="A485" s="807"/>
      <c r="B485" s="807"/>
      <c r="C485" s="807"/>
      <c r="D485" s="807"/>
      <c r="E485" s="807"/>
      <c r="F485" s="807"/>
      <c r="G485" s="807"/>
      <c r="H485" s="807"/>
      <c r="I485" s="807"/>
      <c r="J485" s="807"/>
      <c r="K485" s="807"/>
      <c r="L485" s="807"/>
      <c r="M485" s="807"/>
      <c r="N485" s="807"/>
      <c r="O485" s="807"/>
      <c r="P485" s="807"/>
      <c r="Q485" s="807"/>
      <c r="R485" s="807"/>
      <c r="S485" s="807"/>
      <c r="T485" s="807"/>
      <c r="U485" s="807"/>
      <c r="V485" s="807"/>
      <c r="W485" s="807"/>
      <c r="X485" s="807"/>
      <c r="Y485" s="807"/>
      <c r="Z485" s="807"/>
    </row>
    <row r="486" ht="171.75" customHeight="1">
      <c r="A486" s="807"/>
      <c r="B486" s="807"/>
      <c r="C486" s="807"/>
      <c r="D486" s="807"/>
      <c r="E486" s="807"/>
      <c r="F486" s="807"/>
      <c r="G486" s="807"/>
      <c r="H486" s="807"/>
      <c r="I486" s="807"/>
      <c r="J486" s="807"/>
      <c r="K486" s="807"/>
      <c r="L486" s="807"/>
      <c r="M486" s="807"/>
      <c r="N486" s="807"/>
      <c r="O486" s="807"/>
      <c r="P486" s="807"/>
      <c r="Q486" s="807"/>
      <c r="R486" s="807"/>
      <c r="S486" s="807"/>
      <c r="T486" s="807"/>
      <c r="U486" s="807"/>
      <c r="V486" s="807"/>
      <c r="W486" s="807"/>
      <c r="X486" s="807"/>
      <c r="Y486" s="807"/>
      <c r="Z486" s="807"/>
    </row>
    <row r="487" ht="171.75" customHeight="1">
      <c r="A487" s="807"/>
      <c r="B487" s="807"/>
      <c r="C487" s="807"/>
      <c r="D487" s="807"/>
      <c r="E487" s="807"/>
      <c r="F487" s="807"/>
      <c r="G487" s="807"/>
      <c r="H487" s="807"/>
      <c r="I487" s="807"/>
      <c r="J487" s="807"/>
      <c r="K487" s="807"/>
      <c r="L487" s="807"/>
      <c r="M487" s="807"/>
      <c r="N487" s="807"/>
      <c r="O487" s="807"/>
      <c r="P487" s="807"/>
      <c r="Q487" s="807"/>
      <c r="R487" s="807"/>
      <c r="S487" s="807"/>
      <c r="T487" s="807"/>
      <c r="U487" s="807"/>
      <c r="V487" s="807"/>
      <c r="W487" s="807"/>
      <c r="X487" s="807"/>
      <c r="Y487" s="807"/>
      <c r="Z487" s="807"/>
    </row>
    <row r="488" ht="171.75" customHeight="1">
      <c r="A488" s="807"/>
      <c r="B488" s="807"/>
      <c r="C488" s="807"/>
      <c r="D488" s="807"/>
      <c r="E488" s="807"/>
      <c r="F488" s="807"/>
      <c r="G488" s="807"/>
      <c r="H488" s="807"/>
      <c r="I488" s="807"/>
      <c r="J488" s="807"/>
      <c r="K488" s="807"/>
      <c r="L488" s="807"/>
      <c r="M488" s="807"/>
      <c r="N488" s="807"/>
      <c r="O488" s="807"/>
      <c r="P488" s="807"/>
      <c r="Q488" s="807"/>
      <c r="R488" s="807"/>
      <c r="S488" s="807"/>
      <c r="T488" s="807"/>
      <c r="U488" s="807"/>
      <c r="V488" s="807"/>
      <c r="W488" s="807"/>
      <c r="X488" s="807"/>
      <c r="Y488" s="807"/>
      <c r="Z488" s="807"/>
    </row>
    <row r="489" ht="171.75" customHeight="1">
      <c r="A489" s="807"/>
      <c r="B489" s="807"/>
      <c r="C489" s="807"/>
      <c r="D489" s="807"/>
      <c r="E489" s="807"/>
      <c r="F489" s="807"/>
      <c r="G489" s="807"/>
      <c r="H489" s="807"/>
      <c r="I489" s="807"/>
      <c r="J489" s="807"/>
      <c r="K489" s="807"/>
      <c r="L489" s="807"/>
      <c r="M489" s="807"/>
      <c r="N489" s="807"/>
      <c r="O489" s="807"/>
      <c r="P489" s="807"/>
      <c r="Q489" s="807"/>
      <c r="R489" s="807"/>
      <c r="S489" s="807"/>
      <c r="T489" s="807"/>
      <c r="U489" s="807"/>
      <c r="V489" s="807"/>
      <c r="W489" s="807"/>
      <c r="X489" s="807"/>
      <c r="Y489" s="807"/>
      <c r="Z489" s="807"/>
    </row>
    <row r="490" ht="171.75" customHeight="1">
      <c r="A490" s="807"/>
      <c r="B490" s="807"/>
      <c r="C490" s="807"/>
      <c r="D490" s="807"/>
      <c r="E490" s="807"/>
      <c r="F490" s="807"/>
      <c r="G490" s="807"/>
      <c r="H490" s="807"/>
      <c r="I490" s="807"/>
      <c r="J490" s="807"/>
      <c r="K490" s="807"/>
      <c r="L490" s="807"/>
      <c r="M490" s="807"/>
      <c r="N490" s="807"/>
      <c r="O490" s="807"/>
      <c r="P490" s="807"/>
      <c r="Q490" s="807"/>
      <c r="R490" s="807"/>
      <c r="S490" s="807"/>
      <c r="T490" s="807"/>
      <c r="U490" s="807"/>
      <c r="V490" s="807"/>
      <c r="W490" s="807"/>
      <c r="X490" s="807"/>
      <c r="Y490" s="807"/>
      <c r="Z490" s="807"/>
    </row>
    <row r="491" ht="171.75" customHeight="1">
      <c r="A491" s="807"/>
      <c r="B491" s="807"/>
      <c r="C491" s="807"/>
      <c r="D491" s="807"/>
      <c r="E491" s="807"/>
      <c r="F491" s="807"/>
      <c r="G491" s="807"/>
      <c r="H491" s="807"/>
      <c r="I491" s="807"/>
      <c r="J491" s="807"/>
      <c r="K491" s="807"/>
      <c r="L491" s="807"/>
      <c r="M491" s="807"/>
      <c r="N491" s="807"/>
      <c r="O491" s="807"/>
      <c r="P491" s="807"/>
      <c r="Q491" s="807"/>
      <c r="R491" s="807"/>
      <c r="S491" s="807"/>
      <c r="T491" s="807"/>
      <c r="U491" s="807"/>
      <c r="V491" s="807"/>
      <c r="W491" s="807"/>
      <c r="X491" s="807"/>
      <c r="Y491" s="807"/>
      <c r="Z491" s="807"/>
    </row>
    <row r="492" ht="171.75" customHeight="1">
      <c r="A492" s="807"/>
      <c r="B492" s="807"/>
      <c r="C492" s="807"/>
      <c r="D492" s="807"/>
      <c r="E492" s="807"/>
      <c r="F492" s="807"/>
      <c r="G492" s="807"/>
      <c r="H492" s="807"/>
      <c r="I492" s="807"/>
      <c r="J492" s="807"/>
      <c r="K492" s="807"/>
      <c r="L492" s="807"/>
      <c r="M492" s="807"/>
      <c r="N492" s="807"/>
      <c r="O492" s="807"/>
      <c r="P492" s="807"/>
      <c r="Q492" s="807"/>
      <c r="R492" s="807"/>
      <c r="S492" s="807"/>
      <c r="T492" s="807"/>
      <c r="U492" s="807"/>
      <c r="V492" s="807"/>
      <c r="W492" s="807"/>
      <c r="X492" s="807"/>
      <c r="Y492" s="807"/>
      <c r="Z492" s="807"/>
    </row>
    <row r="493" ht="171.75" customHeight="1">
      <c r="A493" s="807"/>
      <c r="B493" s="807"/>
      <c r="C493" s="807"/>
      <c r="D493" s="807"/>
      <c r="E493" s="807"/>
      <c r="F493" s="807"/>
      <c r="G493" s="807"/>
      <c r="H493" s="807"/>
      <c r="I493" s="807"/>
      <c r="J493" s="807"/>
      <c r="K493" s="807"/>
      <c r="L493" s="807"/>
      <c r="M493" s="807"/>
      <c r="N493" s="807"/>
      <c r="O493" s="807"/>
      <c r="P493" s="807"/>
      <c r="Q493" s="807"/>
      <c r="R493" s="807"/>
      <c r="S493" s="807"/>
      <c r="T493" s="807"/>
      <c r="U493" s="807"/>
      <c r="V493" s="807"/>
      <c r="W493" s="807"/>
      <c r="X493" s="807"/>
      <c r="Y493" s="807"/>
      <c r="Z493" s="807"/>
    </row>
    <row r="494" ht="171.75" customHeight="1">
      <c r="A494" s="807"/>
      <c r="B494" s="807"/>
      <c r="C494" s="807"/>
      <c r="D494" s="807"/>
      <c r="E494" s="807"/>
      <c r="F494" s="807"/>
      <c r="G494" s="807"/>
      <c r="H494" s="807"/>
      <c r="I494" s="807"/>
      <c r="J494" s="807"/>
      <c r="K494" s="807"/>
      <c r="L494" s="807"/>
      <c r="M494" s="807"/>
      <c r="N494" s="807"/>
      <c r="O494" s="807"/>
      <c r="P494" s="807"/>
      <c r="Q494" s="807"/>
      <c r="R494" s="807"/>
      <c r="S494" s="807"/>
      <c r="T494" s="807"/>
      <c r="U494" s="807"/>
      <c r="V494" s="807"/>
      <c r="W494" s="807"/>
      <c r="X494" s="807"/>
      <c r="Y494" s="807"/>
      <c r="Z494" s="807"/>
    </row>
    <row r="495" ht="171.75" customHeight="1">
      <c r="A495" s="807"/>
      <c r="B495" s="807"/>
      <c r="C495" s="807"/>
      <c r="D495" s="807"/>
      <c r="E495" s="807"/>
      <c r="F495" s="807"/>
      <c r="G495" s="807"/>
      <c r="H495" s="807"/>
      <c r="I495" s="807"/>
      <c r="J495" s="807"/>
      <c r="K495" s="807"/>
      <c r="L495" s="807"/>
      <c r="M495" s="807"/>
      <c r="N495" s="807"/>
      <c r="O495" s="807"/>
      <c r="P495" s="807"/>
      <c r="Q495" s="807"/>
      <c r="R495" s="807"/>
      <c r="S495" s="807"/>
      <c r="T495" s="807"/>
      <c r="U495" s="807"/>
      <c r="V495" s="807"/>
      <c r="W495" s="807"/>
      <c r="X495" s="807"/>
      <c r="Y495" s="807"/>
      <c r="Z495" s="807"/>
    </row>
    <row r="496" ht="171.75" customHeight="1">
      <c r="A496" s="807"/>
      <c r="B496" s="807"/>
      <c r="C496" s="807"/>
      <c r="D496" s="807"/>
      <c r="E496" s="807"/>
      <c r="F496" s="807"/>
      <c r="G496" s="807"/>
      <c r="H496" s="807"/>
      <c r="I496" s="807"/>
      <c r="J496" s="807"/>
      <c r="K496" s="807"/>
      <c r="L496" s="807"/>
      <c r="M496" s="807"/>
      <c r="N496" s="807"/>
      <c r="O496" s="807"/>
      <c r="P496" s="807"/>
      <c r="Q496" s="807"/>
      <c r="R496" s="807"/>
      <c r="S496" s="807"/>
      <c r="T496" s="807"/>
      <c r="U496" s="807"/>
      <c r="V496" s="807"/>
      <c r="W496" s="807"/>
      <c r="X496" s="807"/>
      <c r="Y496" s="807"/>
      <c r="Z496" s="807"/>
    </row>
    <row r="497" ht="171.75" customHeight="1">
      <c r="A497" s="807"/>
      <c r="B497" s="807"/>
      <c r="C497" s="807"/>
      <c r="D497" s="807"/>
      <c r="E497" s="807"/>
      <c r="F497" s="807"/>
      <c r="G497" s="807"/>
      <c r="H497" s="807"/>
      <c r="I497" s="807"/>
      <c r="J497" s="807"/>
      <c r="K497" s="807"/>
      <c r="L497" s="807"/>
      <c r="M497" s="807"/>
      <c r="N497" s="807"/>
      <c r="O497" s="807"/>
      <c r="P497" s="807"/>
      <c r="Q497" s="807"/>
      <c r="R497" s="807"/>
      <c r="S497" s="807"/>
      <c r="T497" s="807"/>
      <c r="U497" s="807"/>
      <c r="V497" s="807"/>
      <c r="W497" s="807"/>
      <c r="X497" s="807"/>
      <c r="Y497" s="807"/>
      <c r="Z497" s="807"/>
    </row>
    <row r="498" ht="171.75" customHeight="1">
      <c r="A498" s="807"/>
      <c r="B498" s="807"/>
      <c r="C498" s="807"/>
      <c r="D498" s="807"/>
      <c r="E498" s="807"/>
      <c r="F498" s="807"/>
      <c r="G498" s="807"/>
      <c r="H498" s="807"/>
      <c r="I498" s="807"/>
      <c r="J498" s="807"/>
      <c r="K498" s="807"/>
      <c r="L498" s="807"/>
      <c r="M498" s="807"/>
      <c r="N498" s="807"/>
      <c r="O498" s="807"/>
      <c r="P498" s="807"/>
      <c r="Q498" s="807"/>
      <c r="R498" s="807"/>
      <c r="S498" s="807"/>
      <c r="T498" s="807"/>
      <c r="U498" s="807"/>
      <c r="V498" s="807"/>
      <c r="W498" s="807"/>
      <c r="X498" s="807"/>
      <c r="Y498" s="807"/>
      <c r="Z498" s="807"/>
    </row>
    <row r="499" ht="171.75" customHeight="1">
      <c r="A499" s="807"/>
      <c r="B499" s="807"/>
      <c r="C499" s="807"/>
      <c r="D499" s="807"/>
      <c r="E499" s="807"/>
      <c r="F499" s="807"/>
      <c r="G499" s="807"/>
      <c r="H499" s="807"/>
      <c r="I499" s="807"/>
      <c r="J499" s="807"/>
      <c r="K499" s="807"/>
      <c r="L499" s="807"/>
      <c r="M499" s="807"/>
      <c r="N499" s="807"/>
      <c r="O499" s="807"/>
      <c r="P499" s="807"/>
      <c r="Q499" s="807"/>
      <c r="R499" s="807"/>
      <c r="S499" s="807"/>
      <c r="T499" s="807"/>
      <c r="U499" s="807"/>
      <c r="V499" s="807"/>
      <c r="W499" s="807"/>
      <c r="X499" s="807"/>
      <c r="Y499" s="807"/>
      <c r="Z499" s="807"/>
    </row>
    <row r="500" ht="171.75" customHeight="1">
      <c r="A500" s="807"/>
      <c r="B500" s="807"/>
      <c r="C500" s="807"/>
      <c r="D500" s="807"/>
      <c r="E500" s="807"/>
      <c r="F500" s="807"/>
      <c r="G500" s="807"/>
      <c r="H500" s="807"/>
      <c r="I500" s="807"/>
      <c r="J500" s="807"/>
      <c r="K500" s="807"/>
      <c r="L500" s="807"/>
      <c r="M500" s="807"/>
      <c r="N500" s="807"/>
      <c r="O500" s="807"/>
      <c r="P500" s="807"/>
      <c r="Q500" s="807"/>
      <c r="R500" s="807"/>
      <c r="S500" s="807"/>
      <c r="T500" s="807"/>
      <c r="U500" s="807"/>
      <c r="V500" s="807"/>
      <c r="W500" s="807"/>
      <c r="X500" s="807"/>
      <c r="Y500" s="807"/>
      <c r="Z500" s="807"/>
    </row>
    <row r="501" ht="171.75" customHeight="1">
      <c r="A501" s="807"/>
      <c r="B501" s="807"/>
      <c r="C501" s="807"/>
      <c r="D501" s="807"/>
      <c r="E501" s="807"/>
      <c r="F501" s="807"/>
      <c r="G501" s="807"/>
      <c r="H501" s="807"/>
      <c r="I501" s="807"/>
      <c r="J501" s="807"/>
      <c r="K501" s="807"/>
      <c r="L501" s="807"/>
      <c r="M501" s="807"/>
      <c r="N501" s="807"/>
      <c r="O501" s="807"/>
      <c r="P501" s="807"/>
      <c r="Q501" s="807"/>
      <c r="R501" s="807"/>
      <c r="S501" s="807"/>
      <c r="T501" s="807"/>
      <c r="U501" s="807"/>
      <c r="V501" s="807"/>
      <c r="W501" s="807"/>
      <c r="X501" s="807"/>
      <c r="Y501" s="807"/>
      <c r="Z501" s="807"/>
    </row>
    <row r="502" ht="171.75" customHeight="1">
      <c r="A502" s="807"/>
      <c r="B502" s="807"/>
      <c r="C502" s="807"/>
      <c r="D502" s="807"/>
      <c r="E502" s="807"/>
      <c r="F502" s="807"/>
      <c r="G502" s="807"/>
      <c r="H502" s="807"/>
      <c r="I502" s="807"/>
      <c r="J502" s="807"/>
      <c r="K502" s="807"/>
      <c r="L502" s="807"/>
      <c r="M502" s="807"/>
      <c r="N502" s="807"/>
      <c r="O502" s="807"/>
      <c r="P502" s="807"/>
      <c r="Q502" s="807"/>
      <c r="R502" s="807"/>
      <c r="S502" s="807"/>
      <c r="T502" s="807"/>
      <c r="U502" s="807"/>
      <c r="V502" s="807"/>
      <c r="W502" s="807"/>
      <c r="X502" s="807"/>
      <c r="Y502" s="807"/>
      <c r="Z502" s="807"/>
    </row>
    <row r="503" ht="171.75" customHeight="1">
      <c r="A503" s="807"/>
      <c r="B503" s="807"/>
      <c r="C503" s="807"/>
      <c r="D503" s="807"/>
      <c r="E503" s="807"/>
      <c r="F503" s="807"/>
      <c r="G503" s="807"/>
      <c r="H503" s="807"/>
      <c r="I503" s="807"/>
      <c r="J503" s="807"/>
      <c r="K503" s="807"/>
      <c r="L503" s="807"/>
      <c r="M503" s="807"/>
      <c r="N503" s="807"/>
      <c r="O503" s="807"/>
      <c r="P503" s="807"/>
      <c r="Q503" s="807"/>
      <c r="R503" s="807"/>
      <c r="S503" s="807"/>
      <c r="T503" s="807"/>
      <c r="U503" s="807"/>
      <c r="V503" s="807"/>
      <c r="W503" s="807"/>
      <c r="X503" s="807"/>
      <c r="Y503" s="807"/>
      <c r="Z503" s="807"/>
    </row>
    <row r="504" ht="171.75" customHeight="1">
      <c r="A504" s="807"/>
      <c r="B504" s="807"/>
      <c r="C504" s="807"/>
      <c r="D504" s="807"/>
      <c r="E504" s="807"/>
      <c r="F504" s="807"/>
      <c r="G504" s="807"/>
      <c r="H504" s="807"/>
      <c r="I504" s="807"/>
      <c r="J504" s="807"/>
      <c r="K504" s="807"/>
      <c r="L504" s="807"/>
      <c r="M504" s="807"/>
      <c r="N504" s="807"/>
      <c r="O504" s="807"/>
      <c r="P504" s="807"/>
      <c r="Q504" s="807"/>
      <c r="R504" s="807"/>
      <c r="S504" s="807"/>
      <c r="T504" s="807"/>
      <c r="U504" s="807"/>
      <c r="V504" s="807"/>
      <c r="W504" s="807"/>
      <c r="X504" s="807"/>
      <c r="Y504" s="807"/>
      <c r="Z504" s="807"/>
    </row>
    <row r="505" ht="171.75" customHeight="1">
      <c r="A505" s="807"/>
      <c r="B505" s="807"/>
      <c r="C505" s="807"/>
      <c r="D505" s="807"/>
      <c r="E505" s="807"/>
      <c r="F505" s="807"/>
      <c r="G505" s="807"/>
      <c r="H505" s="807"/>
      <c r="I505" s="807"/>
      <c r="J505" s="807"/>
      <c r="K505" s="807"/>
      <c r="L505" s="807"/>
      <c r="M505" s="807"/>
      <c r="N505" s="807"/>
      <c r="O505" s="807"/>
      <c r="P505" s="807"/>
      <c r="Q505" s="807"/>
      <c r="R505" s="807"/>
      <c r="S505" s="807"/>
      <c r="T505" s="807"/>
      <c r="U505" s="807"/>
      <c r="V505" s="807"/>
      <c r="W505" s="807"/>
      <c r="X505" s="807"/>
      <c r="Y505" s="807"/>
      <c r="Z505" s="807"/>
    </row>
    <row r="506" ht="171.75" customHeight="1">
      <c r="A506" s="807"/>
      <c r="B506" s="807"/>
      <c r="C506" s="807"/>
      <c r="D506" s="807"/>
      <c r="E506" s="807"/>
      <c r="F506" s="807"/>
      <c r="G506" s="807"/>
      <c r="H506" s="807"/>
      <c r="I506" s="807"/>
      <c r="J506" s="807"/>
      <c r="K506" s="807"/>
      <c r="L506" s="807"/>
      <c r="M506" s="807"/>
      <c r="N506" s="807"/>
      <c r="O506" s="807"/>
      <c r="P506" s="807"/>
      <c r="Q506" s="807"/>
      <c r="R506" s="807"/>
      <c r="S506" s="807"/>
      <c r="T506" s="807"/>
      <c r="U506" s="807"/>
      <c r="V506" s="807"/>
      <c r="W506" s="807"/>
      <c r="X506" s="807"/>
      <c r="Y506" s="807"/>
      <c r="Z506" s="807"/>
    </row>
    <row r="507" ht="171.75" customHeight="1">
      <c r="A507" s="807"/>
      <c r="B507" s="807"/>
      <c r="C507" s="807"/>
      <c r="D507" s="807"/>
      <c r="E507" s="807"/>
      <c r="F507" s="807"/>
      <c r="G507" s="807"/>
      <c r="H507" s="807"/>
      <c r="I507" s="807"/>
      <c r="J507" s="807"/>
      <c r="K507" s="807"/>
      <c r="L507" s="807"/>
      <c r="M507" s="807"/>
      <c r="N507" s="807"/>
      <c r="O507" s="807"/>
      <c r="P507" s="807"/>
      <c r="Q507" s="807"/>
      <c r="R507" s="807"/>
      <c r="S507" s="807"/>
      <c r="T507" s="807"/>
      <c r="U507" s="807"/>
      <c r="V507" s="807"/>
      <c r="W507" s="807"/>
      <c r="X507" s="807"/>
      <c r="Y507" s="807"/>
      <c r="Z507" s="807"/>
    </row>
    <row r="508" ht="171.75" customHeight="1">
      <c r="A508" s="807"/>
      <c r="B508" s="807"/>
      <c r="C508" s="807"/>
      <c r="D508" s="807"/>
      <c r="E508" s="807"/>
      <c r="F508" s="807"/>
      <c r="G508" s="807"/>
      <c r="H508" s="807"/>
      <c r="I508" s="807"/>
      <c r="J508" s="807"/>
      <c r="K508" s="807"/>
      <c r="L508" s="807"/>
      <c r="M508" s="807"/>
      <c r="N508" s="807"/>
      <c r="O508" s="807"/>
      <c r="P508" s="807"/>
      <c r="Q508" s="807"/>
      <c r="R508" s="807"/>
      <c r="S508" s="807"/>
      <c r="T508" s="807"/>
      <c r="U508" s="807"/>
      <c r="V508" s="807"/>
      <c r="W508" s="807"/>
      <c r="X508" s="807"/>
      <c r="Y508" s="807"/>
      <c r="Z508" s="807"/>
    </row>
    <row r="509" ht="171.75" customHeight="1">
      <c r="A509" s="807"/>
      <c r="B509" s="807"/>
      <c r="C509" s="807"/>
      <c r="D509" s="807"/>
      <c r="E509" s="807"/>
      <c r="F509" s="807"/>
      <c r="G509" s="807"/>
      <c r="H509" s="807"/>
      <c r="I509" s="807"/>
      <c r="J509" s="807"/>
      <c r="K509" s="807"/>
      <c r="L509" s="807"/>
      <c r="M509" s="807"/>
      <c r="N509" s="807"/>
      <c r="O509" s="807"/>
      <c r="P509" s="807"/>
      <c r="Q509" s="807"/>
      <c r="R509" s="807"/>
      <c r="S509" s="807"/>
      <c r="T509" s="807"/>
      <c r="U509" s="807"/>
      <c r="V509" s="807"/>
      <c r="W509" s="807"/>
      <c r="X509" s="807"/>
      <c r="Y509" s="807"/>
      <c r="Z509" s="807"/>
    </row>
    <row r="510" ht="171.75" customHeight="1">
      <c r="A510" s="807"/>
      <c r="B510" s="807"/>
      <c r="C510" s="807"/>
      <c r="D510" s="807"/>
      <c r="E510" s="807"/>
      <c r="F510" s="807"/>
      <c r="G510" s="807"/>
      <c r="H510" s="807"/>
      <c r="I510" s="807"/>
      <c r="J510" s="807"/>
      <c r="K510" s="807"/>
      <c r="L510" s="807"/>
      <c r="M510" s="807"/>
      <c r="N510" s="807"/>
      <c r="O510" s="807"/>
      <c r="P510" s="807"/>
      <c r="Q510" s="807"/>
      <c r="R510" s="807"/>
      <c r="S510" s="807"/>
      <c r="T510" s="807"/>
      <c r="U510" s="807"/>
      <c r="V510" s="807"/>
      <c r="W510" s="807"/>
      <c r="X510" s="807"/>
      <c r="Y510" s="807"/>
      <c r="Z510" s="807"/>
    </row>
    <row r="511" ht="171.75" customHeight="1">
      <c r="A511" s="807"/>
      <c r="B511" s="807"/>
      <c r="C511" s="807"/>
      <c r="D511" s="807"/>
      <c r="E511" s="807"/>
      <c r="F511" s="807"/>
      <c r="G511" s="807"/>
      <c r="H511" s="807"/>
      <c r="I511" s="807"/>
      <c r="J511" s="807"/>
      <c r="K511" s="807"/>
      <c r="L511" s="807"/>
      <c r="M511" s="807"/>
      <c r="N511" s="807"/>
      <c r="O511" s="807"/>
      <c r="P511" s="807"/>
      <c r="Q511" s="807"/>
      <c r="R511" s="807"/>
      <c r="S511" s="807"/>
      <c r="T511" s="807"/>
      <c r="U511" s="807"/>
      <c r="V511" s="807"/>
      <c r="W511" s="807"/>
      <c r="X511" s="807"/>
      <c r="Y511" s="807"/>
      <c r="Z511" s="807"/>
    </row>
    <row r="512" ht="171.75" customHeight="1">
      <c r="A512" s="807"/>
      <c r="B512" s="807"/>
      <c r="C512" s="807"/>
      <c r="D512" s="807"/>
      <c r="E512" s="807"/>
      <c r="F512" s="807"/>
      <c r="G512" s="807"/>
      <c r="H512" s="807"/>
      <c r="I512" s="807"/>
      <c r="J512" s="807"/>
      <c r="K512" s="807"/>
      <c r="L512" s="807"/>
      <c r="M512" s="807"/>
      <c r="N512" s="807"/>
      <c r="O512" s="807"/>
      <c r="P512" s="807"/>
      <c r="Q512" s="807"/>
      <c r="R512" s="807"/>
      <c r="S512" s="807"/>
      <c r="T512" s="807"/>
      <c r="U512" s="807"/>
      <c r="V512" s="807"/>
      <c r="W512" s="807"/>
      <c r="X512" s="807"/>
      <c r="Y512" s="807"/>
      <c r="Z512" s="807"/>
    </row>
    <row r="513" ht="171.75" customHeight="1">
      <c r="A513" s="807"/>
      <c r="B513" s="807"/>
      <c r="C513" s="807"/>
      <c r="D513" s="807"/>
      <c r="E513" s="807"/>
      <c r="F513" s="807"/>
      <c r="G513" s="807"/>
      <c r="H513" s="807"/>
      <c r="I513" s="807"/>
      <c r="J513" s="807"/>
      <c r="K513" s="807"/>
      <c r="L513" s="807"/>
      <c r="M513" s="807"/>
      <c r="N513" s="807"/>
      <c r="O513" s="807"/>
      <c r="P513" s="807"/>
      <c r="Q513" s="807"/>
      <c r="R513" s="807"/>
      <c r="S513" s="807"/>
      <c r="T513" s="807"/>
      <c r="U513" s="807"/>
      <c r="V513" s="807"/>
      <c r="W513" s="807"/>
      <c r="X513" s="807"/>
      <c r="Y513" s="807"/>
      <c r="Z513" s="807"/>
    </row>
    <row r="514" ht="171.75" customHeight="1">
      <c r="A514" s="807"/>
      <c r="B514" s="807"/>
      <c r="C514" s="807"/>
      <c r="D514" s="807"/>
      <c r="E514" s="807"/>
      <c r="F514" s="807"/>
      <c r="G514" s="807"/>
      <c r="H514" s="807"/>
      <c r="I514" s="807"/>
      <c r="J514" s="807"/>
      <c r="K514" s="807"/>
      <c r="L514" s="807"/>
      <c r="M514" s="807"/>
      <c r="N514" s="807"/>
      <c r="O514" s="807"/>
      <c r="P514" s="807"/>
      <c r="Q514" s="807"/>
      <c r="R514" s="807"/>
      <c r="S514" s="807"/>
      <c r="T514" s="807"/>
      <c r="U514" s="807"/>
      <c r="V514" s="807"/>
      <c r="W514" s="807"/>
      <c r="X514" s="807"/>
      <c r="Y514" s="807"/>
      <c r="Z514" s="807"/>
    </row>
    <row r="515" ht="171.75" customHeight="1">
      <c r="A515" s="807"/>
      <c r="B515" s="807"/>
      <c r="C515" s="807"/>
      <c r="D515" s="807"/>
      <c r="E515" s="807"/>
      <c r="F515" s="807"/>
      <c r="G515" s="807"/>
      <c r="H515" s="807"/>
      <c r="I515" s="807"/>
      <c r="J515" s="807"/>
      <c r="K515" s="807"/>
      <c r="L515" s="807"/>
      <c r="M515" s="807"/>
      <c r="N515" s="807"/>
      <c r="O515" s="807"/>
      <c r="P515" s="807"/>
      <c r="Q515" s="807"/>
      <c r="R515" s="807"/>
      <c r="S515" s="807"/>
      <c r="T515" s="807"/>
      <c r="U515" s="807"/>
      <c r="V515" s="807"/>
      <c r="W515" s="807"/>
      <c r="X515" s="807"/>
      <c r="Y515" s="807"/>
      <c r="Z515" s="807"/>
    </row>
    <row r="516" ht="171.75" customHeight="1">
      <c r="A516" s="807"/>
      <c r="B516" s="807"/>
      <c r="C516" s="807"/>
      <c r="D516" s="807"/>
      <c r="E516" s="807"/>
      <c r="F516" s="807"/>
      <c r="G516" s="807"/>
      <c r="H516" s="807"/>
      <c r="I516" s="807"/>
      <c r="J516" s="807"/>
      <c r="K516" s="807"/>
      <c r="L516" s="807"/>
      <c r="M516" s="807"/>
      <c r="N516" s="807"/>
      <c r="O516" s="807"/>
      <c r="P516" s="807"/>
      <c r="Q516" s="807"/>
      <c r="R516" s="807"/>
      <c r="S516" s="807"/>
      <c r="T516" s="807"/>
      <c r="U516" s="807"/>
      <c r="V516" s="807"/>
      <c r="W516" s="807"/>
      <c r="X516" s="807"/>
      <c r="Y516" s="807"/>
      <c r="Z516" s="807"/>
    </row>
    <row r="517" ht="171.75" customHeight="1">
      <c r="A517" s="807"/>
      <c r="B517" s="807"/>
      <c r="C517" s="807"/>
      <c r="D517" s="807"/>
      <c r="E517" s="807"/>
      <c r="F517" s="807"/>
      <c r="G517" s="807"/>
      <c r="H517" s="807"/>
      <c r="I517" s="807"/>
      <c r="J517" s="807"/>
      <c r="K517" s="807"/>
      <c r="L517" s="807"/>
      <c r="M517" s="807"/>
      <c r="N517" s="807"/>
      <c r="O517" s="807"/>
      <c r="P517" s="807"/>
      <c r="Q517" s="807"/>
      <c r="R517" s="807"/>
      <c r="S517" s="807"/>
      <c r="T517" s="807"/>
      <c r="U517" s="807"/>
      <c r="V517" s="807"/>
      <c r="W517" s="807"/>
      <c r="X517" s="807"/>
      <c r="Y517" s="807"/>
      <c r="Z517" s="807"/>
    </row>
    <row r="518" ht="171.75" customHeight="1">
      <c r="A518" s="807"/>
      <c r="B518" s="807"/>
      <c r="C518" s="807"/>
      <c r="D518" s="807"/>
      <c r="E518" s="807"/>
      <c r="F518" s="807"/>
      <c r="G518" s="807"/>
      <c r="H518" s="807"/>
      <c r="I518" s="807"/>
      <c r="J518" s="807"/>
      <c r="K518" s="807"/>
      <c r="L518" s="807"/>
      <c r="M518" s="807"/>
      <c r="N518" s="807"/>
      <c r="O518" s="807"/>
      <c r="P518" s="807"/>
      <c r="Q518" s="807"/>
      <c r="R518" s="807"/>
      <c r="S518" s="807"/>
      <c r="T518" s="807"/>
      <c r="U518" s="807"/>
      <c r="V518" s="807"/>
      <c r="W518" s="807"/>
      <c r="X518" s="807"/>
      <c r="Y518" s="807"/>
      <c r="Z518" s="807"/>
    </row>
    <row r="519" ht="171.75" customHeight="1">
      <c r="A519" s="807"/>
      <c r="B519" s="807"/>
      <c r="C519" s="807"/>
      <c r="D519" s="807"/>
      <c r="E519" s="807"/>
      <c r="F519" s="807"/>
      <c r="G519" s="807"/>
      <c r="H519" s="807"/>
      <c r="I519" s="807"/>
      <c r="J519" s="807"/>
      <c r="K519" s="807"/>
      <c r="L519" s="807"/>
      <c r="M519" s="807"/>
      <c r="N519" s="807"/>
      <c r="O519" s="807"/>
      <c r="P519" s="807"/>
      <c r="Q519" s="807"/>
      <c r="R519" s="807"/>
      <c r="S519" s="807"/>
      <c r="T519" s="807"/>
      <c r="U519" s="807"/>
      <c r="V519" s="807"/>
      <c r="W519" s="807"/>
      <c r="X519" s="807"/>
      <c r="Y519" s="807"/>
      <c r="Z519" s="807"/>
    </row>
    <row r="520" ht="171.75" customHeight="1">
      <c r="A520" s="807"/>
      <c r="B520" s="807"/>
      <c r="C520" s="807"/>
      <c r="D520" s="807"/>
      <c r="E520" s="807"/>
      <c r="F520" s="807"/>
      <c r="G520" s="807"/>
      <c r="H520" s="807"/>
      <c r="I520" s="807"/>
      <c r="J520" s="807"/>
      <c r="K520" s="807"/>
      <c r="L520" s="807"/>
      <c r="M520" s="807"/>
      <c r="N520" s="807"/>
      <c r="O520" s="807"/>
      <c r="P520" s="807"/>
      <c r="Q520" s="807"/>
      <c r="R520" s="807"/>
      <c r="S520" s="807"/>
      <c r="T520" s="807"/>
      <c r="U520" s="807"/>
      <c r="V520" s="807"/>
      <c r="W520" s="807"/>
      <c r="X520" s="807"/>
      <c r="Y520" s="807"/>
      <c r="Z520" s="807"/>
    </row>
    <row r="521" ht="171.75" customHeight="1">
      <c r="A521" s="807"/>
      <c r="B521" s="807"/>
      <c r="C521" s="807"/>
      <c r="D521" s="807"/>
      <c r="E521" s="807"/>
      <c r="F521" s="807"/>
      <c r="G521" s="807"/>
      <c r="H521" s="807"/>
      <c r="I521" s="807"/>
      <c r="J521" s="807"/>
      <c r="K521" s="807"/>
      <c r="L521" s="807"/>
      <c r="M521" s="807"/>
      <c r="N521" s="807"/>
      <c r="O521" s="807"/>
      <c r="P521" s="807"/>
      <c r="Q521" s="807"/>
      <c r="R521" s="807"/>
      <c r="S521" s="807"/>
      <c r="T521" s="807"/>
      <c r="U521" s="807"/>
      <c r="V521" s="807"/>
      <c r="W521" s="807"/>
      <c r="X521" s="807"/>
      <c r="Y521" s="807"/>
      <c r="Z521" s="807"/>
    </row>
    <row r="522" ht="171.75" customHeight="1">
      <c r="A522" s="807"/>
      <c r="B522" s="807"/>
      <c r="C522" s="807"/>
      <c r="D522" s="807"/>
      <c r="E522" s="807"/>
      <c r="F522" s="807"/>
      <c r="G522" s="807"/>
      <c r="H522" s="807"/>
      <c r="I522" s="807"/>
      <c r="J522" s="807"/>
      <c r="K522" s="807"/>
      <c r="L522" s="807"/>
      <c r="M522" s="807"/>
      <c r="N522" s="807"/>
      <c r="O522" s="807"/>
      <c r="P522" s="807"/>
      <c r="Q522" s="807"/>
      <c r="R522" s="807"/>
      <c r="S522" s="807"/>
      <c r="T522" s="807"/>
      <c r="U522" s="807"/>
      <c r="V522" s="807"/>
      <c r="W522" s="807"/>
      <c r="X522" s="807"/>
      <c r="Y522" s="807"/>
      <c r="Z522" s="807"/>
    </row>
    <row r="523" ht="171.75" customHeight="1">
      <c r="A523" s="807"/>
      <c r="B523" s="807"/>
      <c r="C523" s="807"/>
      <c r="D523" s="807"/>
      <c r="E523" s="807"/>
      <c r="F523" s="807"/>
      <c r="G523" s="807"/>
      <c r="H523" s="807"/>
      <c r="I523" s="807"/>
      <c r="J523" s="807"/>
      <c r="K523" s="807"/>
      <c r="L523" s="807"/>
      <c r="M523" s="807"/>
      <c r="N523" s="807"/>
      <c r="O523" s="807"/>
      <c r="P523" s="807"/>
      <c r="Q523" s="807"/>
      <c r="R523" s="807"/>
      <c r="S523" s="807"/>
      <c r="T523" s="807"/>
      <c r="U523" s="807"/>
      <c r="V523" s="807"/>
      <c r="W523" s="807"/>
      <c r="X523" s="807"/>
      <c r="Y523" s="807"/>
      <c r="Z523" s="807"/>
    </row>
    <row r="524" ht="171.75" customHeight="1">
      <c r="A524" s="807"/>
      <c r="B524" s="807"/>
      <c r="C524" s="807"/>
      <c r="D524" s="807"/>
      <c r="E524" s="807"/>
      <c r="F524" s="807"/>
      <c r="G524" s="807"/>
      <c r="H524" s="807"/>
      <c r="I524" s="807"/>
      <c r="J524" s="807"/>
      <c r="K524" s="807"/>
      <c r="L524" s="807"/>
      <c r="M524" s="807"/>
      <c r="N524" s="807"/>
      <c r="O524" s="807"/>
      <c r="P524" s="807"/>
      <c r="Q524" s="807"/>
      <c r="R524" s="807"/>
      <c r="S524" s="807"/>
      <c r="T524" s="807"/>
      <c r="U524" s="807"/>
      <c r="V524" s="807"/>
      <c r="W524" s="807"/>
      <c r="X524" s="807"/>
      <c r="Y524" s="807"/>
      <c r="Z524" s="807"/>
    </row>
    <row r="525" ht="171.75" customHeight="1">
      <c r="A525" s="807"/>
      <c r="B525" s="807"/>
      <c r="C525" s="807"/>
      <c r="D525" s="807"/>
      <c r="E525" s="807"/>
      <c r="F525" s="807"/>
      <c r="G525" s="807"/>
      <c r="H525" s="807"/>
      <c r="I525" s="807"/>
      <c r="J525" s="807"/>
      <c r="K525" s="807"/>
      <c r="L525" s="807"/>
      <c r="M525" s="807"/>
      <c r="N525" s="807"/>
      <c r="O525" s="807"/>
      <c r="P525" s="807"/>
      <c r="Q525" s="807"/>
      <c r="R525" s="807"/>
      <c r="S525" s="807"/>
      <c r="T525" s="807"/>
      <c r="U525" s="807"/>
      <c r="V525" s="807"/>
      <c r="W525" s="807"/>
      <c r="X525" s="807"/>
      <c r="Y525" s="807"/>
      <c r="Z525" s="807"/>
    </row>
    <row r="526" ht="171.75" customHeight="1">
      <c r="A526" s="807"/>
      <c r="B526" s="807"/>
      <c r="C526" s="807"/>
      <c r="D526" s="807"/>
      <c r="E526" s="807"/>
      <c r="F526" s="807"/>
      <c r="G526" s="807"/>
      <c r="H526" s="807"/>
      <c r="I526" s="807"/>
      <c r="J526" s="807"/>
      <c r="K526" s="807"/>
      <c r="L526" s="807"/>
      <c r="M526" s="807"/>
      <c r="N526" s="807"/>
      <c r="O526" s="807"/>
      <c r="P526" s="807"/>
      <c r="Q526" s="807"/>
      <c r="R526" s="807"/>
      <c r="S526" s="807"/>
      <c r="T526" s="807"/>
      <c r="U526" s="807"/>
      <c r="V526" s="807"/>
      <c r="W526" s="807"/>
      <c r="X526" s="807"/>
      <c r="Y526" s="807"/>
      <c r="Z526" s="807"/>
    </row>
    <row r="527" ht="171.75" customHeight="1">
      <c r="A527" s="807"/>
      <c r="B527" s="807"/>
      <c r="C527" s="807"/>
      <c r="D527" s="807"/>
      <c r="E527" s="807"/>
      <c r="F527" s="807"/>
      <c r="G527" s="807"/>
      <c r="H527" s="807"/>
      <c r="I527" s="807"/>
      <c r="J527" s="807"/>
      <c r="K527" s="807"/>
      <c r="L527" s="807"/>
      <c r="M527" s="807"/>
      <c r="N527" s="807"/>
      <c r="O527" s="807"/>
      <c r="P527" s="807"/>
      <c r="Q527" s="807"/>
      <c r="R527" s="807"/>
      <c r="S527" s="807"/>
      <c r="T527" s="807"/>
      <c r="U527" s="807"/>
      <c r="V527" s="807"/>
      <c r="W527" s="807"/>
      <c r="X527" s="807"/>
      <c r="Y527" s="807"/>
      <c r="Z527" s="807"/>
    </row>
    <row r="528" ht="171.75" customHeight="1">
      <c r="A528" s="807"/>
      <c r="B528" s="807"/>
      <c r="C528" s="807"/>
      <c r="D528" s="807"/>
      <c r="E528" s="807"/>
      <c r="F528" s="807"/>
      <c r="G528" s="807"/>
      <c r="H528" s="807"/>
      <c r="I528" s="807"/>
      <c r="J528" s="807"/>
      <c r="K528" s="807"/>
      <c r="L528" s="807"/>
      <c r="M528" s="807"/>
      <c r="N528" s="807"/>
      <c r="O528" s="807"/>
      <c r="P528" s="807"/>
      <c r="Q528" s="807"/>
      <c r="R528" s="807"/>
      <c r="S528" s="807"/>
      <c r="T528" s="807"/>
      <c r="U528" s="807"/>
      <c r="V528" s="807"/>
      <c r="W528" s="807"/>
      <c r="X528" s="807"/>
      <c r="Y528" s="807"/>
      <c r="Z528" s="807"/>
    </row>
    <row r="529" ht="171.75" customHeight="1">
      <c r="A529" s="807"/>
      <c r="B529" s="807"/>
      <c r="C529" s="807"/>
      <c r="D529" s="807"/>
      <c r="E529" s="807"/>
      <c r="F529" s="807"/>
      <c r="G529" s="807"/>
      <c r="H529" s="807"/>
      <c r="I529" s="807"/>
      <c r="J529" s="807"/>
      <c r="K529" s="807"/>
      <c r="L529" s="807"/>
      <c r="M529" s="807"/>
      <c r="N529" s="807"/>
      <c r="O529" s="807"/>
      <c r="P529" s="807"/>
      <c r="Q529" s="807"/>
      <c r="R529" s="807"/>
      <c r="S529" s="807"/>
      <c r="T529" s="807"/>
      <c r="U529" s="807"/>
      <c r="V529" s="807"/>
      <c r="W529" s="807"/>
      <c r="X529" s="807"/>
      <c r="Y529" s="807"/>
      <c r="Z529" s="807"/>
    </row>
    <row r="530" ht="171.75" customHeight="1">
      <c r="A530" s="807"/>
      <c r="B530" s="807"/>
      <c r="C530" s="807"/>
      <c r="D530" s="807"/>
      <c r="E530" s="807"/>
      <c r="F530" s="807"/>
      <c r="G530" s="807"/>
      <c r="H530" s="807"/>
      <c r="I530" s="807"/>
      <c r="J530" s="807"/>
      <c r="K530" s="807"/>
      <c r="L530" s="807"/>
      <c r="M530" s="807"/>
      <c r="N530" s="807"/>
      <c r="O530" s="807"/>
      <c r="P530" s="807"/>
      <c r="Q530" s="807"/>
      <c r="R530" s="807"/>
      <c r="S530" s="807"/>
      <c r="T530" s="807"/>
      <c r="U530" s="807"/>
      <c r="V530" s="807"/>
      <c r="W530" s="807"/>
      <c r="X530" s="807"/>
      <c r="Y530" s="807"/>
      <c r="Z530" s="807"/>
    </row>
    <row r="531" ht="171.75" customHeight="1">
      <c r="A531" s="807"/>
      <c r="B531" s="807"/>
      <c r="C531" s="807"/>
      <c r="D531" s="807"/>
      <c r="E531" s="807"/>
      <c r="F531" s="807"/>
      <c r="G531" s="807"/>
      <c r="H531" s="807"/>
      <c r="I531" s="807"/>
      <c r="J531" s="807"/>
      <c r="K531" s="807"/>
      <c r="L531" s="807"/>
      <c r="M531" s="807"/>
      <c r="N531" s="807"/>
      <c r="O531" s="807"/>
      <c r="P531" s="807"/>
      <c r="Q531" s="807"/>
      <c r="R531" s="807"/>
      <c r="S531" s="807"/>
      <c r="T531" s="807"/>
      <c r="U531" s="807"/>
      <c r="V531" s="807"/>
      <c r="W531" s="807"/>
      <c r="X531" s="807"/>
      <c r="Y531" s="807"/>
      <c r="Z531" s="807"/>
    </row>
    <row r="532" ht="171.75" customHeight="1">
      <c r="A532" s="807"/>
      <c r="B532" s="807"/>
      <c r="C532" s="807"/>
      <c r="D532" s="807"/>
      <c r="E532" s="807"/>
      <c r="F532" s="807"/>
      <c r="G532" s="807"/>
      <c r="H532" s="807"/>
      <c r="I532" s="807"/>
      <c r="J532" s="807"/>
      <c r="K532" s="807"/>
      <c r="L532" s="807"/>
      <c r="M532" s="807"/>
      <c r="N532" s="807"/>
      <c r="O532" s="807"/>
      <c r="P532" s="807"/>
      <c r="Q532" s="807"/>
      <c r="R532" s="807"/>
      <c r="S532" s="807"/>
      <c r="T532" s="807"/>
      <c r="U532" s="807"/>
      <c r="V532" s="807"/>
      <c r="W532" s="807"/>
      <c r="X532" s="807"/>
      <c r="Y532" s="807"/>
      <c r="Z532" s="807"/>
    </row>
    <row r="533" ht="171.75" customHeight="1">
      <c r="A533" s="807"/>
      <c r="B533" s="807"/>
      <c r="C533" s="807"/>
      <c r="D533" s="807"/>
      <c r="E533" s="807"/>
      <c r="F533" s="807"/>
      <c r="G533" s="807"/>
      <c r="H533" s="807"/>
      <c r="I533" s="807"/>
      <c r="J533" s="807"/>
      <c r="K533" s="807"/>
      <c r="L533" s="807"/>
      <c r="M533" s="807"/>
      <c r="N533" s="807"/>
      <c r="O533" s="807"/>
      <c r="P533" s="807"/>
      <c r="Q533" s="807"/>
      <c r="R533" s="807"/>
      <c r="S533" s="807"/>
      <c r="T533" s="807"/>
      <c r="U533" s="807"/>
      <c r="V533" s="807"/>
      <c r="W533" s="807"/>
      <c r="X533" s="807"/>
      <c r="Y533" s="807"/>
      <c r="Z533" s="807"/>
    </row>
    <row r="534" ht="171.75" customHeight="1">
      <c r="A534" s="807"/>
      <c r="B534" s="807"/>
      <c r="C534" s="807"/>
      <c r="D534" s="807"/>
      <c r="E534" s="807"/>
      <c r="F534" s="807"/>
      <c r="G534" s="807"/>
      <c r="H534" s="807"/>
      <c r="I534" s="807"/>
      <c r="J534" s="807"/>
      <c r="K534" s="807"/>
      <c r="L534" s="807"/>
      <c r="M534" s="807"/>
      <c r="N534" s="807"/>
      <c r="O534" s="807"/>
      <c r="P534" s="807"/>
      <c r="Q534" s="807"/>
      <c r="R534" s="807"/>
      <c r="S534" s="807"/>
      <c r="T534" s="807"/>
      <c r="U534" s="807"/>
      <c r="V534" s="807"/>
      <c r="W534" s="807"/>
      <c r="X534" s="807"/>
      <c r="Y534" s="807"/>
      <c r="Z534" s="807"/>
    </row>
    <row r="535" ht="171.75" customHeight="1">
      <c r="A535" s="807"/>
      <c r="B535" s="807"/>
      <c r="C535" s="807"/>
      <c r="D535" s="807"/>
      <c r="E535" s="807"/>
      <c r="F535" s="807"/>
      <c r="G535" s="807"/>
      <c r="H535" s="807"/>
      <c r="I535" s="807"/>
      <c r="J535" s="807"/>
      <c r="K535" s="807"/>
      <c r="L535" s="807"/>
      <c r="M535" s="807"/>
      <c r="N535" s="807"/>
      <c r="O535" s="807"/>
      <c r="P535" s="807"/>
      <c r="Q535" s="807"/>
      <c r="R535" s="807"/>
      <c r="S535" s="807"/>
      <c r="T535" s="807"/>
      <c r="U535" s="807"/>
      <c r="V535" s="807"/>
      <c r="W535" s="807"/>
      <c r="X535" s="807"/>
      <c r="Y535" s="807"/>
      <c r="Z535" s="807"/>
    </row>
    <row r="536" ht="171.75" customHeight="1">
      <c r="A536" s="807"/>
      <c r="B536" s="807"/>
      <c r="C536" s="807"/>
      <c r="D536" s="807"/>
      <c r="E536" s="807"/>
      <c r="F536" s="807"/>
      <c r="G536" s="807"/>
      <c r="H536" s="807"/>
      <c r="I536" s="807"/>
      <c r="J536" s="807"/>
      <c r="K536" s="807"/>
      <c r="L536" s="807"/>
      <c r="M536" s="807"/>
      <c r="N536" s="807"/>
      <c r="O536" s="807"/>
      <c r="P536" s="807"/>
      <c r="Q536" s="807"/>
      <c r="R536" s="807"/>
      <c r="S536" s="807"/>
      <c r="T536" s="807"/>
      <c r="U536" s="807"/>
      <c r="V536" s="807"/>
      <c r="W536" s="807"/>
      <c r="X536" s="807"/>
      <c r="Y536" s="807"/>
      <c r="Z536" s="807"/>
    </row>
    <row r="537" ht="171.75" customHeight="1">
      <c r="A537" s="807"/>
      <c r="B537" s="807"/>
      <c r="C537" s="807"/>
      <c r="D537" s="807"/>
      <c r="E537" s="807"/>
      <c r="F537" s="807"/>
      <c r="G537" s="807"/>
      <c r="H537" s="807"/>
      <c r="I537" s="807"/>
      <c r="J537" s="807"/>
      <c r="K537" s="807"/>
      <c r="L537" s="807"/>
      <c r="M537" s="807"/>
      <c r="N537" s="807"/>
      <c r="O537" s="807"/>
      <c r="P537" s="807"/>
      <c r="Q537" s="807"/>
      <c r="R537" s="807"/>
      <c r="S537" s="807"/>
      <c r="T537" s="807"/>
      <c r="U537" s="807"/>
      <c r="V537" s="807"/>
      <c r="W537" s="807"/>
      <c r="X537" s="807"/>
      <c r="Y537" s="807"/>
      <c r="Z537" s="807"/>
    </row>
    <row r="538" ht="171.75" customHeight="1">
      <c r="A538" s="807"/>
      <c r="B538" s="807"/>
      <c r="C538" s="807"/>
      <c r="D538" s="807"/>
      <c r="E538" s="807"/>
      <c r="F538" s="807"/>
      <c r="G538" s="807"/>
      <c r="H538" s="807"/>
      <c r="I538" s="807"/>
      <c r="J538" s="807"/>
      <c r="K538" s="807"/>
      <c r="L538" s="807"/>
      <c r="M538" s="807"/>
      <c r="N538" s="807"/>
      <c r="O538" s="807"/>
      <c r="P538" s="807"/>
      <c r="Q538" s="807"/>
      <c r="R538" s="807"/>
      <c r="S538" s="807"/>
      <c r="T538" s="807"/>
      <c r="U538" s="807"/>
      <c r="V538" s="807"/>
      <c r="W538" s="807"/>
      <c r="X538" s="807"/>
      <c r="Y538" s="807"/>
      <c r="Z538" s="807"/>
    </row>
    <row r="539" ht="171.75" customHeight="1">
      <c r="A539" s="807"/>
      <c r="B539" s="807"/>
      <c r="C539" s="807"/>
      <c r="D539" s="807"/>
      <c r="E539" s="807"/>
      <c r="F539" s="807"/>
      <c r="G539" s="807"/>
      <c r="H539" s="807"/>
      <c r="I539" s="807"/>
      <c r="J539" s="807"/>
      <c r="K539" s="807"/>
      <c r="L539" s="807"/>
      <c r="M539" s="807"/>
      <c r="N539" s="807"/>
      <c r="O539" s="807"/>
      <c r="P539" s="807"/>
      <c r="Q539" s="807"/>
      <c r="R539" s="807"/>
      <c r="S539" s="807"/>
      <c r="T539" s="807"/>
      <c r="U539" s="807"/>
      <c r="V539" s="807"/>
      <c r="W539" s="807"/>
      <c r="X539" s="807"/>
      <c r="Y539" s="807"/>
      <c r="Z539" s="807"/>
    </row>
    <row r="540" ht="171.75" customHeight="1">
      <c r="A540" s="807"/>
      <c r="B540" s="807"/>
      <c r="C540" s="807"/>
      <c r="D540" s="807"/>
      <c r="E540" s="807"/>
      <c r="F540" s="807"/>
      <c r="G540" s="807"/>
      <c r="H540" s="807"/>
      <c r="I540" s="807"/>
      <c r="J540" s="807"/>
      <c r="K540" s="807"/>
      <c r="L540" s="807"/>
      <c r="M540" s="807"/>
      <c r="N540" s="807"/>
      <c r="O540" s="807"/>
      <c r="P540" s="807"/>
      <c r="Q540" s="807"/>
      <c r="R540" s="807"/>
      <c r="S540" s="807"/>
      <c r="T540" s="807"/>
      <c r="U540" s="807"/>
      <c r="V540" s="807"/>
      <c r="W540" s="807"/>
      <c r="X540" s="807"/>
      <c r="Y540" s="807"/>
      <c r="Z540" s="807"/>
    </row>
    <row r="541" ht="171.75" customHeight="1">
      <c r="A541" s="807"/>
      <c r="B541" s="807"/>
      <c r="C541" s="807"/>
      <c r="D541" s="807"/>
      <c r="E541" s="807"/>
      <c r="F541" s="807"/>
      <c r="G541" s="807"/>
      <c r="H541" s="807"/>
      <c r="I541" s="807"/>
      <c r="J541" s="807"/>
      <c r="K541" s="807"/>
      <c r="L541" s="807"/>
      <c r="M541" s="807"/>
      <c r="N541" s="807"/>
      <c r="O541" s="807"/>
      <c r="P541" s="807"/>
      <c r="Q541" s="807"/>
      <c r="R541" s="807"/>
      <c r="S541" s="807"/>
      <c r="T541" s="807"/>
      <c r="U541" s="807"/>
      <c r="V541" s="807"/>
      <c r="W541" s="807"/>
      <c r="X541" s="807"/>
      <c r="Y541" s="807"/>
      <c r="Z541" s="807"/>
    </row>
    <row r="542" ht="171.75" customHeight="1">
      <c r="A542" s="807"/>
      <c r="B542" s="807"/>
      <c r="C542" s="807"/>
      <c r="D542" s="807"/>
      <c r="E542" s="807"/>
      <c r="F542" s="807"/>
      <c r="G542" s="807"/>
      <c r="H542" s="807"/>
      <c r="I542" s="807"/>
      <c r="J542" s="807"/>
      <c r="K542" s="807"/>
      <c r="L542" s="807"/>
      <c r="M542" s="807"/>
      <c r="N542" s="807"/>
      <c r="O542" s="807"/>
      <c r="P542" s="807"/>
      <c r="Q542" s="807"/>
      <c r="R542" s="807"/>
      <c r="S542" s="807"/>
      <c r="T542" s="807"/>
      <c r="U542" s="807"/>
      <c r="V542" s="807"/>
      <c r="W542" s="807"/>
      <c r="X542" s="807"/>
      <c r="Y542" s="807"/>
      <c r="Z542" s="807"/>
    </row>
    <row r="543" ht="171.75" customHeight="1">
      <c r="A543" s="807"/>
      <c r="B543" s="807"/>
      <c r="C543" s="807"/>
      <c r="D543" s="807"/>
      <c r="E543" s="807"/>
      <c r="F543" s="807"/>
      <c r="G543" s="807"/>
      <c r="H543" s="807"/>
      <c r="I543" s="807"/>
      <c r="J543" s="807"/>
      <c r="K543" s="807"/>
      <c r="L543" s="807"/>
      <c r="M543" s="807"/>
      <c r="N543" s="807"/>
      <c r="O543" s="807"/>
      <c r="P543" s="807"/>
      <c r="Q543" s="807"/>
      <c r="R543" s="807"/>
      <c r="S543" s="807"/>
      <c r="T543" s="807"/>
      <c r="U543" s="807"/>
      <c r="V543" s="807"/>
      <c r="W543" s="807"/>
      <c r="X543" s="807"/>
      <c r="Y543" s="807"/>
      <c r="Z543" s="807"/>
    </row>
    <row r="544" ht="171.75" customHeight="1">
      <c r="A544" s="807"/>
      <c r="B544" s="807"/>
      <c r="C544" s="807"/>
      <c r="D544" s="807"/>
      <c r="E544" s="807"/>
      <c r="F544" s="807"/>
      <c r="G544" s="807"/>
      <c r="H544" s="807"/>
      <c r="I544" s="807"/>
      <c r="J544" s="807"/>
      <c r="K544" s="807"/>
      <c r="L544" s="807"/>
      <c r="M544" s="807"/>
      <c r="N544" s="807"/>
      <c r="O544" s="807"/>
      <c r="P544" s="807"/>
      <c r="Q544" s="807"/>
      <c r="R544" s="807"/>
      <c r="S544" s="807"/>
      <c r="T544" s="807"/>
      <c r="U544" s="807"/>
      <c r="V544" s="807"/>
      <c r="W544" s="807"/>
      <c r="X544" s="807"/>
      <c r="Y544" s="807"/>
      <c r="Z544" s="807"/>
    </row>
    <row r="545" ht="171.75" customHeight="1">
      <c r="A545" s="807"/>
      <c r="B545" s="807"/>
      <c r="C545" s="807"/>
      <c r="D545" s="807"/>
      <c r="E545" s="807"/>
      <c r="F545" s="807"/>
      <c r="G545" s="807"/>
      <c r="H545" s="807"/>
      <c r="I545" s="807"/>
      <c r="J545" s="807"/>
      <c r="K545" s="807"/>
      <c r="L545" s="807"/>
      <c r="M545" s="807"/>
      <c r="N545" s="807"/>
      <c r="O545" s="807"/>
      <c r="P545" s="807"/>
      <c r="Q545" s="807"/>
      <c r="R545" s="807"/>
      <c r="S545" s="807"/>
      <c r="T545" s="807"/>
      <c r="U545" s="807"/>
      <c r="V545" s="807"/>
      <c r="W545" s="807"/>
      <c r="X545" s="807"/>
      <c r="Y545" s="807"/>
      <c r="Z545" s="807"/>
    </row>
    <row r="546" ht="171.75" customHeight="1">
      <c r="A546" s="807"/>
      <c r="B546" s="807"/>
      <c r="C546" s="807"/>
      <c r="D546" s="807"/>
      <c r="E546" s="807"/>
      <c r="F546" s="807"/>
      <c r="G546" s="807"/>
      <c r="H546" s="807"/>
      <c r="I546" s="807"/>
      <c r="J546" s="807"/>
      <c r="K546" s="807"/>
      <c r="L546" s="807"/>
      <c r="M546" s="807"/>
      <c r="N546" s="807"/>
      <c r="O546" s="807"/>
      <c r="P546" s="807"/>
      <c r="Q546" s="807"/>
      <c r="R546" s="807"/>
      <c r="S546" s="807"/>
      <c r="T546" s="807"/>
      <c r="U546" s="807"/>
      <c r="V546" s="807"/>
      <c r="W546" s="807"/>
      <c r="X546" s="807"/>
      <c r="Y546" s="807"/>
      <c r="Z546" s="807"/>
    </row>
    <row r="547" ht="171.75" customHeight="1">
      <c r="A547" s="807"/>
      <c r="B547" s="807"/>
      <c r="C547" s="807"/>
      <c r="D547" s="807"/>
      <c r="E547" s="807"/>
      <c r="F547" s="807"/>
      <c r="G547" s="807"/>
      <c r="H547" s="807"/>
      <c r="I547" s="807"/>
      <c r="J547" s="807"/>
      <c r="K547" s="807"/>
      <c r="L547" s="807"/>
      <c r="M547" s="807"/>
      <c r="N547" s="807"/>
      <c r="O547" s="807"/>
      <c r="P547" s="807"/>
      <c r="Q547" s="807"/>
      <c r="R547" s="807"/>
      <c r="S547" s="807"/>
      <c r="T547" s="807"/>
      <c r="U547" s="807"/>
      <c r="V547" s="807"/>
      <c r="W547" s="807"/>
      <c r="X547" s="807"/>
      <c r="Y547" s="807"/>
      <c r="Z547" s="807"/>
    </row>
    <row r="548" ht="171.75" customHeight="1">
      <c r="A548" s="807"/>
      <c r="B548" s="807"/>
      <c r="C548" s="807"/>
      <c r="D548" s="807"/>
      <c r="E548" s="807"/>
      <c r="F548" s="807"/>
      <c r="G548" s="807"/>
      <c r="H548" s="807"/>
      <c r="I548" s="807"/>
      <c r="J548" s="807"/>
      <c r="K548" s="807"/>
      <c r="L548" s="807"/>
      <c r="M548" s="807"/>
      <c r="N548" s="807"/>
      <c r="O548" s="807"/>
      <c r="P548" s="807"/>
      <c r="Q548" s="807"/>
      <c r="R548" s="807"/>
      <c r="S548" s="807"/>
      <c r="T548" s="807"/>
      <c r="U548" s="807"/>
      <c r="V548" s="807"/>
      <c r="W548" s="807"/>
      <c r="X548" s="807"/>
      <c r="Y548" s="807"/>
      <c r="Z548" s="807"/>
    </row>
    <row r="549" ht="171.75" customHeight="1">
      <c r="A549" s="807"/>
      <c r="B549" s="807"/>
      <c r="C549" s="807"/>
      <c r="D549" s="807"/>
      <c r="E549" s="807"/>
      <c r="F549" s="807"/>
      <c r="G549" s="807"/>
      <c r="H549" s="807"/>
      <c r="I549" s="807"/>
      <c r="J549" s="807"/>
      <c r="K549" s="807"/>
      <c r="L549" s="807"/>
      <c r="M549" s="807"/>
      <c r="N549" s="807"/>
      <c r="O549" s="807"/>
      <c r="P549" s="807"/>
      <c r="Q549" s="807"/>
      <c r="R549" s="807"/>
      <c r="S549" s="807"/>
      <c r="T549" s="807"/>
      <c r="U549" s="807"/>
      <c r="V549" s="807"/>
      <c r="W549" s="807"/>
      <c r="X549" s="807"/>
      <c r="Y549" s="807"/>
      <c r="Z549" s="807"/>
    </row>
    <row r="550" ht="171.75" customHeight="1">
      <c r="A550" s="807"/>
      <c r="B550" s="807"/>
      <c r="C550" s="807"/>
      <c r="D550" s="807"/>
      <c r="E550" s="807"/>
      <c r="F550" s="807"/>
      <c r="G550" s="807"/>
      <c r="H550" s="807"/>
      <c r="I550" s="807"/>
      <c r="J550" s="807"/>
      <c r="K550" s="807"/>
      <c r="L550" s="807"/>
      <c r="M550" s="807"/>
      <c r="N550" s="807"/>
      <c r="O550" s="807"/>
      <c r="P550" s="807"/>
      <c r="Q550" s="807"/>
      <c r="R550" s="807"/>
      <c r="S550" s="807"/>
      <c r="T550" s="807"/>
      <c r="U550" s="807"/>
      <c r="V550" s="807"/>
      <c r="W550" s="807"/>
      <c r="X550" s="807"/>
      <c r="Y550" s="807"/>
      <c r="Z550" s="807"/>
    </row>
    <row r="551" ht="171.75" customHeight="1">
      <c r="A551" s="807"/>
      <c r="B551" s="807"/>
      <c r="C551" s="807"/>
      <c r="D551" s="807"/>
      <c r="E551" s="807"/>
      <c r="F551" s="807"/>
      <c r="G551" s="807"/>
      <c r="H551" s="807"/>
      <c r="I551" s="807"/>
      <c r="J551" s="807"/>
      <c r="K551" s="807"/>
      <c r="L551" s="807"/>
      <c r="M551" s="807"/>
      <c r="N551" s="807"/>
      <c r="O551" s="807"/>
      <c r="P551" s="807"/>
      <c r="Q551" s="807"/>
      <c r="R551" s="807"/>
      <c r="S551" s="807"/>
      <c r="T551" s="807"/>
      <c r="U551" s="807"/>
      <c r="V551" s="807"/>
      <c r="W551" s="807"/>
      <c r="X551" s="807"/>
      <c r="Y551" s="807"/>
      <c r="Z551" s="807"/>
    </row>
    <row r="552" ht="171.75" customHeight="1">
      <c r="A552" s="807"/>
      <c r="B552" s="807"/>
      <c r="C552" s="807"/>
      <c r="D552" s="807"/>
      <c r="E552" s="807"/>
      <c r="F552" s="807"/>
      <c r="G552" s="807"/>
      <c r="H552" s="807"/>
      <c r="I552" s="807"/>
      <c r="J552" s="807"/>
      <c r="K552" s="807"/>
      <c r="L552" s="807"/>
      <c r="M552" s="807"/>
      <c r="N552" s="807"/>
      <c r="O552" s="807"/>
      <c r="P552" s="807"/>
      <c r="Q552" s="807"/>
      <c r="R552" s="807"/>
      <c r="S552" s="807"/>
      <c r="T552" s="807"/>
      <c r="U552" s="807"/>
      <c r="V552" s="807"/>
      <c r="W552" s="807"/>
      <c r="X552" s="807"/>
      <c r="Y552" s="807"/>
      <c r="Z552" s="807"/>
    </row>
    <row r="553" ht="171.75" customHeight="1">
      <c r="A553" s="807"/>
      <c r="B553" s="807"/>
      <c r="C553" s="807"/>
      <c r="D553" s="807"/>
      <c r="E553" s="807"/>
      <c r="F553" s="807"/>
      <c r="G553" s="807"/>
      <c r="H553" s="807"/>
      <c r="I553" s="807"/>
      <c r="J553" s="807"/>
      <c r="K553" s="807"/>
      <c r="L553" s="807"/>
      <c r="M553" s="807"/>
      <c r="N553" s="807"/>
      <c r="O553" s="807"/>
      <c r="P553" s="807"/>
      <c r="Q553" s="807"/>
      <c r="R553" s="807"/>
      <c r="S553" s="807"/>
      <c r="T553" s="807"/>
      <c r="U553" s="807"/>
      <c r="V553" s="807"/>
      <c r="W553" s="807"/>
      <c r="X553" s="807"/>
      <c r="Y553" s="807"/>
      <c r="Z553" s="807"/>
    </row>
    <row r="554" ht="171.75" customHeight="1">
      <c r="A554" s="807"/>
      <c r="B554" s="807"/>
      <c r="C554" s="807"/>
      <c r="D554" s="807"/>
      <c r="E554" s="807"/>
      <c r="F554" s="807"/>
      <c r="G554" s="807"/>
      <c r="H554" s="807"/>
      <c r="I554" s="807"/>
      <c r="J554" s="807"/>
      <c r="K554" s="807"/>
      <c r="L554" s="807"/>
      <c r="M554" s="807"/>
      <c r="N554" s="807"/>
      <c r="O554" s="807"/>
      <c r="P554" s="807"/>
      <c r="Q554" s="807"/>
      <c r="R554" s="807"/>
      <c r="S554" s="807"/>
      <c r="T554" s="807"/>
      <c r="U554" s="807"/>
      <c r="V554" s="807"/>
      <c r="W554" s="807"/>
      <c r="X554" s="807"/>
      <c r="Y554" s="807"/>
      <c r="Z554" s="807"/>
    </row>
    <row r="555" ht="171.75" customHeight="1">
      <c r="A555" s="807"/>
      <c r="B555" s="807"/>
      <c r="C555" s="807"/>
      <c r="D555" s="807"/>
      <c r="E555" s="807"/>
      <c r="F555" s="807"/>
      <c r="G555" s="807"/>
      <c r="H555" s="807"/>
      <c r="I555" s="807"/>
      <c r="J555" s="807"/>
      <c r="K555" s="807"/>
      <c r="L555" s="807"/>
      <c r="M555" s="807"/>
      <c r="N555" s="807"/>
      <c r="O555" s="807"/>
      <c r="P555" s="807"/>
      <c r="Q555" s="807"/>
      <c r="R555" s="807"/>
      <c r="S555" s="807"/>
      <c r="T555" s="807"/>
      <c r="U555" s="807"/>
      <c r="V555" s="807"/>
      <c r="W555" s="807"/>
      <c r="X555" s="807"/>
      <c r="Y555" s="807"/>
      <c r="Z555" s="807"/>
    </row>
    <row r="556" ht="171.75" customHeight="1">
      <c r="A556" s="807"/>
      <c r="B556" s="807"/>
      <c r="C556" s="807"/>
      <c r="D556" s="807"/>
      <c r="E556" s="807"/>
      <c r="F556" s="807"/>
      <c r="G556" s="807"/>
      <c r="H556" s="807"/>
      <c r="I556" s="807"/>
      <c r="J556" s="807"/>
      <c r="K556" s="807"/>
      <c r="L556" s="807"/>
      <c r="M556" s="807"/>
      <c r="N556" s="807"/>
      <c r="O556" s="807"/>
      <c r="P556" s="807"/>
      <c r="Q556" s="807"/>
      <c r="R556" s="807"/>
      <c r="S556" s="807"/>
      <c r="T556" s="807"/>
      <c r="U556" s="807"/>
      <c r="V556" s="807"/>
      <c r="W556" s="807"/>
      <c r="X556" s="807"/>
      <c r="Y556" s="807"/>
      <c r="Z556" s="807"/>
    </row>
    <row r="557" ht="171.75" customHeight="1">
      <c r="A557" s="807"/>
      <c r="B557" s="807"/>
      <c r="C557" s="807"/>
      <c r="D557" s="807"/>
      <c r="E557" s="807"/>
      <c r="F557" s="807"/>
      <c r="G557" s="807"/>
      <c r="H557" s="807"/>
      <c r="I557" s="807"/>
      <c r="J557" s="807"/>
      <c r="K557" s="807"/>
      <c r="L557" s="807"/>
      <c r="M557" s="807"/>
      <c r="N557" s="807"/>
      <c r="O557" s="807"/>
      <c r="P557" s="807"/>
      <c r="Q557" s="807"/>
      <c r="R557" s="807"/>
      <c r="S557" s="807"/>
      <c r="T557" s="807"/>
      <c r="U557" s="807"/>
      <c r="V557" s="807"/>
      <c r="W557" s="807"/>
      <c r="X557" s="807"/>
      <c r="Y557" s="807"/>
      <c r="Z557" s="807"/>
    </row>
    <row r="558" ht="171.75" customHeight="1">
      <c r="A558" s="807"/>
      <c r="B558" s="807"/>
      <c r="C558" s="807"/>
      <c r="D558" s="807"/>
      <c r="E558" s="807"/>
      <c r="F558" s="807"/>
      <c r="G558" s="807"/>
      <c r="H558" s="807"/>
      <c r="I558" s="807"/>
      <c r="J558" s="807"/>
      <c r="K558" s="807"/>
      <c r="L558" s="807"/>
      <c r="M558" s="807"/>
      <c r="N558" s="807"/>
      <c r="O558" s="807"/>
      <c r="P558" s="807"/>
      <c r="Q558" s="807"/>
      <c r="R558" s="807"/>
      <c r="S558" s="807"/>
      <c r="T558" s="807"/>
      <c r="U558" s="807"/>
      <c r="V558" s="807"/>
      <c r="W558" s="807"/>
      <c r="X558" s="807"/>
      <c r="Y558" s="807"/>
      <c r="Z558" s="807"/>
    </row>
    <row r="559" ht="171.75" customHeight="1">
      <c r="A559" s="807"/>
      <c r="B559" s="807"/>
      <c r="C559" s="807"/>
      <c r="D559" s="807"/>
      <c r="E559" s="807"/>
      <c r="F559" s="807"/>
      <c r="G559" s="807"/>
      <c r="H559" s="807"/>
      <c r="I559" s="807"/>
      <c r="J559" s="807"/>
      <c r="K559" s="807"/>
      <c r="L559" s="807"/>
      <c r="M559" s="807"/>
      <c r="N559" s="807"/>
      <c r="O559" s="807"/>
      <c r="P559" s="807"/>
      <c r="Q559" s="807"/>
      <c r="R559" s="807"/>
      <c r="S559" s="807"/>
      <c r="T559" s="807"/>
      <c r="U559" s="807"/>
      <c r="V559" s="807"/>
      <c r="W559" s="807"/>
      <c r="X559" s="807"/>
      <c r="Y559" s="807"/>
      <c r="Z559" s="807"/>
    </row>
    <row r="560" ht="171.75" customHeight="1">
      <c r="A560" s="807"/>
      <c r="B560" s="807"/>
      <c r="C560" s="807"/>
      <c r="D560" s="807"/>
      <c r="E560" s="807"/>
      <c r="F560" s="807"/>
      <c r="G560" s="807"/>
      <c r="H560" s="807"/>
      <c r="I560" s="807"/>
      <c r="J560" s="807"/>
      <c r="K560" s="807"/>
      <c r="L560" s="807"/>
      <c r="M560" s="807"/>
      <c r="N560" s="807"/>
      <c r="O560" s="807"/>
      <c r="P560" s="807"/>
      <c r="Q560" s="807"/>
      <c r="R560" s="807"/>
      <c r="S560" s="807"/>
      <c r="T560" s="807"/>
      <c r="U560" s="807"/>
      <c r="V560" s="807"/>
      <c r="W560" s="807"/>
      <c r="X560" s="807"/>
      <c r="Y560" s="807"/>
      <c r="Z560" s="807"/>
    </row>
    <row r="561" ht="171.75" customHeight="1">
      <c r="A561" s="807"/>
      <c r="B561" s="807"/>
      <c r="C561" s="807"/>
      <c r="D561" s="807"/>
      <c r="E561" s="807"/>
      <c r="F561" s="807"/>
      <c r="G561" s="807"/>
      <c r="H561" s="807"/>
      <c r="I561" s="807"/>
      <c r="J561" s="807"/>
      <c r="K561" s="807"/>
      <c r="L561" s="807"/>
      <c r="M561" s="807"/>
      <c r="N561" s="807"/>
      <c r="O561" s="807"/>
      <c r="P561" s="807"/>
      <c r="Q561" s="807"/>
      <c r="R561" s="807"/>
      <c r="S561" s="807"/>
      <c r="T561" s="807"/>
      <c r="U561" s="807"/>
      <c r="V561" s="807"/>
      <c r="W561" s="807"/>
      <c r="X561" s="807"/>
      <c r="Y561" s="807"/>
      <c r="Z561" s="807"/>
    </row>
    <row r="562" ht="171.75" customHeight="1">
      <c r="A562" s="807"/>
      <c r="B562" s="807"/>
      <c r="C562" s="807"/>
      <c r="D562" s="807"/>
      <c r="E562" s="807"/>
      <c r="F562" s="807"/>
      <c r="G562" s="807"/>
      <c r="H562" s="807"/>
      <c r="I562" s="807"/>
      <c r="J562" s="807"/>
      <c r="K562" s="807"/>
      <c r="L562" s="807"/>
      <c r="M562" s="807"/>
      <c r="N562" s="807"/>
      <c r="O562" s="807"/>
      <c r="P562" s="807"/>
      <c r="Q562" s="807"/>
      <c r="R562" s="807"/>
      <c r="S562" s="807"/>
      <c r="T562" s="807"/>
      <c r="U562" s="807"/>
      <c r="V562" s="807"/>
      <c r="W562" s="807"/>
      <c r="X562" s="807"/>
      <c r="Y562" s="807"/>
      <c r="Z562" s="807"/>
    </row>
    <row r="563" ht="171.75" customHeight="1">
      <c r="A563" s="807"/>
      <c r="B563" s="807"/>
      <c r="C563" s="807"/>
      <c r="D563" s="807"/>
      <c r="E563" s="807"/>
      <c r="F563" s="807"/>
      <c r="G563" s="807"/>
      <c r="H563" s="807"/>
      <c r="I563" s="807"/>
      <c r="J563" s="807"/>
      <c r="K563" s="807"/>
      <c r="L563" s="807"/>
      <c r="M563" s="807"/>
      <c r="N563" s="807"/>
      <c r="O563" s="807"/>
      <c r="P563" s="807"/>
      <c r="Q563" s="807"/>
      <c r="R563" s="807"/>
      <c r="S563" s="807"/>
      <c r="T563" s="807"/>
      <c r="U563" s="807"/>
      <c r="V563" s="807"/>
      <c r="W563" s="807"/>
      <c r="X563" s="807"/>
      <c r="Y563" s="807"/>
      <c r="Z563" s="807"/>
    </row>
    <row r="564" ht="171.75" customHeight="1">
      <c r="A564" s="807"/>
      <c r="B564" s="807"/>
      <c r="C564" s="807"/>
      <c r="D564" s="807"/>
      <c r="E564" s="807"/>
      <c r="F564" s="807"/>
      <c r="G564" s="807"/>
      <c r="H564" s="807"/>
      <c r="I564" s="807"/>
      <c r="J564" s="807"/>
      <c r="K564" s="807"/>
      <c r="L564" s="807"/>
      <c r="M564" s="807"/>
      <c r="N564" s="807"/>
      <c r="O564" s="807"/>
      <c r="P564" s="807"/>
      <c r="Q564" s="807"/>
      <c r="R564" s="807"/>
      <c r="S564" s="807"/>
      <c r="T564" s="807"/>
      <c r="U564" s="807"/>
      <c r="V564" s="807"/>
      <c r="W564" s="807"/>
      <c r="X564" s="807"/>
      <c r="Y564" s="807"/>
      <c r="Z564" s="807"/>
    </row>
    <row r="565" ht="171.75" customHeight="1">
      <c r="A565" s="807"/>
      <c r="B565" s="807"/>
      <c r="C565" s="807"/>
      <c r="D565" s="807"/>
      <c r="E565" s="807"/>
      <c r="F565" s="807"/>
      <c r="G565" s="807"/>
      <c r="H565" s="807"/>
      <c r="I565" s="807"/>
      <c r="J565" s="807"/>
      <c r="K565" s="807"/>
      <c r="L565" s="807"/>
      <c r="M565" s="807"/>
      <c r="N565" s="807"/>
      <c r="O565" s="807"/>
      <c r="P565" s="807"/>
      <c r="Q565" s="807"/>
      <c r="R565" s="807"/>
      <c r="S565" s="807"/>
      <c r="T565" s="807"/>
      <c r="U565" s="807"/>
      <c r="V565" s="807"/>
      <c r="W565" s="807"/>
      <c r="X565" s="807"/>
      <c r="Y565" s="807"/>
      <c r="Z565" s="807"/>
    </row>
    <row r="566" ht="171.75" customHeight="1">
      <c r="A566" s="807"/>
      <c r="B566" s="807"/>
      <c r="C566" s="807"/>
      <c r="D566" s="807"/>
      <c r="E566" s="807"/>
      <c r="F566" s="807"/>
      <c r="G566" s="807"/>
      <c r="H566" s="807"/>
      <c r="I566" s="807"/>
      <c r="J566" s="807"/>
      <c r="K566" s="807"/>
      <c r="L566" s="807"/>
      <c r="M566" s="807"/>
      <c r="N566" s="807"/>
      <c r="O566" s="807"/>
      <c r="P566" s="807"/>
      <c r="Q566" s="807"/>
      <c r="R566" s="807"/>
      <c r="S566" s="807"/>
      <c r="T566" s="807"/>
      <c r="U566" s="807"/>
      <c r="V566" s="807"/>
      <c r="W566" s="807"/>
      <c r="X566" s="807"/>
      <c r="Y566" s="807"/>
      <c r="Z566" s="807"/>
    </row>
    <row r="567" ht="171.75" customHeight="1">
      <c r="A567" s="807"/>
      <c r="B567" s="807"/>
      <c r="C567" s="807"/>
      <c r="D567" s="807"/>
      <c r="E567" s="807"/>
      <c r="F567" s="807"/>
      <c r="G567" s="807"/>
      <c r="H567" s="807"/>
      <c r="I567" s="807"/>
      <c r="J567" s="807"/>
      <c r="K567" s="807"/>
      <c r="L567" s="807"/>
      <c r="M567" s="807"/>
      <c r="N567" s="807"/>
      <c r="O567" s="807"/>
      <c r="P567" s="807"/>
      <c r="Q567" s="807"/>
      <c r="R567" s="807"/>
      <c r="S567" s="807"/>
      <c r="T567" s="807"/>
      <c r="U567" s="807"/>
      <c r="V567" s="807"/>
      <c r="W567" s="807"/>
      <c r="X567" s="807"/>
      <c r="Y567" s="807"/>
      <c r="Z567" s="807"/>
    </row>
    <row r="568" ht="171.75" customHeight="1">
      <c r="A568" s="807"/>
      <c r="B568" s="807"/>
      <c r="C568" s="807"/>
      <c r="D568" s="807"/>
      <c r="E568" s="807"/>
      <c r="F568" s="807"/>
      <c r="G568" s="807"/>
      <c r="H568" s="807"/>
      <c r="I568" s="807"/>
      <c r="J568" s="807"/>
      <c r="K568" s="807"/>
      <c r="L568" s="807"/>
      <c r="M568" s="807"/>
      <c r="N568" s="807"/>
      <c r="O568" s="807"/>
      <c r="P568" s="807"/>
      <c r="Q568" s="807"/>
      <c r="R568" s="807"/>
      <c r="S568" s="807"/>
      <c r="T568" s="807"/>
      <c r="U568" s="807"/>
      <c r="V568" s="807"/>
      <c r="W568" s="807"/>
      <c r="X568" s="807"/>
      <c r="Y568" s="807"/>
      <c r="Z568" s="807"/>
    </row>
    <row r="569" ht="171.75" customHeight="1">
      <c r="A569" s="807"/>
      <c r="B569" s="807"/>
      <c r="C569" s="807"/>
      <c r="D569" s="807"/>
      <c r="E569" s="807"/>
      <c r="F569" s="807"/>
      <c r="G569" s="807"/>
      <c r="H569" s="807"/>
      <c r="I569" s="807"/>
      <c r="J569" s="807"/>
      <c r="K569" s="807"/>
      <c r="L569" s="807"/>
      <c r="M569" s="807"/>
      <c r="N569" s="807"/>
      <c r="O569" s="807"/>
      <c r="P569" s="807"/>
      <c r="Q569" s="807"/>
      <c r="R569" s="807"/>
      <c r="S569" s="807"/>
      <c r="T569" s="807"/>
      <c r="U569" s="807"/>
      <c r="V569" s="807"/>
      <c r="W569" s="807"/>
      <c r="X569" s="807"/>
      <c r="Y569" s="807"/>
      <c r="Z569" s="807"/>
    </row>
    <row r="570" ht="171.75" customHeight="1">
      <c r="A570" s="807"/>
      <c r="B570" s="807"/>
      <c r="C570" s="807"/>
      <c r="D570" s="807"/>
      <c r="E570" s="807"/>
      <c r="F570" s="807"/>
      <c r="G570" s="807"/>
      <c r="H570" s="807"/>
      <c r="I570" s="807"/>
      <c r="J570" s="807"/>
      <c r="K570" s="807"/>
      <c r="L570" s="807"/>
      <c r="M570" s="807"/>
      <c r="N570" s="807"/>
      <c r="O570" s="807"/>
      <c r="P570" s="807"/>
      <c r="Q570" s="807"/>
      <c r="R570" s="807"/>
      <c r="S570" s="807"/>
      <c r="T570" s="807"/>
      <c r="U570" s="807"/>
      <c r="V570" s="807"/>
      <c r="W570" s="807"/>
      <c r="X570" s="807"/>
      <c r="Y570" s="807"/>
      <c r="Z570" s="807"/>
    </row>
    <row r="571" ht="171.75" customHeight="1">
      <c r="A571" s="807"/>
      <c r="B571" s="807"/>
      <c r="C571" s="807"/>
      <c r="D571" s="807"/>
      <c r="E571" s="807"/>
      <c r="F571" s="807"/>
      <c r="G571" s="807"/>
      <c r="H571" s="807"/>
      <c r="I571" s="807"/>
      <c r="J571" s="807"/>
      <c r="K571" s="807"/>
      <c r="L571" s="807"/>
      <c r="M571" s="807"/>
      <c r="N571" s="807"/>
      <c r="O571" s="807"/>
      <c r="P571" s="807"/>
      <c r="Q571" s="807"/>
      <c r="R571" s="807"/>
      <c r="S571" s="807"/>
      <c r="T571" s="807"/>
      <c r="U571" s="807"/>
      <c r="V571" s="807"/>
      <c r="W571" s="807"/>
      <c r="X571" s="807"/>
      <c r="Y571" s="807"/>
      <c r="Z571" s="807"/>
    </row>
    <row r="572" ht="171.75" customHeight="1">
      <c r="A572" s="807"/>
      <c r="B572" s="807"/>
      <c r="C572" s="807"/>
      <c r="D572" s="807"/>
      <c r="E572" s="807"/>
      <c r="F572" s="807"/>
      <c r="G572" s="807"/>
      <c r="H572" s="807"/>
      <c r="I572" s="807"/>
      <c r="J572" s="807"/>
      <c r="K572" s="807"/>
      <c r="L572" s="807"/>
      <c r="M572" s="807"/>
      <c r="N572" s="807"/>
      <c r="O572" s="807"/>
      <c r="P572" s="807"/>
      <c r="Q572" s="807"/>
      <c r="R572" s="807"/>
      <c r="S572" s="807"/>
      <c r="T572" s="807"/>
      <c r="U572" s="807"/>
      <c r="V572" s="807"/>
      <c r="W572" s="807"/>
      <c r="X572" s="807"/>
      <c r="Y572" s="807"/>
      <c r="Z572" s="807"/>
    </row>
    <row r="573" ht="171.75" customHeight="1">
      <c r="A573" s="807"/>
      <c r="B573" s="807"/>
      <c r="C573" s="807"/>
      <c r="D573" s="807"/>
      <c r="E573" s="807"/>
      <c r="F573" s="807"/>
      <c r="G573" s="807"/>
      <c r="H573" s="807"/>
      <c r="I573" s="807"/>
      <c r="J573" s="807"/>
      <c r="K573" s="807"/>
      <c r="L573" s="807"/>
      <c r="M573" s="807"/>
      <c r="N573" s="807"/>
      <c r="O573" s="807"/>
      <c r="P573" s="807"/>
      <c r="Q573" s="807"/>
      <c r="R573" s="807"/>
      <c r="S573" s="807"/>
      <c r="T573" s="807"/>
      <c r="U573" s="807"/>
      <c r="V573" s="807"/>
      <c r="W573" s="807"/>
      <c r="X573" s="807"/>
      <c r="Y573" s="807"/>
      <c r="Z573" s="807"/>
    </row>
    <row r="574" ht="171.75" customHeight="1">
      <c r="A574" s="807"/>
      <c r="B574" s="807"/>
      <c r="C574" s="807"/>
      <c r="D574" s="807"/>
      <c r="E574" s="807"/>
      <c r="F574" s="807"/>
      <c r="G574" s="807"/>
      <c r="H574" s="807"/>
      <c r="I574" s="807"/>
      <c r="J574" s="807"/>
      <c r="K574" s="807"/>
      <c r="L574" s="807"/>
      <c r="M574" s="807"/>
      <c r="N574" s="807"/>
      <c r="O574" s="807"/>
      <c r="P574" s="807"/>
      <c r="Q574" s="807"/>
      <c r="R574" s="807"/>
      <c r="S574" s="807"/>
      <c r="T574" s="807"/>
      <c r="U574" s="807"/>
      <c r="V574" s="807"/>
      <c r="W574" s="807"/>
      <c r="X574" s="807"/>
      <c r="Y574" s="807"/>
      <c r="Z574" s="807"/>
    </row>
    <row r="575" ht="171.75" customHeight="1">
      <c r="A575" s="807"/>
      <c r="B575" s="807"/>
      <c r="C575" s="807"/>
      <c r="D575" s="807"/>
      <c r="E575" s="807"/>
      <c r="F575" s="807"/>
      <c r="G575" s="807"/>
      <c r="H575" s="807"/>
      <c r="I575" s="807"/>
      <c r="J575" s="807"/>
      <c r="K575" s="807"/>
      <c r="L575" s="807"/>
      <c r="M575" s="807"/>
      <c r="N575" s="807"/>
      <c r="O575" s="807"/>
      <c r="P575" s="807"/>
      <c r="Q575" s="807"/>
      <c r="R575" s="807"/>
      <c r="S575" s="807"/>
      <c r="T575" s="807"/>
      <c r="U575" s="807"/>
      <c r="V575" s="807"/>
      <c r="W575" s="807"/>
      <c r="X575" s="807"/>
      <c r="Y575" s="807"/>
      <c r="Z575" s="807"/>
    </row>
    <row r="576" ht="171.75" customHeight="1">
      <c r="A576" s="807"/>
      <c r="B576" s="807"/>
      <c r="C576" s="807"/>
      <c r="D576" s="807"/>
      <c r="E576" s="807"/>
      <c r="F576" s="807"/>
      <c r="G576" s="807"/>
      <c r="H576" s="807"/>
      <c r="I576" s="807"/>
      <c r="J576" s="807"/>
      <c r="K576" s="807"/>
      <c r="L576" s="807"/>
      <c r="M576" s="807"/>
      <c r="N576" s="807"/>
      <c r="O576" s="807"/>
      <c r="P576" s="807"/>
      <c r="Q576" s="807"/>
      <c r="R576" s="807"/>
      <c r="S576" s="807"/>
      <c r="T576" s="807"/>
      <c r="U576" s="807"/>
      <c r="V576" s="807"/>
      <c r="W576" s="807"/>
      <c r="X576" s="807"/>
      <c r="Y576" s="807"/>
      <c r="Z576" s="807"/>
    </row>
    <row r="577" ht="171.75" customHeight="1">
      <c r="A577" s="807"/>
      <c r="B577" s="807"/>
      <c r="C577" s="807"/>
      <c r="D577" s="807"/>
      <c r="E577" s="807"/>
      <c r="F577" s="807"/>
      <c r="G577" s="807"/>
      <c r="H577" s="807"/>
      <c r="I577" s="807"/>
      <c r="J577" s="807"/>
      <c r="K577" s="807"/>
      <c r="L577" s="807"/>
      <c r="M577" s="807"/>
      <c r="N577" s="807"/>
      <c r="O577" s="807"/>
      <c r="P577" s="807"/>
      <c r="Q577" s="807"/>
      <c r="R577" s="807"/>
      <c r="S577" s="807"/>
      <c r="T577" s="807"/>
      <c r="U577" s="807"/>
      <c r="V577" s="807"/>
      <c r="W577" s="807"/>
      <c r="X577" s="807"/>
      <c r="Y577" s="807"/>
      <c r="Z577" s="807"/>
    </row>
    <row r="578" ht="171.75" customHeight="1">
      <c r="A578" s="807"/>
      <c r="B578" s="807"/>
      <c r="C578" s="807"/>
      <c r="D578" s="807"/>
      <c r="E578" s="807"/>
      <c r="F578" s="807"/>
      <c r="G578" s="807"/>
      <c r="H578" s="807"/>
      <c r="I578" s="807"/>
      <c r="J578" s="807"/>
      <c r="K578" s="807"/>
      <c r="L578" s="807"/>
      <c r="M578" s="807"/>
      <c r="N578" s="807"/>
      <c r="O578" s="807"/>
      <c r="P578" s="807"/>
      <c r="Q578" s="807"/>
      <c r="R578" s="807"/>
      <c r="S578" s="807"/>
      <c r="T578" s="807"/>
      <c r="U578" s="807"/>
      <c r="V578" s="807"/>
      <c r="W578" s="807"/>
      <c r="X578" s="807"/>
      <c r="Y578" s="807"/>
      <c r="Z578" s="807"/>
    </row>
    <row r="579" ht="171.75" customHeight="1">
      <c r="A579" s="807"/>
      <c r="B579" s="807"/>
      <c r="C579" s="807"/>
      <c r="D579" s="807"/>
      <c r="E579" s="807"/>
      <c r="F579" s="807"/>
      <c r="G579" s="807"/>
      <c r="H579" s="807"/>
      <c r="I579" s="807"/>
      <c r="J579" s="807"/>
      <c r="K579" s="807"/>
      <c r="L579" s="807"/>
      <c r="M579" s="807"/>
      <c r="N579" s="807"/>
      <c r="O579" s="807"/>
      <c r="P579" s="807"/>
      <c r="Q579" s="807"/>
      <c r="R579" s="807"/>
      <c r="S579" s="807"/>
      <c r="T579" s="807"/>
      <c r="U579" s="807"/>
      <c r="V579" s="807"/>
      <c r="W579" s="807"/>
      <c r="X579" s="807"/>
      <c r="Y579" s="807"/>
      <c r="Z579" s="807"/>
    </row>
    <row r="580" ht="171.75" customHeight="1">
      <c r="A580" s="807"/>
      <c r="B580" s="807"/>
      <c r="C580" s="807"/>
      <c r="D580" s="807"/>
      <c r="E580" s="807"/>
      <c r="F580" s="807"/>
      <c r="G580" s="807"/>
      <c r="H580" s="807"/>
      <c r="I580" s="807"/>
      <c r="J580" s="807"/>
      <c r="K580" s="807"/>
      <c r="L580" s="807"/>
      <c r="M580" s="807"/>
      <c r="N580" s="807"/>
      <c r="O580" s="807"/>
      <c r="P580" s="807"/>
      <c r="Q580" s="807"/>
      <c r="R580" s="807"/>
      <c r="S580" s="807"/>
      <c r="T580" s="807"/>
      <c r="U580" s="807"/>
      <c r="V580" s="807"/>
      <c r="W580" s="807"/>
      <c r="X580" s="807"/>
      <c r="Y580" s="807"/>
      <c r="Z580" s="807"/>
    </row>
    <row r="581" ht="171.75" customHeight="1">
      <c r="A581" s="807"/>
      <c r="B581" s="807"/>
      <c r="C581" s="807"/>
      <c r="D581" s="807"/>
      <c r="E581" s="807"/>
      <c r="F581" s="807"/>
      <c r="G581" s="807"/>
      <c r="H581" s="807"/>
      <c r="I581" s="807"/>
      <c r="J581" s="807"/>
      <c r="K581" s="807"/>
      <c r="L581" s="807"/>
      <c r="M581" s="807"/>
      <c r="N581" s="807"/>
      <c r="O581" s="807"/>
      <c r="P581" s="807"/>
      <c r="Q581" s="807"/>
      <c r="R581" s="807"/>
      <c r="S581" s="807"/>
      <c r="T581" s="807"/>
      <c r="U581" s="807"/>
      <c r="V581" s="807"/>
      <c r="W581" s="807"/>
      <c r="X581" s="807"/>
      <c r="Y581" s="807"/>
      <c r="Z581" s="807"/>
    </row>
    <row r="582" ht="171.75" customHeight="1">
      <c r="A582" s="807"/>
      <c r="B582" s="807"/>
      <c r="C582" s="807"/>
      <c r="D582" s="807"/>
      <c r="E582" s="807"/>
      <c r="F582" s="807"/>
      <c r="G582" s="807"/>
      <c r="H582" s="807"/>
      <c r="I582" s="807"/>
      <c r="J582" s="807"/>
      <c r="K582" s="807"/>
      <c r="L582" s="807"/>
      <c r="M582" s="807"/>
      <c r="N582" s="807"/>
      <c r="O582" s="807"/>
      <c r="P582" s="807"/>
      <c r="Q582" s="807"/>
      <c r="R582" s="807"/>
      <c r="S582" s="807"/>
      <c r="T582" s="807"/>
      <c r="U582" s="807"/>
      <c r="V582" s="807"/>
      <c r="W582" s="807"/>
      <c r="X582" s="807"/>
      <c r="Y582" s="807"/>
      <c r="Z582" s="807"/>
    </row>
    <row r="583" ht="171.75" customHeight="1">
      <c r="A583" s="807"/>
      <c r="B583" s="807"/>
      <c r="C583" s="807"/>
      <c r="D583" s="807"/>
      <c r="E583" s="807"/>
      <c r="F583" s="807"/>
      <c r="G583" s="807"/>
      <c r="H583" s="807"/>
      <c r="I583" s="807"/>
      <c r="J583" s="807"/>
      <c r="K583" s="807"/>
      <c r="L583" s="807"/>
      <c r="M583" s="807"/>
      <c r="N583" s="807"/>
      <c r="O583" s="807"/>
      <c r="P583" s="807"/>
      <c r="Q583" s="807"/>
      <c r="R583" s="807"/>
      <c r="S583" s="807"/>
      <c r="T583" s="807"/>
      <c r="U583" s="807"/>
      <c r="V583" s="807"/>
      <c r="W583" s="807"/>
      <c r="X583" s="807"/>
      <c r="Y583" s="807"/>
      <c r="Z583" s="807"/>
    </row>
    <row r="584" ht="171.75" customHeight="1">
      <c r="A584" s="807"/>
      <c r="B584" s="807"/>
      <c r="C584" s="807"/>
      <c r="D584" s="807"/>
      <c r="E584" s="807"/>
      <c r="F584" s="807"/>
      <c r="G584" s="807"/>
      <c r="H584" s="807"/>
      <c r="I584" s="807"/>
      <c r="J584" s="807"/>
      <c r="K584" s="807"/>
      <c r="L584" s="807"/>
      <c r="M584" s="807"/>
      <c r="N584" s="807"/>
      <c r="O584" s="807"/>
      <c r="P584" s="807"/>
      <c r="Q584" s="807"/>
      <c r="R584" s="807"/>
      <c r="S584" s="807"/>
      <c r="T584" s="807"/>
      <c r="U584" s="807"/>
      <c r="V584" s="807"/>
      <c r="W584" s="807"/>
      <c r="X584" s="807"/>
      <c r="Y584" s="807"/>
      <c r="Z584" s="807"/>
    </row>
    <row r="585" ht="171.75" customHeight="1">
      <c r="A585" s="807"/>
      <c r="B585" s="807"/>
      <c r="C585" s="807"/>
      <c r="D585" s="807"/>
      <c r="E585" s="807"/>
      <c r="F585" s="807"/>
      <c r="G585" s="807"/>
      <c r="H585" s="807"/>
      <c r="I585" s="807"/>
      <c r="J585" s="807"/>
      <c r="K585" s="807"/>
      <c r="L585" s="807"/>
      <c r="M585" s="807"/>
      <c r="N585" s="807"/>
      <c r="O585" s="807"/>
      <c r="P585" s="807"/>
      <c r="Q585" s="807"/>
      <c r="R585" s="807"/>
      <c r="S585" s="807"/>
      <c r="T585" s="807"/>
      <c r="U585" s="807"/>
      <c r="V585" s="807"/>
      <c r="W585" s="807"/>
      <c r="X585" s="807"/>
      <c r="Y585" s="807"/>
      <c r="Z585" s="807"/>
    </row>
    <row r="586" ht="171.75" customHeight="1">
      <c r="A586" s="807"/>
      <c r="B586" s="807"/>
      <c r="C586" s="807"/>
      <c r="D586" s="807"/>
      <c r="E586" s="807"/>
      <c r="F586" s="807"/>
      <c r="G586" s="807"/>
      <c r="H586" s="807"/>
      <c r="I586" s="807"/>
      <c r="J586" s="807"/>
      <c r="K586" s="807"/>
      <c r="L586" s="807"/>
      <c r="M586" s="807"/>
      <c r="N586" s="807"/>
      <c r="O586" s="807"/>
      <c r="P586" s="807"/>
      <c r="Q586" s="807"/>
      <c r="R586" s="807"/>
      <c r="S586" s="807"/>
      <c r="T586" s="807"/>
      <c r="U586" s="807"/>
      <c r="V586" s="807"/>
      <c r="W586" s="807"/>
      <c r="X586" s="807"/>
      <c r="Y586" s="807"/>
      <c r="Z586" s="807"/>
    </row>
    <row r="587" ht="171.75" customHeight="1">
      <c r="A587" s="807"/>
      <c r="B587" s="807"/>
      <c r="C587" s="807"/>
      <c r="D587" s="807"/>
      <c r="E587" s="807"/>
      <c r="F587" s="807"/>
      <c r="G587" s="807"/>
      <c r="H587" s="807"/>
      <c r="I587" s="807"/>
      <c r="J587" s="807"/>
      <c r="K587" s="807"/>
      <c r="L587" s="807"/>
      <c r="M587" s="807"/>
      <c r="N587" s="807"/>
      <c r="O587" s="807"/>
      <c r="P587" s="807"/>
      <c r="Q587" s="807"/>
      <c r="R587" s="807"/>
      <c r="S587" s="807"/>
      <c r="T587" s="807"/>
      <c r="U587" s="807"/>
      <c r="V587" s="807"/>
      <c r="W587" s="807"/>
      <c r="X587" s="807"/>
      <c r="Y587" s="807"/>
      <c r="Z587" s="807"/>
    </row>
    <row r="588" ht="171.75" customHeight="1">
      <c r="A588" s="807"/>
      <c r="B588" s="807"/>
      <c r="C588" s="807"/>
      <c r="D588" s="807"/>
      <c r="E588" s="807"/>
      <c r="F588" s="807"/>
      <c r="G588" s="807"/>
      <c r="H588" s="807"/>
      <c r="I588" s="807"/>
      <c r="J588" s="807"/>
      <c r="K588" s="807"/>
      <c r="L588" s="807"/>
      <c r="M588" s="807"/>
      <c r="N588" s="807"/>
      <c r="O588" s="807"/>
      <c r="P588" s="807"/>
      <c r="Q588" s="807"/>
      <c r="R588" s="807"/>
      <c r="S588" s="807"/>
      <c r="T588" s="807"/>
      <c r="U588" s="807"/>
      <c r="V588" s="807"/>
      <c r="W588" s="807"/>
      <c r="X588" s="807"/>
      <c r="Y588" s="807"/>
      <c r="Z588" s="807"/>
    </row>
    <row r="589" ht="171.75" customHeight="1">
      <c r="A589" s="807"/>
      <c r="B589" s="807"/>
      <c r="C589" s="807"/>
      <c r="D589" s="807"/>
      <c r="E589" s="807"/>
      <c r="F589" s="807"/>
      <c r="G589" s="807"/>
      <c r="H589" s="807"/>
      <c r="I589" s="807"/>
      <c r="J589" s="807"/>
      <c r="K589" s="807"/>
      <c r="L589" s="807"/>
      <c r="M589" s="807"/>
      <c r="N589" s="807"/>
      <c r="O589" s="807"/>
      <c r="P589" s="807"/>
      <c r="Q589" s="807"/>
      <c r="R589" s="807"/>
      <c r="S589" s="807"/>
      <c r="T589" s="807"/>
      <c r="U589" s="807"/>
      <c r="V589" s="807"/>
      <c r="W589" s="807"/>
      <c r="X589" s="807"/>
      <c r="Y589" s="807"/>
      <c r="Z589" s="807"/>
    </row>
    <row r="590" ht="171.75" customHeight="1">
      <c r="A590" s="807"/>
      <c r="B590" s="807"/>
      <c r="C590" s="807"/>
      <c r="D590" s="807"/>
      <c r="E590" s="807"/>
      <c r="F590" s="807"/>
      <c r="G590" s="807"/>
      <c r="H590" s="807"/>
      <c r="I590" s="807"/>
      <c r="J590" s="807"/>
      <c r="K590" s="807"/>
      <c r="L590" s="807"/>
      <c r="M590" s="807"/>
      <c r="N590" s="807"/>
      <c r="O590" s="807"/>
      <c r="P590" s="807"/>
      <c r="Q590" s="807"/>
      <c r="R590" s="807"/>
      <c r="S590" s="807"/>
      <c r="T590" s="807"/>
      <c r="U590" s="807"/>
      <c r="V590" s="807"/>
      <c r="W590" s="807"/>
      <c r="X590" s="807"/>
      <c r="Y590" s="807"/>
      <c r="Z590" s="807"/>
    </row>
    <row r="591" ht="171.75" customHeight="1">
      <c r="A591" s="807"/>
      <c r="B591" s="807"/>
      <c r="C591" s="807"/>
      <c r="D591" s="807"/>
      <c r="E591" s="807"/>
      <c r="F591" s="807"/>
      <c r="G591" s="807"/>
      <c r="H591" s="807"/>
      <c r="I591" s="807"/>
      <c r="J591" s="807"/>
      <c r="K591" s="807"/>
      <c r="L591" s="807"/>
      <c r="M591" s="807"/>
      <c r="N591" s="807"/>
      <c r="O591" s="807"/>
      <c r="P591" s="807"/>
      <c r="Q591" s="807"/>
      <c r="R591" s="807"/>
      <c r="S591" s="807"/>
      <c r="T591" s="807"/>
      <c r="U591" s="807"/>
      <c r="V591" s="807"/>
      <c r="W591" s="807"/>
      <c r="X591" s="807"/>
      <c r="Y591" s="807"/>
      <c r="Z591" s="807"/>
    </row>
    <row r="592" ht="171.75" customHeight="1">
      <c r="A592" s="807"/>
      <c r="B592" s="807"/>
      <c r="C592" s="807"/>
      <c r="D592" s="807"/>
      <c r="E592" s="807"/>
      <c r="F592" s="807"/>
      <c r="G592" s="807"/>
      <c r="H592" s="807"/>
      <c r="I592" s="807"/>
      <c r="J592" s="807"/>
      <c r="K592" s="807"/>
      <c r="L592" s="807"/>
      <c r="M592" s="807"/>
      <c r="N592" s="807"/>
      <c r="O592" s="807"/>
      <c r="P592" s="807"/>
      <c r="Q592" s="807"/>
      <c r="R592" s="807"/>
      <c r="S592" s="807"/>
      <c r="T592" s="807"/>
      <c r="U592" s="807"/>
      <c r="V592" s="807"/>
      <c r="W592" s="807"/>
      <c r="X592" s="807"/>
      <c r="Y592" s="807"/>
      <c r="Z592" s="807"/>
    </row>
    <row r="593" ht="171.75" customHeight="1">
      <c r="A593" s="807"/>
      <c r="B593" s="807"/>
      <c r="C593" s="807"/>
      <c r="D593" s="807"/>
      <c r="E593" s="807"/>
      <c r="F593" s="807"/>
      <c r="G593" s="807"/>
      <c r="H593" s="807"/>
      <c r="I593" s="807"/>
      <c r="J593" s="807"/>
      <c r="K593" s="807"/>
      <c r="L593" s="807"/>
      <c r="M593" s="807"/>
      <c r="N593" s="807"/>
      <c r="O593" s="807"/>
      <c r="P593" s="807"/>
      <c r="Q593" s="807"/>
      <c r="R593" s="807"/>
      <c r="S593" s="807"/>
      <c r="T593" s="807"/>
      <c r="U593" s="807"/>
      <c r="V593" s="807"/>
      <c r="W593" s="807"/>
      <c r="X593" s="807"/>
      <c r="Y593" s="807"/>
      <c r="Z593" s="807"/>
    </row>
    <row r="594" ht="171.75" customHeight="1">
      <c r="A594" s="807"/>
      <c r="B594" s="807"/>
      <c r="C594" s="807"/>
      <c r="D594" s="807"/>
      <c r="E594" s="807"/>
      <c r="F594" s="807"/>
      <c r="G594" s="807"/>
      <c r="H594" s="807"/>
      <c r="I594" s="807"/>
      <c r="J594" s="807"/>
      <c r="K594" s="807"/>
      <c r="L594" s="807"/>
      <c r="M594" s="807"/>
      <c r="N594" s="807"/>
      <c r="O594" s="807"/>
      <c r="P594" s="807"/>
      <c r="Q594" s="807"/>
      <c r="R594" s="807"/>
      <c r="S594" s="807"/>
      <c r="T594" s="807"/>
      <c r="U594" s="807"/>
      <c r="V594" s="807"/>
      <c r="W594" s="807"/>
      <c r="X594" s="807"/>
      <c r="Y594" s="807"/>
      <c r="Z594" s="807"/>
    </row>
    <row r="595" ht="171.75" customHeight="1">
      <c r="A595" s="807"/>
      <c r="B595" s="807"/>
      <c r="C595" s="807"/>
      <c r="D595" s="807"/>
      <c r="E595" s="807"/>
      <c r="F595" s="807"/>
      <c r="G595" s="807"/>
      <c r="H595" s="807"/>
      <c r="I595" s="807"/>
      <c r="J595" s="807"/>
      <c r="K595" s="807"/>
      <c r="L595" s="807"/>
      <c r="M595" s="807"/>
      <c r="N595" s="807"/>
      <c r="O595" s="807"/>
      <c r="P595" s="807"/>
      <c r="Q595" s="807"/>
      <c r="R595" s="807"/>
      <c r="S595" s="807"/>
      <c r="T595" s="807"/>
      <c r="U595" s="807"/>
      <c r="V595" s="807"/>
      <c r="W595" s="807"/>
      <c r="X595" s="807"/>
      <c r="Y595" s="807"/>
      <c r="Z595" s="807"/>
    </row>
    <row r="596" ht="171.75" customHeight="1">
      <c r="A596" s="807"/>
      <c r="B596" s="807"/>
      <c r="C596" s="807"/>
      <c r="D596" s="807"/>
      <c r="E596" s="807"/>
      <c r="F596" s="807"/>
      <c r="G596" s="807"/>
      <c r="H596" s="807"/>
      <c r="I596" s="807"/>
      <c r="J596" s="807"/>
      <c r="K596" s="807"/>
      <c r="L596" s="807"/>
      <c r="M596" s="807"/>
      <c r="N596" s="807"/>
      <c r="O596" s="807"/>
      <c r="P596" s="807"/>
      <c r="Q596" s="807"/>
      <c r="R596" s="807"/>
      <c r="S596" s="807"/>
      <c r="T596" s="807"/>
      <c r="U596" s="807"/>
      <c r="V596" s="807"/>
      <c r="W596" s="807"/>
      <c r="X596" s="807"/>
      <c r="Y596" s="807"/>
      <c r="Z596" s="807"/>
    </row>
    <row r="597" ht="171.75" customHeight="1">
      <c r="A597" s="807"/>
      <c r="B597" s="807"/>
      <c r="C597" s="807"/>
      <c r="D597" s="807"/>
      <c r="E597" s="807"/>
      <c r="F597" s="807"/>
      <c r="G597" s="807"/>
      <c r="H597" s="807"/>
      <c r="I597" s="807"/>
      <c r="J597" s="807"/>
      <c r="K597" s="807"/>
      <c r="L597" s="807"/>
      <c r="M597" s="807"/>
      <c r="N597" s="807"/>
      <c r="O597" s="807"/>
      <c r="P597" s="807"/>
      <c r="Q597" s="807"/>
      <c r="R597" s="807"/>
      <c r="S597" s="807"/>
      <c r="T597" s="807"/>
      <c r="U597" s="807"/>
      <c r="V597" s="807"/>
      <c r="W597" s="807"/>
      <c r="X597" s="807"/>
      <c r="Y597" s="807"/>
      <c r="Z597" s="807"/>
    </row>
    <row r="598" ht="171.75" customHeight="1">
      <c r="A598" s="807"/>
      <c r="B598" s="807"/>
      <c r="C598" s="807"/>
      <c r="D598" s="807"/>
      <c r="E598" s="807"/>
      <c r="F598" s="807"/>
      <c r="G598" s="807"/>
      <c r="H598" s="807"/>
      <c r="I598" s="807"/>
      <c r="J598" s="807"/>
      <c r="K598" s="807"/>
      <c r="L598" s="807"/>
      <c r="M598" s="807"/>
      <c r="N598" s="807"/>
      <c r="O598" s="807"/>
      <c r="P598" s="807"/>
      <c r="Q598" s="807"/>
      <c r="R598" s="807"/>
      <c r="S598" s="807"/>
      <c r="T598" s="807"/>
      <c r="U598" s="807"/>
      <c r="V598" s="807"/>
      <c r="W598" s="807"/>
      <c r="X598" s="807"/>
      <c r="Y598" s="807"/>
      <c r="Z598" s="807"/>
    </row>
    <row r="599" ht="171.75" customHeight="1">
      <c r="A599" s="807"/>
      <c r="B599" s="807"/>
      <c r="C599" s="807"/>
      <c r="D599" s="807"/>
      <c r="E599" s="807"/>
      <c r="F599" s="807"/>
      <c r="G599" s="807"/>
      <c r="H599" s="807"/>
      <c r="I599" s="807"/>
      <c r="J599" s="807"/>
      <c r="K599" s="807"/>
      <c r="L599" s="807"/>
      <c r="M599" s="807"/>
      <c r="N599" s="807"/>
      <c r="O599" s="807"/>
      <c r="P599" s="807"/>
      <c r="Q599" s="807"/>
      <c r="R599" s="807"/>
      <c r="S599" s="807"/>
      <c r="T599" s="807"/>
      <c r="U599" s="807"/>
      <c r="V599" s="807"/>
      <c r="W599" s="807"/>
      <c r="X599" s="807"/>
      <c r="Y599" s="807"/>
      <c r="Z599" s="807"/>
    </row>
    <row r="600" ht="171.75" customHeight="1">
      <c r="A600" s="807"/>
      <c r="B600" s="807"/>
      <c r="C600" s="807"/>
      <c r="D600" s="807"/>
      <c r="E600" s="807"/>
      <c r="F600" s="807"/>
      <c r="G600" s="807"/>
      <c r="H600" s="807"/>
      <c r="I600" s="807"/>
      <c r="J600" s="807"/>
      <c r="K600" s="807"/>
      <c r="L600" s="807"/>
      <c r="M600" s="807"/>
      <c r="N600" s="807"/>
      <c r="O600" s="807"/>
      <c r="P600" s="807"/>
      <c r="Q600" s="807"/>
      <c r="R600" s="807"/>
      <c r="S600" s="807"/>
      <c r="T600" s="807"/>
      <c r="U600" s="807"/>
      <c r="V600" s="807"/>
      <c r="W600" s="807"/>
      <c r="X600" s="807"/>
      <c r="Y600" s="807"/>
      <c r="Z600" s="807"/>
    </row>
    <row r="601" ht="171.75" customHeight="1">
      <c r="A601" s="807"/>
      <c r="B601" s="807"/>
      <c r="C601" s="807"/>
      <c r="D601" s="807"/>
      <c r="E601" s="807"/>
      <c r="F601" s="807"/>
      <c r="G601" s="807"/>
      <c r="H601" s="807"/>
      <c r="I601" s="807"/>
      <c r="J601" s="807"/>
      <c r="K601" s="807"/>
      <c r="L601" s="807"/>
      <c r="M601" s="807"/>
      <c r="N601" s="807"/>
      <c r="O601" s="807"/>
      <c r="P601" s="807"/>
      <c r="Q601" s="807"/>
      <c r="R601" s="807"/>
      <c r="S601" s="807"/>
      <c r="T601" s="807"/>
      <c r="U601" s="807"/>
      <c r="V601" s="807"/>
      <c r="W601" s="807"/>
      <c r="X601" s="807"/>
      <c r="Y601" s="807"/>
      <c r="Z601" s="807"/>
    </row>
    <row r="602" ht="171.75" customHeight="1">
      <c r="A602" s="807"/>
      <c r="B602" s="807"/>
      <c r="C602" s="807"/>
      <c r="D602" s="807"/>
      <c r="E602" s="807"/>
      <c r="F602" s="807"/>
      <c r="G602" s="807"/>
      <c r="H602" s="807"/>
      <c r="I602" s="807"/>
      <c r="J602" s="807"/>
      <c r="K602" s="807"/>
      <c r="L602" s="807"/>
      <c r="M602" s="807"/>
      <c r="N602" s="807"/>
      <c r="O602" s="807"/>
      <c r="P602" s="807"/>
      <c r="Q602" s="807"/>
      <c r="R602" s="807"/>
      <c r="S602" s="807"/>
      <c r="T602" s="807"/>
      <c r="U602" s="807"/>
      <c r="V602" s="807"/>
      <c r="W602" s="807"/>
      <c r="X602" s="807"/>
      <c r="Y602" s="807"/>
      <c r="Z602" s="807"/>
    </row>
    <row r="603" ht="171.75" customHeight="1">
      <c r="A603" s="807"/>
      <c r="B603" s="807"/>
      <c r="C603" s="807"/>
      <c r="D603" s="807"/>
      <c r="E603" s="807"/>
      <c r="F603" s="807"/>
      <c r="G603" s="807"/>
      <c r="H603" s="807"/>
      <c r="I603" s="807"/>
      <c r="J603" s="807"/>
      <c r="K603" s="807"/>
      <c r="L603" s="807"/>
      <c r="M603" s="807"/>
      <c r="N603" s="807"/>
      <c r="O603" s="807"/>
      <c r="P603" s="807"/>
      <c r="Q603" s="807"/>
      <c r="R603" s="807"/>
      <c r="S603" s="807"/>
      <c r="T603" s="807"/>
      <c r="U603" s="807"/>
      <c r="V603" s="807"/>
      <c r="W603" s="807"/>
      <c r="X603" s="807"/>
      <c r="Y603" s="807"/>
      <c r="Z603" s="807"/>
    </row>
    <row r="604" ht="171.75" customHeight="1">
      <c r="A604" s="807"/>
      <c r="B604" s="807"/>
      <c r="C604" s="807"/>
      <c r="D604" s="807"/>
      <c r="E604" s="807"/>
      <c r="F604" s="807"/>
      <c r="G604" s="807"/>
      <c r="H604" s="807"/>
      <c r="I604" s="807"/>
      <c r="J604" s="807"/>
      <c r="K604" s="807"/>
      <c r="L604" s="807"/>
      <c r="M604" s="807"/>
      <c r="N604" s="807"/>
      <c r="O604" s="807"/>
      <c r="P604" s="807"/>
      <c r="Q604" s="807"/>
      <c r="R604" s="807"/>
      <c r="S604" s="807"/>
      <c r="T604" s="807"/>
      <c r="U604" s="807"/>
      <c r="V604" s="807"/>
      <c r="W604" s="807"/>
      <c r="X604" s="807"/>
      <c r="Y604" s="807"/>
      <c r="Z604" s="807"/>
    </row>
    <row r="605" ht="171.75" customHeight="1">
      <c r="A605" s="807"/>
      <c r="B605" s="807"/>
      <c r="C605" s="807"/>
      <c r="D605" s="807"/>
      <c r="E605" s="807"/>
      <c r="F605" s="807"/>
      <c r="G605" s="807"/>
      <c r="H605" s="807"/>
      <c r="I605" s="807"/>
      <c r="J605" s="807"/>
      <c r="K605" s="807"/>
      <c r="L605" s="807"/>
      <c r="M605" s="807"/>
      <c r="N605" s="807"/>
      <c r="O605" s="807"/>
      <c r="P605" s="807"/>
      <c r="Q605" s="807"/>
      <c r="R605" s="807"/>
      <c r="S605" s="807"/>
      <c r="T605" s="807"/>
      <c r="U605" s="807"/>
      <c r="V605" s="807"/>
      <c r="W605" s="807"/>
      <c r="X605" s="807"/>
      <c r="Y605" s="807"/>
      <c r="Z605" s="807"/>
    </row>
    <row r="606" ht="171.75" customHeight="1">
      <c r="A606" s="807"/>
      <c r="B606" s="807"/>
      <c r="C606" s="807"/>
      <c r="D606" s="807"/>
      <c r="E606" s="807"/>
      <c r="F606" s="807"/>
      <c r="G606" s="807"/>
      <c r="H606" s="807"/>
      <c r="I606" s="807"/>
      <c r="J606" s="807"/>
      <c r="K606" s="807"/>
      <c r="L606" s="807"/>
      <c r="M606" s="807"/>
      <c r="N606" s="807"/>
      <c r="O606" s="807"/>
      <c r="P606" s="807"/>
      <c r="Q606" s="807"/>
      <c r="R606" s="807"/>
      <c r="S606" s="807"/>
      <c r="T606" s="807"/>
      <c r="U606" s="807"/>
      <c r="V606" s="807"/>
      <c r="W606" s="807"/>
      <c r="X606" s="807"/>
      <c r="Y606" s="807"/>
      <c r="Z606" s="807"/>
    </row>
    <row r="607" ht="171.75" customHeight="1">
      <c r="A607" s="807"/>
      <c r="B607" s="807"/>
      <c r="C607" s="807"/>
      <c r="D607" s="807"/>
      <c r="E607" s="807"/>
      <c r="F607" s="807"/>
      <c r="G607" s="807"/>
      <c r="H607" s="807"/>
      <c r="I607" s="807"/>
      <c r="J607" s="807"/>
      <c r="K607" s="807"/>
      <c r="L607" s="807"/>
      <c r="M607" s="807"/>
      <c r="N607" s="807"/>
      <c r="O607" s="807"/>
      <c r="P607" s="807"/>
      <c r="Q607" s="807"/>
      <c r="R607" s="807"/>
      <c r="S607" s="807"/>
      <c r="T607" s="807"/>
      <c r="U607" s="807"/>
      <c r="V607" s="807"/>
      <c r="W607" s="807"/>
      <c r="X607" s="807"/>
      <c r="Y607" s="807"/>
      <c r="Z607" s="807"/>
    </row>
    <row r="608" ht="171.75" customHeight="1">
      <c r="A608" s="807"/>
      <c r="B608" s="807"/>
      <c r="C608" s="807"/>
      <c r="D608" s="807"/>
      <c r="E608" s="807"/>
      <c r="F608" s="807"/>
      <c r="G608" s="807"/>
      <c r="H608" s="807"/>
      <c r="I608" s="807"/>
      <c r="J608" s="807"/>
      <c r="K608" s="807"/>
      <c r="L608" s="807"/>
      <c r="M608" s="807"/>
      <c r="N608" s="807"/>
      <c r="O608" s="807"/>
      <c r="P608" s="807"/>
      <c r="Q608" s="807"/>
      <c r="R608" s="807"/>
      <c r="S608" s="807"/>
      <c r="T608" s="807"/>
      <c r="U608" s="807"/>
      <c r="V608" s="807"/>
      <c r="W608" s="807"/>
      <c r="X608" s="807"/>
      <c r="Y608" s="807"/>
      <c r="Z608" s="807"/>
    </row>
    <row r="609" ht="171.75" customHeight="1">
      <c r="A609" s="807"/>
      <c r="B609" s="807"/>
      <c r="C609" s="807"/>
      <c r="D609" s="807"/>
      <c r="E609" s="807"/>
      <c r="F609" s="807"/>
      <c r="G609" s="807"/>
      <c r="H609" s="807"/>
      <c r="I609" s="807"/>
      <c r="J609" s="807"/>
      <c r="K609" s="807"/>
      <c r="L609" s="807"/>
      <c r="M609" s="807"/>
      <c r="N609" s="807"/>
      <c r="O609" s="807"/>
      <c r="P609" s="807"/>
      <c r="Q609" s="807"/>
      <c r="R609" s="807"/>
      <c r="S609" s="807"/>
      <c r="T609" s="807"/>
      <c r="U609" s="807"/>
      <c r="V609" s="807"/>
      <c r="W609" s="807"/>
      <c r="X609" s="807"/>
      <c r="Y609" s="807"/>
      <c r="Z609" s="807"/>
    </row>
    <row r="610" ht="171.75" customHeight="1">
      <c r="A610" s="807"/>
      <c r="B610" s="807"/>
      <c r="C610" s="807"/>
      <c r="D610" s="807"/>
      <c r="E610" s="807"/>
      <c r="F610" s="807"/>
      <c r="G610" s="807"/>
      <c r="H610" s="807"/>
      <c r="I610" s="807"/>
      <c r="J610" s="807"/>
      <c r="K610" s="807"/>
      <c r="L610" s="807"/>
      <c r="M610" s="807"/>
      <c r="N610" s="807"/>
      <c r="O610" s="807"/>
      <c r="P610" s="807"/>
      <c r="Q610" s="807"/>
      <c r="R610" s="807"/>
      <c r="S610" s="807"/>
      <c r="T610" s="807"/>
      <c r="U610" s="807"/>
      <c r="V610" s="807"/>
      <c r="W610" s="807"/>
      <c r="X610" s="807"/>
      <c r="Y610" s="807"/>
      <c r="Z610" s="807"/>
    </row>
    <row r="611" ht="171.75" customHeight="1">
      <c r="A611" s="807"/>
      <c r="B611" s="807"/>
      <c r="C611" s="807"/>
      <c r="D611" s="807"/>
      <c r="E611" s="807"/>
      <c r="F611" s="807"/>
      <c r="G611" s="807"/>
      <c r="H611" s="807"/>
      <c r="I611" s="807"/>
      <c r="J611" s="807"/>
      <c r="K611" s="807"/>
      <c r="L611" s="807"/>
      <c r="M611" s="807"/>
      <c r="N611" s="807"/>
      <c r="O611" s="807"/>
      <c r="P611" s="807"/>
      <c r="Q611" s="807"/>
      <c r="R611" s="807"/>
      <c r="S611" s="807"/>
      <c r="T611" s="807"/>
      <c r="U611" s="807"/>
      <c r="V611" s="807"/>
      <c r="W611" s="807"/>
      <c r="X611" s="807"/>
      <c r="Y611" s="807"/>
      <c r="Z611" s="807"/>
    </row>
    <row r="612" ht="171.75" customHeight="1">
      <c r="A612" s="807"/>
      <c r="B612" s="807"/>
      <c r="C612" s="807"/>
      <c r="D612" s="807"/>
      <c r="E612" s="807"/>
      <c r="F612" s="807"/>
      <c r="G612" s="807"/>
      <c r="H612" s="807"/>
      <c r="I612" s="807"/>
      <c r="J612" s="807"/>
      <c r="K612" s="807"/>
      <c r="L612" s="807"/>
      <c r="M612" s="807"/>
      <c r="N612" s="807"/>
      <c r="O612" s="807"/>
      <c r="P612" s="807"/>
      <c r="Q612" s="807"/>
      <c r="R612" s="807"/>
      <c r="S612" s="807"/>
      <c r="T612" s="807"/>
      <c r="U612" s="807"/>
      <c r="V612" s="807"/>
      <c r="W612" s="807"/>
      <c r="X612" s="807"/>
      <c r="Y612" s="807"/>
      <c r="Z612" s="807"/>
    </row>
    <row r="613" ht="171.75" customHeight="1">
      <c r="A613" s="807"/>
      <c r="B613" s="807"/>
      <c r="C613" s="807"/>
      <c r="D613" s="807"/>
      <c r="E613" s="807"/>
      <c r="F613" s="807"/>
      <c r="G613" s="807"/>
      <c r="H613" s="807"/>
      <c r="I613" s="807"/>
      <c r="J613" s="807"/>
      <c r="K613" s="807"/>
      <c r="L613" s="807"/>
      <c r="M613" s="807"/>
      <c r="N613" s="807"/>
      <c r="O613" s="807"/>
      <c r="P613" s="807"/>
      <c r="Q613" s="807"/>
      <c r="R613" s="807"/>
      <c r="S613" s="807"/>
      <c r="T613" s="807"/>
      <c r="U613" s="807"/>
      <c r="V613" s="807"/>
      <c r="W613" s="807"/>
      <c r="X613" s="807"/>
      <c r="Y613" s="807"/>
      <c r="Z613" s="807"/>
    </row>
    <row r="614" ht="171.75" customHeight="1">
      <c r="A614" s="807"/>
      <c r="B614" s="807"/>
      <c r="C614" s="807"/>
      <c r="D614" s="807"/>
      <c r="E614" s="807"/>
      <c r="F614" s="807"/>
      <c r="G614" s="807"/>
      <c r="H614" s="807"/>
      <c r="I614" s="807"/>
      <c r="J614" s="807"/>
      <c r="K614" s="807"/>
      <c r="L614" s="807"/>
      <c r="M614" s="807"/>
      <c r="N614" s="807"/>
      <c r="O614" s="807"/>
      <c r="P614" s="807"/>
      <c r="Q614" s="807"/>
      <c r="R614" s="807"/>
      <c r="S614" s="807"/>
      <c r="T614" s="807"/>
      <c r="U614" s="807"/>
      <c r="V614" s="807"/>
      <c r="W614" s="807"/>
      <c r="X614" s="807"/>
      <c r="Y614" s="807"/>
      <c r="Z614" s="807"/>
    </row>
    <row r="615" ht="171.75" customHeight="1">
      <c r="A615" s="807"/>
      <c r="B615" s="807"/>
      <c r="C615" s="807"/>
      <c r="D615" s="807"/>
      <c r="E615" s="807"/>
      <c r="F615" s="807"/>
      <c r="G615" s="807"/>
      <c r="H615" s="807"/>
      <c r="I615" s="807"/>
      <c r="J615" s="807"/>
      <c r="K615" s="807"/>
      <c r="L615" s="807"/>
      <c r="M615" s="807"/>
      <c r="N615" s="807"/>
      <c r="O615" s="807"/>
      <c r="P615" s="807"/>
      <c r="Q615" s="807"/>
      <c r="R615" s="807"/>
      <c r="S615" s="807"/>
      <c r="T615" s="807"/>
      <c r="U615" s="807"/>
      <c r="V615" s="807"/>
      <c r="W615" s="807"/>
      <c r="X615" s="807"/>
      <c r="Y615" s="807"/>
      <c r="Z615" s="807"/>
    </row>
    <row r="616" ht="171.75" customHeight="1">
      <c r="A616" s="807"/>
      <c r="B616" s="807"/>
      <c r="C616" s="807"/>
      <c r="D616" s="807"/>
      <c r="E616" s="807"/>
      <c r="F616" s="807"/>
      <c r="G616" s="807"/>
      <c r="H616" s="807"/>
      <c r="I616" s="807"/>
      <c r="J616" s="807"/>
      <c r="K616" s="807"/>
      <c r="L616" s="807"/>
      <c r="M616" s="807"/>
      <c r="N616" s="807"/>
      <c r="O616" s="807"/>
      <c r="P616" s="807"/>
      <c r="Q616" s="807"/>
      <c r="R616" s="807"/>
      <c r="S616" s="807"/>
      <c r="T616" s="807"/>
      <c r="U616" s="807"/>
      <c r="V616" s="807"/>
      <c r="W616" s="807"/>
      <c r="X616" s="807"/>
      <c r="Y616" s="807"/>
      <c r="Z616" s="807"/>
    </row>
    <row r="617" ht="171.75" customHeight="1">
      <c r="A617" s="807"/>
      <c r="B617" s="807"/>
      <c r="C617" s="807"/>
      <c r="D617" s="807"/>
      <c r="E617" s="807"/>
      <c r="F617" s="807"/>
      <c r="G617" s="807"/>
      <c r="H617" s="807"/>
      <c r="I617" s="807"/>
      <c r="J617" s="807"/>
      <c r="K617" s="807"/>
      <c r="L617" s="807"/>
      <c r="M617" s="807"/>
      <c r="N617" s="807"/>
      <c r="O617" s="807"/>
      <c r="P617" s="807"/>
      <c r="Q617" s="807"/>
      <c r="R617" s="807"/>
      <c r="S617" s="807"/>
      <c r="T617" s="807"/>
      <c r="U617" s="807"/>
      <c r="V617" s="807"/>
      <c r="W617" s="807"/>
      <c r="X617" s="807"/>
      <c r="Y617" s="807"/>
      <c r="Z617" s="807"/>
    </row>
    <row r="618" ht="171.75" customHeight="1">
      <c r="A618" s="807"/>
      <c r="B618" s="807"/>
      <c r="C618" s="807"/>
      <c r="D618" s="807"/>
      <c r="E618" s="807"/>
      <c r="F618" s="807"/>
      <c r="G618" s="807"/>
      <c r="H618" s="807"/>
      <c r="I618" s="807"/>
      <c r="J618" s="807"/>
      <c r="K618" s="807"/>
      <c r="L618" s="807"/>
      <c r="M618" s="807"/>
      <c r="N618" s="807"/>
      <c r="O618" s="807"/>
      <c r="P618" s="807"/>
      <c r="Q618" s="807"/>
      <c r="R618" s="807"/>
      <c r="S618" s="807"/>
      <c r="T618" s="807"/>
      <c r="U618" s="807"/>
      <c r="V618" s="807"/>
      <c r="W618" s="807"/>
      <c r="X618" s="807"/>
      <c r="Y618" s="807"/>
      <c r="Z618" s="807"/>
    </row>
    <row r="619" ht="171.75" customHeight="1">
      <c r="A619" s="807"/>
      <c r="B619" s="807"/>
      <c r="C619" s="807"/>
      <c r="D619" s="807"/>
      <c r="E619" s="807"/>
      <c r="F619" s="807"/>
      <c r="G619" s="807"/>
      <c r="H619" s="807"/>
      <c r="I619" s="807"/>
      <c r="J619" s="807"/>
      <c r="K619" s="807"/>
      <c r="L619" s="807"/>
      <c r="M619" s="807"/>
      <c r="N619" s="807"/>
      <c r="O619" s="807"/>
      <c r="P619" s="807"/>
      <c r="Q619" s="807"/>
      <c r="R619" s="807"/>
      <c r="S619" s="807"/>
      <c r="T619" s="807"/>
      <c r="U619" s="807"/>
      <c r="V619" s="807"/>
      <c r="W619" s="807"/>
      <c r="X619" s="807"/>
      <c r="Y619" s="807"/>
      <c r="Z619" s="807"/>
    </row>
    <row r="620" ht="171.75" customHeight="1">
      <c r="A620" s="807"/>
      <c r="B620" s="807"/>
      <c r="C620" s="807"/>
      <c r="D620" s="807"/>
      <c r="E620" s="807"/>
      <c r="F620" s="807"/>
      <c r="G620" s="807"/>
      <c r="H620" s="807"/>
      <c r="I620" s="807"/>
      <c r="J620" s="807"/>
      <c r="K620" s="807"/>
      <c r="L620" s="807"/>
      <c r="M620" s="807"/>
      <c r="N620" s="807"/>
      <c r="O620" s="807"/>
      <c r="P620" s="807"/>
      <c r="Q620" s="807"/>
      <c r="R620" s="807"/>
      <c r="S620" s="807"/>
      <c r="T620" s="807"/>
      <c r="U620" s="807"/>
      <c r="V620" s="807"/>
      <c r="W620" s="807"/>
      <c r="X620" s="807"/>
      <c r="Y620" s="807"/>
      <c r="Z620" s="807"/>
    </row>
    <row r="621" ht="171.75" customHeight="1">
      <c r="A621" s="807"/>
      <c r="B621" s="807"/>
      <c r="C621" s="807"/>
      <c r="D621" s="807"/>
      <c r="E621" s="807"/>
      <c r="F621" s="807"/>
      <c r="G621" s="807"/>
      <c r="H621" s="807"/>
      <c r="I621" s="807"/>
      <c r="J621" s="807"/>
      <c r="K621" s="807"/>
      <c r="L621" s="807"/>
      <c r="M621" s="807"/>
      <c r="N621" s="807"/>
      <c r="O621" s="807"/>
      <c r="P621" s="807"/>
      <c r="Q621" s="807"/>
      <c r="R621" s="807"/>
      <c r="S621" s="807"/>
      <c r="T621" s="807"/>
      <c r="U621" s="807"/>
      <c r="V621" s="807"/>
      <c r="W621" s="807"/>
      <c r="X621" s="807"/>
      <c r="Y621" s="807"/>
      <c r="Z621" s="807"/>
    </row>
    <row r="622" ht="171.75" customHeight="1">
      <c r="A622" s="807"/>
      <c r="B622" s="807"/>
      <c r="C622" s="807"/>
      <c r="D622" s="807"/>
      <c r="E622" s="807"/>
      <c r="F622" s="807"/>
      <c r="G622" s="807"/>
      <c r="H622" s="807"/>
      <c r="I622" s="807"/>
      <c r="J622" s="807"/>
      <c r="K622" s="807"/>
      <c r="L622" s="807"/>
      <c r="M622" s="807"/>
      <c r="N622" s="807"/>
      <c r="O622" s="807"/>
      <c r="P622" s="807"/>
      <c r="Q622" s="807"/>
      <c r="R622" s="807"/>
      <c r="S622" s="807"/>
      <c r="T622" s="807"/>
      <c r="U622" s="807"/>
      <c r="V622" s="807"/>
      <c r="W622" s="807"/>
      <c r="X622" s="807"/>
      <c r="Y622" s="807"/>
      <c r="Z622" s="807"/>
    </row>
    <row r="623" ht="171.75" customHeight="1">
      <c r="A623" s="807"/>
      <c r="B623" s="807"/>
      <c r="C623" s="807"/>
      <c r="D623" s="807"/>
      <c r="E623" s="807"/>
      <c r="F623" s="807"/>
      <c r="G623" s="807"/>
      <c r="H623" s="807"/>
      <c r="I623" s="807"/>
      <c r="J623" s="807"/>
      <c r="K623" s="807"/>
      <c r="L623" s="807"/>
      <c r="M623" s="807"/>
      <c r="N623" s="807"/>
      <c r="O623" s="807"/>
      <c r="P623" s="807"/>
      <c r="Q623" s="807"/>
      <c r="R623" s="807"/>
      <c r="S623" s="807"/>
      <c r="T623" s="807"/>
      <c r="U623" s="807"/>
      <c r="V623" s="807"/>
      <c r="W623" s="807"/>
      <c r="X623" s="807"/>
      <c r="Y623" s="807"/>
      <c r="Z623" s="807"/>
    </row>
    <row r="624" ht="171.75" customHeight="1">
      <c r="A624" s="807"/>
      <c r="B624" s="807"/>
      <c r="C624" s="807"/>
      <c r="D624" s="807"/>
      <c r="E624" s="807"/>
      <c r="F624" s="807"/>
      <c r="G624" s="807"/>
      <c r="H624" s="807"/>
      <c r="I624" s="807"/>
      <c r="J624" s="807"/>
      <c r="K624" s="807"/>
      <c r="L624" s="807"/>
      <c r="M624" s="807"/>
      <c r="N624" s="807"/>
      <c r="O624" s="807"/>
      <c r="P624" s="807"/>
      <c r="Q624" s="807"/>
      <c r="R624" s="807"/>
      <c r="S624" s="807"/>
      <c r="T624" s="807"/>
      <c r="U624" s="807"/>
      <c r="V624" s="807"/>
      <c r="W624" s="807"/>
      <c r="X624" s="807"/>
      <c r="Y624" s="807"/>
      <c r="Z624" s="807"/>
    </row>
    <row r="625" ht="171.75" customHeight="1">
      <c r="A625" s="807"/>
      <c r="B625" s="807"/>
      <c r="C625" s="807"/>
      <c r="D625" s="807"/>
      <c r="E625" s="807"/>
      <c r="F625" s="807"/>
      <c r="G625" s="807"/>
      <c r="H625" s="807"/>
      <c r="I625" s="807"/>
      <c r="J625" s="807"/>
      <c r="K625" s="807"/>
      <c r="L625" s="807"/>
      <c r="M625" s="807"/>
      <c r="N625" s="807"/>
      <c r="O625" s="807"/>
      <c r="P625" s="807"/>
      <c r="Q625" s="807"/>
      <c r="R625" s="807"/>
      <c r="S625" s="807"/>
      <c r="T625" s="807"/>
      <c r="U625" s="807"/>
      <c r="V625" s="807"/>
      <c r="W625" s="807"/>
      <c r="X625" s="807"/>
      <c r="Y625" s="807"/>
      <c r="Z625" s="807"/>
    </row>
    <row r="626" ht="171.75" customHeight="1">
      <c r="A626" s="807"/>
      <c r="B626" s="807"/>
      <c r="C626" s="807"/>
      <c r="D626" s="807"/>
      <c r="E626" s="807"/>
      <c r="F626" s="807"/>
      <c r="G626" s="807"/>
      <c r="H626" s="807"/>
      <c r="I626" s="807"/>
      <c r="J626" s="807"/>
      <c r="K626" s="807"/>
      <c r="L626" s="807"/>
      <c r="M626" s="807"/>
      <c r="N626" s="807"/>
      <c r="O626" s="807"/>
      <c r="P626" s="807"/>
      <c r="Q626" s="807"/>
      <c r="R626" s="807"/>
      <c r="S626" s="807"/>
      <c r="T626" s="807"/>
      <c r="U626" s="807"/>
      <c r="V626" s="807"/>
      <c r="W626" s="807"/>
      <c r="X626" s="807"/>
      <c r="Y626" s="807"/>
      <c r="Z626" s="807"/>
    </row>
    <row r="627" ht="171.75" customHeight="1">
      <c r="A627" s="807"/>
      <c r="B627" s="807"/>
      <c r="C627" s="807"/>
      <c r="D627" s="807"/>
      <c r="E627" s="807"/>
      <c r="F627" s="807"/>
      <c r="G627" s="807"/>
      <c r="H627" s="807"/>
      <c r="I627" s="807"/>
      <c r="J627" s="807"/>
      <c r="K627" s="807"/>
      <c r="L627" s="807"/>
      <c r="M627" s="807"/>
      <c r="N627" s="807"/>
      <c r="O627" s="807"/>
      <c r="P627" s="807"/>
      <c r="Q627" s="807"/>
      <c r="R627" s="807"/>
      <c r="S627" s="807"/>
      <c r="T627" s="807"/>
      <c r="U627" s="807"/>
      <c r="V627" s="807"/>
      <c r="W627" s="807"/>
      <c r="X627" s="807"/>
      <c r="Y627" s="807"/>
      <c r="Z627" s="807"/>
    </row>
    <row r="628" ht="171.75" customHeight="1">
      <c r="A628" s="807"/>
      <c r="B628" s="807"/>
      <c r="C628" s="807"/>
      <c r="D628" s="807"/>
      <c r="E628" s="807"/>
      <c r="F628" s="807"/>
      <c r="G628" s="807"/>
      <c r="H628" s="807"/>
      <c r="I628" s="807"/>
      <c r="J628" s="807"/>
      <c r="K628" s="807"/>
      <c r="L628" s="807"/>
      <c r="M628" s="807"/>
      <c r="N628" s="807"/>
      <c r="O628" s="807"/>
      <c r="P628" s="807"/>
      <c r="Q628" s="807"/>
      <c r="R628" s="807"/>
      <c r="S628" s="807"/>
      <c r="T628" s="807"/>
      <c r="U628" s="807"/>
      <c r="V628" s="807"/>
      <c r="W628" s="807"/>
      <c r="X628" s="807"/>
      <c r="Y628" s="807"/>
      <c r="Z628" s="807"/>
    </row>
    <row r="629" ht="171.75" customHeight="1">
      <c r="A629" s="807"/>
      <c r="B629" s="807"/>
      <c r="C629" s="807"/>
      <c r="D629" s="807"/>
      <c r="E629" s="807"/>
      <c r="F629" s="807"/>
      <c r="G629" s="807"/>
      <c r="H629" s="807"/>
      <c r="I629" s="807"/>
      <c r="J629" s="807"/>
      <c r="K629" s="807"/>
      <c r="L629" s="807"/>
      <c r="M629" s="807"/>
      <c r="N629" s="807"/>
      <c r="O629" s="807"/>
      <c r="P629" s="807"/>
      <c r="Q629" s="807"/>
      <c r="R629" s="807"/>
      <c r="S629" s="807"/>
      <c r="T629" s="807"/>
      <c r="U629" s="807"/>
      <c r="V629" s="807"/>
      <c r="W629" s="807"/>
      <c r="X629" s="807"/>
      <c r="Y629" s="807"/>
      <c r="Z629" s="807"/>
    </row>
    <row r="630" ht="171.75" customHeight="1">
      <c r="A630" s="807"/>
      <c r="B630" s="807"/>
      <c r="C630" s="807"/>
      <c r="D630" s="807"/>
      <c r="E630" s="807"/>
      <c r="F630" s="807"/>
      <c r="G630" s="807"/>
      <c r="H630" s="807"/>
      <c r="I630" s="807"/>
      <c r="J630" s="807"/>
      <c r="K630" s="807"/>
      <c r="L630" s="807"/>
      <c r="M630" s="807"/>
      <c r="N630" s="807"/>
      <c r="O630" s="807"/>
      <c r="P630" s="807"/>
      <c r="Q630" s="807"/>
      <c r="R630" s="807"/>
      <c r="S630" s="807"/>
      <c r="T630" s="807"/>
      <c r="U630" s="807"/>
      <c r="V630" s="807"/>
      <c r="W630" s="807"/>
      <c r="X630" s="807"/>
      <c r="Y630" s="807"/>
      <c r="Z630" s="807"/>
    </row>
    <row r="631" ht="171.75" customHeight="1">
      <c r="A631" s="807"/>
      <c r="B631" s="807"/>
      <c r="C631" s="807"/>
      <c r="D631" s="807"/>
      <c r="E631" s="807"/>
      <c r="F631" s="807"/>
      <c r="G631" s="807"/>
      <c r="H631" s="807"/>
      <c r="I631" s="807"/>
      <c r="J631" s="807"/>
      <c r="K631" s="807"/>
      <c r="L631" s="807"/>
      <c r="M631" s="807"/>
      <c r="N631" s="807"/>
      <c r="O631" s="807"/>
      <c r="P631" s="807"/>
      <c r="Q631" s="807"/>
      <c r="R631" s="807"/>
      <c r="S631" s="807"/>
      <c r="T631" s="807"/>
      <c r="U631" s="807"/>
      <c r="V631" s="807"/>
      <c r="W631" s="807"/>
      <c r="X631" s="807"/>
      <c r="Y631" s="807"/>
      <c r="Z631" s="807"/>
    </row>
    <row r="632" ht="171.75" customHeight="1">
      <c r="A632" s="807"/>
      <c r="B632" s="807"/>
      <c r="C632" s="807"/>
      <c r="D632" s="807"/>
      <c r="E632" s="807"/>
      <c r="F632" s="807"/>
      <c r="G632" s="807"/>
      <c r="H632" s="807"/>
      <c r="I632" s="807"/>
      <c r="J632" s="807"/>
      <c r="K632" s="807"/>
      <c r="L632" s="807"/>
      <c r="M632" s="807"/>
      <c r="N632" s="807"/>
      <c r="O632" s="807"/>
      <c r="P632" s="807"/>
      <c r="Q632" s="807"/>
      <c r="R632" s="807"/>
      <c r="S632" s="807"/>
      <c r="T632" s="807"/>
      <c r="U632" s="807"/>
      <c r="V632" s="807"/>
      <c r="W632" s="807"/>
      <c r="X632" s="807"/>
      <c r="Y632" s="807"/>
      <c r="Z632" s="807"/>
    </row>
    <row r="633" ht="171.75" customHeight="1">
      <c r="A633" s="807"/>
      <c r="B633" s="807"/>
      <c r="C633" s="807"/>
      <c r="D633" s="807"/>
      <c r="E633" s="807"/>
      <c r="F633" s="807"/>
      <c r="G633" s="807"/>
      <c r="H633" s="807"/>
      <c r="I633" s="807"/>
      <c r="J633" s="807"/>
      <c r="K633" s="807"/>
      <c r="L633" s="807"/>
      <c r="M633" s="807"/>
      <c r="N633" s="807"/>
      <c r="O633" s="807"/>
      <c r="P633" s="807"/>
      <c r="Q633" s="807"/>
      <c r="R633" s="807"/>
      <c r="S633" s="807"/>
      <c r="T633" s="807"/>
      <c r="U633" s="807"/>
      <c r="V633" s="807"/>
      <c r="W633" s="807"/>
      <c r="X633" s="807"/>
      <c r="Y633" s="807"/>
      <c r="Z633" s="807"/>
    </row>
    <row r="634" ht="171.75" customHeight="1">
      <c r="A634" s="807"/>
      <c r="B634" s="807"/>
      <c r="C634" s="807"/>
      <c r="D634" s="807"/>
      <c r="E634" s="807"/>
      <c r="F634" s="807"/>
      <c r="G634" s="807"/>
      <c r="H634" s="807"/>
      <c r="I634" s="807"/>
      <c r="J634" s="807"/>
      <c r="K634" s="807"/>
      <c r="L634" s="807"/>
      <c r="M634" s="807"/>
      <c r="N634" s="807"/>
      <c r="O634" s="807"/>
      <c r="P634" s="807"/>
      <c r="Q634" s="807"/>
      <c r="R634" s="807"/>
      <c r="S634" s="807"/>
      <c r="T634" s="807"/>
      <c r="U634" s="807"/>
      <c r="V634" s="807"/>
      <c r="W634" s="807"/>
      <c r="X634" s="807"/>
      <c r="Y634" s="807"/>
      <c r="Z634" s="807"/>
    </row>
    <row r="635" ht="171.75" customHeight="1">
      <c r="A635" s="807"/>
      <c r="B635" s="807"/>
      <c r="C635" s="807"/>
      <c r="D635" s="807"/>
      <c r="E635" s="807"/>
      <c r="F635" s="807"/>
      <c r="G635" s="807"/>
      <c r="H635" s="807"/>
      <c r="I635" s="807"/>
      <c r="J635" s="807"/>
      <c r="K635" s="807"/>
      <c r="L635" s="807"/>
      <c r="M635" s="807"/>
      <c r="N635" s="807"/>
      <c r="O635" s="807"/>
      <c r="P635" s="807"/>
      <c r="Q635" s="807"/>
      <c r="R635" s="807"/>
      <c r="S635" s="807"/>
      <c r="T635" s="807"/>
      <c r="U635" s="807"/>
      <c r="V635" s="807"/>
      <c r="W635" s="807"/>
      <c r="X635" s="807"/>
      <c r="Y635" s="807"/>
      <c r="Z635" s="807"/>
    </row>
    <row r="636" ht="171.75" customHeight="1">
      <c r="A636" s="807"/>
      <c r="B636" s="807"/>
      <c r="C636" s="807"/>
      <c r="D636" s="807"/>
      <c r="E636" s="807"/>
      <c r="F636" s="807"/>
      <c r="G636" s="807"/>
      <c r="H636" s="807"/>
      <c r="I636" s="807"/>
      <c r="J636" s="807"/>
      <c r="K636" s="807"/>
      <c r="L636" s="807"/>
      <c r="M636" s="807"/>
      <c r="N636" s="807"/>
      <c r="O636" s="807"/>
      <c r="P636" s="807"/>
      <c r="Q636" s="807"/>
      <c r="R636" s="807"/>
      <c r="S636" s="807"/>
      <c r="T636" s="807"/>
      <c r="U636" s="807"/>
      <c r="V636" s="807"/>
      <c r="W636" s="807"/>
      <c r="X636" s="807"/>
      <c r="Y636" s="807"/>
      <c r="Z636" s="807"/>
    </row>
    <row r="637" ht="171.75" customHeight="1">
      <c r="A637" s="807"/>
      <c r="B637" s="807"/>
      <c r="C637" s="807"/>
      <c r="D637" s="807"/>
      <c r="E637" s="807"/>
      <c r="F637" s="807"/>
      <c r="G637" s="807"/>
      <c r="H637" s="807"/>
      <c r="I637" s="807"/>
      <c r="J637" s="807"/>
      <c r="K637" s="807"/>
      <c r="L637" s="807"/>
      <c r="M637" s="807"/>
      <c r="N637" s="807"/>
      <c r="O637" s="807"/>
      <c r="P637" s="807"/>
      <c r="Q637" s="807"/>
      <c r="R637" s="807"/>
      <c r="S637" s="807"/>
      <c r="T637" s="807"/>
      <c r="U637" s="807"/>
      <c r="V637" s="807"/>
      <c r="W637" s="807"/>
      <c r="X637" s="807"/>
      <c r="Y637" s="807"/>
      <c r="Z637" s="807"/>
    </row>
    <row r="638" ht="171.75" customHeight="1">
      <c r="A638" s="807"/>
      <c r="B638" s="807"/>
      <c r="C638" s="807"/>
      <c r="D638" s="807"/>
      <c r="E638" s="807"/>
      <c r="F638" s="807"/>
      <c r="G638" s="807"/>
      <c r="H638" s="807"/>
      <c r="I638" s="807"/>
      <c r="J638" s="807"/>
      <c r="K638" s="807"/>
      <c r="L638" s="807"/>
      <c r="M638" s="807"/>
      <c r="N638" s="807"/>
      <c r="O638" s="807"/>
      <c r="P638" s="807"/>
      <c r="Q638" s="807"/>
      <c r="R638" s="807"/>
      <c r="S638" s="807"/>
      <c r="T638" s="807"/>
      <c r="U638" s="807"/>
      <c r="V638" s="807"/>
      <c r="W638" s="807"/>
      <c r="X638" s="807"/>
      <c r="Y638" s="807"/>
      <c r="Z638" s="807"/>
    </row>
    <row r="639" ht="171.75" customHeight="1">
      <c r="A639" s="807"/>
      <c r="B639" s="807"/>
      <c r="C639" s="807"/>
      <c r="D639" s="807"/>
      <c r="E639" s="807"/>
      <c r="F639" s="807"/>
      <c r="G639" s="807"/>
      <c r="H639" s="807"/>
      <c r="I639" s="807"/>
      <c r="J639" s="807"/>
      <c r="K639" s="807"/>
      <c r="L639" s="807"/>
      <c r="M639" s="807"/>
      <c r="N639" s="807"/>
      <c r="O639" s="807"/>
      <c r="P639" s="807"/>
      <c r="Q639" s="807"/>
      <c r="R639" s="807"/>
      <c r="S639" s="807"/>
      <c r="T639" s="807"/>
      <c r="U639" s="807"/>
      <c r="V639" s="807"/>
      <c r="W639" s="807"/>
      <c r="X639" s="807"/>
      <c r="Y639" s="807"/>
      <c r="Z639" s="807"/>
    </row>
    <row r="640" ht="171.75" customHeight="1">
      <c r="A640" s="807"/>
      <c r="B640" s="807"/>
      <c r="C640" s="807"/>
      <c r="D640" s="807"/>
      <c r="E640" s="807"/>
      <c r="F640" s="807"/>
      <c r="G640" s="807"/>
      <c r="H640" s="807"/>
      <c r="I640" s="807"/>
      <c r="J640" s="807"/>
      <c r="K640" s="807"/>
      <c r="L640" s="807"/>
      <c r="M640" s="807"/>
      <c r="N640" s="807"/>
      <c r="O640" s="807"/>
      <c r="P640" s="807"/>
      <c r="Q640" s="807"/>
      <c r="R640" s="807"/>
      <c r="S640" s="807"/>
      <c r="T640" s="807"/>
      <c r="U640" s="807"/>
      <c r="V640" s="807"/>
      <c r="W640" s="807"/>
      <c r="X640" s="807"/>
      <c r="Y640" s="807"/>
      <c r="Z640" s="807"/>
    </row>
    <row r="641" ht="171.75" customHeight="1">
      <c r="A641" s="807"/>
      <c r="B641" s="807"/>
      <c r="C641" s="807"/>
      <c r="D641" s="807"/>
      <c r="E641" s="807"/>
      <c r="F641" s="807"/>
      <c r="G641" s="807"/>
      <c r="H641" s="807"/>
      <c r="I641" s="807"/>
      <c r="J641" s="807"/>
      <c r="K641" s="807"/>
      <c r="L641" s="807"/>
      <c r="M641" s="807"/>
      <c r="N641" s="807"/>
      <c r="O641" s="807"/>
      <c r="P641" s="807"/>
      <c r="Q641" s="807"/>
      <c r="R641" s="807"/>
      <c r="S641" s="807"/>
      <c r="T641" s="807"/>
      <c r="U641" s="807"/>
      <c r="V641" s="807"/>
      <c r="W641" s="807"/>
      <c r="X641" s="807"/>
      <c r="Y641" s="807"/>
      <c r="Z641" s="807"/>
    </row>
    <row r="642" ht="171.75" customHeight="1">
      <c r="A642" s="807"/>
      <c r="B642" s="807"/>
      <c r="C642" s="807"/>
      <c r="D642" s="807"/>
      <c r="E642" s="807"/>
      <c r="F642" s="807"/>
      <c r="G642" s="807"/>
      <c r="H642" s="807"/>
      <c r="I642" s="807"/>
      <c r="J642" s="807"/>
      <c r="K642" s="807"/>
      <c r="L642" s="807"/>
      <c r="M642" s="807"/>
      <c r="N642" s="807"/>
      <c r="O642" s="807"/>
      <c r="P642" s="807"/>
      <c r="Q642" s="807"/>
      <c r="R642" s="807"/>
      <c r="S642" s="807"/>
      <c r="T642" s="807"/>
      <c r="U642" s="807"/>
      <c r="V642" s="807"/>
      <c r="W642" s="807"/>
      <c r="X642" s="807"/>
      <c r="Y642" s="807"/>
      <c r="Z642" s="807"/>
    </row>
    <row r="643" ht="171.75" customHeight="1">
      <c r="A643" s="807"/>
      <c r="B643" s="807"/>
      <c r="C643" s="807"/>
      <c r="D643" s="807"/>
      <c r="E643" s="807"/>
      <c r="F643" s="807"/>
      <c r="G643" s="807"/>
      <c r="H643" s="807"/>
      <c r="I643" s="807"/>
      <c r="J643" s="807"/>
      <c r="K643" s="807"/>
      <c r="L643" s="807"/>
      <c r="M643" s="807"/>
      <c r="N643" s="807"/>
      <c r="O643" s="807"/>
      <c r="P643" s="807"/>
      <c r="Q643" s="807"/>
      <c r="R643" s="807"/>
      <c r="S643" s="807"/>
      <c r="T643" s="807"/>
      <c r="U643" s="807"/>
      <c r="V643" s="807"/>
      <c r="W643" s="807"/>
      <c r="X643" s="807"/>
      <c r="Y643" s="807"/>
      <c r="Z643" s="807"/>
    </row>
    <row r="644" ht="171.75" customHeight="1">
      <c r="A644" s="807"/>
      <c r="B644" s="807"/>
      <c r="C644" s="807"/>
      <c r="D644" s="807"/>
      <c r="E644" s="807"/>
      <c r="F644" s="807"/>
      <c r="G644" s="807"/>
      <c r="H644" s="807"/>
      <c r="I644" s="807"/>
      <c r="J644" s="807"/>
      <c r="K644" s="807"/>
      <c r="L644" s="807"/>
      <c r="M644" s="807"/>
      <c r="N644" s="807"/>
      <c r="O644" s="807"/>
      <c r="P644" s="807"/>
      <c r="Q644" s="807"/>
      <c r="R644" s="807"/>
      <c r="S644" s="807"/>
      <c r="T644" s="807"/>
      <c r="U644" s="807"/>
      <c r="V644" s="807"/>
      <c r="W644" s="807"/>
      <c r="X644" s="807"/>
      <c r="Y644" s="807"/>
      <c r="Z644" s="807"/>
    </row>
    <row r="645" ht="171.75" customHeight="1">
      <c r="A645" s="807"/>
      <c r="B645" s="807"/>
      <c r="C645" s="807"/>
      <c r="D645" s="807"/>
      <c r="E645" s="807"/>
      <c r="F645" s="807"/>
      <c r="G645" s="807"/>
      <c r="H645" s="807"/>
      <c r="I645" s="807"/>
      <c r="J645" s="807"/>
      <c r="K645" s="807"/>
      <c r="L645" s="807"/>
      <c r="M645" s="807"/>
      <c r="N645" s="807"/>
      <c r="O645" s="807"/>
      <c r="P645" s="807"/>
      <c r="Q645" s="807"/>
      <c r="R645" s="807"/>
      <c r="S645" s="807"/>
      <c r="T645" s="807"/>
      <c r="U645" s="807"/>
      <c r="V645" s="807"/>
      <c r="W645" s="807"/>
      <c r="X645" s="807"/>
      <c r="Y645" s="807"/>
      <c r="Z645" s="807"/>
    </row>
    <row r="646" ht="171.75" customHeight="1">
      <c r="A646" s="807"/>
      <c r="B646" s="807"/>
      <c r="C646" s="807"/>
      <c r="D646" s="807"/>
      <c r="E646" s="807"/>
      <c r="F646" s="807"/>
      <c r="G646" s="807"/>
      <c r="H646" s="807"/>
      <c r="I646" s="807"/>
      <c r="J646" s="807"/>
      <c r="K646" s="807"/>
      <c r="L646" s="807"/>
      <c r="M646" s="807"/>
      <c r="N646" s="807"/>
      <c r="O646" s="807"/>
      <c r="P646" s="807"/>
      <c r="Q646" s="807"/>
      <c r="R646" s="807"/>
      <c r="S646" s="807"/>
      <c r="T646" s="807"/>
      <c r="U646" s="807"/>
      <c r="V646" s="807"/>
      <c r="W646" s="807"/>
      <c r="X646" s="807"/>
      <c r="Y646" s="807"/>
      <c r="Z646" s="807"/>
    </row>
    <row r="647" ht="171.75" customHeight="1">
      <c r="A647" s="807"/>
      <c r="B647" s="807"/>
      <c r="C647" s="807"/>
      <c r="D647" s="807"/>
      <c r="E647" s="807"/>
      <c r="F647" s="807"/>
      <c r="G647" s="807"/>
      <c r="H647" s="807"/>
      <c r="I647" s="807"/>
      <c r="J647" s="807"/>
      <c r="K647" s="807"/>
      <c r="L647" s="807"/>
      <c r="M647" s="807"/>
      <c r="N647" s="807"/>
      <c r="O647" s="807"/>
      <c r="P647" s="807"/>
      <c r="Q647" s="807"/>
      <c r="R647" s="807"/>
      <c r="S647" s="807"/>
      <c r="T647" s="807"/>
      <c r="U647" s="807"/>
      <c r="V647" s="807"/>
      <c r="W647" s="807"/>
      <c r="X647" s="807"/>
      <c r="Y647" s="807"/>
      <c r="Z647" s="807"/>
    </row>
    <row r="648" ht="171.75" customHeight="1">
      <c r="A648" s="807"/>
      <c r="B648" s="807"/>
      <c r="C648" s="807"/>
      <c r="D648" s="807"/>
      <c r="E648" s="807"/>
      <c r="F648" s="807"/>
      <c r="G648" s="807"/>
      <c r="H648" s="807"/>
      <c r="I648" s="807"/>
      <c r="J648" s="807"/>
      <c r="K648" s="807"/>
      <c r="L648" s="807"/>
      <c r="M648" s="807"/>
      <c r="N648" s="807"/>
      <c r="O648" s="807"/>
      <c r="P648" s="807"/>
      <c r="Q648" s="807"/>
      <c r="R648" s="807"/>
      <c r="S648" s="807"/>
      <c r="T648" s="807"/>
      <c r="U648" s="807"/>
      <c r="V648" s="807"/>
      <c r="W648" s="807"/>
      <c r="X648" s="807"/>
      <c r="Y648" s="807"/>
      <c r="Z648" s="807"/>
    </row>
    <row r="649" ht="171.75" customHeight="1">
      <c r="A649" s="807"/>
      <c r="B649" s="807"/>
      <c r="C649" s="807"/>
      <c r="D649" s="807"/>
      <c r="E649" s="807"/>
      <c r="F649" s="807"/>
      <c r="G649" s="807"/>
      <c r="H649" s="807"/>
      <c r="I649" s="807"/>
      <c r="J649" s="807"/>
      <c r="K649" s="807"/>
      <c r="L649" s="807"/>
      <c r="M649" s="807"/>
      <c r="N649" s="807"/>
      <c r="O649" s="807"/>
      <c r="P649" s="807"/>
      <c r="Q649" s="807"/>
      <c r="R649" s="807"/>
      <c r="S649" s="807"/>
      <c r="T649" s="807"/>
      <c r="U649" s="807"/>
      <c r="V649" s="807"/>
      <c r="W649" s="807"/>
      <c r="X649" s="807"/>
      <c r="Y649" s="807"/>
      <c r="Z649" s="807"/>
    </row>
    <row r="650" ht="171.75" customHeight="1">
      <c r="A650" s="807"/>
      <c r="B650" s="807"/>
      <c r="C650" s="807"/>
      <c r="D650" s="807"/>
      <c r="E650" s="807"/>
      <c r="F650" s="807"/>
      <c r="G650" s="807"/>
      <c r="H650" s="807"/>
      <c r="I650" s="807"/>
      <c r="J650" s="807"/>
      <c r="K650" s="807"/>
      <c r="L650" s="807"/>
      <c r="M650" s="807"/>
      <c r="N650" s="807"/>
      <c r="O650" s="807"/>
      <c r="P650" s="807"/>
      <c r="Q650" s="807"/>
      <c r="R650" s="807"/>
      <c r="S650" s="807"/>
      <c r="T650" s="807"/>
      <c r="U650" s="807"/>
      <c r="V650" s="807"/>
      <c r="W650" s="807"/>
      <c r="X650" s="807"/>
      <c r="Y650" s="807"/>
      <c r="Z650" s="807"/>
    </row>
    <row r="651" ht="171.75" customHeight="1">
      <c r="A651" s="807"/>
      <c r="B651" s="807"/>
      <c r="C651" s="807"/>
      <c r="D651" s="807"/>
      <c r="E651" s="807"/>
      <c r="F651" s="807"/>
      <c r="G651" s="807"/>
      <c r="H651" s="807"/>
      <c r="I651" s="807"/>
      <c r="J651" s="807"/>
      <c r="K651" s="807"/>
      <c r="L651" s="807"/>
      <c r="M651" s="807"/>
      <c r="N651" s="807"/>
      <c r="O651" s="807"/>
      <c r="P651" s="807"/>
      <c r="Q651" s="807"/>
      <c r="R651" s="807"/>
      <c r="S651" s="807"/>
      <c r="T651" s="807"/>
      <c r="U651" s="807"/>
      <c r="V651" s="807"/>
      <c r="W651" s="807"/>
      <c r="X651" s="807"/>
      <c r="Y651" s="807"/>
      <c r="Z651" s="807"/>
    </row>
    <row r="652" ht="171.75" customHeight="1">
      <c r="A652" s="807"/>
      <c r="B652" s="807"/>
      <c r="C652" s="807"/>
      <c r="D652" s="807"/>
      <c r="E652" s="807"/>
      <c r="F652" s="807"/>
      <c r="G652" s="807"/>
      <c r="H652" s="807"/>
      <c r="I652" s="807"/>
      <c r="J652" s="807"/>
      <c r="K652" s="807"/>
      <c r="L652" s="807"/>
      <c r="M652" s="807"/>
      <c r="N652" s="807"/>
      <c r="O652" s="807"/>
      <c r="P652" s="807"/>
      <c r="Q652" s="807"/>
      <c r="R652" s="807"/>
      <c r="S652" s="807"/>
      <c r="T652" s="807"/>
      <c r="U652" s="807"/>
      <c r="V652" s="807"/>
      <c r="W652" s="807"/>
      <c r="X652" s="807"/>
      <c r="Y652" s="807"/>
      <c r="Z652" s="807"/>
    </row>
    <row r="653" ht="171.75" customHeight="1">
      <c r="A653" s="807"/>
      <c r="B653" s="807"/>
      <c r="C653" s="807"/>
      <c r="D653" s="807"/>
      <c r="E653" s="807"/>
      <c r="F653" s="807"/>
      <c r="G653" s="807"/>
      <c r="H653" s="807"/>
      <c r="I653" s="807"/>
      <c r="J653" s="807"/>
      <c r="K653" s="807"/>
      <c r="L653" s="807"/>
      <c r="M653" s="807"/>
      <c r="N653" s="807"/>
      <c r="O653" s="807"/>
      <c r="P653" s="807"/>
      <c r="Q653" s="807"/>
      <c r="R653" s="807"/>
      <c r="S653" s="807"/>
      <c r="T653" s="807"/>
      <c r="U653" s="807"/>
      <c r="V653" s="807"/>
      <c r="W653" s="807"/>
      <c r="X653" s="807"/>
      <c r="Y653" s="807"/>
      <c r="Z653" s="807"/>
    </row>
    <row r="654" ht="171.75" customHeight="1">
      <c r="A654" s="807"/>
      <c r="B654" s="807"/>
      <c r="C654" s="807"/>
      <c r="D654" s="807"/>
      <c r="E654" s="807"/>
      <c r="F654" s="807"/>
      <c r="G654" s="807"/>
      <c r="H654" s="807"/>
      <c r="I654" s="807"/>
      <c r="J654" s="807"/>
      <c r="K654" s="807"/>
      <c r="L654" s="807"/>
      <c r="M654" s="807"/>
      <c r="N654" s="807"/>
      <c r="O654" s="807"/>
      <c r="P654" s="807"/>
      <c r="Q654" s="807"/>
      <c r="R654" s="807"/>
      <c r="S654" s="807"/>
      <c r="T654" s="807"/>
      <c r="U654" s="807"/>
      <c r="V654" s="807"/>
      <c r="W654" s="807"/>
      <c r="X654" s="807"/>
      <c r="Y654" s="807"/>
      <c r="Z654" s="807"/>
    </row>
    <row r="655" ht="171.75" customHeight="1">
      <c r="A655" s="807"/>
      <c r="B655" s="807"/>
      <c r="C655" s="807"/>
      <c r="D655" s="807"/>
      <c r="E655" s="807"/>
      <c r="F655" s="807"/>
      <c r="G655" s="807"/>
      <c r="H655" s="807"/>
      <c r="I655" s="807"/>
      <c r="J655" s="807"/>
      <c r="K655" s="807"/>
      <c r="L655" s="807"/>
      <c r="M655" s="807"/>
      <c r="N655" s="807"/>
      <c r="O655" s="807"/>
      <c r="P655" s="807"/>
      <c r="Q655" s="807"/>
      <c r="R655" s="807"/>
      <c r="S655" s="807"/>
      <c r="T655" s="807"/>
      <c r="U655" s="807"/>
      <c r="V655" s="807"/>
      <c r="W655" s="807"/>
      <c r="X655" s="807"/>
      <c r="Y655" s="807"/>
      <c r="Z655" s="807"/>
    </row>
    <row r="656" ht="171.75" customHeight="1">
      <c r="A656" s="807"/>
      <c r="B656" s="807"/>
      <c r="C656" s="807"/>
      <c r="D656" s="807"/>
      <c r="E656" s="807"/>
      <c r="F656" s="807"/>
      <c r="G656" s="807"/>
      <c r="H656" s="807"/>
      <c r="I656" s="807"/>
      <c r="J656" s="807"/>
      <c r="K656" s="807"/>
      <c r="L656" s="807"/>
      <c r="M656" s="807"/>
      <c r="N656" s="807"/>
      <c r="O656" s="807"/>
      <c r="P656" s="807"/>
      <c r="Q656" s="807"/>
      <c r="R656" s="807"/>
      <c r="S656" s="807"/>
      <c r="T656" s="807"/>
      <c r="U656" s="807"/>
      <c r="V656" s="807"/>
      <c r="W656" s="807"/>
      <c r="X656" s="807"/>
      <c r="Y656" s="807"/>
      <c r="Z656" s="807"/>
    </row>
    <row r="657" ht="171.75" customHeight="1">
      <c r="A657" s="807"/>
      <c r="B657" s="807"/>
      <c r="C657" s="807"/>
      <c r="D657" s="807"/>
      <c r="E657" s="807"/>
      <c r="F657" s="807"/>
      <c r="G657" s="807"/>
      <c r="H657" s="807"/>
      <c r="I657" s="807"/>
      <c r="J657" s="807"/>
      <c r="K657" s="807"/>
      <c r="L657" s="807"/>
      <c r="M657" s="807"/>
      <c r="N657" s="807"/>
      <c r="O657" s="807"/>
      <c r="P657" s="807"/>
      <c r="Q657" s="807"/>
      <c r="R657" s="807"/>
      <c r="S657" s="807"/>
      <c r="T657" s="807"/>
      <c r="U657" s="807"/>
      <c r="V657" s="807"/>
      <c r="W657" s="807"/>
      <c r="X657" s="807"/>
      <c r="Y657" s="807"/>
      <c r="Z657" s="807"/>
    </row>
    <row r="658" ht="171.75" customHeight="1">
      <c r="A658" s="807"/>
      <c r="B658" s="807"/>
      <c r="C658" s="807"/>
      <c r="D658" s="807"/>
      <c r="E658" s="807"/>
      <c r="F658" s="807"/>
      <c r="G658" s="807"/>
      <c r="H658" s="807"/>
      <c r="I658" s="807"/>
      <c r="J658" s="807"/>
      <c r="K658" s="807"/>
      <c r="L658" s="807"/>
      <c r="M658" s="807"/>
      <c r="N658" s="807"/>
      <c r="O658" s="807"/>
      <c r="P658" s="807"/>
      <c r="Q658" s="807"/>
      <c r="R658" s="807"/>
      <c r="S658" s="807"/>
      <c r="T658" s="807"/>
      <c r="U658" s="807"/>
      <c r="V658" s="807"/>
      <c r="W658" s="807"/>
      <c r="X658" s="807"/>
      <c r="Y658" s="807"/>
      <c r="Z658" s="807"/>
    </row>
    <row r="659" ht="171.75" customHeight="1">
      <c r="A659" s="807"/>
      <c r="B659" s="807"/>
      <c r="C659" s="807"/>
      <c r="D659" s="807"/>
      <c r="E659" s="807"/>
      <c r="F659" s="807"/>
      <c r="G659" s="807"/>
      <c r="H659" s="807"/>
      <c r="I659" s="807"/>
      <c r="J659" s="807"/>
      <c r="K659" s="807"/>
      <c r="L659" s="807"/>
      <c r="M659" s="807"/>
      <c r="N659" s="807"/>
      <c r="O659" s="807"/>
      <c r="P659" s="807"/>
      <c r="Q659" s="807"/>
      <c r="R659" s="807"/>
      <c r="S659" s="807"/>
      <c r="T659" s="807"/>
      <c r="U659" s="807"/>
      <c r="V659" s="807"/>
      <c r="W659" s="807"/>
      <c r="X659" s="807"/>
      <c r="Y659" s="807"/>
      <c r="Z659" s="807"/>
    </row>
    <row r="660" ht="171.75" customHeight="1">
      <c r="A660" s="807"/>
      <c r="B660" s="807"/>
      <c r="C660" s="807"/>
      <c r="D660" s="807"/>
      <c r="E660" s="807"/>
      <c r="F660" s="807"/>
      <c r="G660" s="807"/>
      <c r="H660" s="807"/>
      <c r="I660" s="807"/>
      <c r="J660" s="807"/>
      <c r="K660" s="807"/>
      <c r="L660" s="807"/>
      <c r="M660" s="807"/>
      <c r="N660" s="807"/>
      <c r="O660" s="807"/>
      <c r="P660" s="807"/>
      <c r="Q660" s="807"/>
      <c r="R660" s="807"/>
      <c r="S660" s="807"/>
      <c r="T660" s="807"/>
      <c r="U660" s="807"/>
      <c r="V660" s="807"/>
      <c r="W660" s="807"/>
      <c r="X660" s="807"/>
      <c r="Y660" s="807"/>
      <c r="Z660" s="807"/>
    </row>
    <row r="661" ht="171.75" customHeight="1">
      <c r="A661" s="807"/>
      <c r="B661" s="807"/>
      <c r="C661" s="807"/>
      <c r="D661" s="807"/>
      <c r="E661" s="807"/>
      <c r="F661" s="807"/>
      <c r="G661" s="807"/>
      <c r="H661" s="807"/>
      <c r="I661" s="807"/>
      <c r="J661" s="807"/>
      <c r="K661" s="807"/>
      <c r="L661" s="807"/>
      <c r="M661" s="807"/>
      <c r="N661" s="807"/>
      <c r="O661" s="807"/>
      <c r="P661" s="807"/>
      <c r="Q661" s="807"/>
      <c r="R661" s="807"/>
      <c r="S661" s="807"/>
      <c r="T661" s="807"/>
      <c r="U661" s="807"/>
      <c r="V661" s="807"/>
      <c r="W661" s="807"/>
      <c r="X661" s="807"/>
      <c r="Y661" s="807"/>
      <c r="Z661" s="807"/>
    </row>
    <row r="662" ht="171.75" customHeight="1">
      <c r="A662" s="807"/>
      <c r="B662" s="807"/>
      <c r="C662" s="807"/>
      <c r="D662" s="807"/>
      <c r="E662" s="807"/>
      <c r="F662" s="807"/>
      <c r="G662" s="807"/>
      <c r="H662" s="807"/>
      <c r="I662" s="807"/>
      <c r="J662" s="807"/>
      <c r="K662" s="807"/>
      <c r="L662" s="807"/>
      <c r="M662" s="807"/>
      <c r="N662" s="807"/>
      <c r="O662" s="807"/>
      <c r="P662" s="807"/>
      <c r="Q662" s="807"/>
      <c r="R662" s="807"/>
      <c r="S662" s="807"/>
      <c r="T662" s="807"/>
      <c r="U662" s="807"/>
      <c r="V662" s="807"/>
      <c r="W662" s="807"/>
      <c r="X662" s="807"/>
      <c r="Y662" s="807"/>
      <c r="Z662" s="807"/>
    </row>
    <row r="663" ht="171.75" customHeight="1">
      <c r="A663" s="807"/>
      <c r="B663" s="807"/>
      <c r="C663" s="807"/>
      <c r="D663" s="807"/>
      <c r="E663" s="807"/>
      <c r="F663" s="807"/>
      <c r="G663" s="807"/>
      <c r="H663" s="807"/>
      <c r="I663" s="807"/>
      <c r="J663" s="807"/>
      <c r="K663" s="807"/>
      <c r="L663" s="807"/>
      <c r="M663" s="807"/>
      <c r="N663" s="807"/>
      <c r="O663" s="807"/>
      <c r="P663" s="807"/>
      <c r="Q663" s="807"/>
      <c r="R663" s="807"/>
      <c r="S663" s="807"/>
      <c r="T663" s="807"/>
      <c r="U663" s="807"/>
      <c r="V663" s="807"/>
      <c r="W663" s="807"/>
      <c r="X663" s="807"/>
      <c r="Y663" s="807"/>
      <c r="Z663" s="807"/>
    </row>
    <row r="664" ht="171.75" customHeight="1">
      <c r="A664" s="807"/>
      <c r="B664" s="807"/>
      <c r="C664" s="807"/>
      <c r="D664" s="807"/>
      <c r="E664" s="807"/>
      <c r="F664" s="807"/>
      <c r="G664" s="807"/>
      <c r="H664" s="807"/>
      <c r="I664" s="807"/>
      <c r="J664" s="807"/>
      <c r="K664" s="807"/>
      <c r="L664" s="807"/>
      <c r="M664" s="807"/>
      <c r="N664" s="807"/>
      <c r="O664" s="807"/>
      <c r="P664" s="807"/>
      <c r="Q664" s="807"/>
      <c r="R664" s="807"/>
      <c r="S664" s="807"/>
      <c r="T664" s="807"/>
      <c r="U664" s="807"/>
      <c r="V664" s="807"/>
      <c r="W664" s="807"/>
      <c r="X664" s="807"/>
      <c r="Y664" s="807"/>
      <c r="Z664" s="807"/>
    </row>
    <row r="665" ht="171.75" customHeight="1">
      <c r="A665" s="807"/>
      <c r="B665" s="807"/>
      <c r="C665" s="807"/>
      <c r="D665" s="807"/>
      <c r="E665" s="807"/>
      <c r="F665" s="807"/>
      <c r="G665" s="807"/>
      <c r="H665" s="807"/>
      <c r="I665" s="807"/>
      <c r="J665" s="807"/>
      <c r="K665" s="807"/>
      <c r="L665" s="807"/>
      <c r="M665" s="807"/>
      <c r="N665" s="807"/>
      <c r="O665" s="807"/>
      <c r="P665" s="807"/>
      <c r="Q665" s="807"/>
      <c r="R665" s="807"/>
      <c r="S665" s="807"/>
      <c r="T665" s="807"/>
      <c r="U665" s="807"/>
      <c r="V665" s="807"/>
      <c r="W665" s="807"/>
      <c r="X665" s="807"/>
      <c r="Y665" s="807"/>
      <c r="Z665" s="807"/>
    </row>
    <row r="666" ht="171.75" customHeight="1">
      <c r="A666" s="807"/>
      <c r="B666" s="807"/>
      <c r="C666" s="807"/>
      <c r="D666" s="807"/>
      <c r="E666" s="807"/>
      <c r="F666" s="807"/>
      <c r="G666" s="807"/>
      <c r="H666" s="807"/>
      <c r="I666" s="807"/>
      <c r="J666" s="807"/>
      <c r="K666" s="807"/>
      <c r="L666" s="807"/>
      <c r="M666" s="807"/>
      <c r="N666" s="807"/>
      <c r="O666" s="807"/>
      <c r="P666" s="807"/>
      <c r="Q666" s="807"/>
      <c r="R666" s="807"/>
      <c r="S666" s="807"/>
      <c r="T666" s="807"/>
      <c r="U666" s="807"/>
      <c r="V666" s="807"/>
      <c r="W666" s="807"/>
      <c r="X666" s="807"/>
      <c r="Y666" s="807"/>
      <c r="Z666" s="807"/>
    </row>
    <row r="667" ht="171.75" customHeight="1">
      <c r="A667" s="807"/>
      <c r="B667" s="807"/>
      <c r="C667" s="807"/>
      <c r="D667" s="807"/>
      <c r="E667" s="807"/>
      <c r="F667" s="807"/>
      <c r="G667" s="807"/>
      <c r="H667" s="807"/>
      <c r="I667" s="807"/>
      <c r="J667" s="807"/>
      <c r="K667" s="807"/>
      <c r="L667" s="807"/>
      <c r="M667" s="807"/>
      <c r="N667" s="807"/>
      <c r="O667" s="807"/>
      <c r="P667" s="807"/>
      <c r="Q667" s="807"/>
      <c r="R667" s="807"/>
      <c r="S667" s="807"/>
      <c r="T667" s="807"/>
      <c r="U667" s="807"/>
      <c r="V667" s="807"/>
      <c r="W667" s="807"/>
      <c r="X667" s="807"/>
      <c r="Y667" s="807"/>
      <c r="Z667" s="807"/>
    </row>
    <row r="668" ht="171.75" customHeight="1">
      <c r="A668" s="807"/>
      <c r="B668" s="807"/>
      <c r="C668" s="807"/>
      <c r="D668" s="807"/>
      <c r="E668" s="807"/>
      <c r="F668" s="807"/>
      <c r="G668" s="807"/>
      <c r="H668" s="807"/>
      <c r="I668" s="807"/>
      <c r="J668" s="807"/>
      <c r="K668" s="807"/>
      <c r="L668" s="807"/>
      <c r="M668" s="807"/>
      <c r="N668" s="807"/>
      <c r="O668" s="807"/>
      <c r="P668" s="807"/>
      <c r="Q668" s="807"/>
      <c r="R668" s="807"/>
      <c r="S668" s="807"/>
      <c r="T668" s="807"/>
      <c r="U668" s="807"/>
      <c r="V668" s="807"/>
      <c r="W668" s="807"/>
      <c r="X668" s="807"/>
      <c r="Y668" s="807"/>
      <c r="Z668" s="807"/>
    </row>
    <row r="669" ht="171.75" customHeight="1">
      <c r="A669" s="807"/>
      <c r="B669" s="807"/>
      <c r="C669" s="807"/>
      <c r="D669" s="807"/>
      <c r="E669" s="807"/>
      <c r="F669" s="807"/>
      <c r="G669" s="807"/>
      <c r="H669" s="807"/>
      <c r="I669" s="807"/>
      <c r="J669" s="807"/>
      <c r="K669" s="807"/>
      <c r="L669" s="807"/>
      <c r="M669" s="807"/>
      <c r="N669" s="807"/>
      <c r="O669" s="807"/>
      <c r="P669" s="807"/>
      <c r="Q669" s="807"/>
      <c r="R669" s="807"/>
      <c r="S669" s="807"/>
      <c r="T669" s="807"/>
      <c r="U669" s="807"/>
      <c r="V669" s="807"/>
      <c r="W669" s="807"/>
      <c r="X669" s="807"/>
      <c r="Y669" s="807"/>
      <c r="Z669" s="807"/>
    </row>
    <row r="670" ht="171.75" customHeight="1">
      <c r="A670" s="807"/>
      <c r="B670" s="807"/>
      <c r="C670" s="807"/>
      <c r="D670" s="807"/>
      <c r="E670" s="807"/>
      <c r="F670" s="807"/>
      <c r="G670" s="807"/>
      <c r="H670" s="807"/>
      <c r="I670" s="807"/>
      <c r="J670" s="807"/>
      <c r="K670" s="807"/>
      <c r="L670" s="807"/>
      <c r="M670" s="807"/>
      <c r="N670" s="807"/>
      <c r="O670" s="807"/>
      <c r="P670" s="807"/>
      <c r="Q670" s="807"/>
      <c r="R670" s="807"/>
      <c r="S670" s="807"/>
      <c r="T670" s="807"/>
      <c r="U670" s="807"/>
      <c r="V670" s="807"/>
      <c r="W670" s="807"/>
      <c r="X670" s="807"/>
      <c r="Y670" s="807"/>
      <c r="Z670" s="807"/>
    </row>
    <row r="671" ht="171.75" customHeight="1">
      <c r="A671" s="807"/>
      <c r="B671" s="807"/>
      <c r="C671" s="807"/>
      <c r="D671" s="807"/>
      <c r="E671" s="807"/>
      <c r="F671" s="807"/>
      <c r="G671" s="807"/>
      <c r="H671" s="807"/>
      <c r="I671" s="807"/>
      <c r="J671" s="807"/>
      <c r="K671" s="807"/>
      <c r="L671" s="807"/>
      <c r="M671" s="807"/>
      <c r="N671" s="807"/>
      <c r="O671" s="807"/>
      <c r="P671" s="807"/>
      <c r="Q671" s="807"/>
      <c r="R671" s="807"/>
      <c r="S671" s="807"/>
      <c r="T671" s="807"/>
      <c r="U671" s="807"/>
      <c r="V671" s="807"/>
      <c r="W671" s="807"/>
      <c r="X671" s="807"/>
      <c r="Y671" s="807"/>
      <c r="Z671" s="807"/>
    </row>
    <row r="672" ht="171.75" customHeight="1">
      <c r="A672" s="807"/>
      <c r="B672" s="807"/>
      <c r="C672" s="807"/>
      <c r="D672" s="807"/>
      <c r="E672" s="807"/>
      <c r="F672" s="807"/>
      <c r="G672" s="807"/>
      <c r="H672" s="807"/>
      <c r="I672" s="807"/>
      <c r="J672" s="807"/>
      <c r="K672" s="807"/>
      <c r="L672" s="807"/>
      <c r="M672" s="807"/>
      <c r="N672" s="807"/>
      <c r="O672" s="807"/>
      <c r="P672" s="807"/>
      <c r="Q672" s="807"/>
      <c r="R672" s="807"/>
      <c r="S672" s="807"/>
      <c r="T672" s="807"/>
      <c r="U672" s="807"/>
      <c r="V672" s="807"/>
      <c r="W672" s="807"/>
      <c r="X672" s="807"/>
      <c r="Y672" s="807"/>
      <c r="Z672" s="807"/>
    </row>
    <row r="673" ht="171.75" customHeight="1">
      <c r="A673" s="807"/>
      <c r="B673" s="807"/>
      <c r="C673" s="807"/>
      <c r="D673" s="807"/>
      <c r="E673" s="807"/>
      <c r="F673" s="807"/>
      <c r="G673" s="807"/>
      <c r="H673" s="807"/>
      <c r="I673" s="807"/>
      <c r="J673" s="807"/>
      <c r="K673" s="807"/>
      <c r="L673" s="807"/>
      <c r="M673" s="807"/>
      <c r="N673" s="807"/>
      <c r="O673" s="807"/>
      <c r="P673" s="807"/>
      <c r="Q673" s="807"/>
      <c r="R673" s="807"/>
      <c r="S673" s="807"/>
      <c r="T673" s="807"/>
      <c r="U673" s="807"/>
      <c r="V673" s="807"/>
      <c r="W673" s="807"/>
      <c r="X673" s="807"/>
      <c r="Y673" s="807"/>
      <c r="Z673" s="807"/>
    </row>
    <row r="674" ht="171.75" customHeight="1">
      <c r="A674" s="807"/>
      <c r="B674" s="807"/>
      <c r="C674" s="807"/>
      <c r="D674" s="807"/>
      <c r="E674" s="807"/>
      <c r="F674" s="807"/>
      <c r="G674" s="807"/>
      <c r="H674" s="807"/>
      <c r="I674" s="807"/>
      <c r="J674" s="807"/>
      <c r="K674" s="807"/>
      <c r="L674" s="807"/>
      <c r="M674" s="807"/>
      <c r="N674" s="807"/>
      <c r="O674" s="807"/>
      <c r="P674" s="807"/>
      <c r="Q674" s="807"/>
      <c r="R674" s="807"/>
      <c r="S674" s="807"/>
      <c r="T674" s="807"/>
      <c r="U674" s="807"/>
      <c r="V674" s="807"/>
      <c r="W674" s="807"/>
      <c r="X674" s="807"/>
      <c r="Y674" s="807"/>
      <c r="Z674" s="807"/>
    </row>
    <row r="675" ht="171.75" customHeight="1">
      <c r="A675" s="807"/>
      <c r="B675" s="807"/>
      <c r="C675" s="807"/>
      <c r="D675" s="807"/>
      <c r="E675" s="807"/>
      <c r="F675" s="807"/>
      <c r="G675" s="807"/>
      <c r="H675" s="807"/>
      <c r="I675" s="807"/>
      <c r="J675" s="807"/>
      <c r="K675" s="807"/>
      <c r="L675" s="807"/>
      <c r="M675" s="807"/>
      <c r="N675" s="807"/>
      <c r="O675" s="807"/>
      <c r="P675" s="807"/>
      <c r="Q675" s="807"/>
      <c r="R675" s="807"/>
      <c r="S675" s="807"/>
      <c r="T675" s="807"/>
      <c r="U675" s="807"/>
      <c r="V675" s="807"/>
      <c r="W675" s="807"/>
      <c r="X675" s="807"/>
      <c r="Y675" s="807"/>
      <c r="Z675" s="807"/>
    </row>
    <row r="676" ht="171.75" customHeight="1">
      <c r="A676" s="807"/>
      <c r="B676" s="807"/>
      <c r="C676" s="807"/>
      <c r="D676" s="807"/>
      <c r="E676" s="807"/>
      <c r="F676" s="807"/>
      <c r="G676" s="807"/>
      <c r="H676" s="807"/>
      <c r="I676" s="807"/>
      <c r="J676" s="807"/>
      <c r="K676" s="807"/>
      <c r="L676" s="807"/>
      <c r="M676" s="807"/>
      <c r="N676" s="807"/>
      <c r="O676" s="807"/>
      <c r="P676" s="807"/>
      <c r="Q676" s="807"/>
      <c r="R676" s="807"/>
      <c r="S676" s="807"/>
      <c r="T676" s="807"/>
      <c r="U676" s="807"/>
      <c r="V676" s="807"/>
      <c r="W676" s="807"/>
      <c r="X676" s="807"/>
      <c r="Y676" s="807"/>
      <c r="Z676" s="807"/>
    </row>
    <row r="677" ht="171.75" customHeight="1">
      <c r="A677" s="807"/>
      <c r="B677" s="807"/>
      <c r="C677" s="807"/>
      <c r="D677" s="807"/>
      <c r="E677" s="807"/>
      <c r="F677" s="807"/>
      <c r="G677" s="807"/>
      <c r="H677" s="807"/>
      <c r="I677" s="807"/>
      <c r="J677" s="807"/>
      <c r="K677" s="807"/>
      <c r="L677" s="807"/>
      <c r="M677" s="807"/>
      <c r="N677" s="807"/>
      <c r="O677" s="807"/>
      <c r="P677" s="807"/>
      <c r="Q677" s="807"/>
      <c r="R677" s="807"/>
      <c r="S677" s="807"/>
      <c r="T677" s="807"/>
      <c r="U677" s="807"/>
      <c r="V677" s="807"/>
      <c r="W677" s="807"/>
      <c r="X677" s="807"/>
      <c r="Y677" s="807"/>
      <c r="Z677" s="807"/>
    </row>
    <row r="678" ht="171.75" customHeight="1">
      <c r="A678" s="807"/>
      <c r="B678" s="807"/>
      <c r="C678" s="807"/>
      <c r="D678" s="807"/>
      <c r="E678" s="807"/>
      <c r="F678" s="807"/>
      <c r="G678" s="807"/>
      <c r="H678" s="807"/>
      <c r="I678" s="807"/>
      <c r="J678" s="807"/>
      <c r="K678" s="807"/>
      <c r="L678" s="807"/>
      <c r="M678" s="807"/>
      <c r="N678" s="807"/>
      <c r="O678" s="807"/>
      <c r="P678" s="807"/>
      <c r="Q678" s="807"/>
      <c r="R678" s="807"/>
      <c r="S678" s="807"/>
      <c r="T678" s="807"/>
      <c r="U678" s="807"/>
      <c r="V678" s="807"/>
      <c r="W678" s="807"/>
      <c r="X678" s="807"/>
      <c r="Y678" s="807"/>
      <c r="Z678" s="807"/>
    </row>
    <row r="679" ht="171.75" customHeight="1">
      <c r="A679" s="807"/>
      <c r="B679" s="807"/>
      <c r="C679" s="807"/>
      <c r="D679" s="807"/>
      <c r="E679" s="807"/>
      <c r="F679" s="807"/>
      <c r="G679" s="807"/>
      <c r="H679" s="807"/>
      <c r="I679" s="807"/>
      <c r="J679" s="807"/>
      <c r="K679" s="807"/>
      <c r="L679" s="807"/>
      <c r="M679" s="807"/>
      <c r="N679" s="807"/>
      <c r="O679" s="807"/>
      <c r="P679" s="807"/>
      <c r="Q679" s="807"/>
      <c r="R679" s="807"/>
      <c r="S679" s="807"/>
      <c r="T679" s="807"/>
      <c r="U679" s="807"/>
      <c r="V679" s="807"/>
      <c r="W679" s="807"/>
      <c r="X679" s="807"/>
      <c r="Y679" s="807"/>
      <c r="Z679" s="807"/>
    </row>
    <row r="680" ht="171.75" customHeight="1">
      <c r="A680" s="807"/>
      <c r="B680" s="807"/>
      <c r="C680" s="807"/>
      <c r="D680" s="807"/>
      <c r="E680" s="807"/>
      <c r="F680" s="807"/>
      <c r="G680" s="807"/>
      <c r="H680" s="807"/>
      <c r="I680" s="807"/>
      <c r="J680" s="807"/>
      <c r="K680" s="807"/>
      <c r="L680" s="807"/>
      <c r="M680" s="807"/>
      <c r="N680" s="807"/>
      <c r="O680" s="807"/>
      <c r="P680" s="807"/>
      <c r="Q680" s="807"/>
      <c r="R680" s="807"/>
      <c r="S680" s="807"/>
      <c r="T680" s="807"/>
      <c r="U680" s="807"/>
      <c r="V680" s="807"/>
      <c r="W680" s="807"/>
      <c r="X680" s="807"/>
      <c r="Y680" s="807"/>
      <c r="Z680" s="807"/>
    </row>
    <row r="681" ht="171.75" customHeight="1">
      <c r="A681" s="807"/>
      <c r="B681" s="807"/>
      <c r="C681" s="807"/>
      <c r="D681" s="807"/>
      <c r="E681" s="807"/>
      <c r="F681" s="807"/>
      <c r="G681" s="807"/>
      <c r="H681" s="807"/>
      <c r="I681" s="807"/>
      <c r="J681" s="807"/>
      <c r="K681" s="807"/>
      <c r="L681" s="807"/>
      <c r="M681" s="807"/>
      <c r="N681" s="807"/>
      <c r="O681" s="807"/>
      <c r="P681" s="807"/>
      <c r="Q681" s="807"/>
      <c r="R681" s="807"/>
      <c r="S681" s="807"/>
      <c r="T681" s="807"/>
      <c r="U681" s="807"/>
      <c r="V681" s="807"/>
      <c r="W681" s="807"/>
      <c r="X681" s="807"/>
      <c r="Y681" s="807"/>
      <c r="Z681" s="807"/>
    </row>
    <row r="682" ht="171.75" customHeight="1">
      <c r="A682" s="807"/>
      <c r="B682" s="807"/>
      <c r="C682" s="807"/>
      <c r="D682" s="807"/>
      <c r="E682" s="807"/>
      <c r="F682" s="807"/>
      <c r="G682" s="807"/>
      <c r="H682" s="807"/>
      <c r="I682" s="807"/>
      <c r="J682" s="807"/>
      <c r="K682" s="807"/>
      <c r="L682" s="807"/>
      <c r="M682" s="807"/>
      <c r="N682" s="807"/>
      <c r="O682" s="807"/>
      <c r="P682" s="807"/>
      <c r="Q682" s="807"/>
      <c r="R682" s="807"/>
      <c r="S682" s="807"/>
      <c r="T682" s="807"/>
      <c r="U682" s="807"/>
      <c r="V682" s="807"/>
      <c r="W682" s="807"/>
      <c r="X682" s="807"/>
      <c r="Y682" s="807"/>
      <c r="Z682" s="807"/>
    </row>
    <row r="683" ht="171.75" customHeight="1">
      <c r="A683" s="807"/>
      <c r="B683" s="807"/>
      <c r="C683" s="807"/>
      <c r="D683" s="807"/>
      <c r="E683" s="807"/>
      <c r="F683" s="807"/>
      <c r="G683" s="807"/>
      <c r="H683" s="807"/>
      <c r="I683" s="807"/>
      <c r="J683" s="807"/>
      <c r="K683" s="807"/>
      <c r="L683" s="807"/>
      <c r="M683" s="807"/>
      <c r="N683" s="807"/>
      <c r="O683" s="807"/>
      <c r="P683" s="807"/>
      <c r="Q683" s="807"/>
      <c r="R683" s="807"/>
      <c r="S683" s="807"/>
      <c r="T683" s="807"/>
      <c r="U683" s="807"/>
      <c r="V683" s="807"/>
      <c r="W683" s="807"/>
      <c r="X683" s="807"/>
      <c r="Y683" s="807"/>
      <c r="Z683" s="807"/>
    </row>
    <row r="684" ht="171.75" customHeight="1">
      <c r="A684" s="807"/>
      <c r="B684" s="807"/>
      <c r="C684" s="807"/>
      <c r="D684" s="807"/>
      <c r="E684" s="807"/>
      <c r="F684" s="807"/>
      <c r="G684" s="807"/>
      <c r="H684" s="807"/>
      <c r="I684" s="807"/>
      <c r="J684" s="807"/>
      <c r="K684" s="807"/>
      <c r="L684" s="807"/>
      <c r="M684" s="807"/>
      <c r="N684" s="807"/>
      <c r="O684" s="807"/>
      <c r="P684" s="807"/>
      <c r="Q684" s="807"/>
      <c r="R684" s="807"/>
      <c r="S684" s="807"/>
      <c r="T684" s="807"/>
      <c r="U684" s="807"/>
      <c r="V684" s="807"/>
      <c r="W684" s="807"/>
      <c r="X684" s="807"/>
      <c r="Y684" s="807"/>
      <c r="Z684" s="807"/>
    </row>
    <row r="685" ht="171.75" customHeight="1">
      <c r="A685" s="807"/>
      <c r="B685" s="807"/>
      <c r="C685" s="807"/>
      <c r="D685" s="807"/>
      <c r="E685" s="807"/>
      <c r="F685" s="807"/>
      <c r="G685" s="807"/>
      <c r="H685" s="807"/>
      <c r="I685" s="807"/>
      <c r="J685" s="807"/>
      <c r="K685" s="807"/>
      <c r="L685" s="807"/>
      <c r="M685" s="807"/>
      <c r="N685" s="807"/>
      <c r="O685" s="807"/>
      <c r="P685" s="807"/>
      <c r="Q685" s="807"/>
      <c r="R685" s="807"/>
      <c r="S685" s="807"/>
      <c r="T685" s="807"/>
      <c r="U685" s="807"/>
      <c r="V685" s="807"/>
      <c r="W685" s="807"/>
      <c r="X685" s="807"/>
      <c r="Y685" s="807"/>
      <c r="Z685" s="807"/>
    </row>
    <row r="686" ht="171.75" customHeight="1">
      <c r="A686" s="807"/>
      <c r="B686" s="807"/>
      <c r="C686" s="807"/>
      <c r="D686" s="807"/>
      <c r="E686" s="807"/>
      <c r="F686" s="807"/>
      <c r="G686" s="807"/>
      <c r="H686" s="807"/>
      <c r="I686" s="807"/>
      <c r="J686" s="807"/>
      <c r="K686" s="807"/>
      <c r="L686" s="807"/>
      <c r="M686" s="807"/>
      <c r="N686" s="807"/>
      <c r="O686" s="807"/>
      <c r="P686" s="807"/>
      <c r="Q686" s="807"/>
      <c r="R686" s="807"/>
      <c r="S686" s="807"/>
      <c r="T686" s="807"/>
      <c r="U686" s="807"/>
      <c r="V686" s="807"/>
      <c r="W686" s="807"/>
      <c r="X686" s="807"/>
      <c r="Y686" s="807"/>
      <c r="Z686" s="807"/>
    </row>
    <row r="687" ht="171.75" customHeight="1">
      <c r="A687" s="807"/>
      <c r="B687" s="807"/>
      <c r="C687" s="807"/>
      <c r="D687" s="807"/>
      <c r="E687" s="807"/>
      <c r="F687" s="807"/>
      <c r="G687" s="807"/>
      <c r="H687" s="807"/>
      <c r="I687" s="807"/>
      <c r="J687" s="807"/>
      <c r="K687" s="807"/>
      <c r="L687" s="807"/>
      <c r="M687" s="807"/>
      <c r="N687" s="807"/>
      <c r="O687" s="807"/>
      <c r="P687" s="807"/>
      <c r="Q687" s="807"/>
      <c r="R687" s="807"/>
      <c r="S687" s="807"/>
      <c r="T687" s="807"/>
      <c r="U687" s="807"/>
      <c r="V687" s="807"/>
      <c r="W687" s="807"/>
      <c r="X687" s="807"/>
      <c r="Y687" s="807"/>
      <c r="Z687" s="807"/>
    </row>
    <row r="688" ht="171.75" customHeight="1">
      <c r="A688" s="807"/>
      <c r="B688" s="807"/>
      <c r="C688" s="807"/>
      <c r="D688" s="807"/>
      <c r="E688" s="807"/>
      <c r="F688" s="807"/>
      <c r="G688" s="807"/>
      <c r="H688" s="807"/>
      <c r="I688" s="807"/>
      <c r="J688" s="807"/>
      <c r="K688" s="807"/>
      <c r="L688" s="807"/>
      <c r="M688" s="807"/>
      <c r="N688" s="807"/>
      <c r="O688" s="807"/>
      <c r="P688" s="807"/>
      <c r="Q688" s="807"/>
      <c r="R688" s="807"/>
      <c r="S688" s="807"/>
      <c r="T688" s="807"/>
      <c r="U688" s="807"/>
      <c r="V688" s="807"/>
      <c r="W688" s="807"/>
      <c r="X688" s="807"/>
      <c r="Y688" s="807"/>
      <c r="Z688" s="807"/>
    </row>
    <row r="689" ht="171.75" customHeight="1">
      <c r="A689" s="807"/>
      <c r="B689" s="807"/>
      <c r="C689" s="807"/>
      <c r="D689" s="807"/>
      <c r="E689" s="807"/>
      <c r="F689" s="807"/>
      <c r="G689" s="807"/>
      <c r="H689" s="807"/>
      <c r="I689" s="807"/>
      <c r="J689" s="807"/>
      <c r="K689" s="807"/>
      <c r="L689" s="807"/>
      <c r="M689" s="807"/>
      <c r="N689" s="807"/>
      <c r="O689" s="807"/>
      <c r="P689" s="807"/>
      <c r="Q689" s="807"/>
      <c r="R689" s="807"/>
      <c r="S689" s="807"/>
      <c r="T689" s="807"/>
      <c r="U689" s="807"/>
      <c r="V689" s="807"/>
      <c r="W689" s="807"/>
      <c r="X689" s="807"/>
      <c r="Y689" s="807"/>
      <c r="Z689" s="807"/>
    </row>
    <row r="690" ht="171.75" customHeight="1">
      <c r="A690" s="807"/>
      <c r="B690" s="807"/>
      <c r="C690" s="807"/>
      <c r="D690" s="807"/>
      <c r="E690" s="807"/>
      <c r="F690" s="807"/>
      <c r="G690" s="807"/>
      <c r="H690" s="807"/>
      <c r="I690" s="807"/>
      <c r="J690" s="807"/>
      <c r="K690" s="807"/>
      <c r="L690" s="807"/>
      <c r="M690" s="807"/>
      <c r="N690" s="807"/>
      <c r="O690" s="807"/>
      <c r="P690" s="807"/>
      <c r="Q690" s="807"/>
      <c r="R690" s="807"/>
      <c r="S690" s="807"/>
      <c r="T690" s="807"/>
      <c r="U690" s="807"/>
      <c r="V690" s="807"/>
      <c r="W690" s="807"/>
      <c r="X690" s="807"/>
      <c r="Y690" s="807"/>
      <c r="Z690" s="807"/>
    </row>
    <row r="691" ht="171.75" customHeight="1">
      <c r="A691" s="807"/>
      <c r="B691" s="807"/>
      <c r="C691" s="807"/>
      <c r="D691" s="807"/>
      <c r="E691" s="807"/>
      <c r="F691" s="807"/>
      <c r="G691" s="807"/>
      <c r="H691" s="807"/>
      <c r="I691" s="807"/>
      <c r="J691" s="807"/>
      <c r="K691" s="807"/>
      <c r="L691" s="807"/>
      <c r="M691" s="807"/>
      <c r="N691" s="807"/>
      <c r="O691" s="807"/>
      <c r="P691" s="807"/>
      <c r="Q691" s="807"/>
      <c r="R691" s="807"/>
      <c r="S691" s="807"/>
      <c r="T691" s="807"/>
      <c r="U691" s="807"/>
      <c r="V691" s="807"/>
      <c r="W691" s="807"/>
      <c r="X691" s="807"/>
      <c r="Y691" s="807"/>
      <c r="Z691" s="807"/>
    </row>
    <row r="692" ht="171.75" customHeight="1">
      <c r="A692" s="807"/>
      <c r="B692" s="807"/>
      <c r="C692" s="807"/>
      <c r="D692" s="807"/>
      <c r="E692" s="807"/>
      <c r="F692" s="807"/>
      <c r="G692" s="807"/>
      <c r="H692" s="807"/>
      <c r="I692" s="807"/>
      <c r="J692" s="807"/>
      <c r="K692" s="807"/>
      <c r="L692" s="807"/>
      <c r="M692" s="807"/>
      <c r="N692" s="807"/>
      <c r="O692" s="807"/>
      <c r="P692" s="807"/>
      <c r="Q692" s="807"/>
      <c r="R692" s="807"/>
      <c r="S692" s="807"/>
      <c r="T692" s="807"/>
      <c r="U692" s="807"/>
      <c r="V692" s="807"/>
      <c r="W692" s="807"/>
      <c r="X692" s="807"/>
      <c r="Y692" s="807"/>
      <c r="Z692" s="807"/>
    </row>
    <row r="693" ht="171.75" customHeight="1">
      <c r="A693" s="807"/>
      <c r="B693" s="807"/>
      <c r="C693" s="807"/>
      <c r="D693" s="807"/>
      <c r="E693" s="807"/>
      <c r="F693" s="807"/>
      <c r="G693" s="807"/>
      <c r="H693" s="807"/>
      <c r="I693" s="807"/>
      <c r="J693" s="807"/>
      <c r="K693" s="807"/>
      <c r="L693" s="807"/>
      <c r="M693" s="807"/>
      <c r="N693" s="807"/>
      <c r="O693" s="807"/>
      <c r="P693" s="807"/>
      <c r="Q693" s="807"/>
      <c r="R693" s="807"/>
      <c r="S693" s="807"/>
      <c r="T693" s="807"/>
      <c r="U693" s="807"/>
      <c r="V693" s="807"/>
      <c r="W693" s="807"/>
      <c r="X693" s="807"/>
      <c r="Y693" s="807"/>
      <c r="Z693" s="807"/>
    </row>
    <row r="694" ht="171.75" customHeight="1">
      <c r="A694" s="807"/>
      <c r="B694" s="807"/>
      <c r="C694" s="807"/>
      <c r="D694" s="807"/>
      <c r="E694" s="807"/>
      <c r="F694" s="807"/>
      <c r="G694" s="807"/>
      <c r="H694" s="807"/>
      <c r="I694" s="807"/>
      <c r="J694" s="807"/>
      <c r="K694" s="807"/>
      <c r="L694" s="807"/>
      <c r="M694" s="807"/>
      <c r="N694" s="807"/>
      <c r="O694" s="807"/>
      <c r="P694" s="807"/>
      <c r="Q694" s="807"/>
      <c r="R694" s="807"/>
      <c r="S694" s="807"/>
      <c r="T694" s="807"/>
      <c r="U694" s="807"/>
      <c r="V694" s="807"/>
      <c r="W694" s="807"/>
      <c r="X694" s="807"/>
      <c r="Y694" s="807"/>
      <c r="Z694" s="807"/>
    </row>
    <row r="695" ht="171.75" customHeight="1">
      <c r="A695" s="807"/>
      <c r="B695" s="807"/>
      <c r="C695" s="807"/>
      <c r="D695" s="807"/>
      <c r="E695" s="807"/>
      <c r="F695" s="807"/>
      <c r="G695" s="807"/>
      <c r="H695" s="807"/>
      <c r="I695" s="807"/>
      <c r="J695" s="807"/>
      <c r="K695" s="807"/>
      <c r="L695" s="807"/>
      <c r="M695" s="807"/>
      <c r="N695" s="807"/>
      <c r="O695" s="807"/>
      <c r="P695" s="807"/>
      <c r="Q695" s="807"/>
      <c r="R695" s="807"/>
      <c r="S695" s="807"/>
      <c r="T695" s="807"/>
      <c r="U695" s="807"/>
      <c r="V695" s="807"/>
      <c r="W695" s="807"/>
      <c r="X695" s="807"/>
      <c r="Y695" s="807"/>
      <c r="Z695" s="807"/>
    </row>
    <row r="696" ht="171.75" customHeight="1">
      <c r="A696" s="807"/>
      <c r="B696" s="807"/>
      <c r="C696" s="807"/>
      <c r="D696" s="807"/>
      <c r="E696" s="807"/>
      <c r="F696" s="807"/>
      <c r="G696" s="807"/>
      <c r="H696" s="807"/>
      <c r="I696" s="807"/>
      <c r="J696" s="807"/>
      <c r="K696" s="807"/>
      <c r="L696" s="807"/>
      <c r="M696" s="807"/>
      <c r="N696" s="807"/>
      <c r="O696" s="807"/>
      <c r="P696" s="807"/>
      <c r="Q696" s="807"/>
      <c r="R696" s="807"/>
      <c r="S696" s="807"/>
      <c r="T696" s="807"/>
      <c r="U696" s="807"/>
      <c r="V696" s="807"/>
      <c r="W696" s="807"/>
      <c r="X696" s="807"/>
      <c r="Y696" s="807"/>
      <c r="Z696" s="807"/>
    </row>
    <row r="697" ht="171.75" customHeight="1">
      <c r="A697" s="807"/>
      <c r="B697" s="807"/>
      <c r="C697" s="807"/>
      <c r="D697" s="807"/>
      <c r="E697" s="807"/>
      <c r="F697" s="807"/>
      <c r="G697" s="807"/>
      <c r="H697" s="807"/>
      <c r="I697" s="807"/>
      <c r="J697" s="807"/>
      <c r="K697" s="807"/>
      <c r="L697" s="807"/>
      <c r="M697" s="807"/>
      <c r="N697" s="807"/>
      <c r="O697" s="807"/>
      <c r="P697" s="807"/>
      <c r="Q697" s="807"/>
      <c r="R697" s="807"/>
      <c r="S697" s="807"/>
      <c r="T697" s="807"/>
      <c r="U697" s="807"/>
      <c r="V697" s="807"/>
      <c r="W697" s="807"/>
      <c r="X697" s="807"/>
      <c r="Y697" s="807"/>
      <c r="Z697" s="807"/>
    </row>
    <row r="698" ht="171.75" customHeight="1">
      <c r="A698" s="807"/>
      <c r="B698" s="807"/>
      <c r="C698" s="807"/>
      <c r="D698" s="807"/>
      <c r="E698" s="807"/>
      <c r="F698" s="807"/>
      <c r="G698" s="807"/>
      <c r="H698" s="807"/>
      <c r="I698" s="807"/>
      <c r="J698" s="807"/>
      <c r="K698" s="807"/>
      <c r="L698" s="807"/>
      <c r="M698" s="807"/>
      <c r="N698" s="807"/>
      <c r="O698" s="807"/>
      <c r="P698" s="807"/>
      <c r="Q698" s="807"/>
      <c r="R698" s="807"/>
      <c r="S698" s="807"/>
      <c r="T698" s="807"/>
      <c r="U698" s="807"/>
      <c r="V698" s="807"/>
      <c r="W698" s="807"/>
      <c r="X698" s="807"/>
      <c r="Y698" s="807"/>
      <c r="Z698" s="807"/>
    </row>
    <row r="699" ht="171.75" customHeight="1">
      <c r="A699" s="807"/>
      <c r="B699" s="807"/>
      <c r="C699" s="807"/>
      <c r="D699" s="807"/>
      <c r="E699" s="807"/>
      <c r="F699" s="807"/>
      <c r="G699" s="807"/>
      <c r="H699" s="807"/>
      <c r="I699" s="807"/>
      <c r="J699" s="807"/>
      <c r="K699" s="807"/>
      <c r="L699" s="807"/>
      <c r="M699" s="807"/>
      <c r="N699" s="807"/>
      <c r="O699" s="807"/>
      <c r="P699" s="807"/>
      <c r="Q699" s="807"/>
      <c r="R699" s="807"/>
      <c r="S699" s="807"/>
      <c r="T699" s="807"/>
      <c r="U699" s="807"/>
      <c r="V699" s="807"/>
      <c r="W699" s="807"/>
      <c r="X699" s="807"/>
      <c r="Y699" s="807"/>
      <c r="Z699" s="807"/>
    </row>
    <row r="700" ht="171.75" customHeight="1">
      <c r="A700" s="807"/>
      <c r="B700" s="807"/>
      <c r="C700" s="807"/>
      <c r="D700" s="807"/>
      <c r="E700" s="807"/>
      <c r="F700" s="807"/>
      <c r="G700" s="807"/>
      <c r="H700" s="807"/>
      <c r="I700" s="807"/>
      <c r="J700" s="807"/>
      <c r="K700" s="807"/>
      <c r="L700" s="807"/>
      <c r="M700" s="807"/>
      <c r="N700" s="807"/>
      <c r="O700" s="807"/>
      <c r="P700" s="807"/>
      <c r="Q700" s="807"/>
      <c r="R700" s="807"/>
      <c r="S700" s="807"/>
      <c r="T700" s="807"/>
      <c r="U700" s="807"/>
      <c r="V700" s="807"/>
      <c r="W700" s="807"/>
      <c r="X700" s="807"/>
      <c r="Y700" s="807"/>
      <c r="Z700" s="807"/>
    </row>
    <row r="701" ht="171.75" customHeight="1">
      <c r="A701" s="807"/>
      <c r="B701" s="807"/>
      <c r="C701" s="807"/>
      <c r="D701" s="807"/>
      <c r="E701" s="807"/>
      <c r="F701" s="807"/>
      <c r="G701" s="807"/>
      <c r="H701" s="807"/>
      <c r="I701" s="807"/>
      <c r="J701" s="807"/>
      <c r="K701" s="807"/>
      <c r="L701" s="807"/>
      <c r="M701" s="807"/>
      <c r="N701" s="807"/>
      <c r="O701" s="807"/>
      <c r="P701" s="807"/>
      <c r="Q701" s="807"/>
      <c r="R701" s="807"/>
      <c r="S701" s="807"/>
      <c r="T701" s="807"/>
      <c r="U701" s="807"/>
      <c r="V701" s="807"/>
      <c r="W701" s="807"/>
      <c r="X701" s="807"/>
      <c r="Y701" s="807"/>
      <c r="Z701" s="807"/>
    </row>
    <row r="702" ht="171.75" customHeight="1">
      <c r="A702" s="807"/>
      <c r="B702" s="807"/>
      <c r="C702" s="807"/>
      <c r="D702" s="807"/>
      <c r="E702" s="807"/>
      <c r="F702" s="807"/>
      <c r="G702" s="807"/>
      <c r="H702" s="807"/>
      <c r="I702" s="807"/>
      <c r="J702" s="807"/>
      <c r="K702" s="807"/>
      <c r="L702" s="807"/>
      <c r="M702" s="807"/>
      <c r="N702" s="807"/>
      <c r="O702" s="807"/>
      <c r="P702" s="807"/>
      <c r="Q702" s="807"/>
      <c r="R702" s="807"/>
      <c r="S702" s="807"/>
      <c r="T702" s="807"/>
      <c r="U702" s="807"/>
      <c r="V702" s="807"/>
      <c r="W702" s="807"/>
      <c r="X702" s="807"/>
      <c r="Y702" s="807"/>
      <c r="Z702" s="807"/>
    </row>
    <row r="703" ht="171.75" customHeight="1">
      <c r="A703" s="807"/>
      <c r="B703" s="807"/>
      <c r="C703" s="807"/>
      <c r="D703" s="807"/>
      <c r="E703" s="807"/>
      <c r="F703" s="807"/>
      <c r="G703" s="807"/>
      <c r="H703" s="807"/>
      <c r="I703" s="807"/>
      <c r="J703" s="807"/>
      <c r="K703" s="807"/>
      <c r="L703" s="807"/>
      <c r="M703" s="807"/>
      <c r="N703" s="807"/>
      <c r="O703" s="807"/>
      <c r="P703" s="807"/>
      <c r="Q703" s="807"/>
      <c r="R703" s="807"/>
      <c r="S703" s="807"/>
      <c r="T703" s="807"/>
      <c r="U703" s="807"/>
      <c r="V703" s="807"/>
      <c r="W703" s="807"/>
      <c r="X703" s="807"/>
      <c r="Y703" s="807"/>
      <c r="Z703" s="807"/>
    </row>
    <row r="704" ht="171.75" customHeight="1">
      <c r="A704" s="807"/>
      <c r="B704" s="807"/>
      <c r="C704" s="807"/>
      <c r="D704" s="807"/>
      <c r="E704" s="807"/>
      <c r="F704" s="807"/>
      <c r="G704" s="807"/>
      <c r="H704" s="807"/>
      <c r="I704" s="807"/>
      <c r="J704" s="807"/>
      <c r="K704" s="807"/>
      <c r="L704" s="807"/>
      <c r="M704" s="807"/>
      <c r="N704" s="807"/>
      <c r="O704" s="807"/>
      <c r="P704" s="807"/>
      <c r="Q704" s="807"/>
      <c r="R704" s="807"/>
      <c r="S704" s="807"/>
      <c r="T704" s="807"/>
      <c r="U704" s="807"/>
      <c r="V704" s="807"/>
      <c r="W704" s="807"/>
      <c r="X704" s="807"/>
      <c r="Y704" s="807"/>
      <c r="Z704" s="807"/>
    </row>
    <row r="705" ht="171.75" customHeight="1">
      <c r="A705" s="807"/>
      <c r="B705" s="807"/>
      <c r="C705" s="807"/>
      <c r="D705" s="807"/>
      <c r="E705" s="807"/>
      <c r="F705" s="807"/>
      <c r="G705" s="807"/>
      <c r="H705" s="807"/>
      <c r="I705" s="807"/>
      <c r="J705" s="807"/>
      <c r="K705" s="807"/>
      <c r="L705" s="807"/>
      <c r="M705" s="807"/>
      <c r="N705" s="807"/>
      <c r="O705" s="807"/>
      <c r="P705" s="807"/>
      <c r="Q705" s="807"/>
      <c r="R705" s="807"/>
      <c r="S705" s="807"/>
      <c r="T705" s="807"/>
      <c r="U705" s="807"/>
      <c r="V705" s="807"/>
      <c r="W705" s="807"/>
      <c r="X705" s="807"/>
      <c r="Y705" s="807"/>
      <c r="Z705" s="807"/>
    </row>
    <row r="706" ht="171.75" customHeight="1">
      <c r="A706" s="807"/>
      <c r="B706" s="807"/>
      <c r="C706" s="807"/>
      <c r="D706" s="807"/>
      <c r="E706" s="807"/>
      <c r="F706" s="807"/>
      <c r="G706" s="807"/>
      <c r="H706" s="807"/>
      <c r="I706" s="807"/>
      <c r="J706" s="807"/>
      <c r="K706" s="807"/>
      <c r="L706" s="807"/>
      <c r="M706" s="807"/>
      <c r="N706" s="807"/>
      <c r="O706" s="807"/>
      <c r="P706" s="807"/>
      <c r="Q706" s="807"/>
      <c r="R706" s="807"/>
      <c r="S706" s="807"/>
      <c r="T706" s="807"/>
      <c r="U706" s="807"/>
      <c r="V706" s="807"/>
      <c r="W706" s="807"/>
      <c r="X706" s="807"/>
      <c r="Y706" s="807"/>
      <c r="Z706" s="807"/>
    </row>
    <row r="707" ht="171.75" customHeight="1">
      <c r="A707" s="807"/>
      <c r="B707" s="807"/>
      <c r="C707" s="807"/>
      <c r="D707" s="807"/>
      <c r="E707" s="807"/>
      <c r="F707" s="807"/>
      <c r="G707" s="807"/>
      <c r="H707" s="807"/>
      <c r="I707" s="807"/>
      <c r="J707" s="807"/>
      <c r="K707" s="807"/>
      <c r="L707" s="807"/>
      <c r="M707" s="807"/>
      <c r="N707" s="807"/>
      <c r="O707" s="807"/>
      <c r="P707" s="807"/>
      <c r="Q707" s="807"/>
      <c r="R707" s="807"/>
      <c r="S707" s="807"/>
      <c r="T707" s="807"/>
      <c r="U707" s="807"/>
      <c r="V707" s="807"/>
      <c r="W707" s="807"/>
      <c r="X707" s="807"/>
      <c r="Y707" s="807"/>
      <c r="Z707" s="807"/>
    </row>
    <row r="708" ht="171.75" customHeight="1">
      <c r="A708" s="807"/>
      <c r="B708" s="807"/>
      <c r="C708" s="807"/>
      <c r="D708" s="807"/>
      <c r="E708" s="807"/>
      <c r="F708" s="807"/>
      <c r="G708" s="807"/>
      <c r="H708" s="807"/>
      <c r="I708" s="807"/>
      <c r="J708" s="807"/>
      <c r="K708" s="807"/>
      <c r="L708" s="807"/>
      <c r="M708" s="807"/>
      <c r="N708" s="807"/>
      <c r="O708" s="807"/>
      <c r="P708" s="807"/>
      <c r="Q708" s="807"/>
      <c r="R708" s="807"/>
      <c r="S708" s="807"/>
      <c r="T708" s="807"/>
      <c r="U708" s="807"/>
      <c r="V708" s="807"/>
      <c r="W708" s="807"/>
      <c r="X708" s="807"/>
      <c r="Y708" s="807"/>
      <c r="Z708" s="807"/>
    </row>
    <row r="709" ht="171.75" customHeight="1">
      <c r="A709" s="807"/>
      <c r="B709" s="807"/>
      <c r="C709" s="807"/>
      <c r="D709" s="807"/>
      <c r="E709" s="807"/>
      <c r="F709" s="807"/>
      <c r="G709" s="807"/>
      <c r="H709" s="807"/>
      <c r="I709" s="807"/>
      <c r="J709" s="807"/>
      <c r="K709" s="807"/>
      <c r="L709" s="807"/>
      <c r="M709" s="807"/>
      <c r="N709" s="807"/>
      <c r="O709" s="807"/>
      <c r="P709" s="807"/>
      <c r="Q709" s="807"/>
      <c r="R709" s="807"/>
      <c r="S709" s="807"/>
      <c r="T709" s="807"/>
      <c r="U709" s="807"/>
      <c r="V709" s="807"/>
      <c r="W709" s="807"/>
      <c r="X709" s="807"/>
      <c r="Y709" s="807"/>
      <c r="Z709" s="807"/>
    </row>
    <row r="710" ht="171.75" customHeight="1">
      <c r="A710" s="807"/>
      <c r="B710" s="807"/>
      <c r="C710" s="807"/>
      <c r="D710" s="807"/>
      <c r="E710" s="807"/>
      <c r="F710" s="807"/>
      <c r="G710" s="807"/>
      <c r="H710" s="807"/>
      <c r="I710" s="807"/>
      <c r="J710" s="807"/>
      <c r="K710" s="807"/>
      <c r="L710" s="807"/>
      <c r="M710" s="807"/>
      <c r="N710" s="807"/>
      <c r="O710" s="807"/>
      <c r="P710" s="807"/>
      <c r="Q710" s="807"/>
      <c r="R710" s="807"/>
      <c r="S710" s="807"/>
      <c r="T710" s="807"/>
      <c r="U710" s="807"/>
      <c r="V710" s="807"/>
      <c r="W710" s="807"/>
      <c r="X710" s="807"/>
      <c r="Y710" s="807"/>
      <c r="Z710" s="807"/>
    </row>
    <row r="711" ht="171.75" customHeight="1">
      <c r="A711" s="807"/>
      <c r="B711" s="807"/>
      <c r="C711" s="807"/>
      <c r="D711" s="807"/>
      <c r="E711" s="807"/>
      <c r="F711" s="807"/>
      <c r="G711" s="807"/>
      <c r="H711" s="807"/>
      <c r="I711" s="807"/>
      <c r="J711" s="807"/>
      <c r="K711" s="807"/>
      <c r="L711" s="807"/>
      <c r="M711" s="807"/>
      <c r="N711" s="807"/>
      <c r="O711" s="807"/>
      <c r="P711" s="807"/>
      <c r="Q711" s="807"/>
      <c r="R711" s="807"/>
      <c r="S711" s="807"/>
      <c r="T711" s="807"/>
      <c r="U711" s="807"/>
      <c r="V711" s="807"/>
      <c r="W711" s="807"/>
      <c r="X711" s="807"/>
      <c r="Y711" s="807"/>
      <c r="Z711" s="807"/>
    </row>
    <row r="712" ht="171.75" customHeight="1">
      <c r="A712" s="807"/>
      <c r="B712" s="807"/>
      <c r="C712" s="807"/>
      <c r="D712" s="807"/>
      <c r="E712" s="807"/>
      <c r="F712" s="807"/>
      <c r="G712" s="807"/>
      <c r="H712" s="807"/>
      <c r="I712" s="807"/>
      <c r="J712" s="807"/>
      <c r="K712" s="807"/>
      <c r="L712" s="807"/>
      <c r="M712" s="807"/>
      <c r="N712" s="807"/>
      <c r="O712" s="807"/>
      <c r="P712" s="807"/>
      <c r="Q712" s="807"/>
      <c r="R712" s="807"/>
      <c r="S712" s="807"/>
      <c r="T712" s="807"/>
      <c r="U712" s="807"/>
      <c r="V712" s="807"/>
      <c r="W712" s="807"/>
      <c r="X712" s="807"/>
      <c r="Y712" s="807"/>
      <c r="Z712" s="807"/>
    </row>
    <row r="713" ht="171.75" customHeight="1">
      <c r="A713" s="807"/>
      <c r="B713" s="807"/>
      <c r="C713" s="807"/>
      <c r="D713" s="807"/>
      <c r="E713" s="807"/>
      <c r="F713" s="807"/>
      <c r="G713" s="807"/>
      <c r="H713" s="807"/>
      <c r="I713" s="807"/>
      <c r="J713" s="807"/>
      <c r="K713" s="807"/>
      <c r="L713" s="807"/>
      <c r="M713" s="807"/>
      <c r="N713" s="807"/>
      <c r="O713" s="807"/>
      <c r="P713" s="807"/>
      <c r="Q713" s="807"/>
      <c r="R713" s="807"/>
      <c r="S713" s="807"/>
      <c r="T713" s="807"/>
      <c r="U713" s="807"/>
      <c r="V713" s="807"/>
      <c r="W713" s="807"/>
      <c r="X713" s="807"/>
      <c r="Y713" s="807"/>
      <c r="Z713" s="807"/>
    </row>
    <row r="714" ht="171.75" customHeight="1">
      <c r="A714" s="807"/>
      <c r="B714" s="807"/>
      <c r="C714" s="807"/>
      <c r="D714" s="807"/>
      <c r="E714" s="807"/>
      <c r="F714" s="807"/>
      <c r="G714" s="807"/>
      <c r="H714" s="807"/>
      <c r="I714" s="807"/>
      <c r="J714" s="807"/>
      <c r="K714" s="807"/>
      <c r="L714" s="807"/>
      <c r="M714" s="807"/>
      <c r="N714" s="807"/>
      <c r="O714" s="807"/>
      <c r="P714" s="807"/>
      <c r="Q714" s="807"/>
      <c r="R714" s="807"/>
      <c r="S714" s="807"/>
      <c r="T714" s="807"/>
      <c r="U714" s="807"/>
      <c r="V714" s="807"/>
      <c r="W714" s="807"/>
      <c r="X714" s="807"/>
      <c r="Y714" s="807"/>
      <c r="Z714" s="807"/>
    </row>
    <row r="715" ht="171.75" customHeight="1">
      <c r="A715" s="807"/>
      <c r="B715" s="807"/>
      <c r="C715" s="807"/>
      <c r="D715" s="807"/>
      <c r="E715" s="807"/>
      <c r="F715" s="807"/>
      <c r="G715" s="807"/>
      <c r="H715" s="807"/>
      <c r="I715" s="807"/>
      <c r="J715" s="807"/>
      <c r="K715" s="807"/>
      <c r="L715" s="807"/>
      <c r="M715" s="807"/>
      <c r="N715" s="807"/>
      <c r="O715" s="807"/>
      <c r="P715" s="807"/>
      <c r="Q715" s="807"/>
      <c r="R715" s="807"/>
      <c r="S715" s="807"/>
      <c r="T715" s="807"/>
      <c r="U715" s="807"/>
      <c r="V715" s="807"/>
      <c r="W715" s="807"/>
      <c r="X715" s="807"/>
      <c r="Y715" s="807"/>
      <c r="Z715" s="807"/>
    </row>
    <row r="716" ht="171.75" customHeight="1">
      <c r="A716" s="807"/>
      <c r="B716" s="807"/>
      <c r="C716" s="807"/>
      <c r="D716" s="807"/>
      <c r="E716" s="807"/>
      <c r="F716" s="807"/>
      <c r="G716" s="807"/>
      <c r="H716" s="807"/>
      <c r="I716" s="807"/>
      <c r="J716" s="807"/>
      <c r="K716" s="807"/>
      <c r="L716" s="807"/>
      <c r="M716" s="807"/>
      <c r="N716" s="807"/>
      <c r="O716" s="807"/>
      <c r="P716" s="807"/>
      <c r="Q716" s="807"/>
      <c r="R716" s="807"/>
      <c r="S716" s="807"/>
      <c r="T716" s="807"/>
      <c r="U716" s="807"/>
      <c r="V716" s="807"/>
      <c r="W716" s="807"/>
      <c r="X716" s="807"/>
      <c r="Y716" s="807"/>
      <c r="Z716" s="807"/>
    </row>
    <row r="717" ht="171.75" customHeight="1">
      <c r="A717" s="807"/>
      <c r="B717" s="807"/>
      <c r="C717" s="807"/>
      <c r="D717" s="807"/>
      <c r="E717" s="807"/>
      <c r="F717" s="807"/>
      <c r="G717" s="807"/>
      <c r="H717" s="807"/>
      <c r="I717" s="807"/>
      <c r="J717" s="807"/>
      <c r="K717" s="807"/>
      <c r="L717" s="807"/>
      <c r="M717" s="807"/>
      <c r="N717" s="807"/>
      <c r="O717" s="807"/>
      <c r="P717" s="807"/>
      <c r="Q717" s="807"/>
      <c r="R717" s="807"/>
      <c r="S717" s="807"/>
      <c r="T717" s="807"/>
      <c r="U717" s="807"/>
      <c r="V717" s="807"/>
      <c r="W717" s="807"/>
      <c r="X717" s="807"/>
      <c r="Y717" s="807"/>
      <c r="Z717" s="807"/>
    </row>
    <row r="718" ht="171.75" customHeight="1">
      <c r="A718" s="807"/>
      <c r="B718" s="807"/>
      <c r="C718" s="807"/>
      <c r="D718" s="807"/>
      <c r="E718" s="807"/>
      <c r="F718" s="807"/>
      <c r="G718" s="807"/>
      <c r="H718" s="807"/>
      <c r="I718" s="807"/>
      <c r="J718" s="807"/>
      <c r="K718" s="807"/>
      <c r="L718" s="807"/>
      <c r="M718" s="807"/>
      <c r="N718" s="807"/>
      <c r="O718" s="807"/>
      <c r="P718" s="807"/>
      <c r="Q718" s="807"/>
      <c r="R718" s="807"/>
      <c r="S718" s="807"/>
      <c r="T718" s="807"/>
      <c r="U718" s="807"/>
      <c r="V718" s="807"/>
      <c r="W718" s="807"/>
      <c r="X718" s="807"/>
      <c r="Y718" s="807"/>
      <c r="Z718" s="807"/>
    </row>
    <row r="719" ht="171.75" customHeight="1">
      <c r="A719" s="807"/>
      <c r="B719" s="807"/>
      <c r="C719" s="807"/>
      <c r="D719" s="807"/>
      <c r="E719" s="807"/>
      <c r="F719" s="807"/>
      <c r="G719" s="807"/>
      <c r="H719" s="807"/>
      <c r="I719" s="807"/>
      <c r="J719" s="807"/>
      <c r="K719" s="807"/>
      <c r="L719" s="807"/>
      <c r="M719" s="807"/>
      <c r="N719" s="807"/>
      <c r="O719" s="807"/>
      <c r="P719" s="807"/>
      <c r="Q719" s="807"/>
      <c r="R719" s="807"/>
      <c r="S719" s="807"/>
      <c r="T719" s="807"/>
      <c r="U719" s="807"/>
      <c r="V719" s="807"/>
      <c r="W719" s="807"/>
      <c r="X719" s="807"/>
      <c r="Y719" s="807"/>
      <c r="Z719" s="807"/>
    </row>
    <row r="720" ht="171.75" customHeight="1">
      <c r="A720" s="807"/>
      <c r="B720" s="807"/>
      <c r="C720" s="807"/>
      <c r="D720" s="807"/>
      <c r="E720" s="807"/>
      <c r="F720" s="807"/>
      <c r="G720" s="807"/>
      <c r="H720" s="807"/>
      <c r="I720" s="807"/>
      <c r="J720" s="807"/>
      <c r="K720" s="807"/>
      <c r="L720" s="807"/>
      <c r="M720" s="807"/>
      <c r="N720" s="807"/>
      <c r="O720" s="807"/>
      <c r="P720" s="807"/>
      <c r="Q720" s="807"/>
      <c r="R720" s="807"/>
      <c r="S720" s="807"/>
      <c r="T720" s="807"/>
      <c r="U720" s="807"/>
      <c r="V720" s="807"/>
      <c r="W720" s="807"/>
      <c r="X720" s="807"/>
      <c r="Y720" s="807"/>
      <c r="Z720" s="807"/>
    </row>
    <row r="721" ht="171.75" customHeight="1">
      <c r="A721" s="807"/>
      <c r="B721" s="807"/>
      <c r="C721" s="807"/>
      <c r="D721" s="807"/>
      <c r="E721" s="807"/>
      <c r="F721" s="807"/>
      <c r="G721" s="807"/>
      <c r="H721" s="807"/>
      <c r="I721" s="807"/>
      <c r="J721" s="807"/>
      <c r="K721" s="807"/>
      <c r="L721" s="807"/>
      <c r="M721" s="807"/>
      <c r="N721" s="807"/>
      <c r="O721" s="807"/>
      <c r="P721" s="807"/>
      <c r="Q721" s="807"/>
      <c r="R721" s="807"/>
      <c r="S721" s="807"/>
      <c r="T721" s="807"/>
      <c r="U721" s="807"/>
      <c r="V721" s="807"/>
      <c r="W721" s="807"/>
      <c r="X721" s="807"/>
      <c r="Y721" s="807"/>
      <c r="Z721" s="807"/>
    </row>
    <row r="722" ht="171.75" customHeight="1">
      <c r="A722" s="807"/>
      <c r="B722" s="807"/>
      <c r="C722" s="807"/>
      <c r="D722" s="807"/>
      <c r="E722" s="807"/>
      <c r="F722" s="807"/>
      <c r="G722" s="807"/>
      <c r="H722" s="807"/>
      <c r="I722" s="807"/>
      <c r="J722" s="807"/>
      <c r="K722" s="807"/>
      <c r="L722" s="807"/>
      <c r="M722" s="807"/>
      <c r="N722" s="807"/>
      <c r="O722" s="807"/>
      <c r="P722" s="807"/>
      <c r="Q722" s="807"/>
      <c r="R722" s="807"/>
      <c r="S722" s="807"/>
      <c r="T722" s="807"/>
      <c r="U722" s="807"/>
      <c r="V722" s="807"/>
      <c r="W722" s="807"/>
      <c r="X722" s="807"/>
      <c r="Y722" s="807"/>
      <c r="Z722" s="807"/>
    </row>
    <row r="723" ht="171.75" customHeight="1">
      <c r="A723" s="807"/>
      <c r="B723" s="807"/>
      <c r="C723" s="807"/>
      <c r="D723" s="807"/>
      <c r="E723" s="807"/>
      <c r="F723" s="807"/>
      <c r="G723" s="807"/>
      <c r="H723" s="807"/>
      <c r="I723" s="807"/>
      <c r="J723" s="807"/>
      <c r="K723" s="807"/>
      <c r="L723" s="807"/>
      <c r="M723" s="807"/>
      <c r="N723" s="807"/>
      <c r="O723" s="807"/>
      <c r="P723" s="807"/>
      <c r="Q723" s="807"/>
      <c r="R723" s="807"/>
      <c r="S723" s="807"/>
      <c r="T723" s="807"/>
      <c r="U723" s="807"/>
      <c r="V723" s="807"/>
      <c r="W723" s="807"/>
      <c r="X723" s="807"/>
      <c r="Y723" s="807"/>
      <c r="Z723" s="807"/>
    </row>
    <row r="724" ht="171.75" customHeight="1">
      <c r="A724" s="807"/>
      <c r="B724" s="807"/>
      <c r="C724" s="807"/>
      <c r="D724" s="807"/>
      <c r="E724" s="807"/>
      <c r="F724" s="807"/>
      <c r="G724" s="807"/>
      <c r="H724" s="807"/>
      <c r="I724" s="807"/>
      <c r="J724" s="807"/>
      <c r="K724" s="807"/>
      <c r="L724" s="807"/>
      <c r="M724" s="807"/>
      <c r="N724" s="807"/>
      <c r="O724" s="807"/>
      <c r="P724" s="807"/>
      <c r="Q724" s="807"/>
      <c r="R724" s="807"/>
      <c r="S724" s="807"/>
      <c r="T724" s="807"/>
      <c r="U724" s="807"/>
      <c r="V724" s="807"/>
      <c r="W724" s="807"/>
      <c r="X724" s="807"/>
      <c r="Y724" s="807"/>
      <c r="Z724" s="807"/>
    </row>
    <row r="725" ht="171.75" customHeight="1">
      <c r="A725" s="807"/>
      <c r="B725" s="807"/>
      <c r="C725" s="807"/>
      <c r="D725" s="807"/>
      <c r="E725" s="807"/>
      <c r="F725" s="807"/>
      <c r="G725" s="807"/>
      <c r="H725" s="807"/>
      <c r="I725" s="807"/>
      <c r="J725" s="807"/>
      <c r="K725" s="807"/>
      <c r="L725" s="807"/>
      <c r="M725" s="807"/>
      <c r="N725" s="807"/>
      <c r="O725" s="807"/>
      <c r="P725" s="807"/>
      <c r="Q725" s="807"/>
      <c r="R725" s="807"/>
      <c r="S725" s="807"/>
      <c r="T725" s="807"/>
      <c r="U725" s="807"/>
      <c r="V725" s="807"/>
      <c r="W725" s="807"/>
      <c r="X725" s="807"/>
      <c r="Y725" s="807"/>
      <c r="Z725" s="807"/>
    </row>
    <row r="726" ht="171.75" customHeight="1">
      <c r="A726" s="807"/>
      <c r="B726" s="807"/>
      <c r="C726" s="807"/>
      <c r="D726" s="807"/>
      <c r="E726" s="807"/>
      <c r="F726" s="807"/>
      <c r="G726" s="807"/>
      <c r="H726" s="807"/>
      <c r="I726" s="807"/>
      <c r="J726" s="807"/>
      <c r="K726" s="807"/>
      <c r="L726" s="807"/>
      <c r="M726" s="807"/>
      <c r="N726" s="807"/>
      <c r="O726" s="807"/>
      <c r="P726" s="807"/>
      <c r="Q726" s="807"/>
      <c r="R726" s="807"/>
      <c r="S726" s="807"/>
      <c r="T726" s="807"/>
      <c r="U726" s="807"/>
      <c r="V726" s="807"/>
      <c r="W726" s="807"/>
      <c r="X726" s="807"/>
      <c r="Y726" s="807"/>
      <c r="Z726" s="807"/>
    </row>
    <row r="727" ht="171.75" customHeight="1">
      <c r="A727" s="807"/>
      <c r="B727" s="807"/>
      <c r="C727" s="807"/>
      <c r="D727" s="807"/>
      <c r="E727" s="807"/>
      <c r="F727" s="807"/>
      <c r="G727" s="807"/>
      <c r="H727" s="807"/>
      <c r="I727" s="807"/>
      <c r="J727" s="807"/>
      <c r="K727" s="807"/>
      <c r="L727" s="807"/>
      <c r="M727" s="807"/>
      <c r="N727" s="807"/>
      <c r="O727" s="807"/>
      <c r="P727" s="807"/>
      <c r="Q727" s="807"/>
      <c r="R727" s="807"/>
      <c r="S727" s="807"/>
      <c r="T727" s="807"/>
      <c r="U727" s="807"/>
      <c r="V727" s="807"/>
      <c r="W727" s="807"/>
      <c r="X727" s="807"/>
      <c r="Y727" s="807"/>
      <c r="Z727" s="807"/>
    </row>
    <row r="728" ht="171.75" customHeight="1">
      <c r="A728" s="807"/>
      <c r="B728" s="807"/>
      <c r="C728" s="807"/>
      <c r="D728" s="807"/>
      <c r="E728" s="807"/>
      <c r="F728" s="807"/>
      <c r="G728" s="807"/>
      <c r="H728" s="807"/>
      <c r="I728" s="807"/>
      <c r="J728" s="807"/>
      <c r="K728" s="807"/>
      <c r="L728" s="807"/>
      <c r="M728" s="807"/>
      <c r="N728" s="807"/>
      <c r="O728" s="807"/>
      <c r="P728" s="807"/>
      <c r="Q728" s="807"/>
      <c r="R728" s="807"/>
      <c r="S728" s="807"/>
      <c r="T728" s="807"/>
      <c r="U728" s="807"/>
      <c r="V728" s="807"/>
      <c r="W728" s="807"/>
      <c r="X728" s="807"/>
      <c r="Y728" s="807"/>
      <c r="Z728" s="807"/>
    </row>
    <row r="729" ht="171.75" customHeight="1">
      <c r="A729" s="807"/>
      <c r="B729" s="807"/>
      <c r="C729" s="807"/>
      <c r="D729" s="807"/>
      <c r="E729" s="807"/>
      <c r="F729" s="807"/>
      <c r="G729" s="807"/>
      <c r="H729" s="807"/>
      <c r="I729" s="807"/>
      <c r="J729" s="807"/>
      <c r="K729" s="807"/>
      <c r="L729" s="807"/>
      <c r="M729" s="807"/>
      <c r="N729" s="807"/>
      <c r="O729" s="807"/>
      <c r="P729" s="807"/>
      <c r="Q729" s="807"/>
      <c r="R729" s="807"/>
      <c r="S729" s="807"/>
      <c r="T729" s="807"/>
      <c r="U729" s="807"/>
      <c r="V729" s="807"/>
      <c r="W729" s="807"/>
      <c r="X729" s="807"/>
      <c r="Y729" s="807"/>
      <c r="Z729" s="807"/>
    </row>
    <row r="730" ht="171.75" customHeight="1">
      <c r="A730" s="807"/>
      <c r="B730" s="807"/>
      <c r="C730" s="807"/>
      <c r="D730" s="807"/>
      <c r="E730" s="807"/>
      <c r="F730" s="807"/>
      <c r="G730" s="807"/>
      <c r="H730" s="807"/>
      <c r="I730" s="807"/>
      <c r="J730" s="807"/>
      <c r="K730" s="807"/>
      <c r="L730" s="807"/>
      <c r="M730" s="807"/>
      <c r="N730" s="807"/>
      <c r="O730" s="807"/>
      <c r="P730" s="807"/>
      <c r="Q730" s="807"/>
      <c r="R730" s="807"/>
      <c r="S730" s="807"/>
      <c r="T730" s="807"/>
      <c r="U730" s="807"/>
      <c r="V730" s="807"/>
      <c r="W730" s="807"/>
      <c r="X730" s="807"/>
      <c r="Y730" s="807"/>
      <c r="Z730" s="807"/>
    </row>
    <row r="731" ht="171.75" customHeight="1">
      <c r="A731" s="807"/>
      <c r="B731" s="807"/>
      <c r="C731" s="807"/>
      <c r="D731" s="807"/>
      <c r="E731" s="807"/>
      <c r="F731" s="807"/>
      <c r="G731" s="807"/>
      <c r="H731" s="807"/>
      <c r="I731" s="807"/>
      <c r="J731" s="807"/>
      <c r="K731" s="807"/>
      <c r="L731" s="807"/>
      <c r="M731" s="807"/>
      <c r="N731" s="807"/>
      <c r="O731" s="807"/>
      <c r="P731" s="807"/>
      <c r="Q731" s="807"/>
      <c r="R731" s="807"/>
      <c r="S731" s="807"/>
      <c r="T731" s="807"/>
      <c r="U731" s="807"/>
      <c r="V731" s="807"/>
      <c r="W731" s="807"/>
      <c r="X731" s="807"/>
      <c r="Y731" s="807"/>
      <c r="Z731" s="807"/>
    </row>
    <row r="732" ht="171.75" customHeight="1">
      <c r="A732" s="807"/>
      <c r="B732" s="807"/>
      <c r="C732" s="807"/>
      <c r="D732" s="807"/>
      <c r="E732" s="807"/>
      <c r="F732" s="807"/>
      <c r="G732" s="807"/>
      <c r="H732" s="807"/>
      <c r="I732" s="807"/>
      <c r="J732" s="807"/>
      <c r="K732" s="807"/>
      <c r="L732" s="807"/>
      <c r="M732" s="807"/>
      <c r="N732" s="807"/>
      <c r="O732" s="807"/>
      <c r="P732" s="807"/>
      <c r="Q732" s="807"/>
      <c r="R732" s="807"/>
      <c r="S732" s="807"/>
      <c r="T732" s="807"/>
      <c r="U732" s="807"/>
      <c r="V732" s="807"/>
      <c r="W732" s="807"/>
      <c r="X732" s="807"/>
      <c r="Y732" s="807"/>
      <c r="Z732" s="807"/>
    </row>
    <row r="733" ht="171.75" customHeight="1">
      <c r="A733" s="807"/>
      <c r="B733" s="807"/>
      <c r="C733" s="807"/>
      <c r="D733" s="807"/>
      <c r="E733" s="807"/>
      <c r="F733" s="807"/>
      <c r="G733" s="807"/>
      <c r="H733" s="807"/>
      <c r="I733" s="807"/>
      <c r="J733" s="807"/>
      <c r="K733" s="807"/>
      <c r="L733" s="807"/>
      <c r="M733" s="807"/>
      <c r="N733" s="807"/>
      <c r="O733" s="807"/>
      <c r="P733" s="807"/>
      <c r="Q733" s="807"/>
      <c r="R733" s="807"/>
      <c r="S733" s="807"/>
      <c r="T733" s="807"/>
      <c r="U733" s="807"/>
      <c r="V733" s="807"/>
      <c r="W733" s="807"/>
      <c r="X733" s="807"/>
      <c r="Y733" s="807"/>
      <c r="Z733" s="807"/>
    </row>
    <row r="734" ht="171.75" customHeight="1">
      <c r="A734" s="807"/>
      <c r="B734" s="807"/>
      <c r="C734" s="807"/>
      <c r="D734" s="807"/>
      <c r="E734" s="807"/>
      <c r="F734" s="807"/>
      <c r="G734" s="807"/>
      <c r="H734" s="807"/>
      <c r="I734" s="807"/>
      <c r="J734" s="807"/>
      <c r="K734" s="807"/>
      <c r="L734" s="807"/>
      <c r="M734" s="807"/>
      <c r="N734" s="807"/>
      <c r="O734" s="807"/>
      <c r="P734" s="807"/>
      <c r="Q734" s="807"/>
      <c r="R734" s="807"/>
      <c r="S734" s="807"/>
      <c r="T734" s="807"/>
      <c r="U734" s="807"/>
      <c r="V734" s="807"/>
      <c r="W734" s="807"/>
      <c r="X734" s="807"/>
      <c r="Y734" s="807"/>
      <c r="Z734" s="807"/>
    </row>
    <row r="735" ht="171.75" customHeight="1">
      <c r="A735" s="807"/>
      <c r="B735" s="807"/>
      <c r="C735" s="807"/>
      <c r="D735" s="807"/>
      <c r="E735" s="807"/>
      <c r="F735" s="807"/>
      <c r="G735" s="807"/>
      <c r="H735" s="807"/>
      <c r="I735" s="807"/>
      <c r="J735" s="807"/>
      <c r="K735" s="807"/>
      <c r="L735" s="807"/>
      <c r="M735" s="807"/>
      <c r="N735" s="807"/>
      <c r="O735" s="807"/>
      <c r="P735" s="807"/>
      <c r="Q735" s="807"/>
      <c r="R735" s="807"/>
      <c r="S735" s="807"/>
      <c r="T735" s="807"/>
      <c r="U735" s="807"/>
      <c r="V735" s="807"/>
      <c r="W735" s="807"/>
      <c r="X735" s="807"/>
      <c r="Y735" s="807"/>
      <c r="Z735" s="807"/>
    </row>
    <row r="736" ht="171.75" customHeight="1">
      <c r="A736" s="807"/>
      <c r="B736" s="807"/>
      <c r="C736" s="807"/>
      <c r="D736" s="807"/>
      <c r="E736" s="807"/>
      <c r="F736" s="807"/>
      <c r="G736" s="807"/>
      <c r="H736" s="807"/>
      <c r="I736" s="807"/>
      <c r="J736" s="807"/>
      <c r="K736" s="807"/>
      <c r="L736" s="807"/>
      <c r="M736" s="807"/>
      <c r="N736" s="807"/>
      <c r="O736" s="807"/>
      <c r="P736" s="807"/>
      <c r="Q736" s="807"/>
      <c r="R736" s="807"/>
      <c r="S736" s="807"/>
      <c r="T736" s="807"/>
      <c r="U736" s="807"/>
      <c r="V736" s="807"/>
      <c r="W736" s="807"/>
      <c r="X736" s="807"/>
      <c r="Y736" s="807"/>
      <c r="Z736" s="807"/>
    </row>
    <row r="737" ht="171.75" customHeight="1">
      <c r="A737" s="807"/>
      <c r="B737" s="807"/>
      <c r="C737" s="807"/>
      <c r="D737" s="807"/>
      <c r="E737" s="807"/>
      <c r="F737" s="807"/>
      <c r="G737" s="807"/>
      <c r="H737" s="807"/>
      <c r="I737" s="807"/>
      <c r="J737" s="807"/>
      <c r="K737" s="807"/>
      <c r="L737" s="807"/>
      <c r="M737" s="807"/>
      <c r="N737" s="807"/>
      <c r="O737" s="807"/>
      <c r="P737" s="807"/>
      <c r="Q737" s="807"/>
      <c r="R737" s="807"/>
      <c r="S737" s="807"/>
      <c r="T737" s="807"/>
      <c r="U737" s="807"/>
      <c r="V737" s="807"/>
      <c r="W737" s="807"/>
      <c r="X737" s="807"/>
      <c r="Y737" s="807"/>
      <c r="Z737" s="807"/>
    </row>
    <row r="738" ht="171.75" customHeight="1">
      <c r="A738" s="807"/>
      <c r="B738" s="807"/>
      <c r="C738" s="807"/>
      <c r="D738" s="807"/>
      <c r="E738" s="807"/>
      <c r="F738" s="807"/>
      <c r="G738" s="807"/>
      <c r="H738" s="807"/>
      <c r="I738" s="807"/>
      <c r="J738" s="807"/>
      <c r="K738" s="807"/>
      <c r="L738" s="807"/>
      <c r="M738" s="807"/>
      <c r="N738" s="807"/>
      <c r="O738" s="807"/>
      <c r="P738" s="807"/>
      <c r="Q738" s="807"/>
      <c r="R738" s="807"/>
      <c r="S738" s="807"/>
      <c r="T738" s="807"/>
      <c r="U738" s="807"/>
      <c r="V738" s="807"/>
      <c r="W738" s="807"/>
      <c r="X738" s="807"/>
      <c r="Y738" s="807"/>
      <c r="Z738" s="807"/>
    </row>
    <row r="739" ht="171.75" customHeight="1">
      <c r="A739" s="807"/>
      <c r="B739" s="807"/>
      <c r="C739" s="807"/>
      <c r="D739" s="807"/>
      <c r="E739" s="807"/>
      <c r="F739" s="807"/>
      <c r="G739" s="807"/>
      <c r="H739" s="807"/>
      <c r="I739" s="807"/>
      <c r="J739" s="807"/>
      <c r="K739" s="807"/>
      <c r="L739" s="807"/>
      <c r="M739" s="807"/>
      <c r="N739" s="807"/>
      <c r="O739" s="807"/>
      <c r="P739" s="807"/>
      <c r="Q739" s="807"/>
      <c r="R739" s="807"/>
      <c r="S739" s="807"/>
      <c r="T739" s="807"/>
      <c r="U739" s="807"/>
      <c r="V739" s="807"/>
      <c r="W739" s="807"/>
      <c r="X739" s="807"/>
      <c r="Y739" s="807"/>
      <c r="Z739" s="807"/>
    </row>
    <row r="740" ht="171.75" customHeight="1">
      <c r="A740" s="807"/>
      <c r="B740" s="807"/>
      <c r="C740" s="807"/>
      <c r="D740" s="807"/>
      <c r="E740" s="807"/>
      <c r="F740" s="807"/>
      <c r="G740" s="807"/>
      <c r="H740" s="807"/>
      <c r="I740" s="807"/>
      <c r="J740" s="807"/>
      <c r="K740" s="807"/>
      <c r="L740" s="807"/>
      <c r="M740" s="807"/>
      <c r="N740" s="807"/>
      <c r="O740" s="807"/>
      <c r="P740" s="807"/>
      <c r="Q740" s="807"/>
      <c r="R740" s="807"/>
      <c r="S740" s="807"/>
      <c r="T740" s="807"/>
      <c r="U740" s="807"/>
      <c r="V740" s="807"/>
      <c r="W740" s="807"/>
      <c r="X740" s="807"/>
      <c r="Y740" s="807"/>
      <c r="Z740" s="807"/>
    </row>
    <row r="741" ht="171.75" customHeight="1">
      <c r="A741" s="807"/>
      <c r="B741" s="807"/>
      <c r="C741" s="807"/>
      <c r="D741" s="807"/>
      <c r="E741" s="807"/>
      <c r="F741" s="807"/>
      <c r="G741" s="807"/>
      <c r="H741" s="807"/>
      <c r="I741" s="807"/>
      <c r="J741" s="807"/>
      <c r="K741" s="807"/>
      <c r="L741" s="807"/>
      <c r="M741" s="807"/>
      <c r="N741" s="807"/>
      <c r="O741" s="807"/>
      <c r="P741" s="807"/>
      <c r="Q741" s="807"/>
      <c r="R741" s="807"/>
      <c r="S741" s="807"/>
      <c r="T741" s="807"/>
      <c r="U741" s="807"/>
      <c r="V741" s="807"/>
      <c r="W741" s="807"/>
      <c r="X741" s="807"/>
      <c r="Y741" s="807"/>
      <c r="Z741" s="807"/>
    </row>
    <row r="742" ht="171.75" customHeight="1">
      <c r="A742" s="807"/>
      <c r="B742" s="807"/>
      <c r="C742" s="807"/>
      <c r="D742" s="807"/>
      <c r="E742" s="807"/>
      <c r="F742" s="807"/>
      <c r="G742" s="807"/>
      <c r="H742" s="807"/>
      <c r="I742" s="807"/>
      <c r="J742" s="807"/>
      <c r="K742" s="807"/>
      <c r="L742" s="807"/>
      <c r="M742" s="807"/>
      <c r="N742" s="807"/>
      <c r="O742" s="807"/>
      <c r="P742" s="807"/>
      <c r="Q742" s="807"/>
      <c r="R742" s="807"/>
      <c r="S742" s="807"/>
      <c r="T742" s="807"/>
      <c r="U742" s="807"/>
      <c r="V742" s="807"/>
      <c r="W742" s="807"/>
      <c r="X742" s="807"/>
      <c r="Y742" s="807"/>
      <c r="Z742" s="807"/>
    </row>
    <row r="743" ht="171.75" customHeight="1">
      <c r="A743" s="807"/>
      <c r="B743" s="807"/>
      <c r="C743" s="807"/>
      <c r="D743" s="807"/>
      <c r="E743" s="807"/>
      <c r="F743" s="807"/>
      <c r="G743" s="807"/>
      <c r="H743" s="807"/>
      <c r="I743" s="807"/>
      <c r="J743" s="807"/>
      <c r="K743" s="807"/>
      <c r="L743" s="807"/>
      <c r="M743" s="807"/>
      <c r="N743" s="807"/>
      <c r="O743" s="807"/>
      <c r="P743" s="807"/>
      <c r="Q743" s="807"/>
      <c r="R743" s="807"/>
      <c r="S743" s="807"/>
      <c r="T743" s="807"/>
      <c r="U743" s="807"/>
      <c r="V743" s="807"/>
      <c r="W743" s="807"/>
      <c r="X743" s="807"/>
      <c r="Y743" s="807"/>
      <c r="Z743" s="807"/>
    </row>
    <row r="744" ht="171.75" customHeight="1">
      <c r="A744" s="807"/>
      <c r="B744" s="807"/>
      <c r="C744" s="807"/>
      <c r="D744" s="807"/>
      <c r="E744" s="807"/>
      <c r="F744" s="807"/>
      <c r="G744" s="807"/>
      <c r="H744" s="807"/>
      <c r="I744" s="807"/>
      <c r="J744" s="807"/>
      <c r="K744" s="807"/>
      <c r="L744" s="807"/>
      <c r="M744" s="807"/>
      <c r="N744" s="807"/>
      <c r="O744" s="807"/>
      <c r="P744" s="807"/>
      <c r="Q744" s="807"/>
      <c r="R744" s="807"/>
      <c r="S744" s="807"/>
      <c r="T744" s="807"/>
      <c r="U744" s="807"/>
      <c r="V744" s="807"/>
      <c r="W744" s="807"/>
      <c r="X744" s="807"/>
      <c r="Y744" s="807"/>
      <c r="Z744" s="807"/>
    </row>
    <row r="745" ht="171.75" customHeight="1">
      <c r="A745" s="807"/>
      <c r="B745" s="807"/>
      <c r="C745" s="807"/>
      <c r="D745" s="807"/>
      <c r="E745" s="807"/>
      <c r="F745" s="807"/>
      <c r="G745" s="807"/>
      <c r="H745" s="807"/>
      <c r="I745" s="807"/>
      <c r="J745" s="807"/>
      <c r="K745" s="807"/>
      <c r="L745" s="807"/>
      <c r="M745" s="807"/>
      <c r="N745" s="807"/>
      <c r="O745" s="807"/>
      <c r="P745" s="807"/>
      <c r="Q745" s="807"/>
      <c r="R745" s="807"/>
      <c r="S745" s="807"/>
      <c r="T745" s="807"/>
      <c r="U745" s="807"/>
      <c r="V745" s="807"/>
      <c r="W745" s="807"/>
      <c r="X745" s="807"/>
      <c r="Y745" s="807"/>
      <c r="Z745" s="807"/>
    </row>
    <row r="746" ht="171.75" customHeight="1">
      <c r="A746" s="807"/>
      <c r="B746" s="807"/>
      <c r="C746" s="807"/>
      <c r="D746" s="807"/>
      <c r="E746" s="807"/>
      <c r="F746" s="807"/>
      <c r="G746" s="807"/>
      <c r="H746" s="807"/>
      <c r="I746" s="807"/>
      <c r="J746" s="807"/>
      <c r="K746" s="807"/>
      <c r="L746" s="807"/>
      <c r="M746" s="807"/>
      <c r="N746" s="807"/>
      <c r="O746" s="807"/>
      <c r="P746" s="807"/>
      <c r="Q746" s="807"/>
      <c r="R746" s="807"/>
      <c r="S746" s="807"/>
      <c r="T746" s="807"/>
      <c r="U746" s="807"/>
      <c r="V746" s="807"/>
      <c r="W746" s="807"/>
      <c r="X746" s="807"/>
      <c r="Y746" s="807"/>
      <c r="Z746" s="807"/>
    </row>
    <row r="747" ht="171.75" customHeight="1">
      <c r="A747" s="807"/>
      <c r="B747" s="807"/>
      <c r="C747" s="807"/>
      <c r="D747" s="807"/>
      <c r="E747" s="807"/>
      <c r="F747" s="807"/>
      <c r="G747" s="807"/>
      <c r="H747" s="807"/>
      <c r="I747" s="807"/>
      <c r="J747" s="807"/>
      <c r="K747" s="807"/>
      <c r="L747" s="807"/>
      <c r="M747" s="807"/>
      <c r="N747" s="807"/>
      <c r="O747" s="807"/>
      <c r="P747" s="807"/>
      <c r="Q747" s="807"/>
      <c r="R747" s="807"/>
      <c r="S747" s="807"/>
      <c r="T747" s="807"/>
      <c r="U747" s="807"/>
      <c r="V747" s="807"/>
      <c r="W747" s="807"/>
      <c r="X747" s="807"/>
      <c r="Y747" s="807"/>
      <c r="Z747" s="807"/>
    </row>
    <row r="748" ht="171.75" customHeight="1">
      <c r="A748" s="807"/>
      <c r="B748" s="807"/>
      <c r="C748" s="807"/>
      <c r="D748" s="807"/>
      <c r="E748" s="807"/>
      <c r="F748" s="807"/>
      <c r="G748" s="807"/>
      <c r="H748" s="807"/>
      <c r="I748" s="807"/>
      <c r="J748" s="807"/>
      <c r="K748" s="807"/>
      <c r="L748" s="807"/>
      <c r="M748" s="807"/>
      <c r="N748" s="807"/>
      <c r="O748" s="807"/>
      <c r="P748" s="807"/>
      <c r="Q748" s="807"/>
      <c r="R748" s="807"/>
      <c r="S748" s="807"/>
      <c r="T748" s="807"/>
      <c r="U748" s="807"/>
      <c r="V748" s="807"/>
      <c r="W748" s="807"/>
      <c r="X748" s="807"/>
      <c r="Y748" s="807"/>
      <c r="Z748" s="807"/>
    </row>
    <row r="749" ht="171.75" customHeight="1">
      <c r="A749" s="807"/>
      <c r="B749" s="807"/>
      <c r="C749" s="807"/>
      <c r="D749" s="807"/>
      <c r="E749" s="807"/>
      <c r="F749" s="807"/>
      <c r="G749" s="807"/>
      <c r="H749" s="807"/>
      <c r="I749" s="807"/>
      <c r="J749" s="807"/>
      <c r="K749" s="807"/>
      <c r="L749" s="807"/>
      <c r="M749" s="807"/>
      <c r="N749" s="807"/>
      <c r="O749" s="807"/>
      <c r="P749" s="807"/>
      <c r="Q749" s="807"/>
      <c r="R749" s="807"/>
      <c r="S749" s="807"/>
      <c r="T749" s="807"/>
      <c r="U749" s="807"/>
      <c r="V749" s="807"/>
      <c r="W749" s="807"/>
      <c r="X749" s="807"/>
      <c r="Y749" s="807"/>
      <c r="Z749" s="807"/>
    </row>
    <row r="750" ht="171.75" customHeight="1">
      <c r="A750" s="807"/>
      <c r="B750" s="807"/>
      <c r="C750" s="807"/>
      <c r="D750" s="807"/>
      <c r="E750" s="807"/>
      <c r="F750" s="807"/>
      <c r="G750" s="807"/>
      <c r="H750" s="807"/>
      <c r="I750" s="807"/>
      <c r="J750" s="807"/>
      <c r="K750" s="807"/>
      <c r="L750" s="807"/>
      <c r="M750" s="807"/>
      <c r="N750" s="807"/>
      <c r="O750" s="807"/>
      <c r="P750" s="807"/>
      <c r="Q750" s="807"/>
      <c r="R750" s="807"/>
      <c r="S750" s="807"/>
      <c r="T750" s="807"/>
      <c r="U750" s="807"/>
      <c r="V750" s="807"/>
      <c r="W750" s="807"/>
      <c r="X750" s="807"/>
      <c r="Y750" s="807"/>
      <c r="Z750" s="807"/>
    </row>
    <row r="751" ht="171.75" customHeight="1">
      <c r="A751" s="807"/>
      <c r="B751" s="807"/>
      <c r="C751" s="807"/>
      <c r="D751" s="807"/>
      <c r="E751" s="807"/>
      <c r="F751" s="807"/>
      <c r="G751" s="807"/>
      <c r="H751" s="807"/>
      <c r="I751" s="807"/>
      <c r="J751" s="807"/>
      <c r="K751" s="807"/>
      <c r="L751" s="807"/>
      <c r="M751" s="807"/>
      <c r="N751" s="807"/>
      <c r="O751" s="807"/>
      <c r="P751" s="807"/>
      <c r="Q751" s="807"/>
      <c r="R751" s="807"/>
      <c r="S751" s="807"/>
      <c r="T751" s="807"/>
      <c r="U751" s="807"/>
      <c r="V751" s="807"/>
      <c r="W751" s="807"/>
      <c r="X751" s="807"/>
      <c r="Y751" s="807"/>
      <c r="Z751" s="807"/>
    </row>
    <row r="752" ht="171.75" customHeight="1">
      <c r="A752" s="807"/>
      <c r="B752" s="807"/>
      <c r="C752" s="807"/>
      <c r="D752" s="807"/>
      <c r="E752" s="807"/>
      <c r="F752" s="807"/>
      <c r="G752" s="807"/>
      <c r="H752" s="807"/>
      <c r="I752" s="807"/>
      <c r="J752" s="807"/>
      <c r="K752" s="807"/>
      <c r="L752" s="807"/>
      <c r="M752" s="807"/>
      <c r="N752" s="807"/>
      <c r="O752" s="807"/>
      <c r="P752" s="807"/>
      <c r="Q752" s="807"/>
      <c r="R752" s="807"/>
      <c r="S752" s="807"/>
      <c r="T752" s="807"/>
      <c r="U752" s="807"/>
      <c r="V752" s="807"/>
      <c r="W752" s="807"/>
      <c r="X752" s="807"/>
      <c r="Y752" s="807"/>
      <c r="Z752" s="807"/>
    </row>
    <row r="753" ht="171.75" customHeight="1">
      <c r="A753" s="807"/>
      <c r="B753" s="807"/>
      <c r="C753" s="807"/>
      <c r="D753" s="807"/>
      <c r="E753" s="807"/>
      <c r="F753" s="807"/>
      <c r="G753" s="807"/>
      <c r="H753" s="807"/>
      <c r="I753" s="807"/>
      <c r="J753" s="807"/>
      <c r="K753" s="807"/>
      <c r="L753" s="807"/>
      <c r="M753" s="807"/>
      <c r="N753" s="807"/>
      <c r="O753" s="807"/>
      <c r="P753" s="807"/>
      <c r="Q753" s="807"/>
      <c r="R753" s="807"/>
      <c r="S753" s="807"/>
      <c r="T753" s="807"/>
      <c r="U753" s="807"/>
      <c r="V753" s="807"/>
      <c r="W753" s="807"/>
      <c r="X753" s="807"/>
      <c r="Y753" s="807"/>
      <c r="Z753" s="807"/>
    </row>
    <row r="754" ht="171.75" customHeight="1">
      <c r="A754" s="807"/>
      <c r="B754" s="807"/>
      <c r="C754" s="807"/>
      <c r="D754" s="807"/>
      <c r="E754" s="807"/>
      <c r="F754" s="807"/>
      <c r="G754" s="807"/>
      <c r="H754" s="807"/>
      <c r="I754" s="807"/>
      <c r="J754" s="807"/>
      <c r="K754" s="807"/>
      <c r="L754" s="807"/>
      <c r="M754" s="807"/>
      <c r="N754" s="807"/>
      <c r="O754" s="807"/>
      <c r="P754" s="807"/>
      <c r="Q754" s="807"/>
      <c r="R754" s="807"/>
      <c r="S754" s="807"/>
      <c r="T754" s="807"/>
      <c r="U754" s="807"/>
      <c r="V754" s="807"/>
      <c r="W754" s="807"/>
      <c r="X754" s="807"/>
      <c r="Y754" s="807"/>
      <c r="Z754" s="807"/>
    </row>
    <row r="755" ht="171.75" customHeight="1">
      <c r="A755" s="807"/>
      <c r="B755" s="807"/>
      <c r="C755" s="807"/>
      <c r="D755" s="807"/>
      <c r="E755" s="807"/>
      <c r="F755" s="807"/>
      <c r="G755" s="807"/>
      <c r="H755" s="807"/>
      <c r="I755" s="807"/>
      <c r="J755" s="807"/>
      <c r="K755" s="807"/>
      <c r="L755" s="807"/>
      <c r="M755" s="807"/>
      <c r="N755" s="807"/>
      <c r="O755" s="807"/>
      <c r="P755" s="807"/>
      <c r="Q755" s="807"/>
      <c r="R755" s="807"/>
      <c r="S755" s="807"/>
      <c r="T755" s="807"/>
      <c r="U755" s="807"/>
      <c r="V755" s="807"/>
      <c r="W755" s="807"/>
      <c r="X755" s="807"/>
      <c r="Y755" s="807"/>
      <c r="Z755" s="807"/>
    </row>
    <row r="756" ht="171.75" customHeight="1">
      <c r="A756" s="807"/>
      <c r="B756" s="807"/>
      <c r="C756" s="807"/>
      <c r="D756" s="807"/>
      <c r="E756" s="807"/>
      <c r="F756" s="807"/>
      <c r="G756" s="807"/>
      <c r="H756" s="807"/>
      <c r="I756" s="807"/>
      <c r="J756" s="807"/>
      <c r="K756" s="807"/>
      <c r="L756" s="807"/>
      <c r="M756" s="807"/>
      <c r="N756" s="807"/>
      <c r="O756" s="807"/>
      <c r="P756" s="807"/>
      <c r="Q756" s="807"/>
      <c r="R756" s="807"/>
      <c r="S756" s="807"/>
      <c r="T756" s="807"/>
      <c r="U756" s="807"/>
      <c r="V756" s="807"/>
      <c r="W756" s="807"/>
      <c r="X756" s="807"/>
      <c r="Y756" s="807"/>
      <c r="Z756" s="807"/>
    </row>
    <row r="757" ht="171.75" customHeight="1">
      <c r="A757" s="807"/>
      <c r="B757" s="807"/>
      <c r="C757" s="807"/>
      <c r="D757" s="807"/>
      <c r="E757" s="807"/>
      <c r="F757" s="807"/>
      <c r="G757" s="807"/>
      <c r="H757" s="807"/>
      <c r="I757" s="807"/>
      <c r="J757" s="807"/>
      <c r="K757" s="807"/>
      <c r="L757" s="807"/>
      <c r="M757" s="807"/>
      <c r="N757" s="807"/>
      <c r="O757" s="807"/>
      <c r="P757" s="807"/>
      <c r="Q757" s="807"/>
      <c r="R757" s="807"/>
      <c r="S757" s="807"/>
      <c r="T757" s="807"/>
      <c r="U757" s="807"/>
      <c r="V757" s="807"/>
      <c r="W757" s="807"/>
      <c r="X757" s="807"/>
      <c r="Y757" s="807"/>
      <c r="Z757" s="807"/>
    </row>
    <row r="758" ht="171.75" customHeight="1">
      <c r="A758" s="807"/>
      <c r="B758" s="807"/>
      <c r="C758" s="807"/>
      <c r="D758" s="807"/>
      <c r="E758" s="807"/>
      <c r="F758" s="807"/>
      <c r="G758" s="807"/>
      <c r="H758" s="807"/>
      <c r="I758" s="807"/>
      <c r="J758" s="807"/>
      <c r="K758" s="807"/>
      <c r="L758" s="807"/>
      <c r="M758" s="807"/>
      <c r="N758" s="807"/>
      <c r="O758" s="807"/>
      <c r="P758" s="807"/>
      <c r="Q758" s="807"/>
      <c r="R758" s="807"/>
      <c r="S758" s="807"/>
      <c r="T758" s="807"/>
      <c r="U758" s="807"/>
      <c r="V758" s="807"/>
      <c r="W758" s="807"/>
      <c r="X758" s="807"/>
      <c r="Y758" s="807"/>
      <c r="Z758" s="807"/>
    </row>
    <row r="759" ht="171.75" customHeight="1">
      <c r="A759" s="807"/>
      <c r="B759" s="807"/>
      <c r="C759" s="807"/>
      <c r="D759" s="807"/>
      <c r="E759" s="807"/>
      <c r="F759" s="807"/>
      <c r="G759" s="807"/>
      <c r="H759" s="807"/>
      <c r="I759" s="807"/>
      <c r="J759" s="807"/>
      <c r="K759" s="807"/>
      <c r="L759" s="807"/>
      <c r="M759" s="807"/>
      <c r="N759" s="807"/>
      <c r="O759" s="807"/>
      <c r="P759" s="807"/>
      <c r="Q759" s="807"/>
      <c r="R759" s="807"/>
      <c r="S759" s="807"/>
      <c r="T759" s="807"/>
      <c r="U759" s="807"/>
      <c r="V759" s="807"/>
      <c r="W759" s="807"/>
      <c r="X759" s="807"/>
      <c r="Y759" s="807"/>
      <c r="Z759" s="807"/>
    </row>
    <row r="760" ht="171.75" customHeight="1">
      <c r="A760" s="807"/>
      <c r="B760" s="807"/>
      <c r="C760" s="807"/>
      <c r="D760" s="807"/>
      <c r="E760" s="807"/>
      <c r="F760" s="807"/>
      <c r="G760" s="807"/>
      <c r="H760" s="807"/>
      <c r="I760" s="807"/>
      <c r="J760" s="807"/>
      <c r="K760" s="807"/>
      <c r="L760" s="807"/>
      <c r="M760" s="807"/>
      <c r="N760" s="807"/>
      <c r="O760" s="807"/>
      <c r="P760" s="807"/>
      <c r="Q760" s="807"/>
      <c r="R760" s="807"/>
      <c r="S760" s="807"/>
      <c r="T760" s="807"/>
      <c r="U760" s="807"/>
      <c r="V760" s="807"/>
      <c r="W760" s="807"/>
      <c r="X760" s="807"/>
      <c r="Y760" s="807"/>
      <c r="Z760" s="807"/>
    </row>
    <row r="761" ht="171.75" customHeight="1">
      <c r="A761" s="807"/>
      <c r="B761" s="807"/>
      <c r="C761" s="807"/>
      <c r="D761" s="807"/>
      <c r="E761" s="807"/>
      <c r="F761" s="807"/>
      <c r="G761" s="807"/>
      <c r="H761" s="807"/>
      <c r="I761" s="807"/>
      <c r="J761" s="807"/>
      <c r="K761" s="807"/>
      <c r="L761" s="807"/>
      <c r="M761" s="807"/>
      <c r="N761" s="807"/>
      <c r="O761" s="807"/>
      <c r="P761" s="807"/>
      <c r="Q761" s="807"/>
      <c r="R761" s="807"/>
      <c r="S761" s="807"/>
      <c r="T761" s="807"/>
      <c r="U761" s="807"/>
      <c r="V761" s="807"/>
      <c r="W761" s="807"/>
      <c r="X761" s="807"/>
      <c r="Y761" s="807"/>
      <c r="Z761" s="807"/>
    </row>
    <row r="762" ht="171.75" customHeight="1">
      <c r="A762" s="807"/>
      <c r="B762" s="807"/>
      <c r="C762" s="807"/>
      <c r="D762" s="807"/>
      <c r="E762" s="807"/>
      <c r="F762" s="807"/>
      <c r="G762" s="807"/>
      <c r="H762" s="807"/>
      <c r="I762" s="807"/>
      <c r="J762" s="807"/>
      <c r="K762" s="807"/>
      <c r="L762" s="807"/>
      <c r="M762" s="807"/>
      <c r="N762" s="807"/>
      <c r="O762" s="807"/>
      <c r="P762" s="807"/>
      <c r="Q762" s="807"/>
      <c r="R762" s="807"/>
      <c r="S762" s="807"/>
      <c r="T762" s="807"/>
      <c r="U762" s="807"/>
      <c r="V762" s="807"/>
      <c r="W762" s="807"/>
      <c r="X762" s="807"/>
      <c r="Y762" s="807"/>
      <c r="Z762" s="807"/>
    </row>
    <row r="763" ht="171.75" customHeight="1">
      <c r="A763" s="807"/>
      <c r="B763" s="807"/>
      <c r="C763" s="807"/>
      <c r="D763" s="807"/>
      <c r="E763" s="807"/>
      <c r="F763" s="807"/>
      <c r="G763" s="807"/>
      <c r="H763" s="807"/>
      <c r="I763" s="807"/>
      <c r="J763" s="807"/>
      <c r="K763" s="807"/>
      <c r="L763" s="807"/>
      <c r="M763" s="807"/>
      <c r="N763" s="807"/>
      <c r="O763" s="807"/>
      <c r="P763" s="807"/>
      <c r="Q763" s="807"/>
      <c r="R763" s="807"/>
      <c r="S763" s="807"/>
      <c r="T763" s="807"/>
      <c r="U763" s="807"/>
      <c r="V763" s="807"/>
      <c r="W763" s="807"/>
      <c r="X763" s="807"/>
      <c r="Y763" s="807"/>
      <c r="Z763" s="807"/>
    </row>
    <row r="764" ht="171.75" customHeight="1">
      <c r="A764" s="807"/>
      <c r="B764" s="807"/>
      <c r="C764" s="807"/>
      <c r="D764" s="807"/>
      <c r="E764" s="807"/>
      <c r="F764" s="807"/>
      <c r="G764" s="807"/>
      <c r="H764" s="807"/>
      <c r="I764" s="807"/>
      <c r="J764" s="807"/>
      <c r="K764" s="807"/>
      <c r="L764" s="807"/>
      <c r="M764" s="807"/>
      <c r="N764" s="807"/>
      <c r="O764" s="807"/>
      <c r="P764" s="807"/>
      <c r="Q764" s="807"/>
      <c r="R764" s="807"/>
      <c r="S764" s="807"/>
      <c r="T764" s="807"/>
      <c r="U764" s="807"/>
      <c r="V764" s="807"/>
      <c r="W764" s="807"/>
      <c r="X764" s="807"/>
      <c r="Y764" s="807"/>
      <c r="Z764" s="807"/>
    </row>
    <row r="765" ht="171.75" customHeight="1">
      <c r="A765" s="807"/>
      <c r="B765" s="807"/>
      <c r="C765" s="807"/>
      <c r="D765" s="807"/>
      <c r="E765" s="807"/>
      <c r="F765" s="807"/>
      <c r="G765" s="807"/>
      <c r="H765" s="807"/>
      <c r="I765" s="807"/>
      <c r="J765" s="807"/>
      <c r="K765" s="807"/>
      <c r="L765" s="807"/>
      <c r="M765" s="807"/>
      <c r="N765" s="807"/>
      <c r="O765" s="807"/>
      <c r="P765" s="807"/>
      <c r="Q765" s="807"/>
      <c r="R765" s="807"/>
      <c r="S765" s="807"/>
      <c r="T765" s="807"/>
      <c r="U765" s="807"/>
      <c r="V765" s="807"/>
      <c r="W765" s="807"/>
      <c r="X765" s="807"/>
      <c r="Y765" s="807"/>
      <c r="Z765" s="807"/>
    </row>
    <row r="766" ht="171.75" customHeight="1">
      <c r="A766" s="807"/>
      <c r="B766" s="807"/>
      <c r="C766" s="807"/>
      <c r="D766" s="807"/>
      <c r="E766" s="807"/>
      <c r="F766" s="807"/>
      <c r="G766" s="807"/>
      <c r="H766" s="807"/>
      <c r="I766" s="807"/>
      <c r="J766" s="807"/>
      <c r="K766" s="807"/>
      <c r="L766" s="807"/>
      <c r="M766" s="807"/>
      <c r="N766" s="807"/>
      <c r="O766" s="807"/>
      <c r="P766" s="807"/>
      <c r="Q766" s="807"/>
      <c r="R766" s="807"/>
      <c r="S766" s="807"/>
      <c r="T766" s="807"/>
      <c r="U766" s="807"/>
      <c r="V766" s="807"/>
      <c r="W766" s="807"/>
      <c r="X766" s="807"/>
      <c r="Y766" s="807"/>
      <c r="Z766" s="807"/>
    </row>
    <row r="767" ht="171.75" customHeight="1">
      <c r="A767" s="807"/>
      <c r="B767" s="807"/>
      <c r="C767" s="807"/>
      <c r="D767" s="807"/>
      <c r="E767" s="807"/>
      <c r="F767" s="807"/>
      <c r="G767" s="807"/>
      <c r="H767" s="807"/>
      <c r="I767" s="807"/>
      <c r="J767" s="807"/>
      <c r="K767" s="807"/>
      <c r="L767" s="807"/>
      <c r="M767" s="807"/>
      <c r="N767" s="807"/>
      <c r="O767" s="807"/>
      <c r="P767" s="807"/>
      <c r="Q767" s="807"/>
      <c r="R767" s="807"/>
      <c r="S767" s="807"/>
      <c r="T767" s="807"/>
      <c r="U767" s="807"/>
      <c r="V767" s="807"/>
      <c r="W767" s="807"/>
      <c r="X767" s="807"/>
      <c r="Y767" s="807"/>
      <c r="Z767" s="807"/>
    </row>
    <row r="768" ht="171.75" customHeight="1">
      <c r="A768" s="807"/>
      <c r="B768" s="807"/>
      <c r="C768" s="807"/>
      <c r="D768" s="807"/>
      <c r="E768" s="807"/>
      <c r="F768" s="807"/>
      <c r="G768" s="807"/>
      <c r="H768" s="807"/>
      <c r="I768" s="807"/>
      <c r="J768" s="807"/>
      <c r="K768" s="807"/>
      <c r="L768" s="807"/>
      <c r="M768" s="807"/>
      <c r="N768" s="807"/>
      <c r="O768" s="807"/>
      <c r="P768" s="807"/>
      <c r="Q768" s="807"/>
      <c r="R768" s="807"/>
      <c r="S768" s="807"/>
      <c r="T768" s="807"/>
      <c r="U768" s="807"/>
      <c r="V768" s="807"/>
      <c r="W768" s="807"/>
      <c r="X768" s="807"/>
      <c r="Y768" s="807"/>
      <c r="Z768" s="807"/>
    </row>
    <row r="769" ht="171.75" customHeight="1">
      <c r="A769" s="807"/>
      <c r="B769" s="807"/>
      <c r="C769" s="807"/>
      <c r="D769" s="807"/>
      <c r="E769" s="807"/>
      <c r="F769" s="807"/>
      <c r="G769" s="807"/>
      <c r="H769" s="807"/>
      <c r="I769" s="807"/>
      <c r="J769" s="807"/>
      <c r="K769" s="807"/>
      <c r="L769" s="807"/>
      <c r="M769" s="807"/>
      <c r="N769" s="807"/>
      <c r="O769" s="807"/>
      <c r="P769" s="807"/>
      <c r="Q769" s="807"/>
      <c r="R769" s="807"/>
      <c r="S769" s="807"/>
      <c r="T769" s="807"/>
      <c r="U769" s="807"/>
      <c r="V769" s="807"/>
      <c r="W769" s="807"/>
      <c r="X769" s="807"/>
      <c r="Y769" s="807"/>
      <c r="Z769" s="807"/>
    </row>
    <row r="770" ht="171.75" customHeight="1">
      <c r="A770" s="807"/>
      <c r="B770" s="807"/>
      <c r="C770" s="807"/>
      <c r="D770" s="807"/>
      <c r="E770" s="807"/>
      <c r="F770" s="807"/>
      <c r="G770" s="807"/>
      <c r="H770" s="807"/>
      <c r="I770" s="807"/>
      <c r="J770" s="807"/>
      <c r="K770" s="807"/>
      <c r="L770" s="807"/>
      <c r="M770" s="807"/>
      <c r="N770" s="807"/>
      <c r="O770" s="807"/>
      <c r="P770" s="807"/>
      <c r="Q770" s="807"/>
      <c r="R770" s="807"/>
      <c r="S770" s="807"/>
      <c r="T770" s="807"/>
      <c r="U770" s="807"/>
      <c r="V770" s="807"/>
      <c r="W770" s="807"/>
      <c r="X770" s="807"/>
      <c r="Y770" s="807"/>
      <c r="Z770" s="807"/>
    </row>
    <row r="771" ht="171.75" customHeight="1">
      <c r="A771" s="807"/>
      <c r="B771" s="807"/>
      <c r="C771" s="807"/>
      <c r="D771" s="807"/>
      <c r="E771" s="807"/>
      <c r="F771" s="807"/>
      <c r="G771" s="807"/>
      <c r="H771" s="807"/>
      <c r="I771" s="807"/>
      <c r="J771" s="807"/>
      <c r="K771" s="807"/>
      <c r="L771" s="807"/>
      <c r="M771" s="807"/>
      <c r="N771" s="807"/>
      <c r="O771" s="807"/>
      <c r="P771" s="807"/>
      <c r="Q771" s="807"/>
      <c r="R771" s="807"/>
      <c r="S771" s="807"/>
      <c r="T771" s="807"/>
      <c r="U771" s="807"/>
      <c r="V771" s="807"/>
      <c r="W771" s="807"/>
      <c r="X771" s="807"/>
      <c r="Y771" s="807"/>
      <c r="Z771" s="807"/>
    </row>
    <row r="772" ht="171.75" customHeight="1">
      <c r="A772" s="807"/>
      <c r="B772" s="807"/>
      <c r="C772" s="807"/>
      <c r="D772" s="807"/>
      <c r="E772" s="807"/>
      <c r="F772" s="807"/>
      <c r="G772" s="807"/>
      <c r="H772" s="807"/>
      <c r="I772" s="807"/>
      <c r="J772" s="807"/>
      <c r="K772" s="807"/>
      <c r="L772" s="807"/>
      <c r="M772" s="807"/>
      <c r="N772" s="807"/>
      <c r="O772" s="807"/>
      <c r="P772" s="807"/>
      <c r="Q772" s="807"/>
      <c r="R772" s="807"/>
      <c r="S772" s="807"/>
      <c r="T772" s="807"/>
      <c r="U772" s="807"/>
      <c r="V772" s="807"/>
      <c r="W772" s="807"/>
      <c r="X772" s="807"/>
      <c r="Y772" s="807"/>
      <c r="Z772" s="807"/>
    </row>
    <row r="773" ht="171.75" customHeight="1">
      <c r="A773" s="807"/>
      <c r="B773" s="807"/>
      <c r="C773" s="807"/>
      <c r="D773" s="807"/>
      <c r="E773" s="807"/>
      <c r="F773" s="807"/>
      <c r="G773" s="807"/>
      <c r="H773" s="807"/>
      <c r="I773" s="807"/>
      <c r="J773" s="807"/>
      <c r="K773" s="807"/>
      <c r="L773" s="807"/>
      <c r="M773" s="807"/>
      <c r="N773" s="807"/>
      <c r="O773" s="807"/>
      <c r="P773" s="807"/>
      <c r="Q773" s="807"/>
      <c r="R773" s="807"/>
      <c r="S773" s="807"/>
      <c r="T773" s="807"/>
      <c r="U773" s="807"/>
      <c r="V773" s="807"/>
      <c r="W773" s="807"/>
      <c r="X773" s="807"/>
      <c r="Y773" s="807"/>
      <c r="Z773" s="807"/>
    </row>
    <row r="774" ht="171.75" customHeight="1">
      <c r="A774" s="807"/>
      <c r="B774" s="807"/>
      <c r="C774" s="807"/>
      <c r="D774" s="807"/>
      <c r="E774" s="807"/>
      <c r="F774" s="807"/>
      <c r="G774" s="807"/>
      <c r="H774" s="807"/>
      <c r="I774" s="807"/>
      <c r="J774" s="807"/>
      <c r="K774" s="807"/>
      <c r="L774" s="807"/>
      <c r="M774" s="807"/>
      <c r="N774" s="807"/>
      <c r="O774" s="807"/>
      <c r="P774" s="807"/>
      <c r="Q774" s="807"/>
      <c r="R774" s="807"/>
      <c r="S774" s="807"/>
      <c r="T774" s="807"/>
      <c r="U774" s="807"/>
      <c r="V774" s="807"/>
      <c r="W774" s="807"/>
      <c r="X774" s="807"/>
      <c r="Y774" s="807"/>
      <c r="Z774" s="807"/>
    </row>
    <row r="775" ht="171.75" customHeight="1">
      <c r="A775" s="807"/>
      <c r="B775" s="807"/>
      <c r="C775" s="807"/>
      <c r="D775" s="807"/>
      <c r="E775" s="807"/>
      <c r="F775" s="807"/>
      <c r="G775" s="807"/>
      <c r="H775" s="807"/>
      <c r="I775" s="807"/>
      <c r="J775" s="807"/>
      <c r="K775" s="807"/>
      <c r="L775" s="807"/>
      <c r="M775" s="807"/>
      <c r="N775" s="807"/>
      <c r="O775" s="807"/>
      <c r="P775" s="807"/>
      <c r="Q775" s="807"/>
      <c r="R775" s="807"/>
      <c r="S775" s="807"/>
      <c r="T775" s="807"/>
      <c r="U775" s="807"/>
      <c r="V775" s="807"/>
      <c r="W775" s="807"/>
      <c r="X775" s="807"/>
      <c r="Y775" s="807"/>
      <c r="Z775" s="807"/>
    </row>
    <row r="776" ht="171.75" customHeight="1">
      <c r="A776" s="807"/>
      <c r="B776" s="807"/>
      <c r="C776" s="807"/>
      <c r="D776" s="807"/>
      <c r="E776" s="807"/>
      <c r="F776" s="807"/>
      <c r="G776" s="807"/>
      <c r="H776" s="807"/>
      <c r="I776" s="807"/>
      <c r="J776" s="807"/>
      <c r="K776" s="807"/>
      <c r="L776" s="807"/>
      <c r="M776" s="807"/>
      <c r="N776" s="807"/>
      <c r="O776" s="807"/>
      <c r="P776" s="807"/>
      <c r="Q776" s="807"/>
      <c r="R776" s="807"/>
      <c r="S776" s="807"/>
      <c r="T776" s="807"/>
      <c r="U776" s="807"/>
      <c r="V776" s="807"/>
      <c r="W776" s="807"/>
      <c r="X776" s="807"/>
      <c r="Y776" s="807"/>
      <c r="Z776" s="807"/>
    </row>
    <row r="777" ht="171.75" customHeight="1">
      <c r="A777" s="807"/>
      <c r="B777" s="807"/>
      <c r="C777" s="807"/>
      <c r="D777" s="807"/>
      <c r="E777" s="807"/>
      <c r="F777" s="807"/>
      <c r="G777" s="807"/>
      <c r="H777" s="807"/>
      <c r="I777" s="807"/>
      <c r="J777" s="807"/>
      <c r="K777" s="807"/>
      <c r="L777" s="807"/>
      <c r="M777" s="807"/>
      <c r="N777" s="807"/>
      <c r="O777" s="807"/>
      <c r="P777" s="807"/>
      <c r="Q777" s="807"/>
      <c r="R777" s="807"/>
      <c r="S777" s="807"/>
      <c r="T777" s="807"/>
      <c r="U777" s="807"/>
      <c r="V777" s="807"/>
      <c r="W777" s="807"/>
      <c r="X777" s="807"/>
      <c r="Y777" s="807"/>
      <c r="Z777" s="807"/>
    </row>
    <row r="778" ht="171.75" customHeight="1">
      <c r="A778" s="807"/>
      <c r="B778" s="807"/>
      <c r="C778" s="807"/>
      <c r="D778" s="807"/>
      <c r="E778" s="807"/>
      <c r="F778" s="807"/>
      <c r="G778" s="807"/>
      <c r="H778" s="807"/>
      <c r="I778" s="807"/>
      <c r="J778" s="807"/>
      <c r="K778" s="807"/>
      <c r="L778" s="807"/>
      <c r="M778" s="807"/>
      <c r="N778" s="807"/>
      <c r="O778" s="807"/>
      <c r="P778" s="807"/>
      <c r="Q778" s="807"/>
      <c r="R778" s="807"/>
      <c r="S778" s="807"/>
      <c r="T778" s="807"/>
      <c r="U778" s="807"/>
      <c r="V778" s="807"/>
      <c r="W778" s="807"/>
      <c r="X778" s="807"/>
      <c r="Y778" s="807"/>
      <c r="Z778" s="807"/>
    </row>
    <row r="779" ht="171.75" customHeight="1">
      <c r="A779" s="807"/>
      <c r="B779" s="807"/>
      <c r="C779" s="807"/>
      <c r="D779" s="807"/>
      <c r="E779" s="807"/>
      <c r="F779" s="807"/>
      <c r="G779" s="807"/>
      <c r="H779" s="807"/>
      <c r="I779" s="807"/>
      <c r="J779" s="807"/>
      <c r="K779" s="807"/>
      <c r="L779" s="807"/>
      <c r="M779" s="807"/>
      <c r="N779" s="807"/>
      <c r="O779" s="807"/>
      <c r="P779" s="807"/>
      <c r="Q779" s="807"/>
      <c r="R779" s="807"/>
      <c r="S779" s="807"/>
      <c r="T779" s="807"/>
      <c r="U779" s="807"/>
      <c r="V779" s="807"/>
      <c r="W779" s="807"/>
      <c r="X779" s="807"/>
      <c r="Y779" s="807"/>
      <c r="Z779" s="807"/>
    </row>
    <row r="780" ht="171.75" customHeight="1">
      <c r="A780" s="807"/>
      <c r="B780" s="807"/>
      <c r="C780" s="807"/>
      <c r="D780" s="807"/>
      <c r="E780" s="807"/>
      <c r="F780" s="807"/>
      <c r="G780" s="807"/>
      <c r="H780" s="807"/>
      <c r="I780" s="807"/>
      <c r="J780" s="807"/>
      <c r="K780" s="807"/>
      <c r="L780" s="807"/>
      <c r="M780" s="807"/>
      <c r="N780" s="807"/>
      <c r="O780" s="807"/>
      <c r="P780" s="807"/>
      <c r="Q780" s="807"/>
      <c r="R780" s="807"/>
      <c r="S780" s="807"/>
      <c r="T780" s="807"/>
      <c r="U780" s="807"/>
      <c r="V780" s="807"/>
      <c r="W780" s="807"/>
      <c r="X780" s="807"/>
      <c r="Y780" s="807"/>
      <c r="Z780" s="807"/>
    </row>
    <row r="781" ht="171.75" customHeight="1">
      <c r="A781" s="807"/>
      <c r="B781" s="807"/>
      <c r="C781" s="807"/>
      <c r="D781" s="807"/>
      <c r="E781" s="807"/>
      <c r="F781" s="807"/>
      <c r="G781" s="807"/>
      <c r="H781" s="807"/>
      <c r="I781" s="807"/>
      <c r="J781" s="807"/>
      <c r="K781" s="807"/>
      <c r="L781" s="807"/>
      <c r="M781" s="807"/>
      <c r="N781" s="807"/>
      <c r="O781" s="807"/>
      <c r="P781" s="807"/>
      <c r="Q781" s="807"/>
      <c r="R781" s="807"/>
      <c r="S781" s="807"/>
      <c r="T781" s="807"/>
      <c r="U781" s="807"/>
      <c r="V781" s="807"/>
      <c r="W781" s="807"/>
      <c r="X781" s="807"/>
      <c r="Y781" s="807"/>
      <c r="Z781" s="807"/>
    </row>
    <row r="782" ht="171.75" customHeight="1">
      <c r="A782" s="807"/>
      <c r="B782" s="807"/>
      <c r="C782" s="807"/>
      <c r="D782" s="807"/>
      <c r="E782" s="807"/>
      <c r="F782" s="807"/>
      <c r="G782" s="807"/>
      <c r="H782" s="807"/>
      <c r="I782" s="807"/>
      <c r="J782" s="807"/>
      <c r="K782" s="807"/>
      <c r="L782" s="807"/>
      <c r="M782" s="807"/>
      <c r="N782" s="807"/>
      <c r="O782" s="807"/>
      <c r="P782" s="807"/>
      <c r="Q782" s="807"/>
      <c r="R782" s="807"/>
      <c r="S782" s="807"/>
      <c r="T782" s="807"/>
      <c r="U782" s="807"/>
      <c r="V782" s="807"/>
      <c r="W782" s="807"/>
      <c r="X782" s="807"/>
      <c r="Y782" s="807"/>
      <c r="Z782" s="807"/>
    </row>
    <row r="783" ht="171.75" customHeight="1">
      <c r="A783" s="807"/>
      <c r="B783" s="807"/>
      <c r="C783" s="807"/>
      <c r="D783" s="807"/>
      <c r="E783" s="807"/>
      <c r="F783" s="807"/>
      <c r="G783" s="807"/>
      <c r="H783" s="807"/>
      <c r="I783" s="807"/>
      <c r="J783" s="807"/>
      <c r="K783" s="807"/>
      <c r="L783" s="807"/>
      <c r="M783" s="807"/>
      <c r="N783" s="807"/>
      <c r="O783" s="807"/>
      <c r="P783" s="807"/>
      <c r="Q783" s="807"/>
      <c r="R783" s="807"/>
      <c r="S783" s="807"/>
      <c r="T783" s="807"/>
      <c r="U783" s="807"/>
      <c r="V783" s="807"/>
      <c r="W783" s="807"/>
      <c r="X783" s="807"/>
      <c r="Y783" s="807"/>
      <c r="Z783" s="807"/>
    </row>
    <row r="784" ht="171.75" customHeight="1">
      <c r="A784" s="807"/>
      <c r="B784" s="807"/>
      <c r="C784" s="807"/>
      <c r="D784" s="807"/>
      <c r="E784" s="807"/>
      <c r="F784" s="807"/>
      <c r="G784" s="807"/>
      <c r="H784" s="807"/>
      <c r="I784" s="807"/>
      <c r="J784" s="807"/>
      <c r="K784" s="807"/>
      <c r="L784" s="807"/>
      <c r="M784" s="807"/>
      <c r="N784" s="807"/>
      <c r="O784" s="807"/>
      <c r="P784" s="807"/>
      <c r="Q784" s="807"/>
      <c r="R784" s="807"/>
      <c r="S784" s="807"/>
      <c r="T784" s="807"/>
      <c r="U784" s="807"/>
      <c r="V784" s="807"/>
      <c r="W784" s="807"/>
      <c r="X784" s="807"/>
      <c r="Y784" s="807"/>
      <c r="Z784" s="807"/>
    </row>
    <row r="785" ht="171.75" customHeight="1">
      <c r="A785" s="807"/>
      <c r="B785" s="807"/>
      <c r="C785" s="807"/>
      <c r="D785" s="807"/>
      <c r="E785" s="807"/>
      <c r="F785" s="807"/>
      <c r="G785" s="807"/>
      <c r="H785" s="807"/>
      <c r="I785" s="807"/>
      <c r="J785" s="807"/>
      <c r="K785" s="807"/>
      <c r="L785" s="807"/>
      <c r="M785" s="807"/>
      <c r="N785" s="807"/>
      <c r="O785" s="807"/>
      <c r="P785" s="807"/>
      <c r="Q785" s="807"/>
      <c r="R785" s="807"/>
      <c r="S785" s="807"/>
      <c r="T785" s="807"/>
      <c r="U785" s="807"/>
      <c r="V785" s="807"/>
      <c r="W785" s="807"/>
      <c r="X785" s="807"/>
      <c r="Y785" s="807"/>
      <c r="Z785" s="807"/>
    </row>
    <row r="786" ht="171.75" customHeight="1">
      <c r="A786" s="807"/>
      <c r="B786" s="807"/>
      <c r="C786" s="807"/>
      <c r="D786" s="807"/>
      <c r="E786" s="807"/>
      <c r="F786" s="807"/>
      <c r="G786" s="807"/>
      <c r="H786" s="807"/>
      <c r="I786" s="807"/>
      <c r="J786" s="807"/>
      <c r="K786" s="807"/>
      <c r="L786" s="807"/>
      <c r="M786" s="807"/>
      <c r="N786" s="807"/>
      <c r="O786" s="807"/>
      <c r="P786" s="807"/>
      <c r="Q786" s="807"/>
      <c r="R786" s="807"/>
      <c r="S786" s="807"/>
      <c r="T786" s="807"/>
      <c r="U786" s="807"/>
      <c r="V786" s="807"/>
      <c r="W786" s="807"/>
      <c r="X786" s="807"/>
      <c r="Y786" s="807"/>
      <c r="Z786" s="807"/>
    </row>
    <row r="787" ht="171.75" customHeight="1">
      <c r="A787" s="807"/>
      <c r="B787" s="807"/>
      <c r="C787" s="807"/>
      <c r="D787" s="807"/>
      <c r="E787" s="807"/>
      <c r="F787" s="807"/>
      <c r="G787" s="807"/>
      <c r="H787" s="807"/>
      <c r="I787" s="807"/>
      <c r="J787" s="807"/>
      <c r="K787" s="807"/>
      <c r="L787" s="807"/>
      <c r="M787" s="807"/>
      <c r="N787" s="807"/>
      <c r="O787" s="807"/>
      <c r="P787" s="807"/>
      <c r="Q787" s="807"/>
      <c r="R787" s="807"/>
      <c r="S787" s="807"/>
      <c r="T787" s="807"/>
      <c r="U787" s="807"/>
      <c r="V787" s="807"/>
      <c r="W787" s="807"/>
      <c r="X787" s="807"/>
      <c r="Y787" s="807"/>
      <c r="Z787" s="807"/>
    </row>
    <row r="788" ht="171.75" customHeight="1">
      <c r="A788" s="807"/>
      <c r="B788" s="807"/>
      <c r="C788" s="807"/>
      <c r="D788" s="807"/>
      <c r="E788" s="807"/>
      <c r="F788" s="807"/>
      <c r="G788" s="807"/>
      <c r="H788" s="807"/>
      <c r="I788" s="807"/>
      <c r="J788" s="807"/>
      <c r="K788" s="807"/>
      <c r="L788" s="807"/>
      <c r="M788" s="807"/>
      <c r="N788" s="807"/>
      <c r="O788" s="807"/>
      <c r="P788" s="807"/>
      <c r="Q788" s="807"/>
      <c r="R788" s="807"/>
      <c r="S788" s="807"/>
      <c r="T788" s="807"/>
      <c r="U788" s="807"/>
      <c r="V788" s="807"/>
      <c r="W788" s="807"/>
      <c r="X788" s="807"/>
      <c r="Y788" s="807"/>
      <c r="Z788" s="807"/>
    </row>
    <row r="789" ht="171.75" customHeight="1">
      <c r="A789" s="807"/>
      <c r="B789" s="807"/>
      <c r="C789" s="807"/>
      <c r="D789" s="807"/>
      <c r="E789" s="807"/>
      <c r="F789" s="807"/>
      <c r="G789" s="807"/>
      <c r="H789" s="807"/>
      <c r="I789" s="807"/>
      <c r="J789" s="807"/>
      <c r="K789" s="807"/>
      <c r="L789" s="807"/>
      <c r="M789" s="807"/>
      <c r="N789" s="807"/>
      <c r="O789" s="807"/>
      <c r="P789" s="807"/>
      <c r="Q789" s="807"/>
      <c r="R789" s="807"/>
      <c r="S789" s="807"/>
      <c r="T789" s="807"/>
      <c r="U789" s="807"/>
      <c r="V789" s="807"/>
      <c r="W789" s="807"/>
      <c r="X789" s="807"/>
      <c r="Y789" s="807"/>
      <c r="Z789" s="807"/>
    </row>
    <row r="790" ht="171.75" customHeight="1">
      <c r="A790" s="807"/>
      <c r="B790" s="807"/>
      <c r="C790" s="807"/>
      <c r="D790" s="807"/>
      <c r="E790" s="807"/>
      <c r="F790" s="807"/>
      <c r="G790" s="807"/>
      <c r="H790" s="807"/>
      <c r="I790" s="807"/>
      <c r="J790" s="807"/>
      <c r="K790" s="807"/>
      <c r="L790" s="807"/>
      <c r="M790" s="807"/>
      <c r="N790" s="807"/>
      <c r="O790" s="807"/>
      <c r="P790" s="807"/>
      <c r="Q790" s="807"/>
      <c r="R790" s="807"/>
      <c r="S790" s="807"/>
      <c r="T790" s="807"/>
      <c r="U790" s="807"/>
      <c r="V790" s="807"/>
      <c r="W790" s="807"/>
      <c r="X790" s="807"/>
      <c r="Y790" s="807"/>
      <c r="Z790" s="807"/>
    </row>
    <row r="791" ht="171.75" customHeight="1">
      <c r="A791" s="807"/>
      <c r="B791" s="807"/>
      <c r="C791" s="807"/>
      <c r="D791" s="807"/>
      <c r="E791" s="807"/>
      <c r="F791" s="807"/>
      <c r="G791" s="807"/>
      <c r="H791" s="807"/>
      <c r="I791" s="807"/>
      <c r="J791" s="807"/>
      <c r="K791" s="807"/>
      <c r="L791" s="807"/>
      <c r="M791" s="807"/>
      <c r="N791" s="807"/>
      <c r="O791" s="807"/>
      <c r="P791" s="807"/>
      <c r="Q791" s="807"/>
      <c r="R791" s="807"/>
      <c r="S791" s="807"/>
      <c r="T791" s="807"/>
      <c r="U791" s="807"/>
      <c r="V791" s="807"/>
      <c r="W791" s="807"/>
      <c r="X791" s="807"/>
      <c r="Y791" s="807"/>
      <c r="Z791" s="807"/>
    </row>
    <row r="792" ht="171.75" customHeight="1">
      <c r="A792" s="807"/>
      <c r="B792" s="807"/>
      <c r="C792" s="807"/>
      <c r="D792" s="807"/>
      <c r="E792" s="807"/>
      <c r="F792" s="807"/>
      <c r="G792" s="807"/>
      <c r="H792" s="807"/>
      <c r="I792" s="807"/>
      <c r="J792" s="807"/>
      <c r="K792" s="807"/>
      <c r="L792" s="807"/>
      <c r="M792" s="807"/>
      <c r="N792" s="807"/>
      <c r="O792" s="807"/>
      <c r="P792" s="807"/>
      <c r="Q792" s="807"/>
      <c r="R792" s="807"/>
      <c r="S792" s="807"/>
      <c r="T792" s="807"/>
      <c r="U792" s="807"/>
      <c r="V792" s="807"/>
      <c r="W792" s="807"/>
      <c r="X792" s="807"/>
      <c r="Y792" s="807"/>
      <c r="Z792" s="807"/>
    </row>
    <row r="793" ht="171.75" customHeight="1">
      <c r="A793" s="807"/>
      <c r="B793" s="807"/>
      <c r="C793" s="807"/>
      <c r="D793" s="807"/>
      <c r="E793" s="807"/>
      <c r="F793" s="807"/>
      <c r="G793" s="807"/>
      <c r="H793" s="807"/>
      <c r="I793" s="807"/>
      <c r="J793" s="807"/>
      <c r="K793" s="807"/>
      <c r="L793" s="807"/>
      <c r="M793" s="807"/>
      <c r="N793" s="807"/>
      <c r="O793" s="807"/>
      <c r="P793" s="807"/>
      <c r="Q793" s="807"/>
      <c r="R793" s="807"/>
      <c r="S793" s="807"/>
      <c r="T793" s="807"/>
      <c r="U793" s="807"/>
      <c r="V793" s="807"/>
      <c r="W793" s="807"/>
      <c r="X793" s="807"/>
      <c r="Y793" s="807"/>
      <c r="Z793" s="807"/>
    </row>
    <row r="794" ht="171.75" customHeight="1">
      <c r="A794" s="807"/>
      <c r="B794" s="807"/>
      <c r="C794" s="807"/>
      <c r="D794" s="807"/>
      <c r="E794" s="807"/>
      <c r="F794" s="807"/>
      <c r="G794" s="807"/>
      <c r="H794" s="807"/>
      <c r="I794" s="807"/>
      <c r="J794" s="807"/>
      <c r="K794" s="807"/>
      <c r="L794" s="807"/>
      <c r="M794" s="807"/>
      <c r="N794" s="807"/>
      <c r="O794" s="807"/>
      <c r="P794" s="807"/>
      <c r="Q794" s="807"/>
      <c r="R794" s="807"/>
      <c r="S794" s="807"/>
      <c r="T794" s="807"/>
      <c r="U794" s="807"/>
      <c r="V794" s="807"/>
      <c r="W794" s="807"/>
      <c r="X794" s="807"/>
      <c r="Y794" s="807"/>
      <c r="Z794" s="807"/>
    </row>
    <row r="795" ht="171.75" customHeight="1">
      <c r="A795" s="807"/>
      <c r="B795" s="807"/>
      <c r="C795" s="807"/>
      <c r="D795" s="807"/>
      <c r="E795" s="807"/>
      <c r="F795" s="807"/>
      <c r="G795" s="807"/>
      <c r="H795" s="807"/>
      <c r="I795" s="807"/>
      <c r="J795" s="807"/>
      <c r="K795" s="807"/>
      <c r="L795" s="807"/>
      <c r="M795" s="807"/>
      <c r="N795" s="807"/>
      <c r="O795" s="807"/>
      <c r="P795" s="807"/>
      <c r="Q795" s="807"/>
      <c r="R795" s="807"/>
      <c r="S795" s="807"/>
      <c r="T795" s="807"/>
      <c r="U795" s="807"/>
      <c r="V795" s="807"/>
      <c r="W795" s="807"/>
      <c r="X795" s="807"/>
      <c r="Y795" s="807"/>
      <c r="Z795" s="807"/>
    </row>
    <row r="796" ht="171.75" customHeight="1">
      <c r="A796" s="807"/>
      <c r="B796" s="807"/>
      <c r="C796" s="807"/>
      <c r="D796" s="807"/>
      <c r="E796" s="807"/>
      <c r="F796" s="807"/>
      <c r="G796" s="807"/>
      <c r="H796" s="807"/>
      <c r="I796" s="807"/>
      <c r="J796" s="807"/>
      <c r="K796" s="807"/>
      <c r="L796" s="807"/>
      <c r="M796" s="807"/>
      <c r="N796" s="807"/>
      <c r="O796" s="807"/>
      <c r="P796" s="807"/>
      <c r="Q796" s="807"/>
      <c r="R796" s="807"/>
      <c r="S796" s="807"/>
      <c r="T796" s="807"/>
      <c r="U796" s="807"/>
      <c r="V796" s="807"/>
      <c r="W796" s="807"/>
      <c r="X796" s="807"/>
      <c r="Y796" s="807"/>
      <c r="Z796" s="807"/>
    </row>
    <row r="797" ht="171.75" customHeight="1">
      <c r="A797" s="807"/>
      <c r="B797" s="807"/>
      <c r="C797" s="807"/>
      <c r="D797" s="807"/>
      <c r="E797" s="807"/>
      <c r="F797" s="807"/>
      <c r="G797" s="807"/>
      <c r="H797" s="807"/>
      <c r="I797" s="807"/>
      <c r="J797" s="807"/>
      <c r="K797" s="807"/>
      <c r="L797" s="807"/>
      <c r="M797" s="807"/>
      <c r="N797" s="807"/>
      <c r="O797" s="807"/>
      <c r="P797" s="807"/>
      <c r="Q797" s="807"/>
      <c r="R797" s="807"/>
      <c r="S797" s="807"/>
      <c r="T797" s="807"/>
      <c r="U797" s="807"/>
      <c r="V797" s="807"/>
      <c r="W797" s="807"/>
      <c r="X797" s="807"/>
      <c r="Y797" s="807"/>
      <c r="Z797" s="807"/>
    </row>
    <row r="798" ht="171.75" customHeight="1">
      <c r="A798" s="807"/>
      <c r="B798" s="807"/>
      <c r="C798" s="807"/>
      <c r="D798" s="807"/>
      <c r="E798" s="807"/>
      <c r="F798" s="807"/>
      <c r="G798" s="807"/>
      <c r="H798" s="807"/>
      <c r="I798" s="807"/>
      <c r="J798" s="807"/>
      <c r="K798" s="807"/>
      <c r="L798" s="807"/>
      <c r="M798" s="807"/>
      <c r="N798" s="807"/>
      <c r="O798" s="807"/>
      <c r="P798" s="807"/>
      <c r="Q798" s="807"/>
      <c r="R798" s="807"/>
      <c r="S798" s="807"/>
      <c r="T798" s="807"/>
      <c r="U798" s="807"/>
      <c r="V798" s="807"/>
      <c r="W798" s="807"/>
      <c r="X798" s="807"/>
      <c r="Y798" s="807"/>
      <c r="Z798" s="807"/>
    </row>
    <row r="799" ht="171.75" customHeight="1">
      <c r="A799" s="807"/>
      <c r="B799" s="807"/>
      <c r="C799" s="807"/>
      <c r="D799" s="807"/>
      <c r="E799" s="807"/>
      <c r="F799" s="807"/>
      <c r="G799" s="807"/>
      <c r="H799" s="807"/>
      <c r="I799" s="807"/>
      <c r="J799" s="807"/>
      <c r="K799" s="807"/>
      <c r="L799" s="807"/>
      <c r="M799" s="807"/>
      <c r="N799" s="807"/>
      <c r="O799" s="807"/>
      <c r="P799" s="807"/>
      <c r="Q799" s="807"/>
      <c r="R799" s="807"/>
      <c r="S799" s="807"/>
      <c r="T799" s="807"/>
      <c r="U799" s="807"/>
      <c r="V799" s="807"/>
      <c r="W799" s="807"/>
      <c r="X799" s="807"/>
      <c r="Y799" s="807"/>
      <c r="Z799" s="807"/>
    </row>
    <row r="800" ht="171.75" customHeight="1">
      <c r="A800" s="807"/>
      <c r="B800" s="807"/>
      <c r="C800" s="807"/>
      <c r="D800" s="807"/>
      <c r="E800" s="807"/>
      <c r="F800" s="807"/>
      <c r="G800" s="807"/>
      <c r="H800" s="807"/>
      <c r="I800" s="807"/>
      <c r="J800" s="807"/>
      <c r="K800" s="807"/>
      <c r="L800" s="807"/>
      <c r="M800" s="807"/>
      <c r="N800" s="807"/>
      <c r="O800" s="807"/>
      <c r="P800" s="807"/>
      <c r="Q800" s="807"/>
      <c r="R800" s="807"/>
      <c r="S800" s="807"/>
      <c r="T800" s="807"/>
      <c r="U800" s="807"/>
      <c r="V800" s="807"/>
      <c r="W800" s="807"/>
      <c r="X800" s="807"/>
      <c r="Y800" s="807"/>
      <c r="Z800" s="807"/>
    </row>
    <row r="801" ht="171.75" customHeight="1">
      <c r="A801" s="807"/>
      <c r="B801" s="807"/>
      <c r="C801" s="807"/>
      <c r="D801" s="807"/>
      <c r="E801" s="807"/>
      <c r="F801" s="807"/>
      <c r="G801" s="807"/>
      <c r="H801" s="807"/>
      <c r="I801" s="807"/>
      <c r="J801" s="807"/>
      <c r="K801" s="807"/>
      <c r="L801" s="807"/>
      <c r="M801" s="807"/>
      <c r="N801" s="807"/>
      <c r="O801" s="807"/>
      <c r="P801" s="807"/>
      <c r="Q801" s="807"/>
      <c r="R801" s="807"/>
      <c r="S801" s="807"/>
      <c r="T801" s="807"/>
      <c r="U801" s="807"/>
      <c r="V801" s="807"/>
      <c r="W801" s="807"/>
      <c r="X801" s="807"/>
      <c r="Y801" s="807"/>
      <c r="Z801" s="807"/>
    </row>
    <row r="802" ht="171.75" customHeight="1">
      <c r="A802" s="807"/>
      <c r="B802" s="807"/>
      <c r="C802" s="807"/>
      <c r="D802" s="807"/>
      <c r="E802" s="807"/>
      <c r="F802" s="807"/>
      <c r="G802" s="807"/>
      <c r="H802" s="807"/>
      <c r="I802" s="807"/>
      <c r="J802" s="807"/>
      <c r="K802" s="807"/>
      <c r="L802" s="807"/>
      <c r="M802" s="807"/>
      <c r="N802" s="807"/>
      <c r="O802" s="807"/>
      <c r="P802" s="807"/>
      <c r="Q802" s="807"/>
      <c r="R802" s="807"/>
      <c r="S802" s="807"/>
      <c r="T802" s="807"/>
      <c r="U802" s="807"/>
      <c r="V802" s="807"/>
      <c r="W802" s="807"/>
      <c r="X802" s="807"/>
      <c r="Y802" s="807"/>
      <c r="Z802" s="807"/>
    </row>
    <row r="803" ht="171.75" customHeight="1">
      <c r="A803" s="807"/>
      <c r="B803" s="807"/>
      <c r="C803" s="807"/>
      <c r="D803" s="807"/>
      <c r="E803" s="807"/>
      <c r="F803" s="807"/>
      <c r="G803" s="807"/>
      <c r="H803" s="807"/>
      <c r="I803" s="807"/>
      <c r="J803" s="807"/>
      <c r="K803" s="807"/>
      <c r="L803" s="807"/>
      <c r="M803" s="807"/>
      <c r="N803" s="807"/>
      <c r="O803" s="807"/>
      <c r="P803" s="807"/>
      <c r="Q803" s="807"/>
      <c r="R803" s="807"/>
      <c r="S803" s="807"/>
      <c r="T803" s="807"/>
      <c r="U803" s="807"/>
      <c r="V803" s="807"/>
      <c r="W803" s="807"/>
      <c r="X803" s="807"/>
      <c r="Y803" s="807"/>
      <c r="Z803" s="807"/>
    </row>
    <row r="804" ht="171.75" customHeight="1">
      <c r="A804" s="807"/>
      <c r="B804" s="807"/>
      <c r="C804" s="807"/>
      <c r="D804" s="807"/>
      <c r="E804" s="807"/>
      <c r="F804" s="807"/>
      <c r="G804" s="807"/>
      <c r="H804" s="807"/>
      <c r="I804" s="807"/>
      <c r="J804" s="807"/>
      <c r="K804" s="807"/>
      <c r="L804" s="807"/>
      <c r="M804" s="807"/>
      <c r="N804" s="807"/>
      <c r="O804" s="807"/>
      <c r="P804" s="807"/>
      <c r="Q804" s="807"/>
      <c r="R804" s="807"/>
      <c r="S804" s="807"/>
      <c r="T804" s="807"/>
      <c r="U804" s="807"/>
      <c r="V804" s="807"/>
      <c r="W804" s="807"/>
      <c r="X804" s="807"/>
      <c r="Y804" s="807"/>
      <c r="Z804" s="807"/>
    </row>
    <row r="805" ht="171.75" customHeight="1">
      <c r="A805" s="807"/>
      <c r="B805" s="807"/>
      <c r="C805" s="807"/>
      <c r="D805" s="807"/>
      <c r="E805" s="807"/>
      <c r="F805" s="807"/>
      <c r="G805" s="807"/>
      <c r="H805" s="807"/>
      <c r="I805" s="807"/>
      <c r="J805" s="807"/>
      <c r="K805" s="807"/>
      <c r="L805" s="807"/>
      <c r="M805" s="807"/>
      <c r="N805" s="807"/>
      <c r="O805" s="807"/>
      <c r="P805" s="807"/>
      <c r="Q805" s="807"/>
      <c r="R805" s="807"/>
      <c r="S805" s="807"/>
      <c r="T805" s="807"/>
      <c r="U805" s="807"/>
      <c r="V805" s="807"/>
      <c r="W805" s="807"/>
      <c r="X805" s="807"/>
      <c r="Y805" s="807"/>
      <c r="Z805" s="807"/>
    </row>
    <row r="806" ht="171.75" customHeight="1">
      <c r="A806" s="807"/>
      <c r="B806" s="807"/>
      <c r="C806" s="807"/>
      <c r="D806" s="807"/>
      <c r="E806" s="807"/>
      <c r="F806" s="807"/>
      <c r="G806" s="807"/>
      <c r="H806" s="807"/>
      <c r="I806" s="807"/>
      <c r="J806" s="807"/>
      <c r="K806" s="807"/>
      <c r="L806" s="807"/>
      <c r="M806" s="807"/>
      <c r="N806" s="807"/>
      <c r="O806" s="807"/>
      <c r="P806" s="807"/>
      <c r="Q806" s="807"/>
      <c r="R806" s="807"/>
      <c r="S806" s="807"/>
      <c r="T806" s="807"/>
      <c r="U806" s="807"/>
      <c r="V806" s="807"/>
      <c r="W806" s="807"/>
      <c r="X806" s="807"/>
      <c r="Y806" s="807"/>
      <c r="Z806" s="807"/>
    </row>
    <row r="807" ht="171.75" customHeight="1">
      <c r="A807" s="807"/>
      <c r="B807" s="807"/>
      <c r="C807" s="807"/>
      <c r="D807" s="807"/>
      <c r="E807" s="807"/>
      <c r="F807" s="807"/>
      <c r="G807" s="807"/>
      <c r="H807" s="807"/>
      <c r="I807" s="807"/>
      <c r="J807" s="807"/>
      <c r="K807" s="807"/>
      <c r="L807" s="807"/>
      <c r="M807" s="807"/>
      <c r="N807" s="807"/>
      <c r="O807" s="807"/>
      <c r="P807" s="807"/>
      <c r="Q807" s="807"/>
      <c r="R807" s="807"/>
      <c r="S807" s="807"/>
      <c r="T807" s="807"/>
      <c r="U807" s="807"/>
      <c r="V807" s="807"/>
      <c r="W807" s="807"/>
      <c r="X807" s="807"/>
      <c r="Y807" s="807"/>
      <c r="Z807" s="807"/>
    </row>
    <row r="808" ht="171.75" customHeight="1">
      <c r="A808" s="807"/>
      <c r="B808" s="807"/>
      <c r="C808" s="807"/>
      <c r="D808" s="807"/>
      <c r="E808" s="807"/>
      <c r="F808" s="807"/>
      <c r="G808" s="807"/>
      <c r="H808" s="807"/>
      <c r="I808" s="807"/>
      <c r="J808" s="807"/>
      <c r="K808" s="807"/>
      <c r="L808" s="807"/>
      <c r="M808" s="807"/>
      <c r="N808" s="807"/>
      <c r="O808" s="807"/>
      <c r="P808" s="807"/>
      <c r="Q808" s="807"/>
      <c r="R808" s="807"/>
      <c r="S808" s="807"/>
      <c r="T808" s="807"/>
      <c r="U808" s="807"/>
      <c r="V808" s="807"/>
      <c r="W808" s="807"/>
      <c r="X808" s="807"/>
      <c r="Y808" s="807"/>
      <c r="Z808" s="807"/>
    </row>
    <row r="809" ht="171.75" customHeight="1">
      <c r="A809" s="807"/>
      <c r="B809" s="807"/>
      <c r="C809" s="807"/>
      <c r="D809" s="807"/>
      <c r="E809" s="807"/>
      <c r="F809" s="807"/>
      <c r="G809" s="807"/>
      <c r="H809" s="807"/>
      <c r="I809" s="807"/>
      <c r="J809" s="807"/>
      <c r="K809" s="807"/>
      <c r="L809" s="807"/>
      <c r="M809" s="807"/>
      <c r="N809" s="807"/>
      <c r="O809" s="807"/>
      <c r="P809" s="807"/>
      <c r="Q809" s="807"/>
      <c r="R809" s="807"/>
      <c r="S809" s="807"/>
      <c r="T809" s="807"/>
      <c r="U809" s="807"/>
      <c r="V809" s="807"/>
      <c r="W809" s="807"/>
      <c r="X809" s="807"/>
      <c r="Y809" s="807"/>
      <c r="Z809" s="807"/>
    </row>
    <row r="810" ht="171.75" customHeight="1">
      <c r="A810" s="807"/>
      <c r="B810" s="807"/>
      <c r="C810" s="807"/>
      <c r="D810" s="807"/>
      <c r="E810" s="807"/>
      <c r="F810" s="807"/>
      <c r="G810" s="807"/>
      <c r="H810" s="807"/>
      <c r="I810" s="807"/>
      <c r="J810" s="807"/>
      <c r="K810" s="807"/>
      <c r="L810" s="807"/>
      <c r="M810" s="807"/>
      <c r="N810" s="807"/>
      <c r="O810" s="807"/>
      <c r="P810" s="807"/>
      <c r="Q810" s="807"/>
      <c r="R810" s="807"/>
      <c r="S810" s="807"/>
      <c r="T810" s="807"/>
      <c r="U810" s="807"/>
      <c r="V810" s="807"/>
      <c r="W810" s="807"/>
      <c r="X810" s="807"/>
      <c r="Y810" s="807"/>
      <c r="Z810" s="807"/>
    </row>
    <row r="811" ht="171.75" customHeight="1">
      <c r="A811" s="807"/>
      <c r="B811" s="807"/>
      <c r="C811" s="807"/>
      <c r="D811" s="807"/>
      <c r="E811" s="807"/>
      <c r="F811" s="807"/>
      <c r="G811" s="807"/>
      <c r="H811" s="807"/>
      <c r="I811" s="807"/>
      <c r="J811" s="807"/>
      <c r="K811" s="807"/>
      <c r="L811" s="807"/>
      <c r="M811" s="807"/>
      <c r="N811" s="807"/>
      <c r="O811" s="807"/>
      <c r="P811" s="807"/>
      <c r="Q811" s="807"/>
      <c r="R811" s="807"/>
      <c r="S811" s="807"/>
      <c r="T811" s="807"/>
      <c r="U811" s="807"/>
      <c r="V811" s="807"/>
      <c r="W811" s="807"/>
      <c r="X811" s="807"/>
      <c r="Y811" s="807"/>
      <c r="Z811" s="807"/>
    </row>
    <row r="812" ht="171.75" customHeight="1">
      <c r="A812" s="807"/>
      <c r="B812" s="807"/>
      <c r="C812" s="807"/>
      <c r="D812" s="807"/>
      <c r="E812" s="807"/>
      <c r="F812" s="807"/>
      <c r="G812" s="807"/>
      <c r="H812" s="807"/>
      <c r="I812" s="807"/>
      <c r="J812" s="807"/>
      <c r="K812" s="807"/>
      <c r="L812" s="807"/>
      <c r="M812" s="807"/>
      <c r="N812" s="807"/>
      <c r="O812" s="807"/>
      <c r="P812" s="807"/>
      <c r="Q812" s="807"/>
      <c r="R812" s="807"/>
      <c r="S812" s="807"/>
      <c r="T812" s="807"/>
      <c r="U812" s="807"/>
      <c r="V812" s="807"/>
      <c r="W812" s="807"/>
      <c r="X812" s="807"/>
      <c r="Y812" s="807"/>
      <c r="Z812" s="807"/>
    </row>
    <row r="813" ht="171.75" customHeight="1">
      <c r="A813" s="807"/>
      <c r="B813" s="807"/>
      <c r="C813" s="807"/>
      <c r="D813" s="807"/>
      <c r="E813" s="807"/>
      <c r="F813" s="807"/>
      <c r="G813" s="807"/>
      <c r="H813" s="807"/>
      <c r="I813" s="807"/>
      <c r="J813" s="807"/>
      <c r="K813" s="807"/>
      <c r="L813" s="807"/>
      <c r="M813" s="807"/>
      <c r="N813" s="807"/>
      <c r="O813" s="807"/>
      <c r="P813" s="807"/>
      <c r="Q813" s="807"/>
      <c r="R813" s="807"/>
      <c r="S813" s="807"/>
      <c r="T813" s="807"/>
      <c r="U813" s="807"/>
      <c r="V813" s="807"/>
      <c r="W813" s="807"/>
      <c r="X813" s="807"/>
      <c r="Y813" s="807"/>
      <c r="Z813" s="807"/>
    </row>
    <row r="814" ht="171.75" customHeight="1">
      <c r="A814" s="807"/>
      <c r="B814" s="807"/>
      <c r="C814" s="807"/>
      <c r="D814" s="807"/>
      <c r="E814" s="807"/>
      <c r="F814" s="807"/>
      <c r="G814" s="807"/>
      <c r="H814" s="807"/>
      <c r="I814" s="807"/>
      <c r="J814" s="807"/>
      <c r="K814" s="807"/>
      <c r="L814" s="807"/>
      <c r="M814" s="807"/>
      <c r="N814" s="807"/>
      <c r="O814" s="807"/>
      <c r="P814" s="807"/>
      <c r="Q814" s="807"/>
      <c r="R814" s="807"/>
      <c r="S814" s="807"/>
      <c r="T814" s="807"/>
      <c r="U814" s="807"/>
      <c r="V814" s="807"/>
      <c r="W814" s="807"/>
      <c r="X814" s="807"/>
      <c r="Y814" s="807"/>
      <c r="Z814" s="807"/>
    </row>
    <row r="815" ht="171.75" customHeight="1">
      <c r="A815" s="807"/>
      <c r="B815" s="807"/>
      <c r="C815" s="807"/>
      <c r="D815" s="807"/>
      <c r="E815" s="807"/>
      <c r="F815" s="807"/>
      <c r="G815" s="807"/>
      <c r="H815" s="807"/>
      <c r="I815" s="807"/>
      <c r="J815" s="807"/>
      <c r="K815" s="807"/>
      <c r="L815" s="807"/>
      <c r="M815" s="807"/>
      <c r="N815" s="807"/>
      <c r="O815" s="807"/>
      <c r="P815" s="807"/>
      <c r="Q815" s="807"/>
      <c r="R815" s="807"/>
      <c r="S815" s="807"/>
      <c r="T815" s="807"/>
      <c r="U815" s="807"/>
      <c r="V815" s="807"/>
      <c r="W815" s="807"/>
      <c r="X815" s="807"/>
      <c r="Y815" s="807"/>
      <c r="Z815" s="807"/>
    </row>
    <row r="816" ht="171.75" customHeight="1">
      <c r="A816" s="807"/>
      <c r="B816" s="807"/>
      <c r="C816" s="807"/>
      <c r="D816" s="807"/>
      <c r="E816" s="807"/>
      <c r="F816" s="807"/>
      <c r="G816" s="807"/>
      <c r="H816" s="807"/>
      <c r="I816" s="807"/>
      <c r="J816" s="807"/>
      <c r="K816" s="807"/>
      <c r="L816" s="807"/>
      <c r="M816" s="807"/>
      <c r="N816" s="807"/>
      <c r="O816" s="807"/>
      <c r="P816" s="807"/>
      <c r="Q816" s="807"/>
      <c r="R816" s="807"/>
      <c r="S816" s="807"/>
      <c r="T816" s="807"/>
      <c r="U816" s="807"/>
      <c r="V816" s="807"/>
      <c r="W816" s="807"/>
      <c r="X816" s="807"/>
      <c r="Y816" s="807"/>
      <c r="Z816" s="807"/>
    </row>
    <row r="817" ht="171.75" customHeight="1">
      <c r="A817" s="807"/>
      <c r="B817" s="807"/>
      <c r="C817" s="807"/>
      <c r="D817" s="807"/>
      <c r="E817" s="807"/>
      <c r="F817" s="807"/>
      <c r="G817" s="807"/>
      <c r="H817" s="807"/>
      <c r="I817" s="807"/>
      <c r="J817" s="807"/>
      <c r="K817" s="807"/>
      <c r="L817" s="807"/>
      <c r="M817" s="807"/>
      <c r="N817" s="807"/>
      <c r="O817" s="807"/>
      <c r="P817" s="807"/>
      <c r="Q817" s="807"/>
      <c r="R817" s="807"/>
      <c r="S817" s="807"/>
      <c r="T817" s="807"/>
      <c r="U817" s="807"/>
      <c r="V817" s="807"/>
      <c r="W817" s="807"/>
      <c r="X817" s="807"/>
      <c r="Y817" s="807"/>
      <c r="Z817" s="807"/>
    </row>
    <row r="818" ht="171.75" customHeight="1">
      <c r="A818" s="807"/>
      <c r="B818" s="807"/>
      <c r="C818" s="807"/>
      <c r="D818" s="807"/>
      <c r="E818" s="807"/>
      <c r="F818" s="807"/>
      <c r="G818" s="807"/>
      <c r="H818" s="807"/>
      <c r="I818" s="807"/>
      <c r="J818" s="807"/>
      <c r="K818" s="807"/>
      <c r="L818" s="807"/>
      <c r="M818" s="807"/>
      <c r="N818" s="807"/>
      <c r="O818" s="807"/>
      <c r="P818" s="807"/>
      <c r="Q818" s="807"/>
      <c r="R818" s="807"/>
      <c r="S818" s="807"/>
      <c r="T818" s="807"/>
      <c r="U818" s="807"/>
      <c r="V818" s="807"/>
      <c r="W818" s="807"/>
      <c r="X818" s="807"/>
      <c r="Y818" s="807"/>
      <c r="Z818" s="807"/>
    </row>
    <row r="819" ht="171.75" customHeight="1">
      <c r="A819" s="807"/>
      <c r="B819" s="807"/>
      <c r="C819" s="807"/>
      <c r="D819" s="807"/>
      <c r="E819" s="807"/>
      <c r="F819" s="807"/>
      <c r="G819" s="807"/>
      <c r="H819" s="807"/>
      <c r="I819" s="807"/>
      <c r="J819" s="807"/>
      <c r="K819" s="807"/>
      <c r="L819" s="807"/>
      <c r="M819" s="807"/>
      <c r="N819" s="807"/>
      <c r="O819" s="807"/>
      <c r="P819" s="807"/>
      <c r="Q819" s="807"/>
      <c r="R819" s="807"/>
      <c r="S819" s="807"/>
      <c r="T819" s="807"/>
      <c r="U819" s="807"/>
      <c r="V819" s="807"/>
      <c r="W819" s="807"/>
      <c r="X819" s="807"/>
      <c r="Y819" s="807"/>
      <c r="Z819" s="807"/>
    </row>
    <row r="820" ht="171.75" customHeight="1">
      <c r="A820" s="807"/>
      <c r="B820" s="807"/>
      <c r="C820" s="807"/>
      <c r="D820" s="807"/>
      <c r="E820" s="807"/>
      <c r="F820" s="807"/>
      <c r="G820" s="807"/>
      <c r="H820" s="807"/>
      <c r="I820" s="807"/>
      <c r="J820" s="807"/>
      <c r="K820" s="807"/>
      <c r="L820" s="807"/>
      <c r="M820" s="807"/>
      <c r="N820" s="807"/>
      <c r="O820" s="807"/>
      <c r="P820" s="807"/>
      <c r="Q820" s="807"/>
      <c r="R820" s="807"/>
      <c r="S820" s="807"/>
      <c r="T820" s="807"/>
      <c r="U820" s="807"/>
      <c r="V820" s="807"/>
      <c r="W820" s="807"/>
      <c r="X820" s="807"/>
      <c r="Y820" s="807"/>
      <c r="Z820" s="807"/>
    </row>
    <row r="821" ht="171.75" customHeight="1">
      <c r="A821" s="807"/>
      <c r="B821" s="807"/>
      <c r="C821" s="807"/>
      <c r="D821" s="807"/>
      <c r="E821" s="807"/>
      <c r="F821" s="807"/>
      <c r="G821" s="807"/>
      <c r="H821" s="807"/>
      <c r="I821" s="807"/>
      <c r="J821" s="807"/>
      <c r="K821" s="807"/>
      <c r="L821" s="807"/>
      <c r="M821" s="807"/>
      <c r="N821" s="807"/>
      <c r="O821" s="807"/>
      <c r="P821" s="807"/>
      <c r="Q821" s="807"/>
      <c r="R821" s="807"/>
      <c r="S821" s="807"/>
      <c r="T821" s="807"/>
      <c r="U821" s="807"/>
      <c r="V821" s="807"/>
      <c r="W821" s="807"/>
      <c r="X821" s="807"/>
      <c r="Y821" s="807"/>
      <c r="Z821" s="807"/>
    </row>
    <row r="822" ht="171.75" customHeight="1">
      <c r="A822" s="807"/>
      <c r="B822" s="807"/>
      <c r="C822" s="807"/>
      <c r="D822" s="807"/>
      <c r="E822" s="807"/>
      <c r="F822" s="807"/>
      <c r="G822" s="807"/>
      <c r="H822" s="807"/>
      <c r="I822" s="807"/>
      <c r="J822" s="807"/>
      <c r="K822" s="807"/>
      <c r="L822" s="807"/>
      <c r="M822" s="807"/>
      <c r="N822" s="807"/>
      <c r="O822" s="807"/>
      <c r="P822" s="807"/>
      <c r="Q822" s="807"/>
      <c r="R822" s="807"/>
      <c r="S822" s="807"/>
      <c r="T822" s="807"/>
      <c r="U822" s="807"/>
      <c r="V822" s="807"/>
      <c r="W822" s="807"/>
      <c r="X822" s="807"/>
      <c r="Y822" s="807"/>
      <c r="Z822" s="807"/>
    </row>
    <row r="823" ht="171.75" customHeight="1">
      <c r="A823" s="807"/>
      <c r="B823" s="807"/>
      <c r="C823" s="807"/>
      <c r="D823" s="807"/>
      <c r="E823" s="807"/>
      <c r="F823" s="807"/>
      <c r="G823" s="807"/>
      <c r="H823" s="807"/>
      <c r="I823" s="807"/>
      <c r="J823" s="807"/>
      <c r="K823" s="807"/>
      <c r="L823" s="807"/>
      <c r="M823" s="807"/>
      <c r="N823" s="807"/>
      <c r="O823" s="807"/>
      <c r="P823" s="807"/>
      <c r="Q823" s="807"/>
      <c r="R823" s="807"/>
      <c r="S823" s="807"/>
      <c r="T823" s="807"/>
      <c r="U823" s="807"/>
      <c r="V823" s="807"/>
      <c r="W823" s="807"/>
      <c r="X823" s="807"/>
      <c r="Y823" s="807"/>
      <c r="Z823" s="807"/>
    </row>
    <row r="824" ht="171.75" customHeight="1">
      <c r="A824" s="807"/>
      <c r="B824" s="807"/>
      <c r="C824" s="807"/>
      <c r="D824" s="807"/>
      <c r="E824" s="807"/>
      <c r="F824" s="807"/>
      <c r="G824" s="807"/>
      <c r="H824" s="807"/>
      <c r="I824" s="807"/>
      <c r="J824" s="807"/>
      <c r="K824" s="807"/>
      <c r="L824" s="807"/>
      <c r="M824" s="807"/>
      <c r="N824" s="807"/>
      <c r="O824" s="807"/>
      <c r="P824" s="807"/>
      <c r="Q824" s="807"/>
      <c r="R824" s="807"/>
      <c r="S824" s="807"/>
      <c r="T824" s="807"/>
      <c r="U824" s="807"/>
      <c r="V824" s="807"/>
      <c r="W824" s="807"/>
      <c r="X824" s="807"/>
      <c r="Y824" s="807"/>
      <c r="Z824" s="807"/>
    </row>
    <row r="825" ht="171.75" customHeight="1">
      <c r="A825" s="807"/>
      <c r="B825" s="807"/>
      <c r="C825" s="807"/>
      <c r="D825" s="807"/>
      <c r="E825" s="807"/>
      <c r="F825" s="807"/>
      <c r="G825" s="807"/>
      <c r="H825" s="807"/>
      <c r="I825" s="807"/>
      <c r="J825" s="807"/>
      <c r="K825" s="807"/>
      <c r="L825" s="807"/>
      <c r="M825" s="807"/>
      <c r="N825" s="807"/>
      <c r="O825" s="807"/>
      <c r="P825" s="807"/>
      <c r="Q825" s="807"/>
      <c r="R825" s="807"/>
      <c r="S825" s="807"/>
      <c r="T825" s="807"/>
      <c r="U825" s="807"/>
      <c r="V825" s="807"/>
      <c r="W825" s="807"/>
      <c r="X825" s="807"/>
      <c r="Y825" s="807"/>
      <c r="Z825" s="807"/>
    </row>
    <row r="826" ht="171.75" customHeight="1">
      <c r="A826" s="807"/>
      <c r="B826" s="807"/>
      <c r="C826" s="807"/>
      <c r="D826" s="807"/>
      <c r="E826" s="807"/>
      <c r="F826" s="807"/>
      <c r="G826" s="807"/>
      <c r="H826" s="807"/>
      <c r="I826" s="807"/>
      <c r="J826" s="807"/>
      <c r="K826" s="807"/>
      <c r="L826" s="807"/>
      <c r="M826" s="807"/>
      <c r="N826" s="807"/>
      <c r="O826" s="807"/>
      <c r="P826" s="807"/>
      <c r="Q826" s="807"/>
      <c r="R826" s="807"/>
      <c r="S826" s="807"/>
      <c r="T826" s="807"/>
      <c r="U826" s="807"/>
      <c r="V826" s="807"/>
      <c r="W826" s="807"/>
      <c r="X826" s="807"/>
      <c r="Y826" s="807"/>
      <c r="Z826" s="807"/>
    </row>
    <row r="827" ht="171.75" customHeight="1">
      <c r="A827" s="807"/>
      <c r="B827" s="807"/>
      <c r="C827" s="807"/>
      <c r="D827" s="807"/>
      <c r="E827" s="807"/>
      <c r="F827" s="807"/>
      <c r="G827" s="807"/>
      <c r="H827" s="807"/>
      <c r="I827" s="807"/>
      <c r="J827" s="807"/>
      <c r="K827" s="807"/>
      <c r="L827" s="807"/>
      <c r="M827" s="807"/>
      <c r="N827" s="807"/>
      <c r="O827" s="807"/>
      <c r="P827" s="807"/>
      <c r="Q827" s="807"/>
      <c r="R827" s="807"/>
      <c r="S827" s="807"/>
      <c r="T827" s="807"/>
      <c r="U827" s="807"/>
      <c r="V827" s="807"/>
      <c r="W827" s="807"/>
      <c r="X827" s="807"/>
      <c r="Y827" s="807"/>
      <c r="Z827" s="807"/>
    </row>
    <row r="828" ht="171.75" customHeight="1">
      <c r="A828" s="807"/>
      <c r="B828" s="807"/>
      <c r="C828" s="807"/>
      <c r="D828" s="807"/>
      <c r="E828" s="807"/>
      <c r="F828" s="807"/>
      <c r="G828" s="807"/>
      <c r="H828" s="807"/>
      <c r="I828" s="807"/>
      <c r="J828" s="807"/>
      <c r="K828" s="807"/>
      <c r="L828" s="807"/>
      <c r="M828" s="807"/>
      <c r="N828" s="807"/>
      <c r="O828" s="807"/>
      <c r="P828" s="807"/>
      <c r="Q828" s="807"/>
      <c r="R828" s="807"/>
      <c r="S828" s="807"/>
      <c r="T828" s="807"/>
      <c r="U828" s="807"/>
      <c r="V828" s="807"/>
      <c r="W828" s="807"/>
      <c r="X828" s="807"/>
      <c r="Y828" s="807"/>
      <c r="Z828" s="807"/>
    </row>
    <row r="829" ht="171.75" customHeight="1">
      <c r="A829" s="807"/>
      <c r="B829" s="807"/>
      <c r="C829" s="807"/>
      <c r="D829" s="807"/>
      <c r="E829" s="807"/>
      <c r="F829" s="807"/>
      <c r="G829" s="807"/>
      <c r="H829" s="807"/>
      <c r="I829" s="807"/>
      <c r="J829" s="807"/>
      <c r="K829" s="807"/>
      <c r="L829" s="807"/>
      <c r="M829" s="807"/>
      <c r="N829" s="807"/>
      <c r="O829" s="807"/>
      <c r="P829" s="807"/>
      <c r="Q829" s="807"/>
      <c r="R829" s="807"/>
      <c r="S829" s="807"/>
      <c r="T829" s="807"/>
      <c r="U829" s="807"/>
      <c r="V829" s="807"/>
      <c r="W829" s="807"/>
      <c r="X829" s="807"/>
      <c r="Y829" s="807"/>
      <c r="Z829" s="807"/>
    </row>
    <row r="830" ht="171.75" customHeight="1">
      <c r="A830" s="807"/>
      <c r="B830" s="807"/>
      <c r="C830" s="807"/>
      <c r="D830" s="807"/>
      <c r="E830" s="807"/>
      <c r="F830" s="807"/>
      <c r="G830" s="807"/>
      <c r="H830" s="807"/>
      <c r="I830" s="807"/>
      <c r="J830" s="807"/>
      <c r="K830" s="807"/>
      <c r="L830" s="807"/>
      <c r="M830" s="807"/>
      <c r="N830" s="807"/>
      <c r="O830" s="807"/>
      <c r="P830" s="807"/>
      <c r="Q830" s="807"/>
      <c r="R830" s="807"/>
      <c r="S830" s="807"/>
      <c r="T830" s="807"/>
      <c r="U830" s="807"/>
      <c r="V830" s="807"/>
      <c r="W830" s="807"/>
      <c r="X830" s="807"/>
      <c r="Y830" s="807"/>
      <c r="Z830" s="807"/>
    </row>
    <row r="831" ht="171.75" customHeight="1">
      <c r="A831" s="807"/>
      <c r="B831" s="807"/>
      <c r="C831" s="807"/>
      <c r="D831" s="807"/>
      <c r="E831" s="807"/>
      <c r="F831" s="807"/>
      <c r="G831" s="807"/>
      <c r="H831" s="807"/>
      <c r="I831" s="807"/>
      <c r="J831" s="807"/>
      <c r="K831" s="807"/>
      <c r="L831" s="807"/>
      <c r="M831" s="807"/>
      <c r="N831" s="807"/>
      <c r="O831" s="807"/>
      <c r="P831" s="807"/>
      <c r="Q831" s="807"/>
      <c r="R831" s="807"/>
      <c r="S831" s="807"/>
      <c r="T831" s="807"/>
      <c r="U831" s="807"/>
      <c r="V831" s="807"/>
      <c r="W831" s="807"/>
      <c r="X831" s="807"/>
      <c r="Y831" s="807"/>
      <c r="Z831" s="807"/>
    </row>
    <row r="832" ht="171.75" customHeight="1">
      <c r="A832" s="807"/>
      <c r="B832" s="807"/>
      <c r="C832" s="807"/>
      <c r="D832" s="807"/>
      <c r="E832" s="807"/>
      <c r="F832" s="807"/>
      <c r="G832" s="807"/>
      <c r="H832" s="807"/>
      <c r="I832" s="807"/>
      <c r="J832" s="807"/>
      <c r="K832" s="807"/>
      <c r="L832" s="807"/>
      <c r="M832" s="807"/>
      <c r="N832" s="807"/>
      <c r="O832" s="807"/>
      <c r="P832" s="807"/>
      <c r="Q832" s="807"/>
      <c r="R832" s="807"/>
      <c r="S832" s="807"/>
      <c r="T832" s="807"/>
      <c r="U832" s="807"/>
      <c r="V832" s="807"/>
      <c r="W832" s="807"/>
      <c r="X832" s="807"/>
      <c r="Y832" s="807"/>
      <c r="Z832" s="807"/>
    </row>
    <row r="833" ht="171.75" customHeight="1">
      <c r="A833" s="807"/>
      <c r="B833" s="807"/>
      <c r="C833" s="807"/>
      <c r="D833" s="807"/>
      <c r="E833" s="807"/>
      <c r="F833" s="807"/>
      <c r="G833" s="807"/>
      <c r="H833" s="807"/>
      <c r="I833" s="807"/>
      <c r="J833" s="807"/>
      <c r="K833" s="807"/>
      <c r="L833" s="807"/>
      <c r="M833" s="807"/>
      <c r="N833" s="807"/>
      <c r="O833" s="807"/>
      <c r="P833" s="807"/>
      <c r="Q833" s="807"/>
      <c r="R833" s="807"/>
      <c r="S833" s="807"/>
      <c r="T833" s="807"/>
      <c r="U833" s="807"/>
      <c r="V833" s="807"/>
      <c r="W833" s="807"/>
      <c r="X833" s="807"/>
      <c r="Y833" s="807"/>
      <c r="Z833" s="807"/>
    </row>
    <row r="834" ht="171.75" customHeight="1">
      <c r="A834" s="807"/>
      <c r="B834" s="807"/>
      <c r="C834" s="807"/>
      <c r="D834" s="807"/>
      <c r="E834" s="807"/>
      <c r="F834" s="807"/>
      <c r="G834" s="807"/>
      <c r="H834" s="807"/>
      <c r="I834" s="807"/>
      <c r="J834" s="807"/>
      <c r="K834" s="807"/>
      <c r="L834" s="807"/>
      <c r="M834" s="807"/>
      <c r="N834" s="807"/>
      <c r="O834" s="807"/>
      <c r="P834" s="807"/>
      <c r="Q834" s="807"/>
      <c r="R834" s="807"/>
      <c r="S834" s="807"/>
      <c r="T834" s="807"/>
      <c r="U834" s="807"/>
      <c r="V834" s="807"/>
      <c r="W834" s="807"/>
      <c r="X834" s="807"/>
      <c r="Y834" s="807"/>
      <c r="Z834" s="807"/>
    </row>
    <row r="835" ht="171.75" customHeight="1">
      <c r="A835" s="807"/>
      <c r="B835" s="807"/>
      <c r="C835" s="807"/>
      <c r="D835" s="807"/>
      <c r="E835" s="807"/>
      <c r="F835" s="807"/>
      <c r="G835" s="807"/>
      <c r="H835" s="807"/>
      <c r="I835" s="807"/>
      <c r="J835" s="807"/>
      <c r="K835" s="807"/>
      <c r="L835" s="807"/>
      <c r="M835" s="807"/>
      <c r="N835" s="807"/>
      <c r="O835" s="807"/>
      <c r="P835" s="807"/>
      <c r="Q835" s="807"/>
      <c r="R835" s="807"/>
      <c r="S835" s="807"/>
      <c r="T835" s="807"/>
      <c r="U835" s="807"/>
      <c r="V835" s="807"/>
      <c r="W835" s="807"/>
      <c r="X835" s="807"/>
      <c r="Y835" s="807"/>
      <c r="Z835" s="807"/>
    </row>
    <row r="836" ht="171.75" customHeight="1">
      <c r="A836" s="807"/>
      <c r="B836" s="807"/>
      <c r="C836" s="807"/>
      <c r="D836" s="807"/>
      <c r="E836" s="807"/>
      <c r="F836" s="807"/>
      <c r="G836" s="807"/>
      <c r="H836" s="807"/>
      <c r="I836" s="807"/>
      <c r="J836" s="807"/>
      <c r="K836" s="807"/>
      <c r="L836" s="807"/>
      <c r="M836" s="807"/>
      <c r="N836" s="807"/>
      <c r="O836" s="807"/>
      <c r="P836" s="807"/>
      <c r="Q836" s="807"/>
      <c r="R836" s="807"/>
      <c r="S836" s="807"/>
      <c r="T836" s="807"/>
      <c r="U836" s="807"/>
      <c r="V836" s="807"/>
      <c r="W836" s="807"/>
      <c r="X836" s="807"/>
      <c r="Y836" s="807"/>
      <c r="Z836" s="807"/>
    </row>
    <row r="837" ht="171.75" customHeight="1">
      <c r="A837" s="807"/>
      <c r="B837" s="807"/>
      <c r="C837" s="807"/>
      <c r="D837" s="807"/>
      <c r="E837" s="807"/>
      <c r="F837" s="807"/>
      <c r="G837" s="807"/>
      <c r="H837" s="807"/>
      <c r="I837" s="807"/>
      <c r="J837" s="807"/>
      <c r="K837" s="807"/>
      <c r="L837" s="807"/>
      <c r="M837" s="807"/>
      <c r="N837" s="807"/>
      <c r="O837" s="807"/>
      <c r="P837" s="807"/>
      <c r="Q837" s="807"/>
      <c r="R837" s="807"/>
      <c r="S837" s="807"/>
      <c r="T837" s="807"/>
      <c r="U837" s="807"/>
      <c r="V837" s="807"/>
      <c r="W837" s="807"/>
      <c r="X837" s="807"/>
      <c r="Y837" s="807"/>
      <c r="Z837" s="807"/>
    </row>
    <row r="838" ht="171.75" customHeight="1">
      <c r="A838" s="807"/>
      <c r="B838" s="807"/>
      <c r="C838" s="807"/>
      <c r="D838" s="807"/>
      <c r="E838" s="807"/>
      <c r="F838" s="807"/>
      <c r="G838" s="807"/>
      <c r="H838" s="807"/>
      <c r="I838" s="807"/>
      <c r="J838" s="807"/>
      <c r="K838" s="807"/>
      <c r="L838" s="807"/>
      <c r="M838" s="807"/>
      <c r="N838" s="807"/>
      <c r="O838" s="807"/>
      <c r="P838" s="807"/>
      <c r="Q838" s="807"/>
      <c r="R838" s="807"/>
      <c r="S838" s="807"/>
      <c r="T838" s="807"/>
      <c r="U838" s="807"/>
      <c r="V838" s="807"/>
      <c r="W838" s="807"/>
      <c r="X838" s="807"/>
      <c r="Y838" s="807"/>
      <c r="Z838" s="807"/>
    </row>
    <row r="839" ht="171.75" customHeight="1">
      <c r="A839" s="807"/>
      <c r="B839" s="807"/>
      <c r="C839" s="807"/>
      <c r="D839" s="807"/>
      <c r="E839" s="807"/>
      <c r="F839" s="807"/>
      <c r="G839" s="807"/>
      <c r="H839" s="807"/>
      <c r="I839" s="807"/>
      <c r="J839" s="807"/>
      <c r="K839" s="807"/>
      <c r="L839" s="807"/>
      <c r="M839" s="807"/>
      <c r="N839" s="807"/>
      <c r="O839" s="807"/>
      <c r="P839" s="807"/>
      <c r="Q839" s="807"/>
      <c r="R839" s="807"/>
      <c r="S839" s="807"/>
      <c r="T839" s="807"/>
      <c r="U839" s="807"/>
      <c r="V839" s="807"/>
      <c r="W839" s="807"/>
      <c r="X839" s="807"/>
      <c r="Y839" s="807"/>
      <c r="Z839" s="807"/>
    </row>
    <row r="840" ht="171.75" customHeight="1">
      <c r="A840" s="807"/>
      <c r="B840" s="807"/>
      <c r="C840" s="807"/>
      <c r="D840" s="807"/>
      <c r="E840" s="807"/>
      <c r="F840" s="807"/>
      <c r="G840" s="807"/>
      <c r="H840" s="807"/>
      <c r="I840" s="807"/>
      <c r="J840" s="807"/>
      <c r="K840" s="807"/>
      <c r="L840" s="807"/>
      <c r="M840" s="807"/>
      <c r="N840" s="807"/>
      <c r="O840" s="807"/>
      <c r="P840" s="807"/>
      <c r="Q840" s="807"/>
      <c r="R840" s="807"/>
      <c r="S840" s="807"/>
      <c r="T840" s="807"/>
      <c r="U840" s="807"/>
      <c r="V840" s="807"/>
      <c r="W840" s="807"/>
      <c r="X840" s="807"/>
      <c r="Y840" s="807"/>
      <c r="Z840" s="807"/>
    </row>
    <row r="841" ht="171.75" customHeight="1">
      <c r="A841" s="807"/>
      <c r="B841" s="807"/>
      <c r="C841" s="807"/>
      <c r="D841" s="807"/>
      <c r="E841" s="807"/>
      <c r="F841" s="807"/>
      <c r="G841" s="807"/>
      <c r="H841" s="807"/>
      <c r="I841" s="807"/>
      <c r="J841" s="807"/>
      <c r="K841" s="807"/>
      <c r="L841" s="807"/>
      <c r="M841" s="807"/>
      <c r="N841" s="807"/>
      <c r="O841" s="807"/>
      <c r="P841" s="807"/>
      <c r="Q841" s="807"/>
      <c r="R841" s="807"/>
      <c r="S841" s="807"/>
      <c r="T841" s="807"/>
      <c r="U841" s="807"/>
      <c r="V841" s="807"/>
      <c r="W841" s="807"/>
      <c r="X841" s="807"/>
      <c r="Y841" s="807"/>
      <c r="Z841" s="807"/>
    </row>
    <row r="842" ht="171.75" customHeight="1">
      <c r="A842" s="807"/>
      <c r="B842" s="807"/>
      <c r="C842" s="807"/>
      <c r="D842" s="807"/>
      <c r="E842" s="807"/>
      <c r="F842" s="807"/>
      <c r="G842" s="807"/>
      <c r="H842" s="807"/>
      <c r="I842" s="807"/>
      <c r="J842" s="807"/>
      <c r="K842" s="807"/>
      <c r="L842" s="807"/>
      <c r="M842" s="807"/>
      <c r="N842" s="807"/>
      <c r="O842" s="807"/>
      <c r="P842" s="807"/>
      <c r="Q842" s="807"/>
      <c r="R842" s="807"/>
      <c r="S842" s="807"/>
      <c r="T842" s="807"/>
      <c r="U842" s="807"/>
      <c r="V842" s="807"/>
      <c r="W842" s="807"/>
      <c r="X842" s="807"/>
      <c r="Y842" s="807"/>
      <c r="Z842" s="807"/>
    </row>
    <row r="843" ht="171.75" customHeight="1">
      <c r="A843" s="807"/>
      <c r="B843" s="807"/>
      <c r="C843" s="807"/>
      <c r="D843" s="807"/>
      <c r="E843" s="807"/>
      <c r="F843" s="807"/>
      <c r="G843" s="807"/>
      <c r="H843" s="807"/>
      <c r="I843" s="807"/>
      <c r="J843" s="807"/>
      <c r="K843" s="807"/>
      <c r="L843" s="807"/>
      <c r="M843" s="807"/>
      <c r="N843" s="807"/>
      <c r="O843" s="807"/>
      <c r="P843" s="807"/>
      <c r="Q843" s="807"/>
      <c r="R843" s="807"/>
      <c r="S843" s="807"/>
      <c r="T843" s="807"/>
      <c r="U843" s="807"/>
      <c r="V843" s="807"/>
      <c r="W843" s="807"/>
      <c r="X843" s="807"/>
      <c r="Y843" s="807"/>
      <c r="Z843" s="807"/>
    </row>
    <row r="844" ht="171.75" customHeight="1">
      <c r="A844" s="807"/>
      <c r="B844" s="807"/>
      <c r="C844" s="807"/>
      <c r="D844" s="807"/>
      <c r="E844" s="807"/>
      <c r="F844" s="807"/>
      <c r="G844" s="807"/>
      <c r="H844" s="807"/>
      <c r="I844" s="807"/>
      <c r="J844" s="807"/>
      <c r="K844" s="807"/>
      <c r="L844" s="807"/>
      <c r="M844" s="807"/>
      <c r="N844" s="807"/>
      <c r="O844" s="807"/>
      <c r="P844" s="807"/>
      <c r="Q844" s="807"/>
      <c r="R844" s="807"/>
      <c r="S844" s="807"/>
      <c r="T844" s="807"/>
      <c r="U844" s="807"/>
      <c r="V844" s="807"/>
      <c r="W844" s="807"/>
      <c r="X844" s="807"/>
      <c r="Y844" s="807"/>
      <c r="Z844" s="807"/>
    </row>
    <row r="845" ht="171.75" customHeight="1">
      <c r="A845" s="807"/>
      <c r="B845" s="807"/>
      <c r="C845" s="807"/>
      <c r="D845" s="807"/>
      <c r="E845" s="807"/>
      <c r="F845" s="807"/>
      <c r="G845" s="807"/>
      <c r="H845" s="807"/>
      <c r="I845" s="807"/>
      <c r="J845" s="807"/>
      <c r="K845" s="807"/>
      <c r="L845" s="807"/>
      <c r="M845" s="807"/>
      <c r="N845" s="807"/>
      <c r="O845" s="807"/>
      <c r="P845" s="807"/>
      <c r="Q845" s="807"/>
      <c r="R845" s="807"/>
      <c r="S845" s="807"/>
      <c r="T845" s="807"/>
      <c r="U845" s="807"/>
      <c r="V845" s="807"/>
      <c r="W845" s="807"/>
      <c r="X845" s="807"/>
      <c r="Y845" s="807"/>
      <c r="Z845" s="807"/>
    </row>
    <row r="846" ht="171.75" customHeight="1">
      <c r="A846" s="807"/>
      <c r="B846" s="807"/>
      <c r="C846" s="807"/>
      <c r="D846" s="807"/>
      <c r="E846" s="807"/>
      <c r="F846" s="807"/>
      <c r="G846" s="807"/>
      <c r="H846" s="807"/>
      <c r="I846" s="807"/>
      <c r="J846" s="807"/>
      <c r="K846" s="807"/>
      <c r="L846" s="807"/>
      <c r="M846" s="807"/>
      <c r="N846" s="807"/>
      <c r="O846" s="807"/>
      <c r="P846" s="807"/>
      <c r="Q846" s="807"/>
      <c r="R846" s="807"/>
      <c r="S846" s="807"/>
      <c r="T846" s="807"/>
      <c r="U846" s="807"/>
      <c r="V846" s="807"/>
      <c r="W846" s="807"/>
      <c r="X846" s="807"/>
      <c r="Y846" s="807"/>
      <c r="Z846" s="807"/>
    </row>
    <row r="847" ht="171.75" customHeight="1">
      <c r="A847" s="807"/>
      <c r="B847" s="807"/>
      <c r="C847" s="807"/>
      <c r="D847" s="807"/>
      <c r="E847" s="807"/>
      <c r="F847" s="807"/>
      <c r="G847" s="807"/>
      <c r="H847" s="807"/>
      <c r="I847" s="807"/>
      <c r="J847" s="807"/>
      <c r="K847" s="807"/>
      <c r="L847" s="807"/>
      <c r="M847" s="807"/>
      <c r="N847" s="807"/>
      <c r="O847" s="807"/>
      <c r="P847" s="807"/>
      <c r="Q847" s="807"/>
      <c r="R847" s="807"/>
      <c r="S847" s="807"/>
      <c r="T847" s="807"/>
      <c r="U847" s="807"/>
      <c r="V847" s="807"/>
      <c r="W847" s="807"/>
      <c r="X847" s="807"/>
      <c r="Y847" s="807"/>
      <c r="Z847" s="807"/>
    </row>
    <row r="848" ht="171.75" customHeight="1">
      <c r="A848" s="807"/>
      <c r="B848" s="807"/>
      <c r="C848" s="807"/>
      <c r="D848" s="807"/>
      <c r="E848" s="807"/>
      <c r="F848" s="807"/>
      <c r="G848" s="807"/>
      <c r="H848" s="807"/>
      <c r="I848" s="807"/>
      <c r="J848" s="807"/>
      <c r="K848" s="807"/>
      <c r="L848" s="807"/>
      <c r="M848" s="807"/>
      <c r="N848" s="807"/>
      <c r="O848" s="807"/>
      <c r="P848" s="807"/>
      <c r="Q848" s="807"/>
      <c r="R848" s="807"/>
      <c r="S848" s="807"/>
      <c r="T848" s="807"/>
      <c r="U848" s="807"/>
      <c r="V848" s="807"/>
      <c r="W848" s="807"/>
      <c r="X848" s="807"/>
      <c r="Y848" s="807"/>
      <c r="Z848" s="807"/>
    </row>
    <row r="849" ht="171.75" customHeight="1">
      <c r="A849" s="807"/>
      <c r="B849" s="807"/>
      <c r="C849" s="807"/>
      <c r="D849" s="807"/>
      <c r="E849" s="807"/>
      <c r="F849" s="807"/>
      <c r="G849" s="807"/>
      <c r="H849" s="807"/>
      <c r="I849" s="807"/>
      <c r="J849" s="807"/>
      <c r="K849" s="807"/>
      <c r="L849" s="807"/>
      <c r="M849" s="807"/>
      <c r="N849" s="807"/>
      <c r="O849" s="807"/>
      <c r="P849" s="807"/>
      <c r="Q849" s="807"/>
      <c r="R849" s="807"/>
      <c r="S849" s="807"/>
      <c r="T849" s="807"/>
      <c r="U849" s="807"/>
      <c r="V849" s="807"/>
      <c r="W849" s="807"/>
      <c r="X849" s="807"/>
      <c r="Y849" s="807"/>
      <c r="Z849" s="807"/>
    </row>
    <row r="850" ht="171.75" customHeight="1">
      <c r="A850" s="807"/>
      <c r="B850" s="807"/>
      <c r="C850" s="807"/>
      <c r="D850" s="807"/>
      <c r="E850" s="807"/>
      <c r="F850" s="807"/>
      <c r="G850" s="807"/>
      <c r="H850" s="807"/>
      <c r="I850" s="807"/>
      <c r="J850" s="807"/>
      <c r="K850" s="807"/>
      <c r="L850" s="807"/>
      <c r="M850" s="807"/>
      <c r="N850" s="807"/>
      <c r="O850" s="807"/>
      <c r="P850" s="807"/>
      <c r="Q850" s="807"/>
      <c r="R850" s="807"/>
      <c r="S850" s="807"/>
      <c r="T850" s="807"/>
      <c r="U850" s="807"/>
      <c r="V850" s="807"/>
      <c r="W850" s="807"/>
      <c r="X850" s="807"/>
      <c r="Y850" s="807"/>
      <c r="Z850" s="807"/>
    </row>
    <row r="851" ht="171.75" customHeight="1">
      <c r="A851" s="807"/>
      <c r="B851" s="807"/>
      <c r="C851" s="807"/>
      <c r="D851" s="807"/>
      <c r="E851" s="807"/>
      <c r="F851" s="807"/>
      <c r="G851" s="807"/>
      <c r="H851" s="807"/>
      <c r="I851" s="807"/>
      <c r="J851" s="807"/>
      <c r="K851" s="807"/>
      <c r="L851" s="807"/>
      <c r="M851" s="807"/>
      <c r="N851" s="807"/>
      <c r="O851" s="807"/>
      <c r="P851" s="807"/>
      <c r="Q851" s="807"/>
      <c r="R851" s="807"/>
      <c r="S851" s="807"/>
      <c r="T851" s="807"/>
      <c r="U851" s="807"/>
      <c r="V851" s="807"/>
      <c r="W851" s="807"/>
      <c r="X851" s="807"/>
      <c r="Y851" s="807"/>
      <c r="Z851" s="807"/>
    </row>
    <row r="852" ht="171.75" customHeight="1">
      <c r="A852" s="807"/>
      <c r="B852" s="807"/>
      <c r="C852" s="807"/>
      <c r="D852" s="807"/>
      <c r="E852" s="807"/>
      <c r="F852" s="807"/>
      <c r="G852" s="807"/>
      <c r="H852" s="807"/>
      <c r="I852" s="807"/>
      <c r="J852" s="807"/>
      <c r="K852" s="807"/>
      <c r="L852" s="807"/>
      <c r="M852" s="807"/>
      <c r="N852" s="807"/>
      <c r="O852" s="807"/>
      <c r="P852" s="807"/>
      <c r="Q852" s="807"/>
      <c r="R852" s="807"/>
      <c r="S852" s="807"/>
      <c r="T852" s="807"/>
      <c r="U852" s="807"/>
      <c r="V852" s="807"/>
      <c r="W852" s="807"/>
      <c r="X852" s="807"/>
      <c r="Y852" s="807"/>
      <c r="Z852" s="807"/>
    </row>
    <row r="853" ht="171.75" customHeight="1">
      <c r="A853" s="807"/>
      <c r="B853" s="807"/>
      <c r="C853" s="807"/>
      <c r="D853" s="807"/>
      <c r="E853" s="807"/>
      <c r="F853" s="807"/>
      <c r="G853" s="807"/>
      <c r="H853" s="807"/>
      <c r="I853" s="807"/>
      <c r="J853" s="807"/>
      <c r="K853" s="807"/>
      <c r="L853" s="807"/>
      <c r="M853" s="807"/>
      <c r="N853" s="807"/>
      <c r="O853" s="807"/>
      <c r="P853" s="807"/>
      <c r="Q853" s="807"/>
      <c r="R853" s="807"/>
      <c r="S853" s="807"/>
      <c r="T853" s="807"/>
      <c r="U853" s="807"/>
      <c r="V853" s="807"/>
      <c r="W853" s="807"/>
      <c r="X853" s="807"/>
      <c r="Y853" s="807"/>
      <c r="Z853" s="807"/>
    </row>
    <row r="854" ht="171.75" customHeight="1">
      <c r="A854" s="807"/>
      <c r="B854" s="807"/>
      <c r="C854" s="807"/>
      <c r="D854" s="807"/>
      <c r="E854" s="807"/>
      <c r="F854" s="807"/>
      <c r="G854" s="807"/>
      <c r="H854" s="807"/>
      <c r="I854" s="807"/>
      <c r="J854" s="807"/>
      <c r="K854" s="807"/>
      <c r="L854" s="807"/>
      <c r="M854" s="807"/>
      <c r="N854" s="807"/>
      <c r="O854" s="807"/>
      <c r="P854" s="807"/>
      <c r="Q854" s="807"/>
      <c r="R854" s="807"/>
      <c r="S854" s="807"/>
      <c r="T854" s="807"/>
      <c r="U854" s="807"/>
      <c r="V854" s="807"/>
      <c r="W854" s="807"/>
      <c r="X854" s="807"/>
      <c r="Y854" s="807"/>
      <c r="Z854" s="807"/>
    </row>
    <row r="855" ht="171.75" customHeight="1">
      <c r="A855" s="807"/>
      <c r="B855" s="807"/>
      <c r="C855" s="807"/>
      <c r="D855" s="807"/>
      <c r="E855" s="807"/>
      <c r="F855" s="807"/>
      <c r="G855" s="807"/>
      <c r="H855" s="807"/>
      <c r="I855" s="807"/>
      <c r="J855" s="807"/>
      <c r="K855" s="807"/>
      <c r="L855" s="807"/>
      <c r="M855" s="807"/>
      <c r="N855" s="807"/>
      <c r="O855" s="807"/>
      <c r="P855" s="807"/>
      <c r="Q855" s="807"/>
      <c r="R855" s="807"/>
      <c r="S855" s="807"/>
      <c r="T855" s="807"/>
      <c r="U855" s="807"/>
      <c r="V855" s="807"/>
      <c r="W855" s="807"/>
      <c r="X855" s="807"/>
      <c r="Y855" s="807"/>
      <c r="Z855" s="807"/>
    </row>
    <row r="856" ht="171.75" customHeight="1">
      <c r="A856" s="807"/>
      <c r="B856" s="807"/>
      <c r="C856" s="807"/>
      <c r="D856" s="807"/>
      <c r="E856" s="807"/>
      <c r="F856" s="807"/>
      <c r="G856" s="807"/>
      <c r="H856" s="807"/>
      <c r="I856" s="807"/>
      <c r="J856" s="807"/>
      <c r="K856" s="807"/>
      <c r="L856" s="807"/>
      <c r="M856" s="807"/>
      <c r="N856" s="807"/>
      <c r="O856" s="807"/>
      <c r="P856" s="807"/>
      <c r="Q856" s="807"/>
      <c r="R856" s="807"/>
      <c r="S856" s="807"/>
      <c r="T856" s="807"/>
      <c r="U856" s="807"/>
      <c r="V856" s="807"/>
      <c r="W856" s="807"/>
      <c r="X856" s="807"/>
      <c r="Y856" s="807"/>
      <c r="Z856" s="807"/>
    </row>
    <row r="857" ht="171.75" customHeight="1">
      <c r="A857" s="807"/>
      <c r="B857" s="807"/>
      <c r="C857" s="807"/>
      <c r="D857" s="807"/>
      <c r="E857" s="807"/>
      <c r="F857" s="807"/>
      <c r="G857" s="807"/>
      <c r="H857" s="807"/>
      <c r="I857" s="807"/>
      <c r="J857" s="807"/>
      <c r="K857" s="807"/>
      <c r="L857" s="807"/>
      <c r="M857" s="807"/>
      <c r="N857" s="807"/>
      <c r="O857" s="807"/>
      <c r="P857" s="807"/>
      <c r="Q857" s="807"/>
      <c r="R857" s="807"/>
      <c r="S857" s="807"/>
      <c r="T857" s="807"/>
      <c r="U857" s="807"/>
      <c r="V857" s="807"/>
      <c r="W857" s="807"/>
      <c r="X857" s="807"/>
      <c r="Y857" s="807"/>
      <c r="Z857" s="807"/>
    </row>
    <row r="858" ht="171.75" customHeight="1">
      <c r="A858" s="807"/>
      <c r="B858" s="807"/>
      <c r="C858" s="807"/>
      <c r="D858" s="807"/>
      <c r="E858" s="807"/>
      <c r="F858" s="807"/>
      <c r="G858" s="807"/>
      <c r="H858" s="807"/>
      <c r="I858" s="807"/>
      <c r="J858" s="807"/>
      <c r="K858" s="807"/>
      <c r="L858" s="807"/>
      <c r="M858" s="807"/>
      <c r="N858" s="807"/>
      <c r="O858" s="807"/>
      <c r="P858" s="807"/>
      <c r="Q858" s="807"/>
      <c r="R858" s="807"/>
      <c r="S858" s="807"/>
      <c r="T858" s="807"/>
      <c r="U858" s="807"/>
      <c r="V858" s="807"/>
      <c r="W858" s="807"/>
      <c r="X858" s="807"/>
      <c r="Y858" s="807"/>
      <c r="Z858" s="807"/>
    </row>
    <row r="859" ht="171.75" customHeight="1">
      <c r="A859" s="807"/>
      <c r="B859" s="807"/>
      <c r="C859" s="807"/>
      <c r="D859" s="807"/>
      <c r="E859" s="807"/>
      <c r="F859" s="807"/>
      <c r="G859" s="807"/>
      <c r="H859" s="807"/>
      <c r="I859" s="807"/>
      <c r="J859" s="807"/>
      <c r="K859" s="807"/>
      <c r="L859" s="807"/>
      <c r="M859" s="807"/>
      <c r="N859" s="807"/>
      <c r="O859" s="807"/>
      <c r="P859" s="807"/>
      <c r="Q859" s="807"/>
      <c r="R859" s="807"/>
      <c r="S859" s="807"/>
      <c r="T859" s="807"/>
      <c r="U859" s="807"/>
      <c r="V859" s="807"/>
      <c r="W859" s="807"/>
      <c r="X859" s="807"/>
      <c r="Y859" s="807"/>
      <c r="Z859" s="807"/>
    </row>
    <row r="860" ht="171.75" customHeight="1">
      <c r="A860" s="807"/>
      <c r="B860" s="807"/>
      <c r="C860" s="807"/>
      <c r="D860" s="807"/>
      <c r="E860" s="807"/>
      <c r="F860" s="807"/>
      <c r="G860" s="807"/>
      <c r="H860" s="807"/>
      <c r="I860" s="807"/>
      <c r="J860" s="807"/>
      <c r="K860" s="807"/>
      <c r="L860" s="807"/>
      <c r="M860" s="807"/>
      <c r="N860" s="807"/>
      <c r="O860" s="807"/>
      <c r="P860" s="807"/>
      <c r="Q860" s="807"/>
      <c r="R860" s="807"/>
      <c r="S860" s="807"/>
      <c r="T860" s="807"/>
      <c r="U860" s="807"/>
      <c r="V860" s="807"/>
      <c r="W860" s="807"/>
      <c r="X860" s="807"/>
      <c r="Y860" s="807"/>
      <c r="Z860" s="807"/>
    </row>
    <row r="861" ht="171.75" customHeight="1">
      <c r="A861" s="807"/>
      <c r="B861" s="807"/>
      <c r="C861" s="807"/>
      <c r="D861" s="807"/>
      <c r="E861" s="807"/>
      <c r="F861" s="807"/>
      <c r="G861" s="807"/>
      <c r="H861" s="807"/>
      <c r="I861" s="807"/>
      <c r="J861" s="807"/>
      <c r="K861" s="807"/>
      <c r="L861" s="807"/>
      <c r="M861" s="807"/>
      <c r="N861" s="807"/>
      <c r="O861" s="807"/>
      <c r="P861" s="807"/>
      <c r="Q861" s="807"/>
      <c r="R861" s="807"/>
      <c r="S861" s="807"/>
      <c r="T861" s="807"/>
      <c r="U861" s="807"/>
      <c r="V861" s="807"/>
      <c r="W861" s="807"/>
      <c r="X861" s="807"/>
      <c r="Y861" s="807"/>
      <c r="Z861" s="807"/>
    </row>
    <row r="862" ht="171.75" customHeight="1">
      <c r="A862" s="807"/>
      <c r="B862" s="807"/>
      <c r="C862" s="807"/>
      <c r="D862" s="807"/>
      <c r="E862" s="807"/>
      <c r="F862" s="807"/>
      <c r="G862" s="807"/>
      <c r="H862" s="807"/>
      <c r="I862" s="807"/>
      <c r="J862" s="807"/>
      <c r="K862" s="807"/>
      <c r="L862" s="807"/>
      <c r="M862" s="807"/>
      <c r="N862" s="807"/>
      <c r="O862" s="807"/>
      <c r="P862" s="807"/>
      <c r="Q862" s="807"/>
      <c r="R862" s="807"/>
      <c r="S862" s="807"/>
      <c r="T862" s="807"/>
      <c r="U862" s="807"/>
      <c r="V862" s="807"/>
      <c r="W862" s="807"/>
      <c r="X862" s="807"/>
      <c r="Y862" s="807"/>
      <c r="Z862" s="807"/>
    </row>
    <row r="863" ht="171.75" customHeight="1">
      <c r="A863" s="807"/>
      <c r="B863" s="807"/>
      <c r="C863" s="807"/>
      <c r="D863" s="807"/>
      <c r="E863" s="807"/>
      <c r="F863" s="807"/>
      <c r="G863" s="807"/>
      <c r="H863" s="807"/>
      <c r="I863" s="807"/>
      <c r="J863" s="807"/>
      <c r="K863" s="807"/>
      <c r="L863" s="807"/>
      <c r="M863" s="807"/>
      <c r="N863" s="807"/>
      <c r="O863" s="807"/>
      <c r="P863" s="807"/>
      <c r="Q863" s="807"/>
      <c r="R863" s="807"/>
      <c r="S863" s="807"/>
      <c r="T863" s="807"/>
      <c r="U863" s="807"/>
      <c r="V863" s="807"/>
      <c r="W863" s="807"/>
      <c r="X863" s="807"/>
      <c r="Y863" s="807"/>
      <c r="Z863" s="807"/>
    </row>
    <row r="864" ht="171.75" customHeight="1">
      <c r="A864" s="807"/>
      <c r="B864" s="807"/>
      <c r="C864" s="807"/>
      <c r="D864" s="807"/>
      <c r="E864" s="807"/>
      <c r="F864" s="807"/>
      <c r="G864" s="807"/>
      <c r="H864" s="807"/>
      <c r="I864" s="807"/>
      <c r="J864" s="807"/>
      <c r="K864" s="807"/>
      <c r="L864" s="807"/>
      <c r="M864" s="807"/>
      <c r="N864" s="807"/>
      <c r="O864" s="807"/>
      <c r="P864" s="807"/>
      <c r="Q864" s="807"/>
      <c r="R864" s="807"/>
      <c r="S864" s="807"/>
      <c r="T864" s="807"/>
      <c r="U864" s="807"/>
      <c r="V864" s="807"/>
      <c r="W864" s="807"/>
      <c r="X864" s="807"/>
      <c r="Y864" s="807"/>
      <c r="Z864" s="807"/>
    </row>
    <row r="865" ht="171.75" customHeight="1">
      <c r="A865" s="807"/>
      <c r="B865" s="807"/>
      <c r="C865" s="807"/>
      <c r="D865" s="807"/>
      <c r="E865" s="807"/>
      <c r="F865" s="807"/>
      <c r="G865" s="807"/>
      <c r="H865" s="807"/>
      <c r="I865" s="807"/>
      <c r="J865" s="807"/>
      <c r="K865" s="807"/>
      <c r="L865" s="807"/>
      <c r="M865" s="807"/>
      <c r="N865" s="807"/>
      <c r="O865" s="807"/>
      <c r="P865" s="807"/>
      <c r="Q865" s="807"/>
      <c r="R865" s="807"/>
      <c r="S865" s="807"/>
      <c r="T865" s="807"/>
      <c r="U865" s="807"/>
      <c r="V865" s="807"/>
      <c r="W865" s="807"/>
      <c r="X865" s="807"/>
      <c r="Y865" s="807"/>
      <c r="Z865" s="807"/>
    </row>
    <row r="866" ht="171.75" customHeight="1">
      <c r="A866" s="807"/>
      <c r="B866" s="807"/>
      <c r="C866" s="807"/>
      <c r="D866" s="807"/>
      <c r="E866" s="807"/>
      <c r="F866" s="807"/>
      <c r="G866" s="807"/>
      <c r="H866" s="807"/>
      <c r="I866" s="807"/>
      <c r="J866" s="807"/>
      <c r="K866" s="807"/>
      <c r="L866" s="807"/>
      <c r="M866" s="807"/>
      <c r="N866" s="807"/>
      <c r="O866" s="807"/>
      <c r="P866" s="807"/>
      <c r="Q866" s="807"/>
      <c r="R866" s="807"/>
      <c r="S866" s="807"/>
      <c r="T866" s="807"/>
      <c r="U866" s="807"/>
      <c r="V866" s="807"/>
      <c r="W866" s="807"/>
      <c r="X866" s="807"/>
      <c r="Y866" s="807"/>
      <c r="Z866" s="807"/>
    </row>
    <row r="867" ht="171.75" customHeight="1">
      <c r="A867" s="807"/>
      <c r="B867" s="807"/>
      <c r="C867" s="807"/>
      <c r="D867" s="807"/>
      <c r="E867" s="807"/>
      <c r="F867" s="807"/>
      <c r="G867" s="807"/>
      <c r="H867" s="807"/>
      <c r="I867" s="807"/>
      <c r="J867" s="807"/>
      <c r="K867" s="807"/>
      <c r="L867" s="807"/>
      <c r="M867" s="807"/>
      <c r="N867" s="807"/>
      <c r="O867" s="807"/>
      <c r="P867" s="807"/>
      <c r="Q867" s="807"/>
      <c r="R867" s="807"/>
      <c r="S867" s="807"/>
      <c r="T867" s="807"/>
      <c r="U867" s="807"/>
      <c r="V867" s="807"/>
      <c r="W867" s="807"/>
      <c r="X867" s="807"/>
      <c r="Y867" s="807"/>
      <c r="Z867" s="807"/>
    </row>
    <row r="868" ht="171.75" customHeight="1">
      <c r="A868" s="807"/>
      <c r="B868" s="807"/>
      <c r="C868" s="807"/>
      <c r="D868" s="807"/>
      <c r="E868" s="807"/>
      <c r="F868" s="807"/>
      <c r="G868" s="807"/>
      <c r="H868" s="807"/>
      <c r="I868" s="807"/>
      <c r="J868" s="807"/>
      <c r="K868" s="807"/>
      <c r="L868" s="807"/>
      <c r="M868" s="807"/>
      <c r="N868" s="807"/>
      <c r="O868" s="807"/>
      <c r="P868" s="807"/>
      <c r="Q868" s="807"/>
      <c r="R868" s="807"/>
      <c r="S868" s="807"/>
      <c r="T868" s="807"/>
      <c r="U868" s="807"/>
      <c r="V868" s="807"/>
      <c r="W868" s="807"/>
      <c r="X868" s="807"/>
      <c r="Y868" s="807"/>
      <c r="Z868" s="807"/>
    </row>
    <row r="869" ht="171.75" customHeight="1">
      <c r="A869" s="807"/>
      <c r="B869" s="807"/>
      <c r="C869" s="807"/>
      <c r="D869" s="807"/>
      <c r="E869" s="807"/>
      <c r="F869" s="807"/>
      <c r="G869" s="807"/>
      <c r="H869" s="807"/>
      <c r="I869" s="807"/>
      <c r="J869" s="807"/>
      <c r="K869" s="807"/>
      <c r="L869" s="807"/>
      <c r="M869" s="807"/>
      <c r="N869" s="807"/>
      <c r="O869" s="807"/>
      <c r="P869" s="807"/>
      <c r="Q869" s="807"/>
      <c r="R869" s="807"/>
      <c r="S869" s="807"/>
      <c r="T869" s="807"/>
      <c r="U869" s="807"/>
      <c r="V869" s="807"/>
      <c r="W869" s="807"/>
      <c r="X869" s="807"/>
      <c r="Y869" s="807"/>
      <c r="Z869" s="807"/>
    </row>
    <row r="870" ht="171.75" customHeight="1">
      <c r="A870" s="807"/>
      <c r="B870" s="807"/>
      <c r="C870" s="807"/>
      <c r="D870" s="807"/>
      <c r="E870" s="807"/>
      <c r="F870" s="807"/>
      <c r="G870" s="807"/>
      <c r="H870" s="807"/>
      <c r="I870" s="807"/>
      <c r="J870" s="807"/>
      <c r="K870" s="807"/>
      <c r="L870" s="807"/>
      <c r="M870" s="807"/>
      <c r="N870" s="807"/>
      <c r="O870" s="807"/>
      <c r="P870" s="807"/>
      <c r="Q870" s="807"/>
      <c r="R870" s="807"/>
      <c r="S870" s="807"/>
      <c r="T870" s="807"/>
      <c r="U870" s="807"/>
      <c r="V870" s="807"/>
      <c r="W870" s="807"/>
      <c r="X870" s="807"/>
      <c r="Y870" s="807"/>
      <c r="Z870" s="807"/>
    </row>
    <row r="871" ht="171.75" customHeight="1">
      <c r="A871" s="807"/>
      <c r="B871" s="807"/>
      <c r="C871" s="807"/>
      <c r="D871" s="807"/>
      <c r="E871" s="807"/>
      <c r="F871" s="807"/>
      <c r="G871" s="807"/>
      <c r="H871" s="807"/>
      <c r="I871" s="807"/>
      <c r="J871" s="807"/>
      <c r="K871" s="807"/>
      <c r="L871" s="807"/>
      <c r="M871" s="807"/>
      <c r="N871" s="807"/>
      <c r="O871" s="807"/>
      <c r="P871" s="807"/>
      <c r="Q871" s="807"/>
      <c r="R871" s="807"/>
      <c r="S871" s="807"/>
      <c r="T871" s="807"/>
      <c r="U871" s="807"/>
      <c r="V871" s="807"/>
      <c r="W871" s="807"/>
      <c r="X871" s="807"/>
      <c r="Y871" s="807"/>
      <c r="Z871" s="807"/>
    </row>
    <row r="872" ht="171.75" customHeight="1">
      <c r="A872" s="807"/>
      <c r="B872" s="807"/>
      <c r="C872" s="807"/>
      <c r="D872" s="807"/>
      <c r="E872" s="807"/>
      <c r="F872" s="807"/>
      <c r="G872" s="807"/>
      <c r="H872" s="807"/>
      <c r="I872" s="807"/>
      <c r="J872" s="807"/>
      <c r="K872" s="807"/>
      <c r="L872" s="807"/>
      <c r="M872" s="807"/>
      <c r="N872" s="807"/>
      <c r="O872" s="807"/>
      <c r="P872" s="807"/>
      <c r="Q872" s="807"/>
      <c r="R872" s="807"/>
      <c r="S872" s="807"/>
      <c r="T872" s="807"/>
      <c r="U872" s="807"/>
      <c r="V872" s="807"/>
      <c r="W872" s="807"/>
      <c r="X872" s="807"/>
      <c r="Y872" s="807"/>
      <c r="Z872" s="807"/>
    </row>
    <row r="873" ht="171.75" customHeight="1">
      <c r="A873" s="807"/>
      <c r="B873" s="807"/>
      <c r="C873" s="807"/>
      <c r="D873" s="807"/>
      <c r="E873" s="807"/>
      <c r="F873" s="807"/>
      <c r="G873" s="807"/>
      <c r="H873" s="807"/>
      <c r="I873" s="807"/>
      <c r="J873" s="807"/>
      <c r="K873" s="807"/>
      <c r="L873" s="807"/>
      <c r="M873" s="807"/>
      <c r="N873" s="807"/>
      <c r="O873" s="807"/>
      <c r="P873" s="807"/>
      <c r="Q873" s="807"/>
      <c r="R873" s="807"/>
      <c r="S873" s="807"/>
      <c r="T873" s="807"/>
      <c r="U873" s="807"/>
      <c r="V873" s="807"/>
      <c r="W873" s="807"/>
      <c r="X873" s="807"/>
      <c r="Y873" s="807"/>
      <c r="Z873" s="807"/>
    </row>
    <row r="874" ht="171.75" customHeight="1">
      <c r="A874" s="807"/>
      <c r="B874" s="807"/>
      <c r="C874" s="807"/>
      <c r="D874" s="807"/>
      <c r="E874" s="807"/>
      <c r="F874" s="807"/>
      <c r="G874" s="807"/>
      <c r="H874" s="807"/>
      <c r="I874" s="807"/>
      <c r="J874" s="807"/>
      <c r="K874" s="807"/>
      <c r="L874" s="807"/>
      <c r="M874" s="807"/>
      <c r="N874" s="807"/>
      <c r="O874" s="807"/>
      <c r="P874" s="807"/>
      <c r="Q874" s="807"/>
      <c r="R874" s="807"/>
      <c r="S874" s="807"/>
      <c r="T874" s="807"/>
      <c r="U874" s="807"/>
      <c r="V874" s="807"/>
      <c r="W874" s="807"/>
      <c r="X874" s="807"/>
      <c r="Y874" s="807"/>
      <c r="Z874" s="807"/>
    </row>
    <row r="875" ht="171.75" customHeight="1">
      <c r="A875" s="807"/>
      <c r="B875" s="807"/>
      <c r="C875" s="807"/>
      <c r="D875" s="807"/>
      <c r="E875" s="807"/>
      <c r="F875" s="807"/>
      <c r="G875" s="807"/>
      <c r="H875" s="807"/>
      <c r="I875" s="807"/>
      <c r="J875" s="807"/>
      <c r="K875" s="807"/>
      <c r="L875" s="807"/>
      <c r="M875" s="807"/>
      <c r="N875" s="807"/>
      <c r="O875" s="807"/>
      <c r="P875" s="807"/>
      <c r="Q875" s="807"/>
      <c r="R875" s="807"/>
      <c r="S875" s="807"/>
      <c r="T875" s="807"/>
      <c r="U875" s="807"/>
      <c r="V875" s="807"/>
      <c r="W875" s="807"/>
      <c r="X875" s="807"/>
      <c r="Y875" s="807"/>
      <c r="Z875" s="807"/>
    </row>
    <row r="876" ht="171.75" customHeight="1">
      <c r="A876" s="807"/>
      <c r="B876" s="807"/>
      <c r="C876" s="807"/>
      <c r="D876" s="807"/>
      <c r="E876" s="807"/>
      <c r="F876" s="807"/>
      <c r="G876" s="807"/>
      <c r="H876" s="807"/>
      <c r="I876" s="807"/>
      <c r="J876" s="807"/>
      <c r="K876" s="807"/>
      <c r="L876" s="807"/>
      <c r="M876" s="807"/>
      <c r="N876" s="807"/>
      <c r="O876" s="807"/>
      <c r="P876" s="807"/>
      <c r="Q876" s="807"/>
      <c r="R876" s="807"/>
      <c r="S876" s="807"/>
      <c r="T876" s="807"/>
      <c r="U876" s="807"/>
      <c r="V876" s="807"/>
      <c r="W876" s="807"/>
      <c r="X876" s="807"/>
      <c r="Y876" s="807"/>
      <c r="Z876" s="807"/>
    </row>
    <row r="877" ht="171.75" customHeight="1">
      <c r="A877" s="807"/>
      <c r="B877" s="807"/>
      <c r="C877" s="807"/>
      <c r="D877" s="807"/>
      <c r="E877" s="807"/>
      <c r="F877" s="807"/>
      <c r="G877" s="807"/>
      <c r="H877" s="807"/>
      <c r="I877" s="807"/>
      <c r="J877" s="807"/>
      <c r="K877" s="807"/>
      <c r="L877" s="807"/>
      <c r="M877" s="807"/>
      <c r="N877" s="807"/>
      <c r="O877" s="807"/>
      <c r="P877" s="807"/>
      <c r="Q877" s="807"/>
      <c r="R877" s="807"/>
      <c r="S877" s="807"/>
      <c r="T877" s="807"/>
      <c r="U877" s="807"/>
      <c r="V877" s="807"/>
      <c r="W877" s="807"/>
      <c r="X877" s="807"/>
      <c r="Y877" s="807"/>
      <c r="Z877" s="807"/>
    </row>
    <row r="878" ht="171.75" customHeight="1">
      <c r="A878" s="807"/>
      <c r="B878" s="807"/>
      <c r="C878" s="807"/>
      <c r="D878" s="807"/>
      <c r="E878" s="807"/>
      <c r="F878" s="807"/>
      <c r="G878" s="807"/>
      <c r="H878" s="807"/>
      <c r="I878" s="807"/>
      <c r="J878" s="807"/>
      <c r="K878" s="807"/>
      <c r="L878" s="807"/>
      <c r="M878" s="807"/>
      <c r="N878" s="807"/>
      <c r="O878" s="807"/>
      <c r="P878" s="807"/>
      <c r="Q878" s="807"/>
      <c r="R878" s="807"/>
      <c r="S878" s="807"/>
      <c r="T878" s="807"/>
      <c r="U878" s="807"/>
      <c r="V878" s="807"/>
      <c r="W878" s="807"/>
      <c r="X878" s="807"/>
      <c r="Y878" s="807"/>
      <c r="Z878" s="807"/>
    </row>
    <row r="879" ht="171.75" customHeight="1">
      <c r="A879" s="807"/>
      <c r="B879" s="807"/>
      <c r="C879" s="807"/>
      <c r="D879" s="807"/>
      <c r="E879" s="807"/>
      <c r="F879" s="807"/>
      <c r="G879" s="807"/>
      <c r="H879" s="807"/>
      <c r="I879" s="807"/>
      <c r="J879" s="807"/>
      <c r="K879" s="807"/>
      <c r="L879" s="807"/>
      <c r="M879" s="807"/>
      <c r="N879" s="807"/>
      <c r="O879" s="807"/>
      <c r="P879" s="807"/>
      <c r="Q879" s="807"/>
      <c r="R879" s="807"/>
      <c r="S879" s="807"/>
      <c r="T879" s="807"/>
      <c r="U879" s="807"/>
      <c r="V879" s="807"/>
      <c r="W879" s="807"/>
      <c r="X879" s="807"/>
      <c r="Y879" s="807"/>
      <c r="Z879" s="807"/>
    </row>
    <row r="880" ht="171.75" customHeight="1">
      <c r="A880" s="807"/>
      <c r="B880" s="807"/>
      <c r="C880" s="807"/>
      <c r="D880" s="807"/>
      <c r="E880" s="807"/>
      <c r="F880" s="807"/>
      <c r="G880" s="807"/>
      <c r="H880" s="807"/>
      <c r="I880" s="807"/>
      <c r="J880" s="807"/>
      <c r="K880" s="807"/>
      <c r="L880" s="807"/>
      <c r="M880" s="807"/>
      <c r="N880" s="807"/>
      <c r="O880" s="807"/>
      <c r="P880" s="807"/>
      <c r="Q880" s="807"/>
      <c r="R880" s="807"/>
      <c r="S880" s="807"/>
      <c r="T880" s="807"/>
      <c r="U880" s="807"/>
      <c r="V880" s="807"/>
      <c r="W880" s="807"/>
      <c r="X880" s="807"/>
      <c r="Y880" s="807"/>
      <c r="Z880" s="807"/>
    </row>
    <row r="881" ht="171.75" customHeight="1">
      <c r="A881" s="807"/>
      <c r="B881" s="807"/>
      <c r="C881" s="807"/>
      <c r="D881" s="807"/>
      <c r="E881" s="807"/>
      <c r="F881" s="807"/>
      <c r="G881" s="807"/>
      <c r="H881" s="807"/>
      <c r="I881" s="807"/>
      <c r="J881" s="807"/>
      <c r="K881" s="807"/>
      <c r="L881" s="807"/>
      <c r="M881" s="807"/>
      <c r="N881" s="807"/>
      <c r="O881" s="807"/>
      <c r="P881" s="807"/>
      <c r="Q881" s="807"/>
      <c r="R881" s="807"/>
      <c r="S881" s="807"/>
      <c r="T881" s="807"/>
      <c r="U881" s="807"/>
      <c r="V881" s="807"/>
      <c r="W881" s="807"/>
      <c r="X881" s="807"/>
      <c r="Y881" s="807"/>
      <c r="Z881" s="807"/>
    </row>
    <row r="882" ht="171.75" customHeight="1">
      <c r="A882" s="807"/>
      <c r="B882" s="807"/>
      <c r="C882" s="807"/>
      <c r="D882" s="807"/>
      <c r="E882" s="807"/>
      <c r="F882" s="807"/>
      <c r="G882" s="807"/>
      <c r="H882" s="807"/>
      <c r="I882" s="807"/>
      <c r="J882" s="807"/>
      <c r="K882" s="807"/>
      <c r="L882" s="807"/>
      <c r="M882" s="807"/>
      <c r="N882" s="807"/>
      <c r="O882" s="807"/>
      <c r="P882" s="807"/>
      <c r="Q882" s="807"/>
      <c r="R882" s="807"/>
      <c r="S882" s="807"/>
      <c r="T882" s="807"/>
      <c r="U882" s="807"/>
      <c r="V882" s="807"/>
      <c r="W882" s="807"/>
      <c r="X882" s="807"/>
      <c r="Y882" s="807"/>
      <c r="Z882" s="807"/>
    </row>
    <row r="883" ht="171.75" customHeight="1">
      <c r="A883" s="807"/>
      <c r="B883" s="807"/>
      <c r="C883" s="807"/>
      <c r="D883" s="807"/>
      <c r="E883" s="807"/>
      <c r="F883" s="807"/>
      <c r="G883" s="807"/>
      <c r="H883" s="807"/>
      <c r="I883" s="807"/>
      <c r="J883" s="807"/>
      <c r="K883" s="807"/>
      <c r="L883" s="807"/>
      <c r="M883" s="807"/>
      <c r="N883" s="807"/>
      <c r="O883" s="807"/>
      <c r="P883" s="807"/>
      <c r="Q883" s="807"/>
      <c r="R883" s="807"/>
      <c r="S883" s="807"/>
      <c r="T883" s="807"/>
      <c r="U883" s="807"/>
      <c r="V883" s="807"/>
      <c r="W883" s="807"/>
      <c r="X883" s="807"/>
      <c r="Y883" s="807"/>
      <c r="Z883" s="807"/>
    </row>
    <row r="884" ht="171.75" customHeight="1">
      <c r="A884" s="807"/>
      <c r="B884" s="807"/>
      <c r="C884" s="807"/>
      <c r="D884" s="807"/>
      <c r="E884" s="807"/>
      <c r="F884" s="807"/>
      <c r="G884" s="807"/>
      <c r="H884" s="807"/>
      <c r="I884" s="807"/>
      <c r="J884" s="807"/>
      <c r="K884" s="807"/>
      <c r="L884" s="807"/>
      <c r="M884" s="807"/>
      <c r="N884" s="807"/>
      <c r="O884" s="807"/>
      <c r="P884" s="807"/>
      <c r="Q884" s="807"/>
      <c r="R884" s="807"/>
      <c r="S884" s="807"/>
      <c r="T884" s="807"/>
      <c r="U884" s="807"/>
      <c r="V884" s="807"/>
      <c r="W884" s="807"/>
      <c r="X884" s="807"/>
      <c r="Y884" s="807"/>
      <c r="Z884" s="807"/>
    </row>
    <row r="885" ht="171.75" customHeight="1">
      <c r="A885" s="807"/>
      <c r="B885" s="807"/>
      <c r="C885" s="807"/>
      <c r="D885" s="807"/>
      <c r="E885" s="807"/>
      <c r="F885" s="807"/>
      <c r="G885" s="807"/>
      <c r="H885" s="807"/>
      <c r="I885" s="807"/>
      <c r="J885" s="807"/>
      <c r="K885" s="807"/>
      <c r="L885" s="807"/>
      <c r="M885" s="807"/>
      <c r="N885" s="807"/>
      <c r="O885" s="807"/>
      <c r="P885" s="807"/>
      <c r="Q885" s="807"/>
      <c r="R885" s="807"/>
      <c r="S885" s="807"/>
      <c r="T885" s="807"/>
      <c r="U885" s="807"/>
      <c r="V885" s="807"/>
      <c r="W885" s="807"/>
      <c r="X885" s="807"/>
      <c r="Y885" s="807"/>
      <c r="Z885" s="807"/>
    </row>
    <row r="886" ht="171.75" customHeight="1">
      <c r="A886" s="807"/>
      <c r="B886" s="807"/>
      <c r="C886" s="807"/>
      <c r="D886" s="807"/>
      <c r="E886" s="807"/>
      <c r="F886" s="807"/>
      <c r="G886" s="807"/>
      <c r="H886" s="807"/>
      <c r="I886" s="807"/>
      <c r="J886" s="807"/>
      <c r="K886" s="807"/>
      <c r="L886" s="807"/>
      <c r="M886" s="807"/>
      <c r="N886" s="807"/>
      <c r="O886" s="807"/>
      <c r="P886" s="807"/>
      <c r="Q886" s="807"/>
      <c r="R886" s="807"/>
      <c r="S886" s="807"/>
      <c r="T886" s="807"/>
      <c r="U886" s="807"/>
      <c r="V886" s="807"/>
      <c r="W886" s="807"/>
      <c r="X886" s="807"/>
      <c r="Y886" s="807"/>
      <c r="Z886" s="807"/>
    </row>
    <row r="887" ht="171.75" customHeight="1">
      <c r="A887" s="807"/>
      <c r="B887" s="807"/>
      <c r="C887" s="807"/>
      <c r="D887" s="807"/>
      <c r="E887" s="807"/>
      <c r="F887" s="807"/>
      <c r="G887" s="807"/>
      <c r="H887" s="807"/>
      <c r="I887" s="807"/>
      <c r="J887" s="807"/>
      <c r="K887" s="807"/>
      <c r="L887" s="807"/>
      <c r="M887" s="807"/>
      <c r="N887" s="807"/>
      <c r="O887" s="807"/>
      <c r="P887" s="807"/>
      <c r="Q887" s="807"/>
      <c r="R887" s="807"/>
      <c r="S887" s="807"/>
      <c r="T887" s="807"/>
      <c r="U887" s="807"/>
      <c r="V887" s="807"/>
      <c r="W887" s="807"/>
      <c r="X887" s="807"/>
      <c r="Y887" s="807"/>
      <c r="Z887" s="807"/>
    </row>
    <row r="888" ht="171.75" customHeight="1">
      <c r="A888" s="807"/>
      <c r="B888" s="807"/>
      <c r="C888" s="807"/>
      <c r="D888" s="807"/>
      <c r="E888" s="807"/>
      <c r="F888" s="807"/>
      <c r="G888" s="807"/>
      <c r="H888" s="807"/>
      <c r="I888" s="807"/>
      <c r="J888" s="807"/>
      <c r="K888" s="807"/>
      <c r="L888" s="807"/>
      <c r="M888" s="807"/>
      <c r="N888" s="807"/>
      <c r="O888" s="807"/>
      <c r="P888" s="807"/>
      <c r="Q888" s="807"/>
      <c r="R888" s="807"/>
      <c r="S888" s="807"/>
      <c r="T888" s="807"/>
      <c r="U888" s="807"/>
      <c r="V888" s="807"/>
      <c r="W888" s="807"/>
      <c r="X888" s="807"/>
      <c r="Y888" s="807"/>
      <c r="Z888" s="807"/>
    </row>
    <row r="889" ht="171.75" customHeight="1">
      <c r="A889" s="807"/>
      <c r="B889" s="807"/>
      <c r="C889" s="807"/>
      <c r="D889" s="807"/>
      <c r="E889" s="807"/>
      <c r="F889" s="807"/>
      <c r="G889" s="807"/>
      <c r="H889" s="807"/>
      <c r="I889" s="807"/>
      <c r="J889" s="807"/>
      <c r="K889" s="807"/>
      <c r="L889" s="807"/>
      <c r="M889" s="807"/>
      <c r="N889" s="807"/>
      <c r="O889" s="807"/>
      <c r="P889" s="807"/>
      <c r="Q889" s="807"/>
      <c r="R889" s="807"/>
      <c r="S889" s="807"/>
      <c r="T889" s="807"/>
      <c r="U889" s="807"/>
      <c r="V889" s="807"/>
      <c r="W889" s="807"/>
      <c r="X889" s="807"/>
      <c r="Y889" s="807"/>
      <c r="Z889" s="807"/>
    </row>
    <row r="890" ht="171.75" customHeight="1">
      <c r="A890" s="807"/>
      <c r="B890" s="807"/>
      <c r="C890" s="807"/>
      <c r="D890" s="807"/>
      <c r="E890" s="807"/>
      <c r="F890" s="807"/>
      <c r="G890" s="807"/>
      <c r="H890" s="807"/>
      <c r="I890" s="807"/>
      <c r="J890" s="807"/>
      <c r="K890" s="807"/>
      <c r="L890" s="807"/>
      <c r="M890" s="807"/>
      <c r="N890" s="807"/>
      <c r="O890" s="807"/>
      <c r="P890" s="807"/>
      <c r="Q890" s="807"/>
      <c r="R890" s="807"/>
      <c r="S890" s="807"/>
      <c r="T890" s="807"/>
      <c r="U890" s="807"/>
      <c r="V890" s="807"/>
      <c r="W890" s="807"/>
      <c r="X890" s="807"/>
      <c r="Y890" s="807"/>
      <c r="Z890" s="807"/>
    </row>
    <row r="891" ht="171.75" customHeight="1">
      <c r="A891" s="807"/>
      <c r="B891" s="807"/>
      <c r="C891" s="807"/>
      <c r="D891" s="807"/>
      <c r="E891" s="807"/>
      <c r="F891" s="807"/>
      <c r="G891" s="807"/>
      <c r="H891" s="807"/>
      <c r="I891" s="807"/>
      <c r="J891" s="807"/>
      <c r="K891" s="807"/>
      <c r="L891" s="807"/>
      <c r="M891" s="807"/>
      <c r="N891" s="807"/>
      <c r="O891" s="807"/>
      <c r="P891" s="807"/>
      <c r="Q891" s="807"/>
      <c r="R891" s="807"/>
      <c r="S891" s="807"/>
      <c r="T891" s="807"/>
      <c r="U891" s="807"/>
      <c r="V891" s="807"/>
      <c r="W891" s="807"/>
      <c r="X891" s="807"/>
      <c r="Y891" s="807"/>
      <c r="Z891" s="807"/>
    </row>
    <row r="892" ht="171.75" customHeight="1">
      <c r="A892" s="807"/>
      <c r="B892" s="807"/>
      <c r="C892" s="807"/>
      <c r="D892" s="807"/>
      <c r="E892" s="807"/>
      <c r="F892" s="807"/>
      <c r="G892" s="807"/>
      <c r="H892" s="807"/>
      <c r="I892" s="807"/>
      <c r="J892" s="807"/>
      <c r="K892" s="807"/>
      <c r="L892" s="807"/>
      <c r="M892" s="807"/>
      <c r="N892" s="807"/>
      <c r="O892" s="807"/>
      <c r="P892" s="807"/>
      <c r="Q892" s="807"/>
      <c r="R892" s="807"/>
      <c r="S892" s="807"/>
      <c r="T892" s="807"/>
      <c r="U892" s="807"/>
      <c r="V892" s="807"/>
      <c r="W892" s="807"/>
      <c r="X892" s="807"/>
      <c r="Y892" s="807"/>
      <c r="Z892" s="807"/>
    </row>
    <row r="893" ht="171.75" customHeight="1">
      <c r="A893" s="807"/>
      <c r="B893" s="807"/>
      <c r="C893" s="807"/>
      <c r="D893" s="807"/>
      <c r="E893" s="807"/>
      <c r="F893" s="807"/>
      <c r="G893" s="807"/>
      <c r="H893" s="807"/>
      <c r="I893" s="807"/>
      <c r="J893" s="807"/>
      <c r="K893" s="807"/>
      <c r="L893" s="807"/>
      <c r="M893" s="807"/>
      <c r="N893" s="807"/>
      <c r="O893" s="807"/>
      <c r="P893" s="807"/>
      <c r="Q893" s="807"/>
      <c r="R893" s="807"/>
      <c r="S893" s="807"/>
      <c r="T893" s="807"/>
      <c r="U893" s="807"/>
      <c r="V893" s="807"/>
      <c r="W893" s="807"/>
      <c r="X893" s="807"/>
      <c r="Y893" s="807"/>
      <c r="Z893" s="807"/>
    </row>
    <row r="894" ht="171.75" customHeight="1">
      <c r="A894" s="807"/>
      <c r="B894" s="807"/>
      <c r="C894" s="807"/>
      <c r="D894" s="807"/>
      <c r="E894" s="807"/>
      <c r="F894" s="807"/>
      <c r="G894" s="807"/>
      <c r="H894" s="807"/>
      <c r="I894" s="807"/>
      <c r="J894" s="807"/>
      <c r="K894" s="807"/>
      <c r="L894" s="807"/>
      <c r="M894" s="807"/>
      <c r="N894" s="807"/>
      <c r="O894" s="807"/>
      <c r="P894" s="807"/>
      <c r="Q894" s="807"/>
      <c r="R894" s="807"/>
      <c r="S894" s="807"/>
      <c r="T894" s="807"/>
      <c r="U894" s="807"/>
      <c r="V894" s="807"/>
      <c r="W894" s="807"/>
      <c r="X894" s="807"/>
      <c r="Y894" s="807"/>
      <c r="Z894" s="807"/>
    </row>
    <row r="895" ht="171.75" customHeight="1">
      <c r="A895" s="807"/>
      <c r="B895" s="807"/>
      <c r="C895" s="807"/>
      <c r="D895" s="807"/>
      <c r="E895" s="807"/>
      <c r="F895" s="807"/>
      <c r="G895" s="807"/>
      <c r="H895" s="807"/>
      <c r="I895" s="807"/>
      <c r="J895" s="807"/>
      <c r="K895" s="807"/>
      <c r="L895" s="807"/>
      <c r="M895" s="807"/>
      <c r="N895" s="807"/>
      <c r="O895" s="807"/>
      <c r="P895" s="807"/>
      <c r="Q895" s="807"/>
      <c r="R895" s="807"/>
      <c r="S895" s="807"/>
      <c r="T895" s="807"/>
      <c r="U895" s="807"/>
      <c r="V895" s="807"/>
      <c r="W895" s="807"/>
      <c r="X895" s="807"/>
      <c r="Y895" s="807"/>
      <c r="Z895" s="807"/>
    </row>
    <row r="896" ht="171.75" customHeight="1">
      <c r="A896" s="807"/>
      <c r="B896" s="807"/>
      <c r="C896" s="807"/>
      <c r="D896" s="807"/>
      <c r="E896" s="807"/>
      <c r="F896" s="807"/>
      <c r="G896" s="807"/>
      <c r="H896" s="807"/>
      <c r="I896" s="807"/>
      <c r="J896" s="807"/>
      <c r="K896" s="807"/>
      <c r="L896" s="807"/>
      <c r="M896" s="807"/>
      <c r="N896" s="807"/>
      <c r="O896" s="807"/>
      <c r="P896" s="807"/>
      <c r="Q896" s="807"/>
      <c r="R896" s="807"/>
      <c r="S896" s="807"/>
      <c r="T896" s="807"/>
      <c r="U896" s="807"/>
      <c r="V896" s="807"/>
      <c r="W896" s="807"/>
      <c r="X896" s="807"/>
      <c r="Y896" s="807"/>
      <c r="Z896" s="807"/>
    </row>
    <row r="897" ht="171.75" customHeight="1">
      <c r="A897" s="807"/>
      <c r="B897" s="807"/>
      <c r="C897" s="807"/>
      <c r="D897" s="807"/>
      <c r="E897" s="807"/>
      <c r="F897" s="807"/>
      <c r="G897" s="807"/>
      <c r="H897" s="807"/>
      <c r="I897" s="807"/>
      <c r="J897" s="807"/>
      <c r="K897" s="807"/>
      <c r="L897" s="807"/>
      <c r="M897" s="807"/>
      <c r="N897" s="807"/>
      <c r="O897" s="807"/>
      <c r="P897" s="807"/>
      <c r="Q897" s="807"/>
      <c r="R897" s="807"/>
      <c r="S897" s="807"/>
      <c r="T897" s="807"/>
      <c r="U897" s="807"/>
      <c r="V897" s="807"/>
      <c r="W897" s="807"/>
      <c r="X897" s="807"/>
      <c r="Y897" s="807"/>
      <c r="Z897" s="807"/>
    </row>
    <row r="898" ht="171.75" customHeight="1">
      <c r="A898" s="807"/>
      <c r="B898" s="807"/>
      <c r="C898" s="807"/>
      <c r="D898" s="807"/>
      <c r="E898" s="807"/>
      <c r="F898" s="807"/>
      <c r="G898" s="807"/>
      <c r="H898" s="807"/>
      <c r="I898" s="807"/>
      <c r="J898" s="807"/>
      <c r="K898" s="807"/>
      <c r="L898" s="807"/>
      <c r="M898" s="807"/>
      <c r="N898" s="807"/>
      <c r="O898" s="807"/>
      <c r="P898" s="807"/>
      <c r="Q898" s="807"/>
      <c r="R898" s="807"/>
      <c r="S898" s="807"/>
      <c r="T898" s="807"/>
      <c r="U898" s="807"/>
      <c r="V898" s="807"/>
      <c r="W898" s="807"/>
      <c r="X898" s="807"/>
      <c r="Y898" s="807"/>
      <c r="Z898" s="807"/>
    </row>
    <row r="899" ht="171.75" customHeight="1">
      <c r="A899" s="807"/>
      <c r="B899" s="807"/>
      <c r="C899" s="807"/>
      <c r="D899" s="807"/>
      <c r="E899" s="807"/>
      <c r="F899" s="807"/>
      <c r="G899" s="807"/>
      <c r="H899" s="807"/>
      <c r="I899" s="807"/>
      <c r="J899" s="807"/>
      <c r="K899" s="807"/>
      <c r="L899" s="807"/>
      <c r="M899" s="807"/>
      <c r="N899" s="807"/>
      <c r="O899" s="807"/>
      <c r="P899" s="807"/>
      <c r="Q899" s="807"/>
      <c r="R899" s="807"/>
      <c r="S899" s="807"/>
      <c r="T899" s="807"/>
      <c r="U899" s="807"/>
      <c r="V899" s="807"/>
      <c r="W899" s="807"/>
      <c r="X899" s="807"/>
      <c r="Y899" s="807"/>
      <c r="Z899" s="807"/>
    </row>
    <row r="900" ht="171.75" customHeight="1">
      <c r="A900" s="807"/>
      <c r="B900" s="807"/>
      <c r="C900" s="807"/>
      <c r="D900" s="807"/>
      <c r="E900" s="807"/>
      <c r="F900" s="807"/>
      <c r="G900" s="807"/>
      <c r="H900" s="807"/>
      <c r="I900" s="807"/>
      <c r="J900" s="807"/>
      <c r="K900" s="807"/>
      <c r="L900" s="807"/>
      <c r="M900" s="807"/>
      <c r="N900" s="807"/>
      <c r="O900" s="807"/>
      <c r="P900" s="807"/>
      <c r="Q900" s="807"/>
      <c r="R900" s="807"/>
      <c r="S900" s="807"/>
      <c r="T900" s="807"/>
      <c r="U900" s="807"/>
      <c r="V900" s="807"/>
      <c r="W900" s="807"/>
      <c r="X900" s="807"/>
      <c r="Y900" s="807"/>
      <c r="Z900" s="807"/>
    </row>
    <row r="901" ht="171.75" customHeight="1">
      <c r="A901" s="807"/>
      <c r="B901" s="807"/>
      <c r="C901" s="807"/>
      <c r="D901" s="807"/>
      <c r="E901" s="807"/>
      <c r="F901" s="807"/>
      <c r="G901" s="807"/>
      <c r="H901" s="807"/>
      <c r="I901" s="807"/>
      <c r="J901" s="807"/>
      <c r="K901" s="807"/>
      <c r="L901" s="807"/>
      <c r="M901" s="807"/>
      <c r="N901" s="807"/>
      <c r="O901" s="807"/>
      <c r="P901" s="807"/>
      <c r="Q901" s="807"/>
      <c r="R901" s="807"/>
      <c r="S901" s="807"/>
      <c r="T901" s="807"/>
      <c r="U901" s="807"/>
      <c r="V901" s="807"/>
      <c r="W901" s="807"/>
      <c r="X901" s="807"/>
      <c r="Y901" s="807"/>
      <c r="Z901" s="807"/>
    </row>
    <row r="902" ht="171.75" customHeight="1">
      <c r="A902" s="807"/>
      <c r="B902" s="807"/>
      <c r="C902" s="807"/>
      <c r="D902" s="807"/>
      <c r="E902" s="807"/>
      <c r="F902" s="807"/>
      <c r="G902" s="807"/>
      <c r="H902" s="807"/>
      <c r="I902" s="807"/>
      <c r="J902" s="807"/>
      <c r="K902" s="807"/>
      <c r="L902" s="807"/>
      <c r="M902" s="807"/>
      <c r="N902" s="807"/>
      <c r="O902" s="807"/>
      <c r="P902" s="807"/>
      <c r="Q902" s="807"/>
      <c r="R902" s="807"/>
      <c r="S902" s="807"/>
      <c r="T902" s="807"/>
      <c r="U902" s="807"/>
      <c r="V902" s="807"/>
      <c r="W902" s="807"/>
      <c r="X902" s="807"/>
      <c r="Y902" s="807"/>
      <c r="Z902" s="807"/>
    </row>
    <row r="903" ht="171.75" customHeight="1">
      <c r="A903" s="807"/>
      <c r="B903" s="807"/>
      <c r="C903" s="807"/>
      <c r="D903" s="807"/>
      <c r="E903" s="807"/>
      <c r="F903" s="807"/>
      <c r="G903" s="807"/>
      <c r="H903" s="807"/>
      <c r="I903" s="807"/>
      <c r="J903" s="807"/>
      <c r="K903" s="807"/>
      <c r="L903" s="807"/>
      <c r="M903" s="807"/>
      <c r="N903" s="807"/>
      <c r="O903" s="807"/>
      <c r="P903" s="807"/>
      <c r="Q903" s="807"/>
      <c r="R903" s="807"/>
      <c r="S903" s="807"/>
      <c r="T903" s="807"/>
      <c r="U903" s="807"/>
      <c r="V903" s="807"/>
      <c r="W903" s="807"/>
      <c r="X903" s="807"/>
      <c r="Y903" s="807"/>
      <c r="Z903" s="807"/>
    </row>
    <row r="904" ht="171.75" customHeight="1">
      <c r="A904" s="807"/>
      <c r="B904" s="807"/>
      <c r="C904" s="807"/>
      <c r="D904" s="807"/>
      <c r="E904" s="807"/>
      <c r="F904" s="807"/>
      <c r="G904" s="807"/>
      <c r="H904" s="807"/>
      <c r="I904" s="807"/>
      <c r="J904" s="807"/>
      <c r="K904" s="807"/>
      <c r="L904" s="807"/>
      <c r="M904" s="807"/>
      <c r="N904" s="807"/>
      <c r="O904" s="807"/>
      <c r="P904" s="807"/>
      <c r="Q904" s="807"/>
      <c r="R904" s="807"/>
      <c r="S904" s="807"/>
      <c r="T904" s="807"/>
      <c r="U904" s="807"/>
      <c r="V904" s="807"/>
      <c r="W904" s="807"/>
      <c r="X904" s="807"/>
      <c r="Y904" s="807"/>
      <c r="Z904" s="807"/>
    </row>
    <row r="905" ht="171.75" customHeight="1">
      <c r="A905" s="807"/>
      <c r="B905" s="807"/>
      <c r="C905" s="807"/>
      <c r="D905" s="807"/>
      <c r="E905" s="807"/>
      <c r="F905" s="807"/>
      <c r="G905" s="807"/>
      <c r="H905" s="807"/>
      <c r="I905" s="807"/>
      <c r="J905" s="807"/>
      <c r="K905" s="807"/>
      <c r="L905" s="807"/>
      <c r="M905" s="807"/>
      <c r="N905" s="807"/>
      <c r="O905" s="807"/>
      <c r="P905" s="807"/>
      <c r="Q905" s="807"/>
      <c r="R905" s="807"/>
      <c r="S905" s="807"/>
      <c r="T905" s="807"/>
      <c r="U905" s="807"/>
      <c r="V905" s="807"/>
      <c r="W905" s="807"/>
      <c r="X905" s="807"/>
      <c r="Y905" s="807"/>
      <c r="Z905" s="807"/>
    </row>
    <row r="906" ht="171.75" customHeight="1">
      <c r="A906" s="807"/>
      <c r="B906" s="807"/>
      <c r="C906" s="807"/>
      <c r="D906" s="807"/>
      <c r="E906" s="807"/>
      <c r="F906" s="807"/>
      <c r="G906" s="807"/>
      <c r="H906" s="807"/>
      <c r="I906" s="807"/>
      <c r="J906" s="807"/>
      <c r="K906" s="807"/>
      <c r="L906" s="807"/>
      <c r="M906" s="807"/>
      <c r="N906" s="807"/>
      <c r="O906" s="807"/>
      <c r="P906" s="807"/>
      <c r="Q906" s="807"/>
      <c r="R906" s="807"/>
      <c r="S906" s="807"/>
      <c r="T906" s="807"/>
      <c r="U906" s="807"/>
      <c r="V906" s="807"/>
      <c r="W906" s="807"/>
      <c r="X906" s="807"/>
      <c r="Y906" s="807"/>
      <c r="Z906" s="807"/>
    </row>
    <row r="907" ht="171.75" customHeight="1">
      <c r="A907" s="807"/>
      <c r="B907" s="807"/>
      <c r="C907" s="807"/>
      <c r="D907" s="807"/>
      <c r="E907" s="807"/>
      <c r="F907" s="807"/>
      <c r="G907" s="807"/>
      <c r="H907" s="807"/>
      <c r="I907" s="807"/>
      <c r="J907" s="807"/>
      <c r="K907" s="807"/>
      <c r="L907" s="807"/>
      <c r="M907" s="807"/>
      <c r="N907" s="807"/>
      <c r="O907" s="807"/>
      <c r="P907" s="807"/>
      <c r="Q907" s="807"/>
      <c r="R907" s="807"/>
      <c r="S907" s="807"/>
      <c r="T907" s="807"/>
      <c r="U907" s="807"/>
      <c r="V907" s="807"/>
      <c r="W907" s="807"/>
      <c r="X907" s="807"/>
      <c r="Y907" s="807"/>
      <c r="Z907" s="807"/>
    </row>
    <row r="908" ht="171.75" customHeight="1">
      <c r="A908" s="807"/>
      <c r="B908" s="807"/>
      <c r="C908" s="807"/>
      <c r="D908" s="807"/>
      <c r="E908" s="807"/>
      <c r="F908" s="807"/>
      <c r="G908" s="807"/>
      <c r="H908" s="807"/>
      <c r="I908" s="807"/>
      <c r="J908" s="807"/>
      <c r="K908" s="807"/>
      <c r="L908" s="807"/>
      <c r="M908" s="807"/>
      <c r="N908" s="807"/>
      <c r="O908" s="807"/>
      <c r="P908" s="807"/>
      <c r="Q908" s="807"/>
      <c r="R908" s="807"/>
      <c r="S908" s="807"/>
      <c r="T908" s="807"/>
      <c r="U908" s="807"/>
      <c r="V908" s="807"/>
      <c r="W908" s="807"/>
      <c r="X908" s="807"/>
      <c r="Y908" s="807"/>
      <c r="Z908" s="807"/>
    </row>
    <row r="909" ht="171.75" customHeight="1">
      <c r="A909" s="807"/>
      <c r="B909" s="807"/>
      <c r="C909" s="807"/>
      <c r="D909" s="807"/>
      <c r="E909" s="807"/>
      <c r="F909" s="807"/>
      <c r="G909" s="807"/>
      <c r="H909" s="807"/>
      <c r="I909" s="807"/>
      <c r="J909" s="807"/>
      <c r="K909" s="807"/>
      <c r="L909" s="807"/>
      <c r="M909" s="807"/>
      <c r="N909" s="807"/>
      <c r="O909" s="807"/>
      <c r="P909" s="807"/>
      <c r="Q909" s="807"/>
      <c r="R909" s="807"/>
      <c r="S909" s="807"/>
      <c r="T909" s="807"/>
      <c r="U909" s="807"/>
      <c r="V909" s="807"/>
      <c r="W909" s="807"/>
      <c r="X909" s="807"/>
      <c r="Y909" s="807"/>
      <c r="Z909" s="807"/>
    </row>
    <row r="910" ht="171.75" customHeight="1">
      <c r="A910" s="807"/>
      <c r="B910" s="807"/>
      <c r="C910" s="807"/>
      <c r="D910" s="807"/>
      <c r="E910" s="807"/>
      <c r="F910" s="807"/>
      <c r="G910" s="807"/>
      <c r="H910" s="807"/>
      <c r="I910" s="807"/>
      <c r="J910" s="807"/>
      <c r="K910" s="807"/>
      <c r="L910" s="807"/>
      <c r="M910" s="807"/>
      <c r="N910" s="807"/>
      <c r="O910" s="807"/>
      <c r="P910" s="807"/>
      <c r="Q910" s="807"/>
      <c r="R910" s="807"/>
      <c r="S910" s="807"/>
      <c r="T910" s="807"/>
      <c r="U910" s="807"/>
      <c r="V910" s="807"/>
      <c r="W910" s="807"/>
      <c r="X910" s="807"/>
      <c r="Y910" s="807"/>
      <c r="Z910" s="807"/>
    </row>
    <row r="911" ht="171.75" customHeight="1">
      <c r="A911" s="807"/>
      <c r="B911" s="807"/>
      <c r="C911" s="807"/>
      <c r="D911" s="807"/>
      <c r="E911" s="807"/>
      <c r="F911" s="807"/>
      <c r="G911" s="807"/>
      <c r="H911" s="807"/>
      <c r="I911" s="807"/>
      <c r="J911" s="807"/>
      <c r="K911" s="807"/>
      <c r="L911" s="807"/>
      <c r="M911" s="807"/>
      <c r="N911" s="807"/>
      <c r="O911" s="807"/>
      <c r="P911" s="807"/>
      <c r="Q911" s="807"/>
      <c r="R911" s="807"/>
      <c r="S911" s="807"/>
      <c r="T911" s="807"/>
      <c r="U911" s="807"/>
      <c r="V911" s="807"/>
      <c r="W911" s="807"/>
      <c r="X911" s="807"/>
      <c r="Y911" s="807"/>
      <c r="Z911" s="807"/>
    </row>
    <row r="912" ht="171.75" customHeight="1">
      <c r="A912" s="807"/>
      <c r="B912" s="807"/>
      <c r="C912" s="807"/>
      <c r="D912" s="807"/>
      <c r="E912" s="807"/>
      <c r="F912" s="807"/>
      <c r="G912" s="807"/>
      <c r="H912" s="807"/>
      <c r="I912" s="807"/>
      <c r="J912" s="807"/>
      <c r="K912" s="807"/>
      <c r="L912" s="807"/>
      <c r="M912" s="807"/>
      <c r="N912" s="807"/>
      <c r="O912" s="807"/>
      <c r="P912" s="807"/>
      <c r="Q912" s="807"/>
      <c r="R912" s="807"/>
      <c r="S912" s="807"/>
      <c r="T912" s="807"/>
      <c r="U912" s="807"/>
      <c r="V912" s="807"/>
      <c r="W912" s="807"/>
      <c r="X912" s="807"/>
      <c r="Y912" s="807"/>
      <c r="Z912" s="807"/>
    </row>
    <row r="913" ht="171.75" customHeight="1">
      <c r="A913" s="807"/>
      <c r="B913" s="807"/>
      <c r="C913" s="807"/>
      <c r="D913" s="807"/>
      <c r="E913" s="807"/>
      <c r="F913" s="807"/>
      <c r="G913" s="807"/>
      <c r="H913" s="807"/>
      <c r="I913" s="807"/>
      <c r="J913" s="807"/>
      <c r="K913" s="807"/>
      <c r="L913" s="807"/>
      <c r="M913" s="807"/>
      <c r="N913" s="807"/>
      <c r="O913" s="807"/>
      <c r="P913" s="807"/>
      <c r="Q913" s="807"/>
      <c r="R913" s="807"/>
      <c r="S913" s="807"/>
      <c r="T913" s="807"/>
      <c r="U913" s="807"/>
      <c r="V913" s="807"/>
      <c r="W913" s="807"/>
      <c r="X913" s="807"/>
      <c r="Y913" s="807"/>
      <c r="Z913" s="807"/>
    </row>
    <row r="914" ht="171.75" customHeight="1">
      <c r="A914" s="807"/>
      <c r="B914" s="807"/>
      <c r="C914" s="807"/>
      <c r="D914" s="807"/>
      <c r="E914" s="807"/>
      <c r="F914" s="807"/>
      <c r="G914" s="807"/>
      <c r="H914" s="807"/>
      <c r="I914" s="807"/>
      <c r="J914" s="807"/>
      <c r="K914" s="807"/>
      <c r="L914" s="807"/>
      <c r="M914" s="807"/>
      <c r="N914" s="807"/>
      <c r="O914" s="807"/>
      <c r="P914" s="807"/>
      <c r="Q914" s="807"/>
      <c r="R914" s="807"/>
      <c r="S914" s="807"/>
      <c r="T914" s="807"/>
      <c r="U914" s="807"/>
      <c r="V914" s="807"/>
      <c r="W914" s="807"/>
      <c r="X914" s="807"/>
      <c r="Y914" s="807"/>
      <c r="Z914" s="807"/>
    </row>
    <row r="915" ht="171.75" customHeight="1">
      <c r="A915" s="807"/>
      <c r="B915" s="807"/>
      <c r="C915" s="807"/>
      <c r="D915" s="807"/>
      <c r="E915" s="807"/>
      <c r="F915" s="807"/>
      <c r="G915" s="807"/>
      <c r="H915" s="807"/>
      <c r="I915" s="807"/>
      <c r="J915" s="807"/>
      <c r="K915" s="807"/>
      <c r="L915" s="807"/>
      <c r="M915" s="807"/>
      <c r="N915" s="807"/>
      <c r="O915" s="807"/>
      <c r="P915" s="807"/>
      <c r="Q915" s="807"/>
      <c r="R915" s="807"/>
      <c r="S915" s="807"/>
      <c r="T915" s="807"/>
      <c r="U915" s="807"/>
      <c r="V915" s="807"/>
      <c r="W915" s="807"/>
      <c r="X915" s="807"/>
      <c r="Y915" s="807"/>
      <c r="Z915" s="807"/>
    </row>
    <row r="916" ht="171.75" customHeight="1">
      <c r="A916" s="807"/>
      <c r="B916" s="807"/>
      <c r="C916" s="807"/>
      <c r="D916" s="807"/>
      <c r="E916" s="807"/>
      <c r="F916" s="807"/>
      <c r="G916" s="807"/>
      <c r="H916" s="807"/>
      <c r="I916" s="807"/>
      <c r="J916" s="807"/>
      <c r="K916" s="807"/>
      <c r="L916" s="807"/>
      <c r="M916" s="807"/>
      <c r="N916" s="807"/>
      <c r="O916" s="807"/>
      <c r="P916" s="807"/>
      <c r="Q916" s="807"/>
      <c r="R916" s="807"/>
      <c r="S916" s="807"/>
      <c r="T916" s="807"/>
      <c r="U916" s="807"/>
      <c r="V916" s="807"/>
      <c r="W916" s="807"/>
      <c r="X916" s="807"/>
      <c r="Y916" s="807"/>
      <c r="Z916" s="807"/>
    </row>
    <row r="917" ht="171.75" customHeight="1">
      <c r="A917" s="807"/>
      <c r="B917" s="807"/>
      <c r="C917" s="807"/>
      <c r="D917" s="807"/>
      <c r="E917" s="807"/>
      <c r="F917" s="807"/>
      <c r="G917" s="807"/>
      <c r="H917" s="807"/>
      <c r="I917" s="807"/>
      <c r="J917" s="807"/>
      <c r="K917" s="807"/>
      <c r="L917" s="807"/>
      <c r="M917" s="807"/>
      <c r="N917" s="807"/>
      <c r="O917" s="807"/>
      <c r="P917" s="807"/>
      <c r="Q917" s="807"/>
      <c r="R917" s="807"/>
      <c r="S917" s="807"/>
      <c r="T917" s="807"/>
      <c r="U917" s="807"/>
      <c r="V917" s="807"/>
      <c r="W917" s="807"/>
      <c r="X917" s="807"/>
      <c r="Y917" s="807"/>
      <c r="Z917" s="807"/>
    </row>
    <row r="918" ht="171.75" customHeight="1">
      <c r="A918" s="807"/>
      <c r="B918" s="807"/>
      <c r="C918" s="807"/>
      <c r="D918" s="807"/>
      <c r="E918" s="807"/>
      <c r="F918" s="807"/>
      <c r="G918" s="807"/>
      <c r="H918" s="807"/>
      <c r="I918" s="807"/>
      <c r="J918" s="807"/>
      <c r="K918" s="807"/>
      <c r="L918" s="807"/>
      <c r="M918" s="807"/>
      <c r="N918" s="807"/>
      <c r="O918" s="807"/>
      <c r="P918" s="807"/>
      <c r="Q918" s="807"/>
      <c r="R918" s="807"/>
      <c r="S918" s="807"/>
      <c r="T918" s="807"/>
      <c r="U918" s="807"/>
      <c r="V918" s="807"/>
      <c r="W918" s="807"/>
      <c r="X918" s="807"/>
      <c r="Y918" s="807"/>
      <c r="Z918" s="807"/>
    </row>
    <row r="919" ht="171.75" customHeight="1">
      <c r="A919" s="807"/>
      <c r="B919" s="807"/>
      <c r="C919" s="807"/>
      <c r="D919" s="807"/>
      <c r="E919" s="807"/>
      <c r="F919" s="807"/>
      <c r="G919" s="807"/>
      <c r="H919" s="807"/>
      <c r="I919" s="807"/>
      <c r="J919" s="807"/>
      <c r="K919" s="807"/>
      <c r="L919" s="807"/>
      <c r="M919" s="807"/>
      <c r="N919" s="807"/>
      <c r="O919" s="807"/>
      <c r="P919" s="807"/>
      <c r="Q919" s="807"/>
      <c r="R919" s="807"/>
      <c r="S919" s="807"/>
      <c r="T919" s="807"/>
      <c r="U919" s="807"/>
      <c r="V919" s="807"/>
      <c r="W919" s="807"/>
      <c r="X919" s="807"/>
      <c r="Y919" s="807"/>
      <c r="Z919" s="807"/>
    </row>
    <row r="920" ht="171.75" customHeight="1">
      <c r="A920" s="807"/>
      <c r="B920" s="807"/>
      <c r="C920" s="807"/>
      <c r="D920" s="807"/>
      <c r="E920" s="807"/>
      <c r="F920" s="807"/>
      <c r="G920" s="807"/>
      <c r="H920" s="807"/>
      <c r="I920" s="807"/>
      <c r="J920" s="807"/>
      <c r="K920" s="807"/>
      <c r="L920" s="807"/>
      <c r="M920" s="807"/>
      <c r="N920" s="807"/>
      <c r="O920" s="807"/>
      <c r="P920" s="807"/>
      <c r="Q920" s="807"/>
      <c r="R920" s="807"/>
      <c r="S920" s="807"/>
      <c r="T920" s="807"/>
      <c r="U920" s="807"/>
      <c r="V920" s="807"/>
      <c r="W920" s="807"/>
      <c r="X920" s="807"/>
      <c r="Y920" s="807"/>
      <c r="Z920" s="807"/>
    </row>
    <row r="921" ht="171.75" customHeight="1">
      <c r="A921" s="807"/>
      <c r="B921" s="807"/>
      <c r="C921" s="807"/>
      <c r="D921" s="807"/>
      <c r="E921" s="807"/>
      <c r="F921" s="807"/>
      <c r="G921" s="807"/>
      <c r="H921" s="807"/>
      <c r="I921" s="807"/>
      <c r="J921" s="807"/>
      <c r="K921" s="807"/>
      <c r="L921" s="807"/>
      <c r="M921" s="807"/>
      <c r="N921" s="807"/>
      <c r="O921" s="807"/>
      <c r="P921" s="807"/>
      <c r="Q921" s="807"/>
      <c r="R921" s="807"/>
      <c r="S921" s="807"/>
      <c r="T921" s="807"/>
      <c r="U921" s="807"/>
      <c r="V921" s="807"/>
      <c r="W921" s="807"/>
      <c r="X921" s="807"/>
      <c r="Y921" s="807"/>
      <c r="Z921" s="807"/>
    </row>
    <row r="922" ht="171.75" customHeight="1">
      <c r="A922" s="807"/>
      <c r="B922" s="807"/>
      <c r="C922" s="807"/>
      <c r="D922" s="807"/>
      <c r="E922" s="807"/>
      <c r="F922" s="807"/>
      <c r="G922" s="807"/>
      <c r="H922" s="807"/>
      <c r="I922" s="807"/>
      <c r="J922" s="807"/>
      <c r="K922" s="807"/>
      <c r="L922" s="807"/>
      <c r="M922" s="807"/>
      <c r="N922" s="807"/>
      <c r="O922" s="807"/>
      <c r="P922" s="807"/>
      <c r="Q922" s="807"/>
      <c r="R922" s="807"/>
      <c r="S922" s="807"/>
      <c r="T922" s="807"/>
      <c r="U922" s="807"/>
      <c r="V922" s="807"/>
      <c r="W922" s="807"/>
      <c r="X922" s="807"/>
      <c r="Y922" s="807"/>
      <c r="Z922" s="807"/>
    </row>
    <row r="923" ht="171.75" customHeight="1">
      <c r="A923" s="807"/>
      <c r="B923" s="807"/>
      <c r="C923" s="807"/>
      <c r="D923" s="807"/>
      <c r="E923" s="807"/>
      <c r="F923" s="807"/>
      <c r="G923" s="807"/>
      <c r="H923" s="807"/>
      <c r="I923" s="807"/>
      <c r="J923" s="807"/>
      <c r="K923" s="807"/>
      <c r="L923" s="807"/>
      <c r="M923" s="807"/>
      <c r="N923" s="807"/>
      <c r="O923" s="807"/>
      <c r="P923" s="807"/>
      <c r="Q923" s="807"/>
      <c r="R923" s="807"/>
      <c r="S923" s="807"/>
      <c r="T923" s="807"/>
      <c r="U923" s="807"/>
      <c r="V923" s="807"/>
      <c r="W923" s="807"/>
      <c r="X923" s="807"/>
      <c r="Y923" s="807"/>
      <c r="Z923" s="807"/>
    </row>
    <row r="924" ht="171.75" customHeight="1">
      <c r="A924" s="807"/>
      <c r="B924" s="807"/>
      <c r="C924" s="807"/>
      <c r="D924" s="807"/>
      <c r="E924" s="807"/>
      <c r="F924" s="807"/>
      <c r="G924" s="807"/>
      <c r="H924" s="807"/>
      <c r="I924" s="807"/>
      <c r="J924" s="807"/>
      <c r="K924" s="807"/>
      <c r="L924" s="807"/>
      <c r="M924" s="807"/>
      <c r="N924" s="807"/>
      <c r="O924" s="807"/>
      <c r="P924" s="807"/>
      <c r="Q924" s="807"/>
      <c r="R924" s="807"/>
      <c r="S924" s="807"/>
      <c r="T924" s="807"/>
      <c r="U924" s="807"/>
      <c r="V924" s="807"/>
      <c r="W924" s="807"/>
      <c r="X924" s="807"/>
      <c r="Y924" s="807"/>
      <c r="Z924" s="807"/>
    </row>
    <row r="925" ht="171.75" customHeight="1">
      <c r="A925" s="807"/>
      <c r="B925" s="807"/>
      <c r="C925" s="807"/>
      <c r="D925" s="807"/>
      <c r="E925" s="807"/>
      <c r="F925" s="807"/>
      <c r="G925" s="807"/>
      <c r="H925" s="807"/>
      <c r="I925" s="807"/>
      <c r="J925" s="807"/>
      <c r="K925" s="807"/>
      <c r="L925" s="807"/>
      <c r="M925" s="807"/>
      <c r="N925" s="807"/>
      <c r="O925" s="807"/>
      <c r="P925" s="807"/>
      <c r="Q925" s="807"/>
      <c r="R925" s="807"/>
      <c r="S925" s="807"/>
      <c r="T925" s="807"/>
      <c r="U925" s="807"/>
      <c r="V925" s="807"/>
      <c r="W925" s="807"/>
      <c r="X925" s="807"/>
      <c r="Y925" s="807"/>
      <c r="Z925" s="807"/>
    </row>
    <row r="926" ht="171.75" customHeight="1">
      <c r="A926" s="807"/>
      <c r="B926" s="807"/>
      <c r="C926" s="807"/>
      <c r="D926" s="807"/>
      <c r="E926" s="807"/>
      <c r="F926" s="807"/>
      <c r="G926" s="807"/>
      <c r="H926" s="807"/>
      <c r="I926" s="807"/>
      <c r="J926" s="807"/>
      <c r="K926" s="807"/>
      <c r="L926" s="807"/>
      <c r="M926" s="807"/>
      <c r="N926" s="807"/>
      <c r="O926" s="807"/>
      <c r="P926" s="807"/>
      <c r="Q926" s="807"/>
      <c r="R926" s="807"/>
      <c r="S926" s="807"/>
      <c r="T926" s="807"/>
      <c r="U926" s="807"/>
      <c r="V926" s="807"/>
      <c r="W926" s="807"/>
      <c r="X926" s="807"/>
      <c r="Y926" s="807"/>
      <c r="Z926" s="807"/>
    </row>
    <row r="927" ht="171.75" customHeight="1">
      <c r="A927" s="807"/>
      <c r="B927" s="807"/>
      <c r="C927" s="807"/>
      <c r="D927" s="807"/>
      <c r="E927" s="807"/>
      <c r="F927" s="807"/>
      <c r="G927" s="807"/>
      <c r="H927" s="807"/>
      <c r="I927" s="807"/>
      <c r="J927" s="807"/>
      <c r="K927" s="807"/>
      <c r="L927" s="807"/>
      <c r="M927" s="807"/>
      <c r="N927" s="807"/>
      <c r="O927" s="807"/>
      <c r="P927" s="807"/>
      <c r="Q927" s="807"/>
      <c r="R927" s="807"/>
      <c r="S927" s="807"/>
      <c r="T927" s="807"/>
      <c r="U927" s="807"/>
      <c r="V927" s="807"/>
      <c r="W927" s="807"/>
      <c r="X927" s="807"/>
      <c r="Y927" s="807"/>
      <c r="Z927" s="807"/>
    </row>
    <row r="928" ht="171.75" customHeight="1">
      <c r="A928" s="807"/>
      <c r="B928" s="807"/>
      <c r="C928" s="807"/>
      <c r="D928" s="807"/>
      <c r="E928" s="807"/>
      <c r="F928" s="807"/>
      <c r="G928" s="807"/>
      <c r="H928" s="807"/>
      <c r="I928" s="807"/>
      <c r="J928" s="807"/>
      <c r="K928" s="807"/>
      <c r="L928" s="807"/>
      <c r="M928" s="807"/>
      <c r="N928" s="807"/>
      <c r="O928" s="807"/>
      <c r="P928" s="807"/>
      <c r="Q928" s="807"/>
      <c r="R928" s="807"/>
      <c r="S928" s="807"/>
      <c r="T928" s="807"/>
      <c r="U928" s="807"/>
      <c r="V928" s="807"/>
      <c r="W928" s="807"/>
      <c r="X928" s="807"/>
      <c r="Y928" s="807"/>
      <c r="Z928" s="807"/>
    </row>
    <row r="929" ht="171.75" customHeight="1">
      <c r="A929" s="807"/>
      <c r="B929" s="807"/>
      <c r="C929" s="807"/>
      <c r="D929" s="807"/>
      <c r="E929" s="807"/>
      <c r="F929" s="807"/>
      <c r="G929" s="807"/>
      <c r="H929" s="807"/>
      <c r="I929" s="807"/>
      <c r="J929" s="807"/>
      <c r="K929" s="807"/>
      <c r="L929" s="807"/>
      <c r="M929" s="807"/>
      <c r="N929" s="807"/>
      <c r="O929" s="807"/>
      <c r="P929" s="807"/>
      <c r="Q929" s="807"/>
      <c r="R929" s="807"/>
      <c r="S929" s="807"/>
      <c r="T929" s="807"/>
      <c r="U929" s="807"/>
      <c r="V929" s="807"/>
      <c r="W929" s="807"/>
      <c r="X929" s="807"/>
      <c r="Y929" s="807"/>
      <c r="Z929" s="807"/>
    </row>
    <row r="930" ht="171.75" customHeight="1">
      <c r="A930" s="807"/>
      <c r="B930" s="807"/>
      <c r="C930" s="807"/>
      <c r="D930" s="807"/>
      <c r="E930" s="807"/>
      <c r="F930" s="807"/>
      <c r="G930" s="807"/>
      <c r="H930" s="807"/>
      <c r="I930" s="807"/>
      <c r="J930" s="807"/>
      <c r="K930" s="807"/>
      <c r="L930" s="807"/>
      <c r="M930" s="807"/>
      <c r="N930" s="807"/>
      <c r="O930" s="807"/>
      <c r="P930" s="807"/>
      <c r="Q930" s="807"/>
      <c r="R930" s="807"/>
      <c r="S930" s="807"/>
      <c r="T930" s="807"/>
      <c r="U930" s="807"/>
      <c r="V930" s="807"/>
      <c r="W930" s="807"/>
      <c r="X930" s="807"/>
      <c r="Y930" s="807"/>
      <c r="Z930" s="807"/>
    </row>
    <row r="931" ht="171.75" customHeight="1">
      <c r="A931" s="807"/>
      <c r="B931" s="807"/>
      <c r="C931" s="807"/>
      <c r="D931" s="807"/>
      <c r="E931" s="807"/>
      <c r="F931" s="807"/>
      <c r="G931" s="807"/>
      <c r="H931" s="807"/>
      <c r="I931" s="807"/>
      <c r="J931" s="807"/>
      <c r="K931" s="807"/>
      <c r="L931" s="807"/>
      <c r="M931" s="807"/>
      <c r="N931" s="807"/>
      <c r="O931" s="807"/>
      <c r="P931" s="807"/>
      <c r="Q931" s="807"/>
      <c r="R931" s="807"/>
      <c r="S931" s="807"/>
      <c r="T931" s="807"/>
      <c r="U931" s="807"/>
      <c r="V931" s="807"/>
      <c r="W931" s="807"/>
      <c r="X931" s="807"/>
      <c r="Y931" s="807"/>
      <c r="Z931" s="807"/>
    </row>
    <row r="932" ht="171.75" customHeight="1">
      <c r="A932" s="807"/>
      <c r="B932" s="807"/>
      <c r="C932" s="807"/>
      <c r="D932" s="807"/>
      <c r="E932" s="807"/>
      <c r="F932" s="807"/>
      <c r="G932" s="807"/>
      <c r="H932" s="807"/>
      <c r="I932" s="807"/>
      <c r="J932" s="807"/>
      <c r="K932" s="807"/>
      <c r="L932" s="807"/>
      <c r="M932" s="807"/>
      <c r="N932" s="807"/>
      <c r="O932" s="807"/>
      <c r="P932" s="807"/>
      <c r="Q932" s="807"/>
      <c r="R932" s="807"/>
      <c r="S932" s="807"/>
      <c r="T932" s="807"/>
      <c r="U932" s="807"/>
      <c r="V932" s="807"/>
      <c r="W932" s="807"/>
      <c r="X932" s="807"/>
      <c r="Y932" s="807"/>
      <c r="Z932" s="807"/>
    </row>
    <row r="933" ht="171.75" customHeight="1">
      <c r="A933" s="807"/>
      <c r="B933" s="807"/>
      <c r="C933" s="807"/>
      <c r="D933" s="807"/>
      <c r="E933" s="807"/>
      <c r="F933" s="807"/>
      <c r="G933" s="807"/>
      <c r="H933" s="807"/>
      <c r="I933" s="807"/>
      <c r="J933" s="807"/>
      <c r="K933" s="807"/>
      <c r="L933" s="807"/>
      <c r="M933" s="807"/>
      <c r="N933" s="807"/>
      <c r="O933" s="807"/>
      <c r="P933" s="807"/>
      <c r="Q933" s="807"/>
      <c r="R933" s="807"/>
      <c r="S933" s="807"/>
      <c r="T933" s="807"/>
      <c r="U933" s="807"/>
      <c r="V933" s="807"/>
      <c r="W933" s="807"/>
      <c r="X933" s="807"/>
      <c r="Y933" s="807"/>
      <c r="Z933" s="807"/>
    </row>
    <row r="934" ht="171.75" customHeight="1">
      <c r="A934" s="807"/>
      <c r="B934" s="807"/>
      <c r="C934" s="807"/>
      <c r="D934" s="807"/>
      <c r="E934" s="807"/>
      <c r="F934" s="807"/>
      <c r="G934" s="807"/>
      <c r="H934" s="807"/>
      <c r="I934" s="807"/>
      <c r="J934" s="807"/>
      <c r="K934" s="807"/>
      <c r="L934" s="807"/>
      <c r="M934" s="807"/>
      <c r="N934" s="807"/>
      <c r="O934" s="807"/>
      <c r="P934" s="807"/>
      <c r="Q934" s="807"/>
      <c r="R934" s="807"/>
      <c r="S934" s="807"/>
      <c r="T934" s="807"/>
      <c r="U934" s="807"/>
      <c r="V934" s="807"/>
      <c r="W934" s="807"/>
      <c r="X934" s="807"/>
      <c r="Y934" s="807"/>
      <c r="Z934" s="807"/>
    </row>
    <row r="935" ht="171.75" customHeight="1">
      <c r="A935" s="807"/>
      <c r="B935" s="807"/>
      <c r="C935" s="807"/>
      <c r="D935" s="807"/>
      <c r="E935" s="807"/>
      <c r="F935" s="807"/>
      <c r="G935" s="807"/>
      <c r="H935" s="807"/>
      <c r="I935" s="807"/>
      <c r="J935" s="807"/>
      <c r="K935" s="807"/>
      <c r="L935" s="807"/>
      <c r="M935" s="807"/>
      <c r="N935" s="807"/>
      <c r="O935" s="807"/>
      <c r="P935" s="807"/>
      <c r="Q935" s="807"/>
      <c r="R935" s="807"/>
      <c r="S935" s="807"/>
      <c r="T935" s="807"/>
      <c r="U935" s="807"/>
      <c r="V935" s="807"/>
      <c r="W935" s="807"/>
      <c r="X935" s="807"/>
      <c r="Y935" s="807"/>
      <c r="Z935" s="807"/>
    </row>
    <row r="936" ht="171.75" customHeight="1">
      <c r="A936" s="807"/>
      <c r="B936" s="807"/>
      <c r="C936" s="807"/>
      <c r="D936" s="807"/>
      <c r="E936" s="807"/>
      <c r="F936" s="807"/>
      <c r="G936" s="807"/>
      <c r="H936" s="807"/>
      <c r="I936" s="807"/>
      <c r="J936" s="807"/>
      <c r="K936" s="807"/>
      <c r="L936" s="807"/>
      <c r="M936" s="807"/>
      <c r="N936" s="807"/>
      <c r="O936" s="807"/>
      <c r="P936" s="807"/>
      <c r="Q936" s="807"/>
      <c r="R936" s="807"/>
      <c r="S936" s="807"/>
      <c r="T936" s="807"/>
      <c r="U936" s="807"/>
      <c r="V936" s="807"/>
      <c r="W936" s="807"/>
      <c r="X936" s="807"/>
      <c r="Y936" s="807"/>
      <c r="Z936" s="807"/>
    </row>
    <row r="937" ht="171.75" customHeight="1">
      <c r="A937" s="807"/>
      <c r="B937" s="807"/>
      <c r="C937" s="807"/>
      <c r="D937" s="807"/>
      <c r="E937" s="807"/>
      <c r="F937" s="807"/>
      <c r="G937" s="807"/>
      <c r="H937" s="807"/>
      <c r="I937" s="807"/>
      <c r="J937" s="807"/>
      <c r="K937" s="807"/>
      <c r="L937" s="807"/>
      <c r="M937" s="807"/>
      <c r="N937" s="807"/>
      <c r="O937" s="807"/>
      <c r="P937" s="807"/>
      <c r="Q937" s="807"/>
      <c r="R937" s="807"/>
      <c r="S937" s="807"/>
      <c r="T937" s="807"/>
      <c r="U937" s="807"/>
      <c r="V937" s="807"/>
      <c r="W937" s="807"/>
      <c r="X937" s="807"/>
      <c r="Y937" s="807"/>
      <c r="Z937" s="807"/>
    </row>
    <row r="938" ht="171.75" customHeight="1">
      <c r="A938" s="807"/>
      <c r="B938" s="807"/>
      <c r="C938" s="807"/>
      <c r="D938" s="807"/>
      <c r="E938" s="807"/>
      <c r="F938" s="807"/>
      <c r="G938" s="807"/>
      <c r="H938" s="807"/>
      <c r="I938" s="807"/>
      <c r="J938" s="807"/>
      <c r="K938" s="807"/>
      <c r="L938" s="807"/>
      <c r="M938" s="807"/>
      <c r="N938" s="807"/>
      <c r="O938" s="807"/>
      <c r="P938" s="807"/>
      <c r="Q938" s="807"/>
      <c r="R938" s="807"/>
      <c r="S938" s="807"/>
      <c r="T938" s="807"/>
      <c r="U938" s="807"/>
      <c r="V938" s="807"/>
      <c r="W938" s="807"/>
      <c r="X938" s="807"/>
      <c r="Y938" s="807"/>
      <c r="Z938" s="807"/>
    </row>
    <row r="939" ht="171.75" customHeight="1">
      <c r="A939" s="807"/>
      <c r="B939" s="807"/>
      <c r="C939" s="807"/>
      <c r="D939" s="807"/>
      <c r="E939" s="807"/>
      <c r="F939" s="807"/>
      <c r="G939" s="807"/>
      <c r="H939" s="807"/>
      <c r="I939" s="807"/>
      <c r="J939" s="807"/>
      <c r="K939" s="807"/>
      <c r="L939" s="807"/>
      <c r="M939" s="807"/>
      <c r="N939" s="807"/>
      <c r="O939" s="807"/>
      <c r="P939" s="807"/>
      <c r="Q939" s="807"/>
      <c r="R939" s="807"/>
      <c r="S939" s="807"/>
      <c r="T939" s="807"/>
      <c r="U939" s="807"/>
      <c r="V939" s="807"/>
      <c r="W939" s="807"/>
      <c r="X939" s="807"/>
      <c r="Y939" s="807"/>
      <c r="Z939" s="807"/>
    </row>
    <row r="940" ht="171.75" customHeight="1">
      <c r="A940" s="807"/>
      <c r="B940" s="807"/>
      <c r="C940" s="807"/>
      <c r="D940" s="807"/>
      <c r="E940" s="807"/>
      <c r="F940" s="807"/>
      <c r="G940" s="807"/>
      <c r="H940" s="807"/>
      <c r="I940" s="807"/>
      <c r="J940" s="807"/>
      <c r="K940" s="807"/>
      <c r="L940" s="807"/>
      <c r="M940" s="807"/>
      <c r="N940" s="807"/>
      <c r="O940" s="807"/>
      <c r="P940" s="807"/>
      <c r="Q940" s="807"/>
      <c r="R940" s="807"/>
      <c r="S940" s="807"/>
      <c r="T940" s="807"/>
      <c r="U940" s="807"/>
      <c r="V940" s="807"/>
      <c r="W940" s="807"/>
      <c r="X940" s="807"/>
      <c r="Y940" s="807"/>
      <c r="Z940" s="807"/>
    </row>
    <row r="941" ht="171.75" customHeight="1">
      <c r="A941" s="807"/>
      <c r="B941" s="807"/>
      <c r="C941" s="807"/>
      <c r="D941" s="807"/>
      <c r="E941" s="807"/>
      <c r="F941" s="807"/>
      <c r="G941" s="807"/>
      <c r="H941" s="807"/>
      <c r="I941" s="807"/>
      <c r="J941" s="807"/>
      <c r="K941" s="807"/>
      <c r="L941" s="807"/>
      <c r="M941" s="807"/>
      <c r="N941" s="807"/>
      <c r="O941" s="807"/>
      <c r="P941" s="807"/>
      <c r="Q941" s="807"/>
      <c r="R941" s="807"/>
      <c r="S941" s="807"/>
      <c r="T941" s="807"/>
      <c r="U941" s="807"/>
      <c r="V941" s="807"/>
      <c r="W941" s="807"/>
      <c r="X941" s="807"/>
      <c r="Y941" s="807"/>
      <c r="Z941" s="807"/>
    </row>
    <row r="942" ht="171.75" customHeight="1">
      <c r="A942" s="807"/>
      <c r="B942" s="807"/>
      <c r="C942" s="807"/>
      <c r="D942" s="807"/>
      <c r="E942" s="807"/>
      <c r="F942" s="807"/>
      <c r="G942" s="807"/>
      <c r="H942" s="807"/>
      <c r="I942" s="807"/>
      <c r="J942" s="807"/>
      <c r="K942" s="807"/>
      <c r="L942" s="807"/>
      <c r="M942" s="807"/>
      <c r="N942" s="807"/>
      <c r="O942" s="807"/>
      <c r="P942" s="807"/>
      <c r="Q942" s="807"/>
      <c r="R942" s="807"/>
      <c r="S942" s="807"/>
      <c r="T942" s="807"/>
      <c r="U942" s="807"/>
      <c r="V942" s="807"/>
      <c r="W942" s="807"/>
      <c r="X942" s="807"/>
      <c r="Y942" s="807"/>
      <c r="Z942" s="807"/>
    </row>
    <row r="943" ht="171.75" customHeight="1">
      <c r="A943" s="807"/>
      <c r="B943" s="807"/>
      <c r="C943" s="807"/>
      <c r="D943" s="807"/>
      <c r="E943" s="807"/>
      <c r="F943" s="807"/>
      <c r="G943" s="807"/>
      <c r="H943" s="807"/>
      <c r="I943" s="807"/>
      <c r="J943" s="807"/>
      <c r="K943" s="807"/>
      <c r="L943" s="807"/>
      <c r="M943" s="807"/>
      <c r="N943" s="807"/>
      <c r="O943" s="807"/>
      <c r="P943" s="807"/>
      <c r="Q943" s="807"/>
      <c r="R943" s="807"/>
      <c r="S943" s="807"/>
      <c r="T943" s="807"/>
      <c r="U943" s="807"/>
      <c r="V943" s="807"/>
      <c r="W943" s="807"/>
      <c r="X943" s="807"/>
      <c r="Y943" s="807"/>
      <c r="Z943" s="807"/>
    </row>
    <row r="944" ht="171.75" customHeight="1">
      <c r="A944" s="807"/>
      <c r="B944" s="807"/>
      <c r="C944" s="807"/>
      <c r="D944" s="807"/>
      <c r="E944" s="807"/>
      <c r="F944" s="807"/>
      <c r="G944" s="807"/>
      <c r="H944" s="807"/>
      <c r="I944" s="807"/>
      <c r="J944" s="807"/>
      <c r="K944" s="807"/>
      <c r="L944" s="807"/>
      <c r="M944" s="807"/>
      <c r="N944" s="807"/>
      <c r="O944" s="807"/>
      <c r="P944" s="807"/>
      <c r="Q944" s="807"/>
      <c r="R944" s="807"/>
      <c r="S944" s="807"/>
      <c r="T944" s="807"/>
      <c r="U944" s="807"/>
      <c r="V944" s="807"/>
      <c r="W944" s="807"/>
      <c r="X944" s="807"/>
      <c r="Y944" s="807"/>
      <c r="Z944" s="807"/>
    </row>
    <row r="945" ht="171.75" customHeight="1">
      <c r="A945" s="807"/>
      <c r="B945" s="807"/>
      <c r="C945" s="807"/>
      <c r="D945" s="807"/>
      <c r="E945" s="807"/>
      <c r="F945" s="807"/>
      <c r="G945" s="807"/>
      <c r="H945" s="807"/>
      <c r="I945" s="807"/>
      <c r="J945" s="807"/>
      <c r="K945" s="807"/>
      <c r="L945" s="807"/>
      <c r="M945" s="807"/>
      <c r="N945" s="807"/>
      <c r="O945" s="807"/>
      <c r="P945" s="807"/>
      <c r="Q945" s="807"/>
      <c r="R945" s="807"/>
      <c r="S945" s="807"/>
      <c r="T945" s="807"/>
      <c r="U945" s="807"/>
      <c r="V945" s="807"/>
      <c r="W945" s="807"/>
      <c r="X945" s="807"/>
      <c r="Y945" s="807"/>
      <c r="Z945" s="807"/>
    </row>
    <row r="946" ht="171.75" customHeight="1">
      <c r="A946" s="807"/>
      <c r="B946" s="807"/>
      <c r="C946" s="807"/>
      <c r="D946" s="807"/>
      <c r="E946" s="807"/>
      <c r="F946" s="807"/>
      <c r="G946" s="807"/>
      <c r="H946" s="807"/>
      <c r="I946" s="807"/>
      <c r="J946" s="807"/>
      <c r="K946" s="807"/>
      <c r="L946" s="807"/>
      <c r="M946" s="807"/>
      <c r="N946" s="807"/>
      <c r="O946" s="807"/>
      <c r="P946" s="807"/>
      <c r="Q946" s="807"/>
      <c r="R946" s="807"/>
      <c r="S946" s="807"/>
      <c r="T946" s="807"/>
      <c r="U946" s="807"/>
      <c r="V946" s="807"/>
      <c r="W946" s="807"/>
      <c r="X946" s="807"/>
      <c r="Y946" s="807"/>
      <c r="Z946" s="807"/>
    </row>
    <row r="947" ht="171.75" customHeight="1">
      <c r="A947" s="807"/>
      <c r="B947" s="807"/>
      <c r="C947" s="807"/>
      <c r="D947" s="807"/>
      <c r="E947" s="807"/>
      <c r="F947" s="807"/>
      <c r="G947" s="807"/>
      <c r="H947" s="807"/>
      <c r="I947" s="807"/>
      <c r="J947" s="807"/>
      <c r="K947" s="807"/>
      <c r="L947" s="807"/>
      <c r="M947" s="807"/>
      <c r="N947" s="807"/>
      <c r="O947" s="807"/>
      <c r="P947" s="807"/>
      <c r="Q947" s="807"/>
      <c r="R947" s="807"/>
      <c r="S947" s="807"/>
      <c r="T947" s="807"/>
      <c r="U947" s="807"/>
      <c r="V947" s="807"/>
      <c r="W947" s="807"/>
      <c r="X947" s="807"/>
      <c r="Y947" s="807"/>
      <c r="Z947" s="807"/>
    </row>
    <row r="948" ht="171.75" customHeight="1">
      <c r="A948" s="807"/>
      <c r="B948" s="807"/>
      <c r="C948" s="807"/>
      <c r="D948" s="807"/>
      <c r="E948" s="807"/>
      <c r="F948" s="807"/>
      <c r="G948" s="807"/>
      <c r="H948" s="807"/>
      <c r="I948" s="807"/>
      <c r="J948" s="807"/>
      <c r="K948" s="807"/>
      <c r="L948" s="807"/>
      <c r="M948" s="807"/>
      <c r="N948" s="807"/>
      <c r="O948" s="807"/>
      <c r="P948" s="807"/>
      <c r="Q948" s="807"/>
      <c r="R948" s="807"/>
      <c r="S948" s="807"/>
      <c r="T948" s="807"/>
      <c r="U948" s="807"/>
      <c r="V948" s="807"/>
      <c r="W948" s="807"/>
      <c r="X948" s="807"/>
      <c r="Y948" s="807"/>
      <c r="Z948" s="807"/>
    </row>
    <row r="949" ht="171.75" customHeight="1">
      <c r="A949" s="807"/>
      <c r="B949" s="807"/>
      <c r="C949" s="807"/>
      <c r="D949" s="807"/>
      <c r="E949" s="807"/>
      <c r="F949" s="807"/>
      <c r="G949" s="807"/>
      <c r="H949" s="807"/>
      <c r="I949" s="807"/>
      <c r="J949" s="807"/>
      <c r="K949" s="807"/>
      <c r="L949" s="807"/>
      <c r="M949" s="807"/>
      <c r="N949" s="807"/>
      <c r="O949" s="807"/>
      <c r="P949" s="807"/>
      <c r="Q949" s="807"/>
      <c r="R949" s="807"/>
      <c r="S949" s="807"/>
      <c r="T949" s="807"/>
      <c r="U949" s="807"/>
      <c r="V949" s="807"/>
      <c r="W949" s="807"/>
      <c r="X949" s="807"/>
      <c r="Y949" s="807"/>
      <c r="Z949" s="807"/>
    </row>
    <row r="950" ht="171.75" customHeight="1">
      <c r="A950" s="807"/>
      <c r="B950" s="807"/>
      <c r="C950" s="807"/>
      <c r="D950" s="807"/>
      <c r="E950" s="807"/>
      <c r="F950" s="807"/>
      <c r="G950" s="807"/>
      <c r="H950" s="807"/>
      <c r="I950" s="807"/>
      <c r="J950" s="807"/>
      <c r="K950" s="807"/>
      <c r="L950" s="807"/>
      <c r="M950" s="807"/>
      <c r="N950" s="807"/>
      <c r="O950" s="807"/>
      <c r="P950" s="807"/>
      <c r="Q950" s="807"/>
      <c r="R950" s="807"/>
      <c r="S950" s="807"/>
      <c r="T950" s="807"/>
      <c r="U950" s="807"/>
      <c r="V950" s="807"/>
      <c r="W950" s="807"/>
      <c r="X950" s="807"/>
      <c r="Y950" s="807"/>
      <c r="Z950" s="807"/>
    </row>
    <row r="951" ht="171.75" customHeight="1">
      <c r="A951" s="807"/>
      <c r="B951" s="807"/>
      <c r="C951" s="807"/>
      <c r="D951" s="807"/>
      <c r="E951" s="807"/>
      <c r="F951" s="807"/>
      <c r="G951" s="807"/>
      <c r="H951" s="807"/>
      <c r="I951" s="807"/>
      <c r="J951" s="807"/>
      <c r="K951" s="807"/>
      <c r="L951" s="807"/>
      <c r="M951" s="807"/>
      <c r="N951" s="807"/>
      <c r="O951" s="807"/>
      <c r="P951" s="807"/>
      <c r="Q951" s="807"/>
      <c r="R951" s="807"/>
      <c r="S951" s="807"/>
      <c r="T951" s="807"/>
      <c r="U951" s="807"/>
      <c r="V951" s="807"/>
      <c r="W951" s="807"/>
      <c r="X951" s="807"/>
      <c r="Y951" s="807"/>
      <c r="Z951" s="807"/>
    </row>
    <row r="952" ht="171.75" customHeight="1">
      <c r="A952" s="807"/>
      <c r="B952" s="807"/>
      <c r="C952" s="807"/>
      <c r="D952" s="807"/>
      <c r="E952" s="807"/>
      <c r="F952" s="807"/>
      <c r="G952" s="807"/>
      <c r="H952" s="807"/>
      <c r="I952" s="807"/>
      <c r="J952" s="807"/>
      <c r="K952" s="807"/>
      <c r="L952" s="807"/>
      <c r="M952" s="807"/>
      <c r="N952" s="807"/>
      <c r="O952" s="807"/>
      <c r="P952" s="807"/>
      <c r="Q952" s="807"/>
      <c r="R952" s="807"/>
      <c r="S952" s="807"/>
      <c r="T952" s="807"/>
      <c r="U952" s="807"/>
      <c r="V952" s="807"/>
      <c r="W952" s="807"/>
      <c r="X952" s="807"/>
      <c r="Y952" s="807"/>
      <c r="Z952" s="807"/>
    </row>
    <row r="953" ht="171.75" customHeight="1">
      <c r="A953" s="807"/>
      <c r="B953" s="807"/>
      <c r="C953" s="807"/>
      <c r="D953" s="807"/>
      <c r="E953" s="807"/>
      <c r="F953" s="807"/>
      <c r="G953" s="807"/>
      <c r="H953" s="807"/>
      <c r="I953" s="807"/>
      <c r="J953" s="807"/>
      <c r="K953" s="807"/>
      <c r="L953" s="807"/>
      <c r="M953" s="807"/>
      <c r="N953" s="807"/>
      <c r="O953" s="807"/>
      <c r="P953" s="807"/>
      <c r="Q953" s="807"/>
      <c r="R953" s="807"/>
      <c r="S953" s="807"/>
      <c r="T953" s="807"/>
      <c r="U953" s="807"/>
      <c r="V953" s="807"/>
      <c r="W953" s="807"/>
      <c r="X953" s="807"/>
      <c r="Y953" s="807"/>
      <c r="Z953" s="807"/>
    </row>
    <row r="954" ht="171.75" customHeight="1">
      <c r="A954" s="807"/>
      <c r="B954" s="807"/>
      <c r="C954" s="807"/>
      <c r="D954" s="807"/>
      <c r="E954" s="807"/>
      <c r="F954" s="807"/>
      <c r="G954" s="807"/>
      <c r="H954" s="807"/>
      <c r="I954" s="807"/>
      <c r="J954" s="807"/>
      <c r="K954" s="807"/>
      <c r="L954" s="807"/>
      <c r="M954" s="807"/>
      <c r="N954" s="807"/>
      <c r="O954" s="807"/>
      <c r="P954" s="807"/>
      <c r="Q954" s="807"/>
      <c r="R954" s="807"/>
      <c r="S954" s="807"/>
      <c r="T954" s="807"/>
      <c r="U954" s="807"/>
      <c r="V954" s="807"/>
      <c r="W954" s="807"/>
      <c r="X954" s="807"/>
      <c r="Y954" s="807"/>
      <c r="Z954" s="807"/>
    </row>
    <row r="955" ht="171.75" customHeight="1">
      <c r="A955" s="807"/>
      <c r="B955" s="807"/>
      <c r="C955" s="807"/>
      <c r="D955" s="807"/>
      <c r="E955" s="807"/>
      <c r="F955" s="807"/>
      <c r="G955" s="807"/>
      <c r="H955" s="807"/>
      <c r="I955" s="807"/>
      <c r="J955" s="807"/>
      <c r="K955" s="807"/>
      <c r="L955" s="807"/>
      <c r="M955" s="807"/>
      <c r="N955" s="807"/>
      <c r="O955" s="807"/>
      <c r="P955" s="807"/>
      <c r="Q955" s="807"/>
      <c r="R955" s="807"/>
      <c r="S955" s="807"/>
      <c r="T955" s="807"/>
      <c r="U955" s="807"/>
      <c r="V955" s="807"/>
      <c r="W955" s="807"/>
      <c r="X955" s="807"/>
      <c r="Y955" s="807"/>
      <c r="Z955" s="807"/>
    </row>
    <row r="956" ht="171.75" customHeight="1">
      <c r="A956" s="807"/>
      <c r="B956" s="807"/>
      <c r="C956" s="807"/>
      <c r="D956" s="807"/>
      <c r="E956" s="807"/>
      <c r="F956" s="807"/>
      <c r="G956" s="807"/>
      <c r="H956" s="807"/>
      <c r="I956" s="807"/>
      <c r="J956" s="807"/>
      <c r="K956" s="807"/>
      <c r="L956" s="807"/>
      <c r="M956" s="807"/>
      <c r="N956" s="807"/>
      <c r="O956" s="807"/>
      <c r="P956" s="807"/>
      <c r="Q956" s="807"/>
      <c r="R956" s="807"/>
      <c r="S956" s="807"/>
      <c r="T956" s="807"/>
      <c r="U956" s="807"/>
      <c r="V956" s="807"/>
      <c r="W956" s="807"/>
      <c r="X956" s="807"/>
      <c r="Y956" s="807"/>
      <c r="Z956" s="807"/>
    </row>
    <row r="957" ht="171.75" customHeight="1">
      <c r="A957" s="807"/>
      <c r="B957" s="807"/>
      <c r="C957" s="807"/>
      <c r="D957" s="807"/>
      <c r="E957" s="807"/>
      <c r="F957" s="807"/>
      <c r="G957" s="807"/>
      <c r="H957" s="807"/>
      <c r="I957" s="807"/>
      <c r="J957" s="807"/>
      <c r="K957" s="807"/>
      <c r="L957" s="807"/>
      <c r="M957" s="807"/>
      <c r="N957" s="807"/>
      <c r="O957" s="807"/>
      <c r="P957" s="807"/>
      <c r="Q957" s="807"/>
      <c r="R957" s="807"/>
      <c r="S957" s="807"/>
      <c r="T957" s="807"/>
      <c r="U957" s="807"/>
      <c r="V957" s="807"/>
      <c r="W957" s="807"/>
      <c r="X957" s="807"/>
      <c r="Y957" s="807"/>
      <c r="Z957" s="807"/>
    </row>
    <row r="958" ht="171.75" customHeight="1">
      <c r="A958" s="807"/>
      <c r="B958" s="807"/>
      <c r="C958" s="807"/>
      <c r="D958" s="807"/>
      <c r="E958" s="807"/>
      <c r="F958" s="807"/>
      <c r="G958" s="807"/>
      <c r="H958" s="807"/>
      <c r="I958" s="807"/>
      <c r="J958" s="807"/>
      <c r="K958" s="807"/>
      <c r="L958" s="807"/>
      <c r="M958" s="807"/>
      <c r="N958" s="807"/>
      <c r="O958" s="807"/>
      <c r="P958" s="807"/>
      <c r="Q958" s="807"/>
      <c r="R958" s="807"/>
      <c r="S958" s="807"/>
      <c r="T958" s="807"/>
      <c r="U958" s="807"/>
      <c r="V958" s="807"/>
      <c r="W958" s="807"/>
      <c r="X958" s="807"/>
      <c r="Y958" s="807"/>
      <c r="Z958" s="807"/>
    </row>
    <row r="959" ht="171.75" customHeight="1">
      <c r="A959" s="807"/>
      <c r="B959" s="807"/>
      <c r="C959" s="807"/>
      <c r="D959" s="807"/>
      <c r="E959" s="807"/>
      <c r="F959" s="807"/>
      <c r="G959" s="807"/>
      <c r="H959" s="807"/>
      <c r="I959" s="807"/>
      <c r="J959" s="807"/>
      <c r="K959" s="807"/>
      <c r="L959" s="807"/>
      <c r="M959" s="807"/>
      <c r="N959" s="807"/>
      <c r="O959" s="807"/>
      <c r="P959" s="807"/>
      <c r="Q959" s="807"/>
      <c r="R959" s="807"/>
      <c r="S959" s="807"/>
      <c r="T959" s="807"/>
      <c r="U959" s="807"/>
      <c r="V959" s="807"/>
      <c r="W959" s="807"/>
      <c r="X959" s="807"/>
      <c r="Y959" s="807"/>
      <c r="Z959" s="807"/>
    </row>
    <row r="960" ht="171.75" customHeight="1">
      <c r="A960" s="807"/>
      <c r="B960" s="807"/>
      <c r="C960" s="807"/>
      <c r="D960" s="807"/>
      <c r="E960" s="807"/>
      <c r="F960" s="807"/>
      <c r="G960" s="807"/>
      <c r="H960" s="807"/>
      <c r="I960" s="807"/>
      <c r="J960" s="807"/>
      <c r="K960" s="807"/>
      <c r="L960" s="807"/>
      <c r="M960" s="807"/>
      <c r="N960" s="807"/>
      <c r="O960" s="807"/>
      <c r="P960" s="807"/>
      <c r="Q960" s="807"/>
      <c r="R960" s="807"/>
      <c r="S960" s="807"/>
      <c r="T960" s="807"/>
      <c r="U960" s="807"/>
      <c r="V960" s="807"/>
      <c r="W960" s="807"/>
      <c r="X960" s="807"/>
      <c r="Y960" s="807"/>
      <c r="Z960" s="807"/>
    </row>
    <row r="961" ht="171.75" customHeight="1">
      <c r="A961" s="807"/>
      <c r="B961" s="807"/>
      <c r="C961" s="807"/>
      <c r="D961" s="807"/>
      <c r="E961" s="807"/>
      <c r="F961" s="807"/>
      <c r="G961" s="807"/>
      <c r="H961" s="807"/>
      <c r="I961" s="807"/>
      <c r="J961" s="807"/>
      <c r="K961" s="807"/>
      <c r="L961" s="807"/>
      <c r="M961" s="807"/>
      <c r="N961" s="807"/>
      <c r="O961" s="807"/>
      <c r="P961" s="807"/>
      <c r="Q961" s="807"/>
      <c r="R961" s="807"/>
      <c r="S961" s="807"/>
      <c r="T961" s="807"/>
      <c r="U961" s="807"/>
      <c r="V961" s="807"/>
      <c r="W961" s="807"/>
      <c r="X961" s="807"/>
      <c r="Y961" s="807"/>
      <c r="Z961" s="807"/>
    </row>
    <row r="962" ht="171.75" customHeight="1">
      <c r="A962" s="807"/>
      <c r="B962" s="807"/>
      <c r="C962" s="807"/>
      <c r="D962" s="807"/>
      <c r="E962" s="807"/>
      <c r="F962" s="807"/>
      <c r="G962" s="807"/>
      <c r="H962" s="807"/>
      <c r="I962" s="807"/>
      <c r="J962" s="807"/>
      <c r="K962" s="807"/>
      <c r="L962" s="807"/>
      <c r="M962" s="807"/>
      <c r="N962" s="807"/>
      <c r="O962" s="807"/>
      <c r="P962" s="807"/>
      <c r="Q962" s="807"/>
      <c r="R962" s="807"/>
      <c r="S962" s="807"/>
      <c r="T962" s="807"/>
      <c r="U962" s="807"/>
      <c r="V962" s="807"/>
      <c r="W962" s="807"/>
      <c r="X962" s="807"/>
      <c r="Y962" s="807"/>
      <c r="Z962" s="807"/>
    </row>
    <row r="963" ht="171.75" customHeight="1">
      <c r="A963" s="807"/>
      <c r="B963" s="807"/>
      <c r="C963" s="807"/>
      <c r="D963" s="807"/>
      <c r="E963" s="807"/>
      <c r="F963" s="807"/>
      <c r="G963" s="807"/>
      <c r="H963" s="807"/>
      <c r="I963" s="807"/>
      <c r="J963" s="807"/>
      <c r="K963" s="807"/>
      <c r="L963" s="807"/>
      <c r="M963" s="807"/>
      <c r="N963" s="807"/>
      <c r="O963" s="807"/>
      <c r="P963" s="807"/>
      <c r="Q963" s="807"/>
      <c r="R963" s="807"/>
      <c r="S963" s="807"/>
      <c r="T963" s="807"/>
      <c r="U963" s="807"/>
      <c r="V963" s="807"/>
      <c r="W963" s="807"/>
      <c r="X963" s="807"/>
      <c r="Y963" s="807"/>
      <c r="Z963" s="807"/>
    </row>
    <row r="964" ht="171.75" customHeight="1">
      <c r="A964" s="807"/>
      <c r="B964" s="807"/>
      <c r="C964" s="807"/>
      <c r="D964" s="807"/>
      <c r="E964" s="807"/>
      <c r="F964" s="807"/>
      <c r="G964" s="807"/>
      <c r="H964" s="807"/>
      <c r="I964" s="807"/>
      <c r="J964" s="807"/>
      <c r="K964" s="807"/>
      <c r="L964" s="807"/>
      <c r="M964" s="807"/>
      <c r="N964" s="807"/>
      <c r="O964" s="807"/>
      <c r="P964" s="807"/>
      <c r="Q964" s="807"/>
      <c r="R964" s="807"/>
      <c r="S964" s="807"/>
      <c r="T964" s="807"/>
      <c r="U964" s="807"/>
      <c r="V964" s="807"/>
      <c r="W964" s="807"/>
      <c r="X964" s="807"/>
      <c r="Y964" s="807"/>
      <c r="Z964" s="807"/>
    </row>
    <row r="965" ht="171.75" customHeight="1">
      <c r="A965" s="807"/>
      <c r="B965" s="807"/>
      <c r="C965" s="807"/>
      <c r="D965" s="807"/>
      <c r="E965" s="807"/>
      <c r="F965" s="807"/>
      <c r="G965" s="807"/>
      <c r="H965" s="807"/>
      <c r="I965" s="807"/>
      <c r="J965" s="807"/>
      <c r="K965" s="807"/>
      <c r="L965" s="807"/>
      <c r="M965" s="807"/>
      <c r="N965" s="807"/>
      <c r="O965" s="807"/>
      <c r="P965" s="807"/>
      <c r="Q965" s="807"/>
      <c r="R965" s="807"/>
      <c r="S965" s="807"/>
      <c r="T965" s="807"/>
      <c r="U965" s="807"/>
      <c r="V965" s="807"/>
      <c r="W965" s="807"/>
      <c r="X965" s="807"/>
      <c r="Y965" s="807"/>
      <c r="Z965" s="807"/>
    </row>
    <row r="966" ht="171.75" customHeight="1">
      <c r="A966" s="807"/>
      <c r="B966" s="807"/>
      <c r="C966" s="807"/>
      <c r="D966" s="807"/>
      <c r="E966" s="807"/>
      <c r="F966" s="807"/>
      <c r="G966" s="807"/>
      <c r="H966" s="807"/>
      <c r="I966" s="807"/>
      <c r="J966" s="807"/>
      <c r="K966" s="807"/>
      <c r="L966" s="807"/>
      <c r="M966" s="807"/>
      <c r="N966" s="807"/>
      <c r="O966" s="807"/>
      <c r="P966" s="807"/>
      <c r="Q966" s="807"/>
      <c r="R966" s="807"/>
      <c r="S966" s="807"/>
      <c r="T966" s="807"/>
      <c r="U966" s="807"/>
      <c r="V966" s="807"/>
      <c r="W966" s="807"/>
      <c r="X966" s="807"/>
      <c r="Y966" s="807"/>
      <c r="Z966" s="807"/>
    </row>
    <row r="967" ht="171.75" customHeight="1">
      <c r="A967" s="807"/>
      <c r="B967" s="807"/>
      <c r="C967" s="807"/>
      <c r="D967" s="807"/>
      <c r="E967" s="807"/>
      <c r="F967" s="807"/>
      <c r="G967" s="807"/>
      <c r="H967" s="807"/>
      <c r="I967" s="807"/>
      <c r="J967" s="807"/>
      <c r="K967" s="807"/>
      <c r="L967" s="807"/>
      <c r="M967" s="807"/>
      <c r="N967" s="807"/>
      <c r="O967" s="807"/>
      <c r="P967" s="807"/>
      <c r="Q967" s="807"/>
      <c r="R967" s="807"/>
      <c r="S967" s="807"/>
      <c r="T967" s="807"/>
      <c r="U967" s="807"/>
      <c r="V967" s="807"/>
      <c r="W967" s="807"/>
      <c r="X967" s="807"/>
      <c r="Y967" s="807"/>
      <c r="Z967" s="807"/>
    </row>
    <row r="968" ht="171.75" customHeight="1">
      <c r="A968" s="807"/>
      <c r="B968" s="807"/>
      <c r="C968" s="807"/>
      <c r="D968" s="807"/>
      <c r="E968" s="807"/>
      <c r="F968" s="807"/>
      <c r="G968" s="807"/>
      <c r="H968" s="807"/>
      <c r="I968" s="807"/>
      <c r="J968" s="807"/>
      <c r="K968" s="807"/>
      <c r="L968" s="807"/>
      <c r="M968" s="807"/>
      <c r="N968" s="807"/>
      <c r="O968" s="807"/>
      <c r="P968" s="807"/>
      <c r="Q968" s="807"/>
      <c r="R968" s="807"/>
      <c r="S968" s="807"/>
      <c r="T968" s="807"/>
      <c r="U968" s="807"/>
      <c r="V968" s="807"/>
      <c r="W968" s="807"/>
      <c r="X968" s="807"/>
      <c r="Y968" s="807"/>
      <c r="Z968" s="807"/>
    </row>
    <row r="969" ht="171.75" customHeight="1">
      <c r="A969" s="807"/>
      <c r="B969" s="807"/>
      <c r="C969" s="807"/>
      <c r="D969" s="807"/>
      <c r="E969" s="807"/>
      <c r="F969" s="807"/>
      <c r="G969" s="807"/>
      <c r="H969" s="807"/>
      <c r="I969" s="807"/>
      <c r="J969" s="807"/>
      <c r="K969" s="807"/>
      <c r="L969" s="807"/>
      <c r="M969" s="807"/>
      <c r="N969" s="807"/>
      <c r="O969" s="807"/>
      <c r="P969" s="807"/>
      <c r="Q969" s="807"/>
      <c r="R969" s="807"/>
      <c r="S969" s="807"/>
      <c r="T969" s="807"/>
      <c r="U969" s="807"/>
      <c r="V969" s="807"/>
      <c r="W969" s="807"/>
      <c r="X969" s="807"/>
      <c r="Y969" s="807"/>
      <c r="Z969" s="807"/>
    </row>
    <row r="970" ht="171.75" customHeight="1">
      <c r="A970" s="807"/>
      <c r="B970" s="807"/>
      <c r="C970" s="807"/>
      <c r="D970" s="807"/>
      <c r="E970" s="807"/>
      <c r="F970" s="807"/>
      <c r="G970" s="807"/>
      <c r="H970" s="807"/>
      <c r="I970" s="807"/>
      <c r="J970" s="807"/>
      <c r="K970" s="807"/>
      <c r="L970" s="807"/>
      <c r="M970" s="807"/>
      <c r="N970" s="807"/>
      <c r="O970" s="807"/>
      <c r="P970" s="807"/>
      <c r="Q970" s="807"/>
      <c r="R970" s="807"/>
      <c r="S970" s="807"/>
      <c r="T970" s="807"/>
      <c r="U970" s="807"/>
      <c r="V970" s="807"/>
      <c r="W970" s="807"/>
      <c r="X970" s="807"/>
      <c r="Y970" s="807"/>
      <c r="Z970" s="807"/>
    </row>
    <row r="971" ht="171.75" customHeight="1">
      <c r="A971" s="807"/>
      <c r="B971" s="807"/>
      <c r="C971" s="807"/>
      <c r="D971" s="807"/>
      <c r="E971" s="807"/>
      <c r="F971" s="807"/>
      <c r="G971" s="807"/>
      <c r="H971" s="807"/>
      <c r="I971" s="807"/>
      <c r="J971" s="807"/>
      <c r="K971" s="807"/>
      <c r="L971" s="807"/>
      <c r="M971" s="807"/>
      <c r="N971" s="807"/>
      <c r="O971" s="807"/>
      <c r="P971" s="807"/>
      <c r="Q971" s="807"/>
      <c r="R971" s="807"/>
      <c r="S971" s="807"/>
      <c r="T971" s="807"/>
      <c r="U971" s="807"/>
      <c r="V971" s="807"/>
      <c r="W971" s="807"/>
      <c r="X971" s="807"/>
      <c r="Y971" s="807"/>
      <c r="Z971" s="807"/>
    </row>
    <row r="972" ht="171.75" customHeight="1">
      <c r="A972" s="807"/>
      <c r="B972" s="807"/>
      <c r="C972" s="807"/>
      <c r="D972" s="807"/>
      <c r="E972" s="807"/>
      <c r="F972" s="807"/>
      <c r="G972" s="807"/>
      <c r="H972" s="807"/>
      <c r="I972" s="807"/>
      <c r="J972" s="807"/>
      <c r="K972" s="807"/>
      <c r="L972" s="807"/>
      <c r="M972" s="807"/>
      <c r="N972" s="807"/>
      <c r="O972" s="807"/>
      <c r="P972" s="807"/>
      <c r="Q972" s="807"/>
      <c r="R972" s="807"/>
      <c r="S972" s="807"/>
      <c r="T972" s="807"/>
      <c r="U972" s="807"/>
      <c r="V972" s="807"/>
      <c r="W972" s="807"/>
      <c r="X972" s="807"/>
      <c r="Y972" s="807"/>
      <c r="Z972" s="807"/>
    </row>
    <row r="973" ht="171.75" customHeight="1">
      <c r="A973" s="807"/>
      <c r="B973" s="807"/>
      <c r="C973" s="807"/>
      <c r="D973" s="807"/>
      <c r="E973" s="807"/>
      <c r="F973" s="807"/>
      <c r="G973" s="807"/>
      <c r="H973" s="807"/>
      <c r="I973" s="807"/>
      <c r="J973" s="807"/>
      <c r="K973" s="807"/>
      <c r="L973" s="807"/>
      <c r="M973" s="807"/>
      <c r="N973" s="807"/>
      <c r="O973" s="807"/>
      <c r="P973" s="807"/>
      <c r="Q973" s="807"/>
      <c r="R973" s="807"/>
      <c r="S973" s="807"/>
      <c r="T973" s="807"/>
      <c r="U973" s="807"/>
      <c r="V973" s="807"/>
      <c r="W973" s="807"/>
      <c r="X973" s="807"/>
      <c r="Y973" s="807"/>
      <c r="Z973" s="807"/>
    </row>
    <row r="974" ht="171.75" customHeight="1">
      <c r="A974" s="807"/>
      <c r="B974" s="807"/>
      <c r="C974" s="807"/>
      <c r="D974" s="807"/>
      <c r="E974" s="807"/>
      <c r="F974" s="807"/>
      <c r="G974" s="807"/>
      <c r="H974" s="807"/>
      <c r="I974" s="807"/>
      <c r="J974" s="807"/>
      <c r="K974" s="807"/>
      <c r="L974" s="807"/>
      <c r="M974" s="807"/>
      <c r="N974" s="807"/>
      <c r="O974" s="807"/>
      <c r="P974" s="807"/>
      <c r="Q974" s="807"/>
      <c r="R974" s="807"/>
      <c r="S974" s="807"/>
      <c r="T974" s="807"/>
      <c r="U974" s="807"/>
      <c r="V974" s="807"/>
      <c r="W974" s="807"/>
      <c r="X974" s="807"/>
      <c r="Y974" s="807"/>
      <c r="Z974" s="807"/>
    </row>
    <row r="975" ht="171.75" customHeight="1">
      <c r="A975" s="807"/>
      <c r="B975" s="807"/>
      <c r="C975" s="807"/>
      <c r="D975" s="807"/>
      <c r="E975" s="807"/>
      <c r="F975" s="807"/>
      <c r="G975" s="807"/>
      <c r="H975" s="807"/>
      <c r="I975" s="807"/>
      <c r="J975" s="807"/>
      <c r="K975" s="807"/>
      <c r="L975" s="807"/>
      <c r="M975" s="807"/>
      <c r="N975" s="807"/>
      <c r="O975" s="807"/>
      <c r="P975" s="807"/>
      <c r="Q975" s="807"/>
      <c r="R975" s="807"/>
      <c r="S975" s="807"/>
      <c r="T975" s="807"/>
      <c r="U975" s="807"/>
      <c r="V975" s="807"/>
      <c r="W975" s="807"/>
      <c r="X975" s="807"/>
      <c r="Y975" s="807"/>
      <c r="Z975" s="807"/>
    </row>
    <row r="976" ht="171.75" customHeight="1">
      <c r="A976" s="807"/>
      <c r="B976" s="807"/>
      <c r="C976" s="807"/>
      <c r="D976" s="807"/>
      <c r="E976" s="807"/>
      <c r="F976" s="807"/>
      <c r="G976" s="807"/>
      <c r="H976" s="807"/>
      <c r="I976" s="807"/>
      <c r="J976" s="807"/>
      <c r="K976" s="807"/>
      <c r="L976" s="807"/>
      <c r="M976" s="807"/>
      <c r="N976" s="807"/>
      <c r="O976" s="807"/>
      <c r="P976" s="807"/>
      <c r="Q976" s="807"/>
      <c r="R976" s="807"/>
      <c r="S976" s="807"/>
      <c r="T976" s="807"/>
      <c r="U976" s="807"/>
      <c r="V976" s="807"/>
      <c r="W976" s="807"/>
      <c r="X976" s="807"/>
      <c r="Y976" s="807"/>
      <c r="Z976" s="807"/>
    </row>
    <row r="977" ht="171.75" customHeight="1">
      <c r="A977" s="807"/>
      <c r="B977" s="807"/>
      <c r="C977" s="807"/>
      <c r="D977" s="807"/>
      <c r="E977" s="807"/>
      <c r="F977" s="807"/>
      <c r="G977" s="807"/>
      <c r="H977" s="807"/>
      <c r="I977" s="807"/>
      <c r="J977" s="807"/>
      <c r="K977" s="807"/>
      <c r="L977" s="807"/>
      <c r="M977" s="807"/>
      <c r="N977" s="807"/>
      <c r="O977" s="807"/>
      <c r="P977" s="807"/>
      <c r="Q977" s="807"/>
      <c r="R977" s="807"/>
      <c r="S977" s="807"/>
      <c r="T977" s="807"/>
      <c r="U977" s="807"/>
      <c r="V977" s="807"/>
      <c r="W977" s="807"/>
      <c r="X977" s="807"/>
      <c r="Y977" s="807"/>
      <c r="Z977" s="807"/>
    </row>
    <row r="978" ht="171.75" customHeight="1">
      <c r="A978" s="807"/>
      <c r="B978" s="807"/>
      <c r="C978" s="807"/>
      <c r="D978" s="807"/>
      <c r="E978" s="807"/>
      <c r="F978" s="807"/>
      <c r="G978" s="807"/>
      <c r="H978" s="807"/>
      <c r="I978" s="807"/>
      <c r="J978" s="807"/>
      <c r="K978" s="807"/>
      <c r="L978" s="807"/>
      <c r="M978" s="807"/>
      <c r="N978" s="807"/>
      <c r="O978" s="807"/>
      <c r="P978" s="807"/>
      <c r="Q978" s="807"/>
      <c r="R978" s="807"/>
      <c r="S978" s="807"/>
      <c r="T978" s="807"/>
      <c r="U978" s="807"/>
      <c r="V978" s="807"/>
      <c r="W978" s="807"/>
      <c r="X978" s="807"/>
      <c r="Y978" s="807"/>
      <c r="Z978" s="807"/>
    </row>
    <row r="979" ht="171.75" customHeight="1">
      <c r="A979" s="807"/>
      <c r="B979" s="807"/>
      <c r="C979" s="807"/>
      <c r="D979" s="807"/>
      <c r="E979" s="807"/>
      <c r="F979" s="807"/>
      <c r="G979" s="807"/>
      <c r="H979" s="807"/>
      <c r="I979" s="807"/>
      <c r="J979" s="807"/>
      <c r="K979" s="807"/>
      <c r="L979" s="807"/>
      <c r="M979" s="807"/>
      <c r="N979" s="807"/>
      <c r="O979" s="807"/>
      <c r="P979" s="807"/>
      <c r="Q979" s="807"/>
      <c r="R979" s="807"/>
      <c r="S979" s="807"/>
      <c r="T979" s="807"/>
      <c r="U979" s="807"/>
      <c r="V979" s="807"/>
      <c r="W979" s="807"/>
      <c r="X979" s="807"/>
      <c r="Y979" s="807"/>
      <c r="Z979" s="807"/>
    </row>
    <row r="980" ht="171.75" customHeight="1">
      <c r="A980" s="807"/>
      <c r="B980" s="807"/>
      <c r="C980" s="807"/>
      <c r="D980" s="807"/>
      <c r="E980" s="807"/>
      <c r="F980" s="807"/>
      <c r="G980" s="807"/>
      <c r="H980" s="807"/>
      <c r="I980" s="807"/>
      <c r="J980" s="807"/>
      <c r="K980" s="807"/>
      <c r="L980" s="807"/>
      <c r="M980" s="807"/>
      <c r="N980" s="807"/>
      <c r="O980" s="807"/>
      <c r="P980" s="807"/>
      <c r="Q980" s="807"/>
      <c r="R980" s="807"/>
      <c r="S980" s="807"/>
      <c r="T980" s="807"/>
      <c r="U980" s="807"/>
      <c r="V980" s="807"/>
      <c r="W980" s="807"/>
      <c r="X980" s="807"/>
      <c r="Y980" s="807"/>
      <c r="Z980" s="807"/>
    </row>
    <row r="981" ht="171.75" customHeight="1">
      <c r="A981" s="807"/>
      <c r="B981" s="807"/>
      <c r="C981" s="807"/>
      <c r="D981" s="807"/>
      <c r="E981" s="807"/>
      <c r="F981" s="807"/>
      <c r="G981" s="807"/>
      <c r="H981" s="807"/>
      <c r="I981" s="807"/>
      <c r="J981" s="807"/>
      <c r="K981" s="807"/>
      <c r="L981" s="807"/>
      <c r="M981" s="807"/>
      <c r="N981" s="807"/>
      <c r="O981" s="807"/>
      <c r="P981" s="807"/>
      <c r="Q981" s="807"/>
      <c r="R981" s="807"/>
      <c r="S981" s="807"/>
      <c r="T981" s="807"/>
      <c r="U981" s="807"/>
      <c r="V981" s="807"/>
      <c r="W981" s="807"/>
      <c r="X981" s="807"/>
      <c r="Y981" s="807"/>
      <c r="Z981" s="807"/>
    </row>
    <row r="982" ht="171.75" customHeight="1">
      <c r="A982" s="807"/>
      <c r="B982" s="807"/>
      <c r="C982" s="807"/>
      <c r="D982" s="807"/>
      <c r="E982" s="807"/>
      <c r="F982" s="807"/>
      <c r="G982" s="807"/>
      <c r="H982" s="807"/>
      <c r="I982" s="807"/>
      <c r="J982" s="807"/>
      <c r="K982" s="807"/>
      <c r="L982" s="807"/>
      <c r="M982" s="807"/>
      <c r="N982" s="807"/>
      <c r="O982" s="807"/>
      <c r="P982" s="807"/>
      <c r="Q982" s="807"/>
      <c r="R982" s="807"/>
      <c r="S982" s="807"/>
      <c r="T982" s="807"/>
      <c r="U982" s="807"/>
      <c r="V982" s="807"/>
      <c r="W982" s="807"/>
      <c r="X982" s="807"/>
      <c r="Y982" s="807"/>
      <c r="Z982" s="807"/>
    </row>
    <row r="983" ht="171.75" customHeight="1">
      <c r="A983" s="807"/>
      <c r="B983" s="807"/>
      <c r="C983" s="807"/>
      <c r="D983" s="807"/>
      <c r="E983" s="807"/>
      <c r="F983" s="807"/>
      <c r="G983" s="807"/>
      <c r="H983" s="807"/>
      <c r="I983" s="807"/>
      <c r="J983" s="807"/>
      <c r="K983" s="807"/>
      <c r="L983" s="807"/>
      <c r="M983" s="807"/>
      <c r="N983" s="807"/>
      <c r="O983" s="807"/>
      <c r="P983" s="807"/>
      <c r="Q983" s="807"/>
      <c r="R983" s="807"/>
      <c r="S983" s="807"/>
      <c r="T983" s="807"/>
      <c r="U983" s="807"/>
      <c r="V983" s="807"/>
      <c r="W983" s="807"/>
      <c r="X983" s="807"/>
      <c r="Y983" s="807"/>
      <c r="Z983" s="807"/>
    </row>
    <row r="984" ht="171.75" customHeight="1">
      <c r="A984" s="807"/>
      <c r="B984" s="807"/>
      <c r="C984" s="807"/>
      <c r="D984" s="807"/>
      <c r="E984" s="807"/>
      <c r="F984" s="807"/>
      <c r="G984" s="807"/>
      <c r="H984" s="807"/>
      <c r="I984" s="807"/>
      <c r="J984" s="807"/>
      <c r="K984" s="807"/>
      <c r="L984" s="807"/>
      <c r="M984" s="807"/>
      <c r="N984" s="807"/>
      <c r="O984" s="807"/>
      <c r="P984" s="807"/>
      <c r="Q984" s="807"/>
      <c r="R984" s="807"/>
      <c r="S984" s="807"/>
      <c r="T984" s="807"/>
      <c r="U984" s="807"/>
      <c r="V984" s="807"/>
      <c r="W984" s="807"/>
      <c r="X984" s="807"/>
      <c r="Y984" s="807"/>
      <c r="Z984" s="807"/>
    </row>
    <row r="985" ht="171.75" customHeight="1">
      <c r="A985" s="807"/>
      <c r="B985" s="807"/>
      <c r="C985" s="807"/>
      <c r="D985" s="807"/>
      <c r="E985" s="807"/>
      <c r="F985" s="807"/>
      <c r="G985" s="807"/>
      <c r="H985" s="807"/>
      <c r="I985" s="807"/>
      <c r="J985" s="807"/>
      <c r="K985" s="807"/>
      <c r="L985" s="807"/>
      <c r="M985" s="807"/>
      <c r="N985" s="807"/>
      <c r="O985" s="807"/>
      <c r="P985" s="807"/>
      <c r="Q985" s="807"/>
      <c r="R985" s="807"/>
      <c r="S985" s="807"/>
      <c r="T985" s="807"/>
      <c r="U985" s="807"/>
      <c r="V985" s="807"/>
      <c r="W985" s="807"/>
      <c r="X985" s="807"/>
      <c r="Y985" s="807"/>
      <c r="Z985" s="807"/>
    </row>
    <row r="986" ht="171.75" customHeight="1">
      <c r="A986" s="807"/>
      <c r="B986" s="807"/>
      <c r="C986" s="807"/>
      <c r="D986" s="807"/>
      <c r="E986" s="807"/>
      <c r="F986" s="807"/>
      <c r="G986" s="807"/>
      <c r="H986" s="807"/>
      <c r="I986" s="807"/>
      <c r="J986" s="807"/>
      <c r="K986" s="807"/>
      <c r="L986" s="807"/>
      <c r="M986" s="807"/>
      <c r="N986" s="807"/>
      <c r="O986" s="807"/>
      <c r="P986" s="807"/>
      <c r="Q986" s="807"/>
      <c r="R986" s="807"/>
      <c r="S986" s="807"/>
      <c r="T986" s="807"/>
      <c r="U986" s="807"/>
      <c r="V986" s="807"/>
      <c r="W986" s="807"/>
      <c r="X986" s="807"/>
      <c r="Y986" s="807"/>
      <c r="Z986" s="807"/>
    </row>
    <row r="987" ht="171.75" customHeight="1">
      <c r="A987" s="807"/>
      <c r="B987" s="807"/>
      <c r="C987" s="807"/>
      <c r="D987" s="807"/>
      <c r="E987" s="807"/>
      <c r="F987" s="807"/>
      <c r="G987" s="807"/>
      <c r="H987" s="807"/>
      <c r="I987" s="807"/>
      <c r="J987" s="807"/>
      <c r="K987" s="807"/>
      <c r="L987" s="807"/>
      <c r="M987" s="807"/>
      <c r="N987" s="807"/>
      <c r="O987" s="807"/>
      <c r="P987" s="807"/>
      <c r="Q987" s="807"/>
      <c r="R987" s="807"/>
      <c r="S987" s="807"/>
      <c r="T987" s="807"/>
      <c r="U987" s="807"/>
      <c r="V987" s="807"/>
      <c r="W987" s="807"/>
      <c r="X987" s="807"/>
      <c r="Y987" s="807"/>
      <c r="Z987" s="807"/>
    </row>
    <row r="988" ht="171.75" customHeight="1">
      <c r="A988" s="807"/>
      <c r="B988" s="807"/>
      <c r="C988" s="807"/>
      <c r="D988" s="807"/>
      <c r="E988" s="807"/>
      <c r="F988" s="807"/>
      <c r="G988" s="807"/>
      <c r="H988" s="807"/>
      <c r="I988" s="807"/>
      <c r="J988" s="807"/>
      <c r="K988" s="807"/>
      <c r="L988" s="807"/>
      <c r="M988" s="807"/>
      <c r="N988" s="807"/>
      <c r="O988" s="807"/>
      <c r="P988" s="807"/>
      <c r="Q988" s="807"/>
      <c r="R988" s="807"/>
      <c r="S988" s="807"/>
      <c r="T988" s="807"/>
      <c r="U988" s="807"/>
      <c r="V988" s="807"/>
      <c r="W988" s="807"/>
      <c r="X988" s="807"/>
      <c r="Y988" s="807"/>
      <c r="Z988" s="807"/>
    </row>
    <row r="989" ht="171.75" customHeight="1">
      <c r="A989" s="807"/>
      <c r="B989" s="807"/>
      <c r="C989" s="807"/>
      <c r="D989" s="807"/>
      <c r="E989" s="807"/>
      <c r="F989" s="807"/>
      <c r="G989" s="807"/>
      <c r="H989" s="807"/>
      <c r="I989" s="807"/>
      <c r="J989" s="807"/>
      <c r="K989" s="807"/>
      <c r="L989" s="807"/>
      <c r="M989" s="807"/>
      <c r="N989" s="807"/>
      <c r="O989" s="807"/>
      <c r="P989" s="807"/>
      <c r="Q989" s="807"/>
      <c r="R989" s="807"/>
      <c r="S989" s="807"/>
      <c r="T989" s="807"/>
      <c r="U989" s="807"/>
      <c r="V989" s="807"/>
      <c r="W989" s="807"/>
      <c r="X989" s="807"/>
      <c r="Y989" s="807"/>
      <c r="Z989" s="807"/>
    </row>
    <row r="990" ht="171.75" customHeight="1">
      <c r="A990" s="807"/>
      <c r="B990" s="807"/>
      <c r="C990" s="807"/>
      <c r="D990" s="807"/>
      <c r="E990" s="807"/>
      <c r="F990" s="807"/>
      <c r="G990" s="807"/>
      <c r="H990" s="807"/>
      <c r="I990" s="807"/>
      <c r="J990" s="807"/>
      <c r="K990" s="807"/>
      <c r="L990" s="807"/>
      <c r="M990" s="807"/>
      <c r="N990" s="807"/>
      <c r="O990" s="807"/>
      <c r="P990" s="807"/>
      <c r="Q990" s="807"/>
      <c r="R990" s="807"/>
      <c r="S990" s="807"/>
      <c r="T990" s="807"/>
      <c r="U990" s="807"/>
      <c r="V990" s="807"/>
      <c r="W990" s="807"/>
      <c r="X990" s="807"/>
      <c r="Y990" s="807"/>
      <c r="Z990" s="807"/>
    </row>
    <row r="991" ht="171.75" customHeight="1">
      <c r="A991" s="807"/>
      <c r="B991" s="807"/>
      <c r="C991" s="807"/>
      <c r="D991" s="807"/>
      <c r="E991" s="807"/>
      <c r="F991" s="807"/>
      <c r="G991" s="807"/>
      <c r="H991" s="807"/>
      <c r="I991" s="807"/>
      <c r="J991" s="807"/>
      <c r="K991" s="807"/>
      <c r="L991" s="807"/>
      <c r="M991" s="807"/>
      <c r="N991" s="807"/>
      <c r="O991" s="807"/>
      <c r="P991" s="807"/>
      <c r="Q991" s="807"/>
      <c r="R991" s="807"/>
      <c r="S991" s="807"/>
      <c r="T991" s="807"/>
      <c r="U991" s="807"/>
      <c r="V991" s="807"/>
      <c r="W991" s="807"/>
      <c r="X991" s="807"/>
      <c r="Y991" s="807"/>
      <c r="Z991" s="807"/>
    </row>
    <row r="992" ht="171.75" customHeight="1">
      <c r="A992" s="807"/>
      <c r="B992" s="807"/>
      <c r="C992" s="807"/>
      <c r="D992" s="807"/>
      <c r="E992" s="807"/>
      <c r="F992" s="807"/>
      <c r="G992" s="807"/>
      <c r="H992" s="807"/>
      <c r="I992" s="807"/>
      <c r="J992" s="807"/>
      <c r="K992" s="807"/>
      <c r="L992" s="807"/>
      <c r="M992" s="807"/>
      <c r="N992" s="807"/>
      <c r="O992" s="807"/>
      <c r="P992" s="807"/>
      <c r="Q992" s="807"/>
      <c r="R992" s="807"/>
      <c r="S992" s="807"/>
      <c r="T992" s="807"/>
      <c r="U992" s="807"/>
      <c r="V992" s="807"/>
      <c r="W992" s="807"/>
      <c r="X992" s="807"/>
      <c r="Y992" s="807"/>
      <c r="Z992" s="807"/>
    </row>
    <row r="993" ht="171.75" customHeight="1">
      <c r="A993" s="807"/>
      <c r="B993" s="807"/>
      <c r="C993" s="807"/>
      <c r="D993" s="807"/>
      <c r="E993" s="807"/>
      <c r="F993" s="807"/>
      <c r="G993" s="807"/>
      <c r="H993" s="807"/>
      <c r="I993" s="807"/>
      <c r="J993" s="807"/>
      <c r="K993" s="807"/>
      <c r="L993" s="807"/>
      <c r="M993" s="807"/>
      <c r="N993" s="807"/>
      <c r="O993" s="807"/>
      <c r="P993" s="807"/>
      <c r="Q993" s="807"/>
      <c r="R993" s="807"/>
      <c r="S993" s="807"/>
      <c r="T993" s="807"/>
      <c r="U993" s="807"/>
      <c r="V993" s="807"/>
      <c r="W993" s="807"/>
      <c r="X993" s="807"/>
      <c r="Y993" s="807"/>
      <c r="Z993" s="807"/>
    </row>
    <row r="994" ht="171.75" customHeight="1">
      <c r="A994" s="807"/>
      <c r="B994" s="807"/>
      <c r="C994" s="807"/>
      <c r="D994" s="807"/>
      <c r="E994" s="807"/>
      <c r="F994" s="807"/>
      <c r="G994" s="807"/>
      <c r="H994" s="807"/>
      <c r="I994" s="807"/>
      <c r="J994" s="807"/>
      <c r="K994" s="807"/>
      <c r="L994" s="807"/>
      <c r="M994" s="807"/>
      <c r="N994" s="807"/>
      <c r="O994" s="807"/>
      <c r="P994" s="807"/>
      <c r="Q994" s="807"/>
      <c r="R994" s="807"/>
      <c r="S994" s="807"/>
      <c r="T994" s="807"/>
      <c r="U994" s="807"/>
      <c r="V994" s="807"/>
      <c r="W994" s="807"/>
      <c r="X994" s="807"/>
      <c r="Y994" s="807"/>
      <c r="Z994" s="807"/>
    </row>
    <row r="995" ht="171.75" customHeight="1">
      <c r="A995" s="807"/>
      <c r="B995" s="807"/>
      <c r="C995" s="807"/>
      <c r="D995" s="807"/>
      <c r="E995" s="807"/>
      <c r="F995" s="807"/>
      <c r="G995" s="807"/>
      <c r="H995" s="807"/>
      <c r="I995" s="807"/>
      <c r="J995" s="807"/>
      <c r="K995" s="807"/>
      <c r="L995" s="807"/>
      <c r="M995" s="807"/>
      <c r="N995" s="807"/>
      <c r="O995" s="807"/>
      <c r="P995" s="807"/>
      <c r="Q995" s="807"/>
      <c r="R995" s="807"/>
      <c r="S995" s="807"/>
      <c r="T995" s="807"/>
      <c r="U995" s="807"/>
      <c r="V995" s="807"/>
      <c r="W995" s="807"/>
      <c r="X995" s="807"/>
      <c r="Y995" s="807"/>
      <c r="Z995" s="807"/>
    </row>
    <row r="996" ht="171.75" customHeight="1">
      <c r="A996" s="807"/>
      <c r="B996" s="807"/>
      <c r="C996" s="807"/>
      <c r="D996" s="807"/>
      <c r="E996" s="807"/>
      <c r="F996" s="807"/>
      <c r="G996" s="807"/>
      <c r="H996" s="807"/>
      <c r="I996" s="807"/>
      <c r="J996" s="807"/>
      <c r="K996" s="807"/>
      <c r="L996" s="807"/>
      <c r="M996" s="807"/>
      <c r="N996" s="807"/>
      <c r="O996" s="807"/>
      <c r="P996" s="807"/>
      <c r="Q996" s="807"/>
      <c r="R996" s="807"/>
      <c r="S996" s="807"/>
      <c r="T996" s="807"/>
      <c r="U996" s="807"/>
      <c r="V996" s="807"/>
      <c r="W996" s="807"/>
      <c r="X996" s="807"/>
      <c r="Y996" s="807"/>
      <c r="Z996" s="807"/>
    </row>
    <row r="997" ht="171.75" customHeight="1">
      <c r="A997" s="807"/>
      <c r="B997" s="807"/>
      <c r="C997" s="807"/>
      <c r="D997" s="807"/>
      <c r="E997" s="807"/>
      <c r="F997" s="807"/>
      <c r="G997" s="807"/>
      <c r="H997" s="807"/>
      <c r="I997" s="807"/>
      <c r="J997" s="807"/>
      <c r="K997" s="807"/>
      <c r="L997" s="807"/>
      <c r="M997" s="807"/>
      <c r="N997" s="807"/>
      <c r="O997" s="807"/>
      <c r="P997" s="807"/>
      <c r="Q997" s="807"/>
      <c r="R997" s="807"/>
      <c r="S997" s="807"/>
      <c r="T997" s="807"/>
      <c r="U997" s="807"/>
      <c r="V997" s="807"/>
      <c r="W997" s="807"/>
      <c r="X997" s="807"/>
      <c r="Y997" s="807"/>
      <c r="Z997" s="807"/>
    </row>
    <row r="998" ht="171.75" customHeight="1">
      <c r="A998" s="807"/>
      <c r="B998" s="807"/>
      <c r="C998" s="807"/>
      <c r="D998" s="807"/>
      <c r="E998" s="807"/>
      <c r="F998" s="807"/>
      <c r="G998" s="807"/>
      <c r="H998" s="807"/>
      <c r="I998" s="807"/>
      <c r="J998" s="807"/>
      <c r="K998" s="807"/>
      <c r="L998" s="807"/>
      <c r="M998" s="807"/>
      <c r="N998" s="807"/>
      <c r="O998" s="807"/>
      <c r="P998" s="807"/>
      <c r="Q998" s="807"/>
      <c r="R998" s="807"/>
      <c r="S998" s="807"/>
      <c r="T998" s="807"/>
      <c r="U998" s="807"/>
      <c r="V998" s="807"/>
      <c r="W998" s="807"/>
      <c r="X998" s="807"/>
      <c r="Y998" s="807"/>
      <c r="Z998" s="807"/>
    </row>
    <row r="999" ht="171.75" customHeight="1">
      <c r="A999" s="807"/>
      <c r="B999" s="807"/>
      <c r="C999" s="807"/>
      <c r="D999" s="807"/>
      <c r="E999" s="807"/>
      <c r="F999" s="807"/>
      <c r="G999" s="807"/>
      <c r="H999" s="807"/>
      <c r="I999" s="807"/>
      <c r="J999" s="807"/>
      <c r="K999" s="807"/>
      <c r="L999" s="807"/>
      <c r="M999" s="807"/>
      <c r="N999" s="807"/>
      <c r="O999" s="807"/>
      <c r="P999" s="807"/>
      <c r="Q999" s="807"/>
      <c r="R999" s="807"/>
      <c r="S999" s="807"/>
      <c r="T999" s="807"/>
      <c r="U999" s="807"/>
      <c r="V999" s="807"/>
      <c r="W999" s="807"/>
      <c r="X999" s="807"/>
      <c r="Y999" s="807"/>
      <c r="Z999" s="807"/>
    </row>
    <row r="1000" ht="171.75" customHeight="1">
      <c r="A1000" s="807"/>
      <c r="B1000" s="807"/>
      <c r="C1000" s="807"/>
      <c r="D1000" s="807"/>
      <c r="E1000" s="807"/>
      <c r="F1000" s="807"/>
      <c r="G1000" s="807"/>
      <c r="H1000" s="807"/>
      <c r="I1000" s="807"/>
      <c r="J1000" s="807"/>
      <c r="K1000" s="807"/>
      <c r="L1000" s="807"/>
      <c r="M1000" s="807"/>
      <c r="N1000" s="807"/>
      <c r="O1000" s="807"/>
      <c r="P1000" s="807"/>
      <c r="Q1000" s="807"/>
      <c r="R1000" s="807"/>
      <c r="S1000" s="807"/>
      <c r="T1000" s="807"/>
      <c r="U1000" s="807"/>
      <c r="V1000" s="807"/>
      <c r="W1000" s="807"/>
      <c r="X1000" s="807"/>
      <c r="Y1000" s="807"/>
      <c r="Z1000" s="807"/>
    </row>
  </sheetData>
  <mergeCells count="1">
    <mergeCell ref="R40:T40"/>
  </mergeCells>
  <dataValidations>
    <dataValidation type="list" allowBlank="1" showErrorMessage="1" sqref="Q3:Q52">
      <formula1>"武政,石原,福島,横尾,阿部,杉浦"</formula1>
    </dataValidation>
  </dataValidations>
  <hyperlinks>
    <hyperlink r:id="rId2" location="gid=0" ref="C1"/>
    <hyperlink r:id="rId3" location="gid=1441980861&amp;range=164:164" ref="R3"/>
    <hyperlink r:id="rId4" location="gid=421846303&amp;range=3:3" ref="R4"/>
    <hyperlink r:id="rId5" location="gid=970900620&amp;range=261:261" ref="R6"/>
    <hyperlink r:id="rId6" location="gid=970900620&amp;range=277:277" ref="R7"/>
    <hyperlink r:id="rId7" location="gid=1441980861&amp;range=174:174" ref="R8"/>
  </hyperlinks>
  <drawing r:id="rId8"/>
  <legacyDrawing r:id="rId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
    <col customWidth="1" min="2" max="2" width="6.5"/>
    <col customWidth="1" min="3" max="3" width="6.13"/>
    <col customWidth="1" min="4" max="4" width="21.38"/>
    <col customWidth="1" min="5" max="5" width="12.5"/>
    <col customWidth="1" min="6" max="6" width="26.13"/>
    <col customWidth="1" min="7" max="7" width="9.38"/>
    <col customWidth="1" min="8" max="8" width="26.13"/>
    <col customWidth="1" min="9" max="9" width="8.25"/>
    <col customWidth="1" min="10" max="10" width="24.0"/>
  </cols>
  <sheetData>
    <row r="1">
      <c r="B1" s="835"/>
      <c r="C1" s="835"/>
    </row>
    <row r="2">
      <c r="B2" s="836" t="s">
        <v>1930</v>
      </c>
      <c r="C2" s="835"/>
    </row>
    <row r="3">
      <c r="B3" s="835"/>
      <c r="C3" s="835"/>
    </row>
    <row r="4" ht="42.75" customHeight="1">
      <c r="A4" s="132"/>
      <c r="B4" s="837" t="s">
        <v>135</v>
      </c>
      <c r="C4" s="837" t="s">
        <v>136</v>
      </c>
      <c r="D4" s="837" t="s">
        <v>0</v>
      </c>
      <c r="E4" s="837" t="s">
        <v>1931</v>
      </c>
      <c r="F4" s="837" t="s">
        <v>1932</v>
      </c>
      <c r="G4" s="837" t="s">
        <v>1933</v>
      </c>
      <c r="H4" s="838" t="s">
        <v>1934</v>
      </c>
      <c r="I4" s="838" t="s">
        <v>1935</v>
      </c>
      <c r="J4" s="837" t="s">
        <v>143</v>
      </c>
      <c r="K4" s="132"/>
      <c r="L4" s="132"/>
      <c r="M4" s="132"/>
      <c r="N4" s="132"/>
      <c r="O4" s="132"/>
      <c r="P4" s="132"/>
      <c r="Q4" s="132"/>
      <c r="R4" s="132"/>
      <c r="S4" s="132"/>
      <c r="T4" s="132"/>
      <c r="U4" s="132"/>
      <c r="V4" s="132"/>
      <c r="W4" s="132"/>
      <c r="X4" s="132"/>
      <c r="Y4" s="132"/>
      <c r="Z4" s="132"/>
    </row>
    <row r="5" ht="30.0" customHeight="1">
      <c r="B5" s="839" t="s">
        <v>181</v>
      </c>
      <c r="C5" s="840">
        <v>12.0</v>
      </c>
      <c r="D5" s="841" t="s">
        <v>449</v>
      </c>
      <c r="E5" s="842" t="s">
        <v>1936</v>
      </c>
      <c r="F5" s="841" t="s">
        <v>1937</v>
      </c>
      <c r="G5" s="842" t="s">
        <v>1938</v>
      </c>
      <c r="H5" s="843" t="s">
        <v>1939</v>
      </c>
      <c r="I5" s="844" t="s">
        <v>1940</v>
      </c>
      <c r="J5" s="845"/>
      <c r="K5" s="846" t="s">
        <v>1941</v>
      </c>
    </row>
    <row r="6" ht="30.0" customHeight="1">
      <c r="B6" s="839" t="s">
        <v>145</v>
      </c>
      <c r="C6" s="840">
        <v>13.0</v>
      </c>
      <c r="D6" s="841" t="s">
        <v>224</v>
      </c>
      <c r="E6" s="842">
        <v>4.0</v>
      </c>
      <c r="F6" s="841" t="s">
        <v>1942</v>
      </c>
      <c r="G6" s="842" t="s">
        <v>1943</v>
      </c>
      <c r="H6" s="847" t="s">
        <v>1944</v>
      </c>
      <c r="I6" s="844" t="s">
        <v>1945</v>
      </c>
      <c r="J6" s="845"/>
      <c r="K6" s="846" t="s">
        <v>1946</v>
      </c>
    </row>
    <row r="7" ht="30.0" customHeight="1">
      <c r="B7" s="839" t="s">
        <v>154</v>
      </c>
      <c r="C7" s="840">
        <v>8.0</v>
      </c>
      <c r="D7" s="841" t="s">
        <v>274</v>
      </c>
      <c r="E7" s="842">
        <v>5.0</v>
      </c>
      <c r="F7" s="841" t="s">
        <v>1947</v>
      </c>
      <c r="G7" s="842" t="s">
        <v>1943</v>
      </c>
      <c r="H7" s="847" t="s">
        <v>1948</v>
      </c>
      <c r="I7" s="844" t="s">
        <v>1940</v>
      </c>
      <c r="J7" s="845"/>
      <c r="K7" s="846" t="s">
        <v>1949</v>
      </c>
    </row>
    <row r="8" ht="30.0" customHeight="1">
      <c r="B8" s="839" t="s">
        <v>165</v>
      </c>
      <c r="C8" s="840">
        <v>13.0</v>
      </c>
      <c r="D8" s="841" t="s">
        <v>364</v>
      </c>
      <c r="E8" s="842">
        <v>12.0</v>
      </c>
      <c r="F8" s="841" t="s">
        <v>1950</v>
      </c>
      <c r="G8" s="842" t="s">
        <v>1943</v>
      </c>
      <c r="H8" s="847" t="s">
        <v>1951</v>
      </c>
      <c r="I8" s="844" t="s">
        <v>1945</v>
      </c>
      <c r="J8" s="845"/>
      <c r="K8" s="846" t="s">
        <v>1952</v>
      </c>
    </row>
    <row r="9" ht="30.0" customHeight="1">
      <c r="B9" s="839" t="s">
        <v>169</v>
      </c>
      <c r="C9" s="840">
        <v>8.0</v>
      </c>
      <c r="D9" s="841" t="s">
        <v>1953</v>
      </c>
      <c r="E9" s="842">
        <v>4.0</v>
      </c>
      <c r="F9" s="841" t="s">
        <v>1947</v>
      </c>
      <c r="G9" s="842" t="s">
        <v>1943</v>
      </c>
      <c r="H9" s="847" t="s">
        <v>1954</v>
      </c>
      <c r="I9" s="844" t="s">
        <v>1940</v>
      </c>
      <c r="J9" s="845"/>
      <c r="K9" s="846" t="s">
        <v>1955</v>
      </c>
    </row>
    <row r="10" ht="30.0" customHeight="1">
      <c r="B10" s="839" t="s">
        <v>177</v>
      </c>
      <c r="C10" s="840">
        <v>12.0</v>
      </c>
      <c r="D10" s="841" t="s">
        <v>421</v>
      </c>
      <c r="E10" s="842">
        <v>7.0</v>
      </c>
      <c r="F10" s="845"/>
      <c r="G10" s="842" t="s">
        <v>1943</v>
      </c>
      <c r="H10" s="843" t="s">
        <v>1956</v>
      </c>
      <c r="I10" s="844" t="s">
        <v>1957</v>
      </c>
      <c r="J10" s="845"/>
      <c r="K10" s="846" t="s">
        <v>1958</v>
      </c>
    </row>
    <row r="11" ht="30.0" customHeight="1">
      <c r="B11" s="839" t="s">
        <v>177</v>
      </c>
      <c r="C11" s="840">
        <v>17.0</v>
      </c>
      <c r="D11" s="841" t="s">
        <v>42</v>
      </c>
      <c r="E11" s="842" t="s">
        <v>1959</v>
      </c>
      <c r="F11" s="841" t="s">
        <v>1960</v>
      </c>
      <c r="G11" s="842" t="s">
        <v>1943</v>
      </c>
      <c r="H11" s="847" t="s">
        <v>1961</v>
      </c>
      <c r="I11" s="844" t="s">
        <v>1962</v>
      </c>
      <c r="J11" s="848" t="s">
        <v>1963</v>
      </c>
    </row>
    <row r="12">
      <c r="B12" s="835"/>
      <c r="C12" s="835"/>
    </row>
    <row r="13">
      <c r="B13" s="835"/>
      <c r="C13" s="835"/>
    </row>
    <row r="14">
      <c r="B14" s="835"/>
      <c r="C14" s="835"/>
    </row>
    <row r="15">
      <c r="B15" s="835"/>
      <c r="C15" s="835"/>
    </row>
    <row r="16">
      <c r="B16" s="835"/>
      <c r="C16" s="835"/>
    </row>
    <row r="17">
      <c r="B17" s="835"/>
      <c r="C17" s="835"/>
    </row>
    <row r="18">
      <c r="B18" s="835"/>
      <c r="C18" s="835"/>
    </row>
    <row r="19">
      <c r="B19" s="835"/>
      <c r="C19" s="835"/>
    </row>
    <row r="20">
      <c r="B20" s="835"/>
      <c r="C20" s="835"/>
    </row>
    <row r="21">
      <c r="B21" s="835"/>
      <c r="C21" s="835"/>
    </row>
    <row r="22">
      <c r="B22" s="835"/>
      <c r="C22" s="835"/>
    </row>
    <row r="23">
      <c r="B23" s="835"/>
      <c r="C23" s="835"/>
    </row>
    <row r="24">
      <c r="B24" s="835"/>
      <c r="C24" s="835"/>
    </row>
    <row r="25">
      <c r="B25" s="835"/>
      <c r="C25" s="835"/>
    </row>
    <row r="26">
      <c r="B26" s="835"/>
      <c r="C26" s="835"/>
    </row>
    <row r="27">
      <c r="B27" s="835"/>
      <c r="C27" s="835"/>
    </row>
    <row r="28">
      <c r="B28" s="835"/>
      <c r="C28" s="835"/>
    </row>
    <row r="29">
      <c r="B29" s="835"/>
      <c r="C29" s="835"/>
    </row>
    <row r="30">
      <c r="B30" s="835"/>
      <c r="C30" s="835"/>
    </row>
    <row r="31">
      <c r="B31" s="835"/>
      <c r="C31" s="835"/>
    </row>
    <row r="32">
      <c r="B32" s="835"/>
      <c r="C32" s="835"/>
    </row>
    <row r="33">
      <c r="B33" s="835"/>
      <c r="C33" s="835"/>
    </row>
    <row r="34">
      <c r="B34" s="835"/>
      <c r="C34" s="835"/>
    </row>
    <row r="35">
      <c r="B35" s="835"/>
      <c r="C35" s="835"/>
    </row>
    <row r="36">
      <c r="B36" s="835"/>
      <c r="C36" s="835"/>
    </row>
    <row r="37">
      <c r="B37" s="835"/>
      <c r="C37" s="835"/>
    </row>
    <row r="38">
      <c r="B38" s="835"/>
      <c r="C38" s="835"/>
    </row>
    <row r="39">
      <c r="B39" s="835"/>
      <c r="C39" s="835"/>
    </row>
    <row r="40">
      <c r="B40" s="835"/>
      <c r="C40" s="835"/>
    </row>
    <row r="41">
      <c r="B41" s="835"/>
      <c r="C41" s="835"/>
    </row>
    <row r="42">
      <c r="B42" s="835"/>
      <c r="C42" s="835"/>
    </row>
    <row r="43">
      <c r="B43" s="835"/>
      <c r="C43" s="835"/>
    </row>
    <row r="44">
      <c r="B44" s="835"/>
      <c r="C44" s="835"/>
    </row>
    <row r="45">
      <c r="B45" s="835"/>
      <c r="C45" s="835"/>
    </row>
    <row r="46">
      <c r="B46" s="835"/>
      <c r="C46" s="835"/>
    </row>
    <row r="47">
      <c r="B47" s="835"/>
      <c r="C47" s="835"/>
    </row>
    <row r="48">
      <c r="B48" s="835"/>
      <c r="C48" s="835"/>
    </row>
    <row r="49">
      <c r="B49" s="835"/>
      <c r="C49" s="835"/>
    </row>
    <row r="50">
      <c r="B50" s="835"/>
      <c r="C50" s="835"/>
    </row>
    <row r="51">
      <c r="B51" s="835"/>
      <c r="C51" s="835"/>
    </row>
    <row r="52">
      <c r="B52" s="835"/>
      <c r="C52" s="835"/>
    </row>
    <row r="53">
      <c r="B53" s="835"/>
      <c r="C53" s="835"/>
    </row>
    <row r="54">
      <c r="B54" s="835"/>
      <c r="C54" s="835"/>
    </row>
    <row r="55">
      <c r="B55" s="835"/>
      <c r="C55" s="835"/>
    </row>
    <row r="56">
      <c r="B56" s="835"/>
      <c r="C56" s="835"/>
    </row>
    <row r="57">
      <c r="B57" s="835"/>
      <c r="C57" s="835"/>
    </row>
    <row r="58">
      <c r="B58" s="835"/>
      <c r="C58" s="835"/>
    </row>
    <row r="59">
      <c r="B59" s="835"/>
      <c r="C59" s="835"/>
    </row>
    <row r="60">
      <c r="B60" s="835"/>
      <c r="C60" s="835"/>
    </row>
    <row r="61">
      <c r="B61" s="835"/>
      <c r="C61" s="835"/>
    </row>
    <row r="62">
      <c r="B62" s="835"/>
      <c r="C62" s="835"/>
    </row>
    <row r="63">
      <c r="B63" s="835"/>
      <c r="C63" s="835"/>
    </row>
    <row r="64">
      <c r="B64" s="835"/>
      <c r="C64" s="835"/>
    </row>
    <row r="65">
      <c r="B65" s="835"/>
      <c r="C65" s="835"/>
    </row>
    <row r="66">
      <c r="B66" s="835"/>
      <c r="C66" s="835"/>
    </row>
    <row r="67">
      <c r="B67" s="835"/>
      <c r="C67" s="835"/>
    </row>
    <row r="68">
      <c r="B68" s="835"/>
      <c r="C68" s="835"/>
    </row>
    <row r="69">
      <c r="B69" s="835"/>
      <c r="C69" s="835"/>
    </row>
    <row r="70">
      <c r="B70" s="835"/>
      <c r="C70" s="835"/>
    </row>
    <row r="71">
      <c r="B71" s="835"/>
      <c r="C71" s="835"/>
    </row>
    <row r="72">
      <c r="B72" s="835"/>
      <c r="C72" s="835"/>
    </row>
    <row r="73">
      <c r="B73" s="835"/>
      <c r="C73" s="835"/>
    </row>
    <row r="74">
      <c r="B74" s="835"/>
      <c r="C74" s="835"/>
    </row>
    <row r="75">
      <c r="B75" s="835"/>
      <c r="C75" s="835"/>
    </row>
    <row r="76">
      <c r="B76" s="835"/>
      <c r="C76" s="835"/>
    </row>
    <row r="77">
      <c r="B77" s="835"/>
      <c r="C77" s="835"/>
    </row>
    <row r="78">
      <c r="B78" s="835"/>
      <c r="C78" s="835"/>
    </row>
    <row r="79">
      <c r="B79" s="835"/>
      <c r="C79" s="835"/>
    </row>
    <row r="80">
      <c r="B80" s="835"/>
      <c r="C80" s="835"/>
    </row>
    <row r="81">
      <c r="B81" s="835"/>
      <c r="C81" s="835"/>
    </row>
    <row r="82">
      <c r="B82" s="835"/>
      <c r="C82" s="835"/>
    </row>
    <row r="83">
      <c r="B83" s="835"/>
      <c r="C83" s="835"/>
    </row>
    <row r="84">
      <c r="B84" s="835"/>
      <c r="C84" s="835"/>
    </row>
    <row r="85">
      <c r="B85" s="835"/>
      <c r="C85" s="835"/>
    </row>
    <row r="86">
      <c r="B86" s="835"/>
      <c r="C86" s="835"/>
    </row>
    <row r="87">
      <c r="B87" s="835"/>
      <c r="C87" s="835"/>
    </row>
    <row r="88">
      <c r="B88" s="835"/>
      <c r="C88" s="835"/>
    </row>
    <row r="89">
      <c r="B89" s="835"/>
      <c r="C89" s="835"/>
    </row>
    <row r="90">
      <c r="B90" s="835"/>
      <c r="C90" s="835"/>
    </row>
    <row r="91">
      <c r="B91" s="835"/>
      <c r="C91" s="835"/>
    </row>
    <row r="92">
      <c r="B92" s="835"/>
      <c r="C92" s="835"/>
    </row>
    <row r="93">
      <c r="B93" s="835"/>
      <c r="C93" s="835"/>
    </row>
    <row r="94">
      <c r="B94" s="835"/>
      <c r="C94" s="835"/>
    </row>
    <row r="95">
      <c r="B95" s="835"/>
      <c r="C95" s="835"/>
    </row>
    <row r="96">
      <c r="B96" s="835"/>
      <c r="C96" s="835"/>
    </row>
    <row r="97">
      <c r="B97" s="835"/>
      <c r="C97" s="835"/>
    </row>
    <row r="98">
      <c r="B98" s="835"/>
      <c r="C98" s="835"/>
    </row>
    <row r="99">
      <c r="B99" s="835"/>
      <c r="C99" s="835"/>
    </row>
    <row r="100">
      <c r="B100" s="835"/>
      <c r="C100" s="835"/>
    </row>
    <row r="101">
      <c r="B101" s="835"/>
      <c r="C101" s="835"/>
    </row>
    <row r="102">
      <c r="B102" s="835"/>
      <c r="C102" s="835"/>
    </row>
    <row r="103">
      <c r="B103" s="835"/>
      <c r="C103" s="835"/>
    </row>
    <row r="104">
      <c r="B104" s="835"/>
      <c r="C104" s="835"/>
    </row>
    <row r="105">
      <c r="B105" s="835"/>
      <c r="C105" s="835"/>
    </row>
    <row r="106">
      <c r="B106" s="835"/>
      <c r="C106" s="835"/>
    </row>
    <row r="107">
      <c r="B107" s="835"/>
      <c r="C107" s="835"/>
    </row>
    <row r="108">
      <c r="B108" s="835"/>
      <c r="C108" s="835"/>
    </row>
    <row r="109">
      <c r="B109" s="835"/>
      <c r="C109" s="835"/>
    </row>
    <row r="110">
      <c r="B110" s="835"/>
      <c r="C110" s="835"/>
    </row>
    <row r="111">
      <c r="B111" s="835"/>
      <c r="C111" s="835"/>
    </row>
    <row r="112">
      <c r="B112" s="835"/>
      <c r="C112" s="835"/>
    </row>
    <row r="113">
      <c r="B113" s="835"/>
      <c r="C113" s="835"/>
    </row>
    <row r="114">
      <c r="B114" s="835"/>
      <c r="C114" s="835"/>
    </row>
    <row r="115">
      <c r="B115" s="835"/>
      <c r="C115" s="835"/>
    </row>
    <row r="116">
      <c r="B116" s="835"/>
      <c r="C116" s="835"/>
    </row>
    <row r="117">
      <c r="B117" s="835"/>
      <c r="C117" s="835"/>
    </row>
    <row r="118">
      <c r="B118" s="835"/>
      <c r="C118" s="835"/>
    </row>
    <row r="119">
      <c r="B119" s="835"/>
      <c r="C119" s="835"/>
    </row>
    <row r="120">
      <c r="B120" s="835"/>
      <c r="C120" s="835"/>
    </row>
    <row r="121">
      <c r="B121" s="835"/>
      <c r="C121" s="835"/>
    </row>
    <row r="122">
      <c r="B122" s="835"/>
      <c r="C122" s="835"/>
    </row>
    <row r="123">
      <c r="B123" s="835"/>
      <c r="C123" s="835"/>
    </row>
    <row r="124">
      <c r="B124" s="835"/>
      <c r="C124" s="835"/>
    </row>
    <row r="125">
      <c r="B125" s="835"/>
      <c r="C125" s="835"/>
    </row>
    <row r="126">
      <c r="B126" s="835"/>
      <c r="C126" s="835"/>
    </row>
    <row r="127">
      <c r="B127" s="835"/>
      <c r="C127" s="835"/>
    </row>
    <row r="128">
      <c r="B128" s="835"/>
      <c r="C128" s="835"/>
    </row>
    <row r="129">
      <c r="B129" s="835"/>
      <c r="C129" s="835"/>
    </row>
    <row r="130">
      <c r="B130" s="835"/>
      <c r="C130" s="835"/>
    </row>
    <row r="131">
      <c r="B131" s="835"/>
      <c r="C131" s="835"/>
    </row>
    <row r="132">
      <c r="B132" s="835"/>
      <c r="C132" s="835"/>
    </row>
    <row r="133">
      <c r="B133" s="835"/>
      <c r="C133" s="835"/>
    </row>
    <row r="134">
      <c r="B134" s="835"/>
      <c r="C134" s="835"/>
    </row>
    <row r="135">
      <c r="B135" s="835"/>
      <c r="C135" s="835"/>
    </row>
    <row r="136">
      <c r="B136" s="835"/>
      <c r="C136" s="835"/>
    </row>
    <row r="137">
      <c r="B137" s="835"/>
      <c r="C137" s="835"/>
    </row>
    <row r="138">
      <c r="B138" s="835"/>
      <c r="C138" s="835"/>
    </row>
    <row r="139">
      <c r="B139" s="835"/>
      <c r="C139" s="835"/>
    </row>
    <row r="140">
      <c r="B140" s="835"/>
      <c r="C140" s="835"/>
    </row>
    <row r="141">
      <c r="B141" s="835"/>
      <c r="C141" s="835"/>
    </row>
    <row r="142">
      <c r="B142" s="835"/>
      <c r="C142" s="835"/>
    </row>
    <row r="143">
      <c r="B143" s="835"/>
      <c r="C143" s="835"/>
    </row>
    <row r="144">
      <c r="B144" s="835"/>
      <c r="C144" s="835"/>
    </row>
    <row r="145">
      <c r="B145" s="835"/>
      <c r="C145" s="835"/>
    </row>
    <row r="146">
      <c r="B146" s="835"/>
      <c r="C146" s="835"/>
    </row>
    <row r="147">
      <c r="B147" s="835"/>
      <c r="C147" s="835"/>
    </row>
    <row r="148">
      <c r="B148" s="835"/>
      <c r="C148" s="835"/>
    </row>
    <row r="149">
      <c r="B149" s="835"/>
      <c r="C149" s="835"/>
    </row>
    <row r="150">
      <c r="B150" s="835"/>
      <c r="C150" s="835"/>
    </row>
    <row r="151">
      <c r="B151" s="835"/>
      <c r="C151" s="835"/>
    </row>
    <row r="152">
      <c r="B152" s="835"/>
      <c r="C152" s="835"/>
    </row>
    <row r="153">
      <c r="B153" s="835"/>
      <c r="C153" s="835"/>
    </row>
    <row r="154">
      <c r="B154" s="835"/>
      <c r="C154" s="835"/>
    </row>
    <row r="155">
      <c r="B155" s="835"/>
      <c r="C155" s="835"/>
    </row>
    <row r="156">
      <c r="B156" s="835"/>
      <c r="C156" s="835"/>
    </row>
    <row r="157">
      <c r="B157" s="835"/>
      <c r="C157" s="835"/>
    </row>
    <row r="158">
      <c r="B158" s="835"/>
      <c r="C158" s="835"/>
    </row>
    <row r="159">
      <c r="B159" s="835"/>
      <c r="C159" s="835"/>
    </row>
    <row r="160">
      <c r="B160" s="835"/>
      <c r="C160" s="835"/>
    </row>
    <row r="161">
      <c r="B161" s="835"/>
      <c r="C161" s="835"/>
    </row>
    <row r="162">
      <c r="B162" s="835"/>
      <c r="C162" s="835"/>
    </row>
    <row r="163">
      <c r="B163" s="835"/>
      <c r="C163" s="835"/>
    </row>
    <row r="164">
      <c r="B164" s="835"/>
      <c r="C164" s="835"/>
    </row>
    <row r="165">
      <c r="B165" s="835"/>
      <c r="C165" s="835"/>
    </row>
    <row r="166">
      <c r="B166" s="835"/>
      <c r="C166" s="835"/>
    </row>
    <row r="167">
      <c r="B167" s="835"/>
      <c r="C167" s="835"/>
    </row>
    <row r="168">
      <c r="B168" s="835"/>
      <c r="C168" s="835"/>
    </row>
    <row r="169">
      <c r="B169" s="835"/>
      <c r="C169" s="835"/>
    </row>
    <row r="170">
      <c r="B170" s="835"/>
      <c r="C170" s="835"/>
    </row>
    <row r="171">
      <c r="B171" s="835"/>
      <c r="C171" s="835"/>
    </row>
    <row r="172">
      <c r="B172" s="835"/>
      <c r="C172" s="835"/>
    </row>
    <row r="173">
      <c r="B173" s="835"/>
      <c r="C173" s="835"/>
    </row>
    <row r="174">
      <c r="B174" s="835"/>
      <c r="C174" s="835"/>
    </row>
    <row r="175">
      <c r="B175" s="835"/>
      <c r="C175" s="835"/>
    </row>
    <row r="176">
      <c r="B176" s="835"/>
      <c r="C176" s="835"/>
    </row>
    <row r="177">
      <c r="B177" s="835"/>
      <c r="C177" s="835"/>
    </row>
    <row r="178">
      <c r="B178" s="835"/>
      <c r="C178" s="835"/>
    </row>
    <row r="179">
      <c r="B179" s="835"/>
      <c r="C179" s="835"/>
    </row>
    <row r="180">
      <c r="B180" s="835"/>
      <c r="C180" s="835"/>
    </row>
    <row r="181">
      <c r="B181" s="835"/>
      <c r="C181" s="835"/>
    </row>
    <row r="182">
      <c r="B182" s="835"/>
      <c r="C182" s="835"/>
    </row>
    <row r="183">
      <c r="B183" s="835"/>
      <c r="C183" s="835"/>
    </row>
    <row r="184">
      <c r="B184" s="835"/>
      <c r="C184" s="835"/>
    </row>
    <row r="185">
      <c r="B185" s="835"/>
      <c r="C185" s="835"/>
    </row>
    <row r="186">
      <c r="B186" s="835"/>
      <c r="C186" s="835"/>
    </row>
    <row r="187">
      <c r="B187" s="835"/>
      <c r="C187" s="835"/>
    </row>
    <row r="188">
      <c r="B188" s="835"/>
      <c r="C188" s="835"/>
    </row>
    <row r="189">
      <c r="B189" s="835"/>
      <c r="C189" s="835"/>
    </row>
    <row r="190">
      <c r="B190" s="835"/>
      <c r="C190" s="835"/>
    </row>
    <row r="191">
      <c r="B191" s="835"/>
      <c r="C191" s="835"/>
    </row>
    <row r="192">
      <c r="B192" s="835"/>
      <c r="C192" s="835"/>
    </row>
    <row r="193">
      <c r="B193" s="835"/>
      <c r="C193" s="835"/>
    </row>
    <row r="194">
      <c r="B194" s="835"/>
      <c r="C194" s="835"/>
    </row>
    <row r="195">
      <c r="B195" s="835"/>
      <c r="C195" s="835"/>
    </row>
    <row r="196">
      <c r="B196" s="835"/>
      <c r="C196" s="835"/>
    </row>
    <row r="197">
      <c r="B197" s="835"/>
      <c r="C197" s="835"/>
    </row>
    <row r="198">
      <c r="B198" s="835"/>
      <c r="C198" s="835"/>
    </row>
    <row r="199">
      <c r="B199" s="835"/>
      <c r="C199" s="835"/>
    </row>
    <row r="200">
      <c r="B200" s="835"/>
      <c r="C200" s="835"/>
    </row>
    <row r="201">
      <c r="B201" s="835"/>
      <c r="C201" s="835"/>
    </row>
    <row r="202">
      <c r="B202" s="835"/>
      <c r="C202" s="835"/>
    </row>
    <row r="203">
      <c r="B203" s="835"/>
      <c r="C203" s="835"/>
    </row>
    <row r="204">
      <c r="B204" s="835"/>
      <c r="C204" s="835"/>
    </row>
    <row r="205">
      <c r="B205" s="835"/>
      <c r="C205" s="835"/>
    </row>
    <row r="206">
      <c r="B206" s="835"/>
      <c r="C206" s="835"/>
    </row>
    <row r="207">
      <c r="B207" s="835"/>
      <c r="C207" s="835"/>
    </row>
    <row r="208">
      <c r="B208" s="835"/>
      <c r="C208" s="835"/>
    </row>
    <row r="209">
      <c r="B209" s="835"/>
      <c r="C209" s="835"/>
    </row>
    <row r="210">
      <c r="B210" s="835"/>
      <c r="C210" s="835"/>
    </row>
    <row r="211">
      <c r="B211" s="835"/>
      <c r="C211" s="835"/>
    </row>
    <row r="212">
      <c r="B212" s="835"/>
      <c r="C212" s="835"/>
    </row>
    <row r="213">
      <c r="B213" s="835"/>
      <c r="C213" s="835"/>
    </row>
    <row r="214">
      <c r="B214" s="835"/>
      <c r="C214" s="835"/>
    </row>
    <row r="215">
      <c r="B215" s="835"/>
      <c r="C215" s="835"/>
    </row>
    <row r="216">
      <c r="B216" s="835"/>
      <c r="C216" s="835"/>
    </row>
    <row r="217">
      <c r="B217" s="835"/>
      <c r="C217" s="835"/>
    </row>
    <row r="218">
      <c r="B218" s="835"/>
      <c r="C218" s="835"/>
    </row>
    <row r="219">
      <c r="B219" s="835"/>
      <c r="C219" s="835"/>
    </row>
    <row r="220">
      <c r="B220" s="835"/>
      <c r="C220" s="835"/>
    </row>
    <row r="221">
      <c r="B221" s="835"/>
      <c r="C221" s="835"/>
    </row>
    <row r="222">
      <c r="B222" s="835"/>
      <c r="C222" s="835"/>
    </row>
    <row r="223">
      <c r="B223" s="835"/>
      <c r="C223" s="835"/>
    </row>
    <row r="224">
      <c r="B224" s="835"/>
      <c r="C224" s="835"/>
    </row>
    <row r="225">
      <c r="B225" s="835"/>
      <c r="C225" s="835"/>
    </row>
    <row r="226">
      <c r="B226" s="835"/>
      <c r="C226" s="835"/>
    </row>
    <row r="227">
      <c r="B227" s="835"/>
      <c r="C227" s="835"/>
    </row>
    <row r="228">
      <c r="B228" s="835"/>
      <c r="C228" s="835"/>
    </row>
    <row r="229">
      <c r="B229" s="835"/>
      <c r="C229" s="835"/>
    </row>
    <row r="230">
      <c r="B230" s="835"/>
      <c r="C230" s="835"/>
    </row>
    <row r="231">
      <c r="B231" s="835"/>
      <c r="C231" s="835"/>
    </row>
    <row r="232">
      <c r="B232" s="835"/>
      <c r="C232" s="835"/>
    </row>
    <row r="233">
      <c r="B233" s="835"/>
      <c r="C233" s="835"/>
    </row>
    <row r="234">
      <c r="B234" s="835"/>
      <c r="C234" s="835"/>
    </row>
    <row r="235">
      <c r="B235" s="835"/>
      <c r="C235" s="835"/>
    </row>
    <row r="236">
      <c r="B236" s="835"/>
      <c r="C236" s="835"/>
    </row>
    <row r="237">
      <c r="B237" s="835"/>
      <c r="C237" s="835"/>
    </row>
    <row r="238">
      <c r="B238" s="835"/>
      <c r="C238" s="835"/>
    </row>
    <row r="239">
      <c r="B239" s="835"/>
      <c r="C239" s="835"/>
    </row>
    <row r="240">
      <c r="B240" s="835"/>
      <c r="C240" s="835"/>
    </row>
    <row r="241">
      <c r="B241" s="835"/>
      <c r="C241" s="835"/>
    </row>
    <row r="242">
      <c r="B242" s="835"/>
      <c r="C242" s="835"/>
    </row>
    <row r="243">
      <c r="B243" s="835"/>
      <c r="C243" s="835"/>
    </row>
    <row r="244">
      <c r="B244" s="835"/>
      <c r="C244" s="835"/>
    </row>
    <row r="245">
      <c r="B245" s="835"/>
      <c r="C245" s="835"/>
    </row>
    <row r="246">
      <c r="B246" s="835"/>
      <c r="C246" s="835"/>
    </row>
    <row r="247">
      <c r="B247" s="835"/>
      <c r="C247" s="835"/>
    </row>
    <row r="248">
      <c r="B248" s="835"/>
      <c r="C248" s="835"/>
    </row>
    <row r="249">
      <c r="B249" s="835"/>
      <c r="C249" s="835"/>
    </row>
    <row r="250">
      <c r="B250" s="835"/>
      <c r="C250" s="835"/>
    </row>
    <row r="251">
      <c r="B251" s="835"/>
      <c r="C251" s="835"/>
    </row>
    <row r="252">
      <c r="B252" s="835"/>
      <c r="C252" s="835"/>
    </row>
    <row r="253">
      <c r="B253" s="835"/>
      <c r="C253" s="835"/>
    </row>
    <row r="254">
      <c r="B254" s="835"/>
      <c r="C254" s="835"/>
    </row>
    <row r="255">
      <c r="B255" s="835"/>
      <c r="C255" s="835"/>
    </row>
    <row r="256">
      <c r="B256" s="835"/>
      <c r="C256" s="835"/>
    </row>
    <row r="257">
      <c r="B257" s="835"/>
      <c r="C257" s="835"/>
    </row>
    <row r="258">
      <c r="B258" s="835"/>
      <c r="C258" s="835"/>
    </row>
    <row r="259">
      <c r="B259" s="835"/>
      <c r="C259" s="835"/>
    </row>
    <row r="260">
      <c r="B260" s="835"/>
      <c r="C260" s="835"/>
    </row>
    <row r="261">
      <c r="B261" s="835"/>
      <c r="C261" s="835"/>
    </row>
    <row r="262">
      <c r="B262" s="835"/>
      <c r="C262" s="835"/>
    </row>
    <row r="263">
      <c r="B263" s="835"/>
      <c r="C263" s="835"/>
    </row>
    <row r="264">
      <c r="B264" s="835"/>
      <c r="C264" s="835"/>
    </row>
    <row r="265">
      <c r="B265" s="835"/>
      <c r="C265" s="835"/>
    </row>
    <row r="266">
      <c r="B266" s="835"/>
      <c r="C266" s="835"/>
    </row>
    <row r="267">
      <c r="B267" s="835"/>
      <c r="C267" s="835"/>
    </row>
    <row r="268">
      <c r="B268" s="835"/>
      <c r="C268" s="835"/>
    </row>
    <row r="269">
      <c r="B269" s="835"/>
      <c r="C269" s="835"/>
    </row>
    <row r="270">
      <c r="B270" s="835"/>
      <c r="C270" s="835"/>
    </row>
    <row r="271">
      <c r="B271" s="835"/>
      <c r="C271" s="835"/>
    </row>
    <row r="272">
      <c r="B272" s="835"/>
      <c r="C272" s="835"/>
    </row>
    <row r="273">
      <c r="B273" s="835"/>
      <c r="C273" s="835"/>
    </row>
    <row r="274">
      <c r="B274" s="835"/>
      <c r="C274" s="835"/>
    </row>
    <row r="275">
      <c r="B275" s="835"/>
      <c r="C275" s="835"/>
    </row>
    <row r="276">
      <c r="B276" s="835"/>
      <c r="C276" s="835"/>
    </row>
    <row r="277">
      <c r="B277" s="835"/>
      <c r="C277" s="835"/>
    </row>
    <row r="278">
      <c r="B278" s="835"/>
      <c r="C278" s="835"/>
    </row>
    <row r="279">
      <c r="B279" s="835"/>
      <c r="C279" s="835"/>
    </row>
    <row r="280">
      <c r="B280" s="835"/>
      <c r="C280" s="835"/>
    </row>
    <row r="281">
      <c r="B281" s="835"/>
      <c r="C281" s="835"/>
    </row>
    <row r="282">
      <c r="B282" s="835"/>
      <c r="C282" s="835"/>
    </row>
    <row r="283">
      <c r="B283" s="835"/>
      <c r="C283" s="835"/>
    </row>
    <row r="284">
      <c r="B284" s="835"/>
      <c r="C284" s="835"/>
    </row>
    <row r="285">
      <c r="B285" s="835"/>
      <c r="C285" s="835"/>
    </row>
    <row r="286">
      <c r="B286" s="835"/>
      <c r="C286" s="835"/>
    </row>
    <row r="287">
      <c r="B287" s="835"/>
      <c r="C287" s="835"/>
    </row>
    <row r="288">
      <c r="B288" s="835"/>
      <c r="C288" s="835"/>
    </row>
    <row r="289">
      <c r="B289" s="835"/>
      <c r="C289" s="835"/>
    </row>
    <row r="290">
      <c r="B290" s="835"/>
      <c r="C290" s="835"/>
    </row>
    <row r="291">
      <c r="B291" s="835"/>
      <c r="C291" s="835"/>
    </row>
    <row r="292">
      <c r="B292" s="835"/>
      <c r="C292" s="835"/>
    </row>
    <row r="293">
      <c r="B293" s="835"/>
      <c r="C293" s="835"/>
    </row>
    <row r="294">
      <c r="B294" s="835"/>
      <c r="C294" s="835"/>
    </row>
    <row r="295">
      <c r="B295" s="835"/>
      <c r="C295" s="835"/>
    </row>
    <row r="296">
      <c r="B296" s="835"/>
      <c r="C296" s="835"/>
    </row>
    <row r="297">
      <c r="B297" s="835"/>
      <c r="C297" s="835"/>
    </row>
    <row r="298">
      <c r="B298" s="835"/>
      <c r="C298" s="835"/>
    </row>
    <row r="299">
      <c r="B299" s="835"/>
      <c r="C299" s="835"/>
    </row>
    <row r="300">
      <c r="B300" s="835"/>
      <c r="C300" s="835"/>
    </row>
    <row r="301">
      <c r="B301" s="835"/>
      <c r="C301" s="835"/>
    </row>
    <row r="302">
      <c r="B302" s="835"/>
      <c r="C302" s="835"/>
    </row>
    <row r="303">
      <c r="B303" s="835"/>
      <c r="C303" s="835"/>
    </row>
    <row r="304">
      <c r="B304" s="835"/>
      <c r="C304" s="835"/>
    </row>
    <row r="305">
      <c r="B305" s="835"/>
      <c r="C305" s="835"/>
    </row>
    <row r="306">
      <c r="B306" s="835"/>
      <c r="C306" s="835"/>
    </row>
    <row r="307">
      <c r="B307" s="835"/>
      <c r="C307" s="835"/>
    </row>
    <row r="308">
      <c r="B308" s="835"/>
      <c r="C308" s="835"/>
    </row>
    <row r="309">
      <c r="B309" s="835"/>
      <c r="C309" s="835"/>
    </row>
    <row r="310">
      <c r="B310" s="835"/>
      <c r="C310" s="835"/>
    </row>
    <row r="311">
      <c r="B311" s="835"/>
      <c r="C311" s="835"/>
    </row>
    <row r="312">
      <c r="B312" s="835"/>
      <c r="C312" s="835"/>
    </row>
    <row r="313">
      <c r="B313" s="835"/>
      <c r="C313" s="835"/>
    </row>
    <row r="314">
      <c r="B314" s="835"/>
      <c r="C314" s="835"/>
    </row>
    <row r="315">
      <c r="B315" s="835"/>
      <c r="C315" s="835"/>
    </row>
    <row r="316">
      <c r="B316" s="835"/>
      <c r="C316" s="835"/>
    </row>
    <row r="317">
      <c r="B317" s="835"/>
      <c r="C317" s="835"/>
    </row>
    <row r="318">
      <c r="B318" s="835"/>
      <c r="C318" s="835"/>
    </row>
    <row r="319">
      <c r="B319" s="835"/>
      <c r="C319" s="835"/>
    </row>
    <row r="320">
      <c r="B320" s="835"/>
      <c r="C320" s="835"/>
    </row>
    <row r="321">
      <c r="B321" s="835"/>
      <c r="C321" s="835"/>
    </row>
    <row r="322">
      <c r="B322" s="835"/>
      <c r="C322" s="835"/>
    </row>
    <row r="323">
      <c r="B323" s="835"/>
      <c r="C323" s="835"/>
    </row>
    <row r="324">
      <c r="B324" s="835"/>
      <c r="C324" s="835"/>
    </row>
    <row r="325">
      <c r="B325" s="835"/>
      <c r="C325" s="835"/>
    </row>
    <row r="326">
      <c r="B326" s="835"/>
      <c r="C326" s="835"/>
    </row>
    <row r="327">
      <c r="B327" s="835"/>
      <c r="C327" s="835"/>
    </row>
    <row r="328">
      <c r="B328" s="835"/>
      <c r="C328" s="835"/>
    </row>
    <row r="329">
      <c r="B329" s="835"/>
      <c r="C329" s="835"/>
    </row>
    <row r="330">
      <c r="B330" s="835"/>
      <c r="C330" s="835"/>
    </row>
    <row r="331">
      <c r="B331" s="835"/>
      <c r="C331" s="835"/>
    </row>
    <row r="332">
      <c r="B332" s="835"/>
      <c r="C332" s="835"/>
    </row>
    <row r="333">
      <c r="B333" s="835"/>
      <c r="C333" s="835"/>
    </row>
    <row r="334">
      <c r="B334" s="835"/>
      <c r="C334" s="835"/>
    </row>
    <row r="335">
      <c r="B335" s="835"/>
      <c r="C335" s="835"/>
    </row>
    <row r="336">
      <c r="B336" s="835"/>
      <c r="C336" s="835"/>
    </row>
    <row r="337">
      <c r="B337" s="835"/>
      <c r="C337" s="835"/>
    </row>
    <row r="338">
      <c r="B338" s="835"/>
      <c r="C338" s="835"/>
    </row>
    <row r="339">
      <c r="B339" s="835"/>
      <c r="C339" s="835"/>
    </row>
    <row r="340">
      <c r="B340" s="835"/>
      <c r="C340" s="835"/>
    </row>
    <row r="341">
      <c r="B341" s="835"/>
      <c r="C341" s="835"/>
    </row>
    <row r="342">
      <c r="B342" s="835"/>
      <c r="C342" s="835"/>
    </row>
    <row r="343">
      <c r="B343" s="835"/>
      <c r="C343" s="835"/>
    </row>
    <row r="344">
      <c r="B344" s="835"/>
      <c r="C344" s="835"/>
    </row>
    <row r="345">
      <c r="B345" s="835"/>
      <c r="C345" s="835"/>
    </row>
    <row r="346">
      <c r="B346" s="835"/>
      <c r="C346" s="835"/>
    </row>
    <row r="347">
      <c r="B347" s="835"/>
      <c r="C347" s="835"/>
    </row>
    <row r="348">
      <c r="B348" s="835"/>
      <c r="C348" s="835"/>
    </row>
    <row r="349">
      <c r="B349" s="835"/>
      <c r="C349" s="835"/>
    </row>
    <row r="350">
      <c r="B350" s="835"/>
      <c r="C350" s="835"/>
    </row>
    <row r="351">
      <c r="B351" s="835"/>
      <c r="C351" s="835"/>
    </row>
    <row r="352">
      <c r="B352" s="835"/>
      <c r="C352" s="835"/>
    </row>
    <row r="353">
      <c r="B353" s="835"/>
      <c r="C353" s="835"/>
    </row>
    <row r="354">
      <c r="B354" s="835"/>
      <c r="C354" s="835"/>
    </row>
    <row r="355">
      <c r="B355" s="835"/>
      <c r="C355" s="835"/>
    </row>
    <row r="356">
      <c r="B356" s="835"/>
      <c r="C356" s="835"/>
    </row>
    <row r="357">
      <c r="B357" s="835"/>
      <c r="C357" s="835"/>
    </row>
    <row r="358">
      <c r="B358" s="835"/>
      <c r="C358" s="835"/>
    </row>
    <row r="359">
      <c r="B359" s="835"/>
      <c r="C359" s="835"/>
    </row>
    <row r="360">
      <c r="B360" s="835"/>
      <c r="C360" s="835"/>
    </row>
    <row r="361">
      <c r="B361" s="835"/>
      <c r="C361" s="835"/>
    </row>
    <row r="362">
      <c r="B362" s="835"/>
      <c r="C362" s="835"/>
    </row>
    <row r="363">
      <c r="B363" s="835"/>
      <c r="C363" s="835"/>
    </row>
    <row r="364">
      <c r="B364" s="835"/>
      <c r="C364" s="835"/>
    </row>
    <row r="365">
      <c r="B365" s="835"/>
      <c r="C365" s="835"/>
    </row>
    <row r="366">
      <c r="B366" s="835"/>
      <c r="C366" s="835"/>
    </row>
    <row r="367">
      <c r="B367" s="835"/>
      <c r="C367" s="835"/>
    </row>
    <row r="368">
      <c r="B368" s="835"/>
      <c r="C368" s="835"/>
    </row>
    <row r="369">
      <c r="B369" s="835"/>
      <c r="C369" s="835"/>
    </row>
    <row r="370">
      <c r="B370" s="835"/>
      <c r="C370" s="835"/>
    </row>
    <row r="371">
      <c r="B371" s="835"/>
      <c r="C371" s="835"/>
    </row>
    <row r="372">
      <c r="B372" s="835"/>
      <c r="C372" s="835"/>
    </row>
    <row r="373">
      <c r="B373" s="835"/>
      <c r="C373" s="835"/>
    </row>
    <row r="374">
      <c r="B374" s="835"/>
      <c r="C374" s="835"/>
    </row>
    <row r="375">
      <c r="B375" s="835"/>
      <c r="C375" s="835"/>
    </row>
    <row r="376">
      <c r="B376" s="835"/>
      <c r="C376" s="835"/>
    </row>
    <row r="377">
      <c r="B377" s="835"/>
      <c r="C377" s="835"/>
    </row>
    <row r="378">
      <c r="B378" s="835"/>
      <c r="C378" s="835"/>
    </row>
    <row r="379">
      <c r="B379" s="835"/>
      <c r="C379" s="835"/>
    </row>
    <row r="380">
      <c r="B380" s="835"/>
      <c r="C380" s="835"/>
    </row>
    <row r="381">
      <c r="B381" s="835"/>
      <c r="C381" s="835"/>
    </row>
    <row r="382">
      <c r="B382" s="835"/>
      <c r="C382" s="835"/>
    </row>
    <row r="383">
      <c r="B383" s="835"/>
      <c r="C383" s="835"/>
    </row>
    <row r="384">
      <c r="B384" s="835"/>
      <c r="C384" s="835"/>
    </row>
    <row r="385">
      <c r="B385" s="835"/>
      <c r="C385" s="835"/>
    </row>
    <row r="386">
      <c r="B386" s="835"/>
      <c r="C386" s="835"/>
    </row>
    <row r="387">
      <c r="B387" s="835"/>
      <c r="C387" s="835"/>
    </row>
    <row r="388">
      <c r="B388" s="835"/>
      <c r="C388" s="835"/>
    </row>
    <row r="389">
      <c r="B389" s="835"/>
      <c r="C389" s="835"/>
    </row>
    <row r="390">
      <c r="B390" s="835"/>
      <c r="C390" s="835"/>
    </row>
    <row r="391">
      <c r="B391" s="835"/>
      <c r="C391" s="835"/>
    </row>
    <row r="392">
      <c r="B392" s="835"/>
      <c r="C392" s="835"/>
    </row>
    <row r="393">
      <c r="B393" s="835"/>
      <c r="C393" s="835"/>
    </row>
    <row r="394">
      <c r="B394" s="835"/>
      <c r="C394" s="835"/>
    </row>
    <row r="395">
      <c r="B395" s="835"/>
      <c r="C395" s="835"/>
    </row>
    <row r="396">
      <c r="B396" s="835"/>
      <c r="C396" s="835"/>
    </row>
    <row r="397">
      <c r="B397" s="835"/>
      <c r="C397" s="835"/>
    </row>
    <row r="398">
      <c r="B398" s="835"/>
      <c r="C398" s="835"/>
    </row>
    <row r="399">
      <c r="B399" s="835"/>
      <c r="C399" s="835"/>
    </row>
    <row r="400">
      <c r="B400" s="835"/>
      <c r="C400" s="835"/>
    </row>
    <row r="401">
      <c r="B401" s="835"/>
      <c r="C401" s="835"/>
    </row>
    <row r="402">
      <c r="B402" s="835"/>
      <c r="C402" s="835"/>
    </row>
    <row r="403">
      <c r="B403" s="835"/>
      <c r="C403" s="835"/>
    </row>
    <row r="404">
      <c r="B404" s="835"/>
      <c r="C404" s="835"/>
    </row>
    <row r="405">
      <c r="B405" s="835"/>
      <c r="C405" s="835"/>
    </row>
    <row r="406">
      <c r="B406" s="835"/>
      <c r="C406" s="835"/>
    </row>
    <row r="407">
      <c r="B407" s="835"/>
      <c r="C407" s="835"/>
    </row>
    <row r="408">
      <c r="B408" s="835"/>
      <c r="C408" s="835"/>
    </row>
    <row r="409">
      <c r="B409" s="835"/>
      <c r="C409" s="835"/>
    </row>
    <row r="410">
      <c r="B410" s="835"/>
      <c r="C410" s="835"/>
    </row>
    <row r="411">
      <c r="B411" s="835"/>
      <c r="C411" s="835"/>
    </row>
    <row r="412">
      <c r="B412" s="835"/>
      <c r="C412" s="835"/>
    </row>
    <row r="413">
      <c r="B413" s="835"/>
      <c r="C413" s="835"/>
    </row>
    <row r="414">
      <c r="B414" s="835"/>
      <c r="C414" s="835"/>
    </row>
    <row r="415">
      <c r="B415" s="835"/>
      <c r="C415" s="835"/>
    </row>
    <row r="416">
      <c r="B416" s="835"/>
      <c r="C416" s="835"/>
    </row>
    <row r="417">
      <c r="B417" s="835"/>
      <c r="C417" s="835"/>
    </row>
    <row r="418">
      <c r="B418" s="835"/>
      <c r="C418" s="835"/>
    </row>
    <row r="419">
      <c r="B419" s="835"/>
      <c r="C419" s="835"/>
    </row>
    <row r="420">
      <c r="B420" s="835"/>
      <c r="C420" s="835"/>
    </row>
    <row r="421">
      <c r="B421" s="835"/>
      <c r="C421" s="835"/>
    </row>
    <row r="422">
      <c r="B422" s="835"/>
      <c r="C422" s="835"/>
    </row>
    <row r="423">
      <c r="B423" s="835"/>
      <c r="C423" s="835"/>
    </row>
    <row r="424">
      <c r="B424" s="835"/>
      <c r="C424" s="835"/>
    </row>
    <row r="425">
      <c r="B425" s="835"/>
      <c r="C425" s="835"/>
    </row>
    <row r="426">
      <c r="B426" s="835"/>
      <c r="C426" s="835"/>
    </row>
    <row r="427">
      <c r="B427" s="835"/>
      <c r="C427" s="835"/>
    </row>
    <row r="428">
      <c r="B428" s="835"/>
      <c r="C428" s="835"/>
    </row>
    <row r="429">
      <c r="B429" s="835"/>
      <c r="C429" s="835"/>
    </row>
    <row r="430">
      <c r="B430" s="835"/>
      <c r="C430" s="835"/>
    </row>
    <row r="431">
      <c r="B431" s="835"/>
      <c r="C431" s="835"/>
    </row>
    <row r="432">
      <c r="B432" s="835"/>
      <c r="C432" s="835"/>
    </row>
    <row r="433">
      <c r="B433" s="835"/>
      <c r="C433" s="835"/>
    </row>
    <row r="434">
      <c r="B434" s="835"/>
      <c r="C434" s="835"/>
    </row>
    <row r="435">
      <c r="B435" s="835"/>
      <c r="C435" s="835"/>
    </row>
    <row r="436">
      <c r="B436" s="835"/>
      <c r="C436" s="835"/>
    </row>
    <row r="437">
      <c r="B437" s="835"/>
      <c r="C437" s="835"/>
    </row>
    <row r="438">
      <c r="B438" s="835"/>
      <c r="C438" s="835"/>
    </row>
    <row r="439">
      <c r="B439" s="835"/>
      <c r="C439" s="835"/>
    </row>
    <row r="440">
      <c r="B440" s="835"/>
      <c r="C440" s="835"/>
    </row>
    <row r="441">
      <c r="B441" s="835"/>
      <c r="C441" s="835"/>
    </row>
    <row r="442">
      <c r="B442" s="835"/>
      <c r="C442" s="835"/>
    </row>
    <row r="443">
      <c r="B443" s="835"/>
      <c r="C443" s="835"/>
    </row>
    <row r="444">
      <c r="B444" s="835"/>
      <c r="C444" s="835"/>
    </row>
    <row r="445">
      <c r="B445" s="835"/>
      <c r="C445" s="835"/>
    </row>
    <row r="446">
      <c r="B446" s="835"/>
      <c r="C446" s="835"/>
    </row>
    <row r="447">
      <c r="B447" s="835"/>
      <c r="C447" s="835"/>
    </row>
    <row r="448">
      <c r="B448" s="835"/>
      <c r="C448" s="835"/>
    </row>
    <row r="449">
      <c r="B449" s="835"/>
      <c r="C449" s="835"/>
    </row>
    <row r="450">
      <c r="B450" s="835"/>
      <c r="C450" s="835"/>
    </row>
    <row r="451">
      <c r="B451" s="835"/>
      <c r="C451" s="835"/>
    </row>
    <row r="452">
      <c r="B452" s="835"/>
      <c r="C452" s="835"/>
    </row>
    <row r="453">
      <c r="B453" s="835"/>
      <c r="C453" s="835"/>
    </row>
    <row r="454">
      <c r="B454" s="835"/>
      <c r="C454" s="835"/>
    </row>
    <row r="455">
      <c r="B455" s="835"/>
      <c r="C455" s="835"/>
    </row>
    <row r="456">
      <c r="B456" s="835"/>
      <c r="C456" s="835"/>
    </row>
    <row r="457">
      <c r="B457" s="835"/>
      <c r="C457" s="835"/>
    </row>
    <row r="458">
      <c r="B458" s="835"/>
      <c r="C458" s="835"/>
    </row>
    <row r="459">
      <c r="B459" s="835"/>
      <c r="C459" s="835"/>
    </row>
    <row r="460">
      <c r="B460" s="835"/>
      <c r="C460" s="835"/>
    </row>
    <row r="461">
      <c r="B461" s="835"/>
      <c r="C461" s="835"/>
    </row>
    <row r="462">
      <c r="B462" s="835"/>
      <c r="C462" s="835"/>
    </row>
    <row r="463">
      <c r="B463" s="835"/>
      <c r="C463" s="835"/>
    </row>
    <row r="464">
      <c r="B464" s="835"/>
      <c r="C464" s="835"/>
    </row>
    <row r="465">
      <c r="B465" s="835"/>
      <c r="C465" s="835"/>
    </row>
    <row r="466">
      <c r="B466" s="835"/>
      <c r="C466" s="835"/>
    </row>
    <row r="467">
      <c r="B467" s="835"/>
      <c r="C467" s="835"/>
    </row>
    <row r="468">
      <c r="B468" s="835"/>
      <c r="C468" s="835"/>
    </row>
    <row r="469">
      <c r="B469" s="835"/>
      <c r="C469" s="835"/>
    </row>
    <row r="470">
      <c r="B470" s="835"/>
      <c r="C470" s="835"/>
    </row>
    <row r="471">
      <c r="B471" s="835"/>
      <c r="C471" s="835"/>
    </row>
    <row r="472">
      <c r="B472" s="835"/>
      <c r="C472" s="835"/>
    </row>
    <row r="473">
      <c r="B473" s="835"/>
      <c r="C473" s="835"/>
    </row>
    <row r="474">
      <c r="B474" s="835"/>
      <c r="C474" s="835"/>
    </row>
    <row r="475">
      <c r="B475" s="835"/>
      <c r="C475" s="835"/>
    </row>
    <row r="476">
      <c r="B476" s="835"/>
      <c r="C476" s="835"/>
    </row>
    <row r="477">
      <c r="B477" s="835"/>
      <c r="C477" s="835"/>
    </row>
    <row r="478">
      <c r="B478" s="835"/>
      <c r="C478" s="835"/>
    </row>
    <row r="479">
      <c r="B479" s="835"/>
      <c r="C479" s="835"/>
    </row>
    <row r="480">
      <c r="B480" s="835"/>
      <c r="C480" s="835"/>
    </row>
    <row r="481">
      <c r="B481" s="835"/>
      <c r="C481" s="835"/>
    </row>
    <row r="482">
      <c r="B482" s="835"/>
      <c r="C482" s="835"/>
    </row>
    <row r="483">
      <c r="B483" s="835"/>
      <c r="C483" s="835"/>
    </row>
    <row r="484">
      <c r="B484" s="835"/>
      <c r="C484" s="835"/>
    </row>
    <row r="485">
      <c r="B485" s="835"/>
      <c r="C485" s="835"/>
    </row>
    <row r="486">
      <c r="B486" s="835"/>
      <c r="C486" s="835"/>
    </row>
    <row r="487">
      <c r="B487" s="835"/>
      <c r="C487" s="835"/>
    </row>
    <row r="488">
      <c r="B488" s="835"/>
      <c r="C488" s="835"/>
    </row>
    <row r="489">
      <c r="B489" s="835"/>
      <c r="C489" s="835"/>
    </row>
    <row r="490">
      <c r="B490" s="835"/>
      <c r="C490" s="835"/>
    </row>
    <row r="491">
      <c r="B491" s="835"/>
      <c r="C491" s="835"/>
    </row>
    <row r="492">
      <c r="B492" s="835"/>
      <c r="C492" s="835"/>
    </row>
    <row r="493">
      <c r="B493" s="835"/>
      <c r="C493" s="835"/>
    </row>
    <row r="494">
      <c r="B494" s="835"/>
      <c r="C494" s="835"/>
    </row>
    <row r="495">
      <c r="B495" s="835"/>
      <c r="C495" s="835"/>
    </row>
    <row r="496">
      <c r="B496" s="835"/>
      <c r="C496" s="835"/>
    </row>
    <row r="497">
      <c r="B497" s="835"/>
      <c r="C497" s="835"/>
    </row>
    <row r="498">
      <c r="B498" s="835"/>
      <c r="C498" s="835"/>
    </row>
    <row r="499">
      <c r="B499" s="835"/>
      <c r="C499" s="835"/>
    </row>
    <row r="500">
      <c r="B500" s="835"/>
      <c r="C500" s="835"/>
    </row>
    <row r="501">
      <c r="B501" s="835"/>
      <c r="C501" s="835"/>
    </row>
    <row r="502">
      <c r="B502" s="835"/>
      <c r="C502" s="835"/>
    </row>
    <row r="503">
      <c r="B503" s="835"/>
      <c r="C503" s="835"/>
    </row>
    <row r="504">
      <c r="B504" s="835"/>
      <c r="C504" s="835"/>
    </row>
    <row r="505">
      <c r="B505" s="835"/>
      <c r="C505" s="835"/>
    </row>
    <row r="506">
      <c r="B506" s="835"/>
      <c r="C506" s="835"/>
    </row>
    <row r="507">
      <c r="B507" s="835"/>
      <c r="C507" s="835"/>
    </row>
    <row r="508">
      <c r="B508" s="835"/>
      <c r="C508" s="835"/>
    </row>
    <row r="509">
      <c r="B509" s="835"/>
      <c r="C509" s="835"/>
    </row>
    <row r="510">
      <c r="B510" s="835"/>
      <c r="C510" s="835"/>
    </row>
    <row r="511">
      <c r="B511" s="835"/>
      <c r="C511" s="835"/>
    </row>
    <row r="512">
      <c r="B512" s="835"/>
      <c r="C512" s="835"/>
    </row>
    <row r="513">
      <c r="B513" s="835"/>
      <c r="C513" s="835"/>
    </row>
    <row r="514">
      <c r="B514" s="835"/>
      <c r="C514" s="835"/>
    </row>
    <row r="515">
      <c r="B515" s="835"/>
      <c r="C515" s="835"/>
    </row>
    <row r="516">
      <c r="B516" s="835"/>
      <c r="C516" s="835"/>
    </row>
    <row r="517">
      <c r="B517" s="835"/>
      <c r="C517" s="835"/>
    </row>
    <row r="518">
      <c r="B518" s="835"/>
      <c r="C518" s="835"/>
    </row>
    <row r="519">
      <c r="B519" s="835"/>
      <c r="C519" s="835"/>
    </row>
    <row r="520">
      <c r="B520" s="835"/>
      <c r="C520" s="835"/>
    </row>
    <row r="521">
      <c r="B521" s="835"/>
      <c r="C521" s="835"/>
    </row>
    <row r="522">
      <c r="B522" s="835"/>
      <c r="C522" s="835"/>
    </row>
    <row r="523">
      <c r="B523" s="835"/>
      <c r="C523" s="835"/>
    </row>
    <row r="524">
      <c r="B524" s="835"/>
      <c r="C524" s="835"/>
    </row>
    <row r="525">
      <c r="B525" s="835"/>
      <c r="C525" s="835"/>
    </row>
    <row r="526">
      <c r="B526" s="835"/>
      <c r="C526" s="835"/>
    </row>
    <row r="527">
      <c r="B527" s="835"/>
      <c r="C527" s="835"/>
    </row>
    <row r="528">
      <c r="B528" s="835"/>
      <c r="C528" s="835"/>
    </row>
    <row r="529">
      <c r="B529" s="835"/>
      <c r="C529" s="835"/>
    </row>
    <row r="530">
      <c r="B530" s="835"/>
      <c r="C530" s="835"/>
    </row>
    <row r="531">
      <c r="B531" s="835"/>
      <c r="C531" s="835"/>
    </row>
    <row r="532">
      <c r="B532" s="835"/>
      <c r="C532" s="835"/>
    </row>
    <row r="533">
      <c r="B533" s="835"/>
      <c r="C533" s="835"/>
    </row>
    <row r="534">
      <c r="B534" s="835"/>
      <c r="C534" s="835"/>
    </row>
    <row r="535">
      <c r="B535" s="835"/>
      <c r="C535" s="835"/>
    </row>
    <row r="536">
      <c r="B536" s="835"/>
      <c r="C536" s="835"/>
    </row>
    <row r="537">
      <c r="B537" s="835"/>
      <c r="C537" s="835"/>
    </row>
    <row r="538">
      <c r="B538" s="835"/>
      <c r="C538" s="835"/>
    </row>
    <row r="539">
      <c r="B539" s="835"/>
      <c r="C539" s="835"/>
    </row>
    <row r="540">
      <c r="B540" s="835"/>
      <c r="C540" s="835"/>
    </row>
    <row r="541">
      <c r="B541" s="835"/>
      <c r="C541" s="835"/>
    </row>
    <row r="542">
      <c r="B542" s="835"/>
      <c r="C542" s="835"/>
    </row>
    <row r="543">
      <c r="B543" s="835"/>
      <c r="C543" s="835"/>
    </row>
    <row r="544">
      <c r="B544" s="835"/>
      <c r="C544" s="835"/>
    </row>
    <row r="545">
      <c r="B545" s="835"/>
      <c r="C545" s="835"/>
    </row>
    <row r="546">
      <c r="B546" s="835"/>
      <c r="C546" s="835"/>
    </row>
    <row r="547">
      <c r="B547" s="835"/>
      <c r="C547" s="835"/>
    </row>
    <row r="548">
      <c r="B548" s="835"/>
      <c r="C548" s="835"/>
    </row>
    <row r="549">
      <c r="B549" s="835"/>
      <c r="C549" s="835"/>
    </row>
    <row r="550">
      <c r="B550" s="835"/>
      <c r="C550" s="835"/>
    </row>
    <row r="551">
      <c r="B551" s="835"/>
      <c r="C551" s="835"/>
    </row>
    <row r="552">
      <c r="B552" s="835"/>
      <c r="C552" s="835"/>
    </row>
    <row r="553">
      <c r="B553" s="835"/>
      <c r="C553" s="835"/>
    </row>
    <row r="554">
      <c r="B554" s="835"/>
      <c r="C554" s="835"/>
    </row>
    <row r="555">
      <c r="B555" s="835"/>
      <c r="C555" s="835"/>
    </row>
    <row r="556">
      <c r="B556" s="835"/>
      <c r="C556" s="835"/>
    </row>
    <row r="557">
      <c r="B557" s="835"/>
      <c r="C557" s="835"/>
    </row>
    <row r="558">
      <c r="B558" s="835"/>
      <c r="C558" s="835"/>
    </row>
    <row r="559">
      <c r="B559" s="835"/>
      <c r="C559" s="835"/>
    </row>
    <row r="560">
      <c r="B560" s="835"/>
      <c r="C560" s="835"/>
    </row>
    <row r="561">
      <c r="B561" s="835"/>
      <c r="C561" s="835"/>
    </row>
    <row r="562">
      <c r="B562" s="835"/>
      <c r="C562" s="835"/>
    </row>
    <row r="563">
      <c r="B563" s="835"/>
      <c r="C563" s="835"/>
    </row>
    <row r="564">
      <c r="B564" s="835"/>
      <c r="C564" s="835"/>
    </row>
    <row r="565">
      <c r="B565" s="835"/>
      <c r="C565" s="835"/>
    </row>
    <row r="566">
      <c r="B566" s="835"/>
      <c r="C566" s="835"/>
    </row>
    <row r="567">
      <c r="B567" s="835"/>
      <c r="C567" s="835"/>
    </row>
    <row r="568">
      <c r="B568" s="835"/>
      <c r="C568" s="835"/>
    </row>
    <row r="569">
      <c r="B569" s="835"/>
      <c r="C569" s="835"/>
    </row>
    <row r="570">
      <c r="B570" s="835"/>
      <c r="C570" s="835"/>
    </row>
    <row r="571">
      <c r="B571" s="835"/>
      <c r="C571" s="835"/>
    </row>
    <row r="572">
      <c r="B572" s="835"/>
      <c r="C572" s="835"/>
    </row>
    <row r="573">
      <c r="B573" s="835"/>
      <c r="C573" s="835"/>
    </row>
    <row r="574">
      <c r="B574" s="835"/>
      <c r="C574" s="835"/>
    </row>
    <row r="575">
      <c r="B575" s="835"/>
      <c r="C575" s="835"/>
    </row>
    <row r="576">
      <c r="B576" s="835"/>
      <c r="C576" s="835"/>
    </row>
    <row r="577">
      <c r="B577" s="835"/>
      <c r="C577" s="835"/>
    </row>
    <row r="578">
      <c r="B578" s="835"/>
      <c r="C578" s="835"/>
    </row>
    <row r="579">
      <c r="B579" s="835"/>
      <c r="C579" s="835"/>
    </row>
    <row r="580">
      <c r="B580" s="835"/>
      <c r="C580" s="835"/>
    </row>
    <row r="581">
      <c r="B581" s="835"/>
      <c r="C581" s="835"/>
    </row>
    <row r="582">
      <c r="B582" s="835"/>
      <c r="C582" s="835"/>
    </row>
    <row r="583">
      <c r="B583" s="835"/>
      <c r="C583" s="835"/>
    </row>
    <row r="584">
      <c r="B584" s="835"/>
      <c r="C584" s="835"/>
    </row>
    <row r="585">
      <c r="B585" s="835"/>
      <c r="C585" s="835"/>
    </row>
    <row r="586">
      <c r="B586" s="835"/>
      <c r="C586" s="835"/>
    </row>
    <row r="587">
      <c r="B587" s="835"/>
      <c r="C587" s="835"/>
    </row>
    <row r="588">
      <c r="B588" s="835"/>
      <c r="C588" s="835"/>
    </row>
    <row r="589">
      <c r="B589" s="835"/>
      <c r="C589" s="835"/>
    </row>
    <row r="590">
      <c r="B590" s="835"/>
      <c r="C590" s="835"/>
    </row>
    <row r="591">
      <c r="B591" s="835"/>
      <c r="C591" s="835"/>
    </row>
    <row r="592">
      <c r="B592" s="835"/>
      <c r="C592" s="835"/>
    </row>
    <row r="593">
      <c r="B593" s="835"/>
      <c r="C593" s="835"/>
    </row>
    <row r="594">
      <c r="B594" s="835"/>
      <c r="C594" s="835"/>
    </row>
    <row r="595">
      <c r="B595" s="835"/>
      <c r="C595" s="835"/>
    </row>
    <row r="596">
      <c r="B596" s="835"/>
      <c r="C596" s="835"/>
    </row>
    <row r="597">
      <c r="B597" s="835"/>
      <c r="C597" s="835"/>
    </row>
    <row r="598">
      <c r="B598" s="835"/>
      <c r="C598" s="835"/>
    </row>
    <row r="599">
      <c r="B599" s="835"/>
      <c r="C599" s="835"/>
    </row>
    <row r="600">
      <c r="B600" s="835"/>
      <c r="C600" s="835"/>
    </row>
    <row r="601">
      <c r="B601" s="835"/>
      <c r="C601" s="835"/>
    </row>
    <row r="602">
      <c r="B602" s="835"/>
      <c r="C602" s="835"/>
    </row>
    <row r="603">
      <c r="B603" s="835"/>
      <c r="C603" s="835"/>
    </row>
    <row r="604">
      <c r="B604" s="835"/>
      <c r="C604" s="835"/>
    </row>
    <row r="605">
      <c r="B605" s="835"/>
      <c r="C605" s="835"/>
    </row>
    <row r="606">
      <c r="B606" s="835"/>
      <c r="C606" s="835"/>
    </row>
    <row r="607">
      <c r="B607" s="835"/>
      <c r="C607" s="835"/>
    </row>
    <row r="608">
      <c r="B608" s="835"/>
      <c r="C608" s="835"/>
    </row>
    <row r="609">
      <c r="B609" s="835"/>
      <c r="C609" s="835"/>
    </row>
    <row r="610">
      <c r="B610" s="835"/>
      <c r="C610" s="835"/>
    </row>
    <row r="611">
      <c r="B611" s="835"/>
      <c r="C611" s="835"/>
    </row>
    <row r="612">
      <c r="B612" s="835"/>
      <c r="C612" s="835"/>
    </row>
    <row r="613">
      <c r="B613" s="835"/>
      <c r="C613" s="835"/>
    </row>
    <row r="614">
      <c r="B614" s="835"/>
      <c r="C614" s="835"/>
    </row>
    <row r="615">
      <c r="B615" s="835"/>
      <c r="C615" s="835"/>
    </row>
    <row r="616">
      <c r="B616" s="835"/>
      <c r="C616" s="835"/>
    </row>
    <row r="617">
      <c r="B617" s="835"/>
      <c r="C617" s="835"/>
    </row>
    <row r="618">
      <c r="B618" s="835"/>
      <c r="C618" s="835"/>
    </row>
    <row r="619">
      <c r="B619" s="835"/>
      <c r="C619" s="835"/>
    </row>
    <row r="620">
      <c r="B620" s="835"/>
      <c r="C620" s="835"/>
    </row>
    <row r="621">
      <c r="B621" s="835"/>
      <c r="C621" s="835"/>
    </row>
    <row r="622">
      <c r="B622" s="835"/>
      <c r="C622" s="835"/>
    </row>
    <row r="623">
      <c r="B623" s="835"/>
      <c r="C623" s="835"/>
    </row>
    <row r="624">
      <c r="B624" s="835"/>
      <c r="C624" s="835"/>
    </row>
    <row r="625">
      <c r="B625" s="835"/>
      <c r="C625" s="835"/>
    </row>
    <row r="626">
      <c r="B626" s="835"/>
      <c r="C626" s="835"/>
    </row>
    <row r="627">
      <c r="B627" s="835"/>
      <c r="C627" s="835"/>
    </row>
    <row r="628">
      <c r="B628" s="835"/>
      <c r="C628" s="835"/>
    </row>
    <row r="629">
      <c r="B629" s="835"/>
      <c r="C629" s="835"/>
    </row>
    <row r="630">
      <c r="B630" s="835"/>
      <c r="C630" s="835"/>
    </row>
    <row r="631">
      <c r="B631" s="835"/>
      <c r="C631" s="835"/>
    </row>
    <row r="632">
      <c r="B632" s="835"/>
      <c r="C632" s="835"/>
    </row>
    <row r="633">
      <c r="B633" s="835"/>
      <c r="C633" s="835"/>
    </row>
    <row r="634">
      <c r="B634" s="835"/>
      <c r="C634" s="835"/>
    </row>
    <row r="635">
      <c r="B635" s="835"/>
      <c r="C635" s="835"/>
    </row>
    <row r="636">
      <c r="B636" s="835"/>
      <c r="C636" s="835"/>
    </row>
    <row r="637">
      <c r="B637" s="835"/>
      <c r="C637" s="835"/>
    </row>
    <row r="638">
      <c r="B638" s="835"/>
      <c r="C638" s="835"/>
    </row>
    <row r="639">
      <c r="B639" s="835"/>
      <c r="C639" s="835"/>
    </row>
    <row r="640">
      <c r="B640" s="835"/>
      <c r="C640" s="835"/>
    </row>
    <row r="641">
      <c r="B641" s="835"/>
      <c r="C641" s="835"/>
    </row>
    <row r="642">
      <c r="B642" s="835"/>
      <c r="C642" s="835"/>
    </row>
    <row r="643">
      <c r="B643" s="835"/>
      <c r="C643" s="835"/>
    </row>
    <row r="644">
      <c r="B644" s="835"/>
      <c r="C644" s="835"/>
    </row>
    <row r="645">
      <c r="B645" s="835"/>
      <c r="C645" s="835"/>
    </row>
    <row r="646">
      <c r="B646" s="835"/>
      <c r="C646" s="835"/>
    </row>
    <row r="647">
      <c r="B647" s="835"/>
      <c r="C647" s="835"/>
    </row>
    <row r="648">
      <c r="B648" s="835"/>
      <c r="C648" s="835"/>
    </row>
    <row r="649">
      <c r="B649" s="835"/>
      <c r="C649" s="835"/>
    </row>
    <row r="650">
      <c r="B650" s="835"/>
      <c r="C650" s="835"/>
    </row>
    <row r="651">
      <c r="B651" s="835"/>
      <c r="C651" s="835"/>
    </row>
    <row r="652">
      <c r="B652" s="835"/>
      <c r="C652" s="835"/>
    </row>
    <row r="653">
      <c r="B653" s="835"/>
      <c r="C653" s="835"/>
    </row>
    <row r="654">
      <c r="B654" s="835"/>
      <c r="C654" s="835"/>
    </row>
    <row r="655">
      <c r="B655" s="835"/>
      <c r="C655" s="835"/>
    </row>
    <row r="656">
      <c r="B656" s="835"/>
      <c r="C656" s="835"/>
    </row>
    <row r="657">
      <c r="B657" s="835"/>
      <c r="C657" s="835"/>
    </row>
    <row r="658">
      <c r="B658" s="835"/>
      <c r="C658" s="835"/>
    </row>
    <row r="659">
      <c r="B659" s="835"/>
      <c r="C659" s="835"/>
    </row>
    <row r="660">
      <c r="B660" s="835"/>
      <c r="C660" s="835"/>
    </row>
    <row r="661">
      <c r="B661" s="835"/>
      <c r="C661" s="835"/>
    </row>
    <row r="662">
      <c r="B662" s="835"/>
      <c r="C662" s="835"/>
    </row>
    <row r="663">
      <c r="B663" s="835"/>
      <c r="C663" s="835"/>
    </row>
    <row r="664">
      <c r="B664" s="835"/>
      <c r="C664" s="835"/>
    </row>
    <row r="665">
      <c r="B665" s="835"/>
      <c r="C665" s="835"/>
    </row>
    <row r="666">
      <c r="B666" s="835"/>
      <c r="C666" s="835"/>
    </row>
    <row r="667">
      <c r="B667" s="835"/>
      <c r="C667" s="835"/>
    </row>
    <row r="668">
      <c r="B668" s="835"/>
      <c r="C668" s="835"/>
    </row>
    <row r="669">
      <c r="B669" s="835"/>
      <c r="C669" s="835"/>
    </row>
    <row r="670">
      <c r="B670" s="835"/>
      <c r="C670" s="835"/>
    </row>
    <row r="671">
      <c r="B671" s="835"/>
      <c r="C671" s="835"/>
    </row>
    <row r="672">
      <c r="B672" s="835"/>
      <c r="C672" s="835"/>
    </row>
    <row r="673">
      <c r="B673" s="835"/>
      <c r="C673" s="835"/>
    </row>
    <row r="674">
      <c r="B674" s="835"/>
      <c r="C674" s="835"/>
    </row>
    <row r="675">
      <c r="B675" s="835"/>
      <c r="C675" s="835"/>
    </row>
    <row r="676">
      <c r="B676" s="835"/>
      <c r="C676" s="835"/>
    </row>
    <row r="677">
      <c r="B677" s="835"/>
      <c r="C677" s="835"/>
    </row>
    <row r="678">
      <c r="B678" s="835"/>
      <c r="C678" s="835"/>
    </row>
    <row r="679">
      <c r="B679" s="835"/>
      <c r="C679" s="835"/>
    </row>
    <row r="680">
      <c r="B680" s="835"/>
      <c r="C680" s="835"/>
    </row>
    <row r="681">
      <c r="B681" s="835"/>
      <c r="C681" s="835"/>
    </row>
    <row r="682">
      <c r="B682" s="835"/>
      <c r="C682" s="835"/>
    </row>
    <row r="683">
      <c r="B683" s="835"/>
      <c r="C683" s="835"/>
    </row>
    <row r="684">
      <c r="B684" s="835"/>
      <c r="C684" s="835"/>
    </row>
    <row r="685">
      <c r="B685" s="835"/>
      <c r="C685" s="835"/>
    </row>
    <row r="686">
      <c r="B686" s="835"/>
      <c r="C686" s="835"/>
    </row>
    <row r="687">
      <c r="B687" s="835"/>
      <c r="C687" s="835"/>
    </row>
    <row r="688">
      <c r="B688" s="835"/>
      <c r="C688" s="835"/>
    </row>
    <row r="689">
      <c r="B689" s="835"/>
      <c r="C689" s="835"/>
    </row>
    <row r="690">
      <c r="B690" s="835"/>
      <c r="C690" s="835"/>
    </row>
    <row r="691">
      <c r="B691" s="835"/>
      <c r="C691" s="835"/>
    </row>
    <row r="692">
      <c r="B692" s="835"/>
      <c r="C692" s="835"/>
    </row>
    <row r="693">
      <c r="B693" s="835"/>
      <c r="C693" s="835"/>
    </row>
    <row r="694">
      <c r="B694" s="835"/>
      <c r="C694" s="835"/>
    </row>
    <row r="695">
      <c r="B695" s="835"/>
      <c r="C695" s="835"/>
    </row>
    <row r="696">
      <c r="B696" s="835"/>
      <c r="C696" s="835"/>
    </row>
    <row r="697">
      <c r="B697" s="835"/>
      <c r="C697" s="835"/>
    </row>
    <row r="698">
      <c r="B698" s="835"/>
      <c r="C698" s="835"/>
    </row>
    <row r="699">
      <c r="B699" s="835"/>
      <c r="C699" s="835"/>
    </row>
    <row r="700">
      <c r="B700" s="835"/>
      <c r="C700" s="835"/>
    </row>
    <row r="701">
      <c r="B701" s="835"/>
      <c r="C701" s="835"/>
    </row>
    <row r="702">
      <c r="B702" s="835"/>
      <c r="C702" s="835"/>
    </row>
    <row r="703">
      <c r="B703" s="835"/>
      <c r="C703" s="835"/>
    </row>
    <row r="704">
      <c r="B704" s="835"/>
      <c r="C704" s="835"/>
    </row>
    <row r="705">
      <c r="B705" s="835"/>
      <c r="C705" s="835"/>
    </row>
    <row r="706">
      <c r="B706" s="835"/>
      <c r="C706" s="835"/>
    </row>
    <row r="707">
      <c r="B707" s="835"/>
      <c r="C707" s="835"/>
    </row>
    <row r="708">
      <c r="B708" s="835"/>
      <c r="C708" s="835"/>
    </row>
    <row r="709">
      <c r="B709" s="835"/>
      <c r="C709" s="835"/>
    </row>
    <row r="710">
      <c r="B710" s="835"/>
      <c r="C710" s="835"/>
    </row>
    <row r="711">
      <c r="B711" s="835"/>
      <c r="C711" s="835"/>
    </row>
    <row r="712">
      <c r="B712" s="835"/>
      <c r="C712" s="835"/>
    </row>
    <row r="713">
      <c r="B713" s="835"/>
      <c r="C713" s="835"/>
    </row>
    <row r="714">
      <c r="B714" s="835"/>
      <c r="C714" s="835"/>
    </row>
    <row r="715">
      <c r="B715" s="835"/>
      <c r="C715" s="835"/>
    </row>
    <row r="716">
      <c r="B716" s="835"/>
      <c r="C716" s="835"/>
    </row>
    <row r="717">
      <c r="B717" s="835"/>
      <c r="C717" s="835"/>
    </row>
    <row r="718">
      <c r="B718" s="835"/>
      <c r="C718" s="835"/>
    </row>
    <row r="719">
      <c r="B719" s="835"/>
      <c r="C719" s="835"/>
    </row>
    <row r="720">
      <c r="B720" s="835"/>
      <c r="C720" s="835"/>
    </row>
    <row r="721">
      <c r="B721" s="835"/>
      <c r="C721" s="835"/>
    </row>
    <row r="722">
      <c r="B722" s="835"/>
      <c r="C722" s="835"/>
    </row>
    <row r="723">
      <c r="B723" s="835"/>
      <c r="C723" s="835"/>
    </row>
    <row r="724">
      <c r="B724" s="835"/>
      <c r="C724" s="835"/>
    </row>
    <row r="725">
      <c r="B725" s="835"/>
      <c r="C725" s="835"/>
    </row>
    <row r="726">
      <c r="B726" s="835"/>
      <c r="C726" s="835"/>
    </row>
    <row r="727">
      <c r="B727" s="835"/>
      <c r="C727" s="835"/>
    </row>
    <row r="728">
      <c r="B728" s="835"/>
      <c r="C728" s="835"/>
    </row>
    <row r="729">
      <c r="B729" s="835"/>
      <c r="C729" s="835"/>
    </row>
    <row r="730">
      <c r="B730" s="835"/>
      <c r="C730" s="835"/>
    </row>
    <row r="731">
      <c r="B731" s="835"/>
      <c r="C731" s="835"/>
    </row>
    <row r="732">
      <c r="B732" s="835"/>
      <c r="C732" s="835"/>
    </row>
    <row r="733">
      <c r="B733" s="835"/>
      <c r="C733" s="835"/>
    </row>
    <row r="734">
      <c r="B734" s="835"/>
      <c r="C734" s="835"/>
    </row>
    <row r="735">
      <c r="B735" s="835"/>
      <c r="C735" s="835"/>
    </row>
    <row r="736">
      <c r="B736" s="835"/>
      <c r="C736" s="835"/>
    </row>
    <row r="737">
      <c r="B737" s="835"/>
      <c r="C737" s="835"/>
    </row>
    <row r="738">
      <c r="B738" s="835"/>
      <c r="C738" s="835"/>
    </row>
    <row r="739">
      <c r="B739" s="835"/>
      <c r="C739" s="835"/>
    </row>
    <row r="740">
      <c r="B740" s="835"/>
      <c r="C740" s="835"/>
    </row>
    <row r="741">
      <c r="B741" s="835"/>
      <c r="C741" s="835"/>
    </row>
    <row r="742">
      <c r="B742" s="835"/>
      <c r="C742" s="835"/>
    </row>
    <row r="743">
      <c r="B743" s="835"/>
      <c r="C743" s="835"/>
    </row>
    <row r="744">
      <c r="B744" s="835"/>
      <c r="C744" s="835"/>
    </row>
    <row r="745">
      <c r="B745" s="835"/>
      <c r="C745" s="835"/>
    </row>
    <row r="746">
      <c r="B746" s="835"/>
      <c r="C746" s="835"/>
    </row>
    <row r="747">
      <c r="B747" s="835"/>
      <c r="C747" s="835"/>
    </row>
    <row r="748">
      <c r="B748" s="835"/>
      <c r="C748" s="835"/>
    </row>
    <row r="749">
      <c r="B749" s="835"/>
      <c r="C749" s="835"/>
    </row>
    <row r="750">
      <c r="B750" s="835"/>
      <c r="C750" s="835"/>
    </row>
    <row r="751">
      <c r="B751" s="835"/>
      <c r="C751" s="835"/>
    </row>
    <row r="752">
      <c r="B752" s="835"/>
      <c r="C752" s="835"/>
    </row>
    <row r="753">
      <c r="B753" s="835"/>
      <c r="C753" s="835"/>
    </row>
    <row r="754">
      <c r="B754" s="835"/>
      <c r="C754" s="835"/>
    </row>
    <row r="755">
      <c r="B755" s="835"/>
      <c r="C755" s="835"/>
    </row>
    <row r="756">
      <c r="B756" s="835"/>
      <c r="C756" s="835"/>
    </row>
    <row r="757">
      <c r="B757" s="835"/>
      <c r="C757" s="835"/>
    </row>
    <row r="758">
      <c r="B758" s="835"/>
      <c r="C758" s="835"/>
    </row>
    <row r="759">
      <c r="B759" s="835"/>
      <c r="C759" s="835"/>
    </row>
    <row r="760">
      <c r="B760" s="835"/>
      <c r="C760" s="835"/>
    </row>
    <row r="761">
      <c r="B761" s="835"/>
      <c r="C761" s="835"/>
    </row>
    <row r="762">
      <c r="B762" s="835"/>
      <c r="C762" s="835"/>
    </row>
    <row r="763">
      <c r="B763" s="835"/>
      <c r="C763" s="835"/>
    </row>
    <row r="764">
      <c r="B764" s="835"/>
      <c r="C764" s="835"/>
    </row>
    <row r="765">
      <c r="B765" s="835"/>
      <c r="C765" s="835"/>
    </row>
    <row r="766">
      <c r="B766" s="835"/>
      <c r="C766" s="835"/>
    </row>
    <row r="767">
      <c r="B767" s="835"/>
      <c r="C767" s="835"/>
    </row>
    <row r="768">
      <c r="B768" s="835"/>
      <c r="C768" s="835"/>
    </row>
    <row r="769">
      <c r="B769" s="835"/>
      <c r="C769" s="835"/>
    </row>
    <row r="770">
      <c r="B770" s="835"/>
      <c r="C770" s="835"/>
    </row>
    <row r="771">
      <c r="B771" s="835"/>
      <c r="C771" s="835"/>
    </row>
    <row r="772">
      <c r="B772" s="835"/>
      <c r="C772" s="835"/>
    </row>
    <row r="773">
      <c r="B773" s="835"/>
      <c r="C773" s="835"/>
    </row>
    <row r="774">
      <c r="B774" s="835"/>
      <c r="C774" s="835"/>
    </row>
    <row r="775">
      <c r="B775" s="835"/>
      <c r="C775" s="835"/>
    </row>
    <row r="776">
      <c r="B776" s="835"/>
      <c r="C776" s="835"/>
    </row>
    <row r="777">
      <c r="B777" s="835"/>
      <c r="C777" s="835"/>
    </row>
    <row r="778">
      <c r="B778" s="835"/>
      <c r="C778" s="835"/>
    </row>
    <row r="779">
      <c r="B779" s="835"/>
      <c r="C779" s="835"/>
    </row>
    <row r="780">
      <c r="B780" s="835"/>
      <c r="C780" s="835"/>
    </row>
    <row r="781">
      <c r="B781" s="835"/>
      <c r="C781" s="835"/>
    </row>
    <row r="782">
      <c r="B782" s="835"/>
      <c r="C782" s="835"/>
    </row>
    <row r="783">
      <c r="B783" s="835"/>
      <c r="C783" s="835"/>
    </row>
    <row r="784">
      <c r="B784" s="835"/>
      <c r="C784" s="835"/>
    </row>
    <row r="785">
      <c r="B785" s="835"/>
      <c r="C785" s="835"/>
    </row>
    <row r="786">
      <c r="B786" s="835"/>
      <c r="C786" s="835"/>
    </row>
    <row r="787">
      <c r="B787" s="835"/>
      <c r="C787" s="835"/>
    </row>
    <row r="788">
      <c r="B788" s="835"/>
      <c r="C788" s="835"/>
    </row>
    <row r="789">
      <c r="B789" s="835"/>
      <c r="C789" s="835"/>
    </row>
    <row r="790">
      <c r="B790" s="835"/>
      <c r="C790" s="835"/>
    </row>
    <row r="791">
      <c r="B791" s="835"/>
      <c r="C791" s="835"/>
    </row>
    <row r="792">
      <c r="B792" s="835"/>
      <c r="C792" s="835"/>
    </row>
    <row r="793">
      <c r="B793" s="835"/>
      <c r="C793" s="835"/>
    </row>
    <row r="794">
      <c r="B794" s="835"/>
      <c r="C794" s="835"/>
    </row>
    <row r="795">
      <c r="B795" s="835"/>
      <c r="C795" s="835"/>
    </row>
    <row r="796">
      <c r="B796" s="835"/>
      <c r="C796" s="835"/>
    </row>
    <row r="797">
      <c r="B797" s="835"/>
      <c r="C797" s="835"/>
    </row>
    <row r="798">
      <c r="B798" s="835"/>
      <c r="C798" s="835"/>
    </row>
    <row r="799">
      <c r="B799" s="835"/>
      <c r="C799" s="835"/>
    </row>
    <row r="800">
      <c r="B800" s="835"/>
      <c r="C800" s="835"/>
    </row>
    <row r="801">
      <c r="B801" s="835"/>
      <c r="C801" s="835"/>
    </row>
    <row r="802">
      <c r="B802" s="835"/>
      <c r="C802" s="835"/>
    </row>
    <row r="803">
      <c r="B803" s="835"/>
      <c r="C803" s="835"/>
    </row>
    <row r="804">
      <c r="B804" s="835"/>
      <c r="C804" s="835"/>
    </row>
    <row r="805">
      <c r="B805" s="835"/>
      <c r="C805" s="835"/>
    </row>
    <row r="806">
      <c r="B806" s="835"/>
      <c r="C806" s="835"/>
    </row>
    <row r="807">
      <c r="B807" s="835"/>
      <c r="C807" s="835"/>
    </row>
    <row r="808">
      <c r="B808" s="835"/>
      <c r="C808" s="835"/>
    </row>
    <row r="809">
      <c r="B809" s="835"/>
      <c r="C809" s="835"/>
    </row>
    <row r="810">
      <c r="B810" s="835"/>
      <c r="C810" s="835"/>
    </row>
    <row r="811">
      <c r="B811" s="835"/>
      <c r="C811" s="835"/>
    </row>
    <row r="812">
      <c r="B812" s="835"/>
      <c r="C812" s="835"/>
    </row>
    <row r="813">
      <c r="B813" s="835"/>
      <c r="C813" s="835"/>
    </row>
    <row r="814">
      <c r="B814" s="835"/>
      <c r="C814" s="835"/>
    </row>
    <row r="815">
      <c r="B815" s="835"/>
      <c r="C815" s="835"/>
    </row>
    <row r="816">
      <c r="B816" s="835"/>
      <c r="C816" s="835"/>
    </row>
    <row r="817">
      <c r="B817" s="835"/>
      <c r="C817" s="835"/>
    </row>
    <row r="818">
      <c r="B818" s="835"/>
      <c r="C818" s="835"/>
    </row>
    <row r="819">
      <c r="B819" s="835"/>
      <c r="C819" s="835"/>
    </row>
    <row r="820">
      <c r="B820" s="835"/>
      <c r="C820" s="835"/>
    </row>
    <row r="821">
      <c r="B821" s="835"/>
      <c r="C821" s="835"/>
    </row>
    <row r="822">
      <c r="B822" s="835"/>
      <c r="C822" s="835"/>
    </row>
    <row r="823">
      <c r="B823" s="835"/>
      <c r="C823" s="835"/>
    </row>
    <row r="824">
      <c r="B824" s="835"/>
      <c r="C824" s="835"/>
    </row>
    <row r="825">
      <c r="B825" s="835"/>
      <c r="C825" s="835"/>
    </row>
    <row r="826">
      <c r="B826" s="835"/>
      <c r="C826" s="835"/>
    </row>
    <row r="827">
      <c r="B827" s="835"/>
      <c r="C827" s="835"/>
    </row>
    <row r="828">
      <c r="B828" s="835"/>
      <c r="C828" s="835"/>
    </row>
    <row r="829">
      <c r="B829" s="835"/>
      <c r="C829" s="835"/>
    </row>
    <row r="830">
      <c r="B830" s="835"/>
      <c r="C830" s="835"/>
    </row>
    <row r="831">
      <c r="B831" s="835"/>
      <c r="C831" s="835"/>
    </row>
    <row r="832">
      <c r="B832" s="835"/>
      <c r="C832" s="835"/>
    </row>
    <row r="833">
      <c r="B833" s="835"/>
      <c r="C833" s="835"/>
    </row>
    <row r="834">
      <c r="B834" s="835"/>
      <c r="C834" s="835"/>
    </row>
    <row r="835">
      <c r="B835" s="835"/>
      <c r="C835" s="835"/>
    </row>
    <row r="836">
      <c r="B836" s="835"/>
      <c r="C836" s="835"/>
    </row>
    <row r="837">
      <c r="B837" s="835"/>
      <c r="C837" s="835"/>
    </row>
    <row r="838">
      <c r="B838" s="835"/>
      <c r="C838" s="835"/>
    </row>
    <row r="839">
      <c r="B839" s="835"/>
      <c r="C839" s="835"/>
    </row>
    <row r="840">
      <c r="B840" s="835"/>
      <c r="C840" s="835"/>
    </row>
    <row r="841">
      <c r="B841" s="835"/>
      <c r="C841" s="835"/>
    </row>
    <row r="842">
      <c r="B842" s="835"/>
      <c r="C842" s="835"/>
    </row>
    <row r="843">
      <c r="B843" s="835"/>
      <c r="C843" s="835"/>
    </row>
    <row r="844">
      <c r="B844" s="835"/>
      <c r="C844" s="835"/>
    </row>
    <row r="845">
      <c r="B845" s="835"/>
      <c r="C845" s="835"/>
    </row>
    <row r="846">
      <c r="B846" s="835"/>
      <c r="C846" s="835"/>
    </row>
    <row r="847">
      <c r="B847" s="835"/>
      <c r="C847" s="835"/>
    </row>
    <row r="848">
      <c r="B848" s="835"/>
      <c r="C848" s="835"/>
    </row>
    <row r="849">
      <c r="B849" s="835"/>
      <c r="C849" s="835"/>
    </row>
    <row r="850">
      <c r="B850" s="835"/>
      <c r="C850" s="835"/>
    </row>
    <row r="851">
      <c r="B851" s="835"/>
      <c r="C851" s="835"/>
    </row>
    <row r="852">
      <c r="B852" s="835"/>
      <c r="C852" s="835"/>
    </row>
    <row r="853">
      <c r="B853" s="835"/>
      <c r="C853" s="835"/>
    </row>
    <row r="854">
      <c r="B854" s="835"/>
      <c r="C854" s="835"/>
    </row>
    <row r="855">
      <c r="B855" s="835"/>
      <c r="C855" s="835"/>
    </row>
    <row r="856">
      <c r="B856" s="835"/>
      <c r="C856" s="835"/>
    </row>
    <row r="857">
      <c r="B857" s="835"/>
      <c r="C857" s="835"/>
    </row>
    <row r="858">
      <c r="B858" s="835"/>
      <c r="C858" s="835"/>
    </row>
    <row r="859">
      <c r="B859" s="835"/>
      <c r="C859" s="835"/>
    </row>
    <row r="860">
      <c r="B860" s="835"/>
      <c r="C860" s="835"/>
    </row>
    <row r="861">
      <c r="B861" s="835"/>
      <c r="C861" s="835"/>
    </row>
    <row r="862">
      <c r="B862" s="835"/>
      <c r="C862" s="835"/>
    </row>
    <row r="863">
      <c r="B863" s="835"/>
      <c r="C863" s="835"/>
    </row>
    <row r="864">
      <c r="B864" s="835"/>
      <c r="C864" s="835"/>
    </row>
    <row r="865">
      <c r="B865" s="835"/>
      <c r="C865" s="835"/>
    </row>
    <row r="866">
      <c r="B866" s="835"/>
      <c r="C866" s="835"/>
    </row>
    <row r="867">
      <c r="B867" s="835"/>
      <c r="C867" s="835"/>
    </row>
    <row r="868">
      <c r="B868" s="835"/>
      <c r="C868" s="835"/>
    </row>
    <row r="869">
      <c r="B869" s="835"/>
      <c r="C869" s="835"/>
    </row>
    <row r="870">
      <c r="B870" s="835"/>
      <c r="C870" s="835"/>
    </row>
    <row r="871">
      <c r="B871" s="835"/>
      <c r="C871" s="835"/>
    </row>
    <row r="872">
      <c r="B872" s="835"/>
      <c r="C872" s="835"/>
    </row>
    <row r="873">
      <c r="B873" s="835"/>
      <c r="C873" s="835"/>
    </row>
    <row r="874">
      <c r="B874" s="835"/>
      <c r="C874" s="835"/>
    </row>
    <row r="875">
      <c r="B875" s="835"/>
      <c r="C875" s="835"/>
    </row>
    <row r="876">
      <c r="B876" s="835"/>
      <c r="C876" s="835"/>
    </row>
    <row r="877">
      <c r="B877" s="835"/>
      <c r="C877" s="835"/>
    </row>
    <row r="878">
      <c r="B878" s="835"/>
      <c r="C878" s="835"/>
    </row>
    <row r="879">
      <c r="B879" s="835"/>
      <c r="C879" s="835"/>
    </row>
    <row r="880">
      <c r="B880" s="835"/>
      <c r="C880" s="835"/>
    </row>
    <row r="881">
      <c r="B881" s="835"/>
      <c r="C881" s="835"/>
    </row>
    <row r="882">
      <c r="B882" s="835"/>
      <c r="C882" s="835"/>
    </row>
    <row r="883">
      <c r="B883" s="835"/>
      <c r="C883" s="835"/>
    </row>
    <row r="884">
      <c r="B884" s="835"/>
      <c r="C884" s="835"/>
    </row>
    <row r="885">
      <c r="B885" s="835"/>
      <c r="C885" s="835"/>
    </row>
    <row r="886">
      <c r="B886" s="835"/>
      <c r="C886" s="835"/>
    </row>
    <row r="887">
      <c r="B887" s="835"/>
      <c r="C887" s="835"/>
    </row>
    <row r="888">
      <c r="B888" s="835"/>
      <c r="C888" s="835"/>
    </row>
    <row r="889">
      <c r="B889" s="835"/>
      <c r="C889" s="835"/>
    </row>
    <row r="890">
      <c r="B890" s="835"/>
      <c r="C890" s="835"/>
    </row>
    <row r="891">
      <c r="B891" s="835"/>
      <c r="C891" s="835"/>
    </row>
    <row r="892">
      <c r="B892" s="835"/>
      <c r="C892" s="835"/>
    </row>
    <row r="893">
      <c r="B893" s="835"/>
      <c r="C893" s="835"/>
    </row>
    <row r="894">
      <c r="B894" s="835"/>
      <c r="C894" s="835"/>
    </row>
    <row r="895">
      <c r="B895" s="835"/>
      <c r="C895" s="835"/>
    </row>
    <row r="896">
      <c r="B896" s="835"/>
      <c r="C896" s="835"/>
    </row>
    <row r="897">
      <c r="B897" s="835"/>
      <c r="C897" s="835"/>
    </row>
    <row r="898">
      <c r="B898" s="835"/>
      <c r="C898" s="835"/>
    </row>
    <row r="899">
      <c r="B899" s="835"/>
      <c r="C899" s="835"/>
    </row>
    <row r="900">
      <c r="B900" s="835"/>
      <c r="C900" s="835"/>
    </row>
    <row r="901">
      <c r="B901" s="835"/>
      <c r="C901" s="835"/>
    </row>
    <row r="902">
      <c r="B902" s="835"/>
      <c r="C902" s="835"/>
    </row>
    <row r="903">
      <c r="B903" s="835"/>
      <c r="C903" s="835"/>
    </row>
    <row r="904">
      <c r="B904" s="835"/>
      <c r="C904" s="835"/>
    </row>
    <row r="905">
      <c r="B905" s="835"/>
      <c r="C905" s="835"/>
    </row>
    <row r="906">
      <c r="B906" s="835"/>
      <c r="C906" s="835"/>
    </row>
    <row r="907">
      <c r="B907" s="835"/>
      <c r="C907" s="835"/>
    </row>
    <row r="908">
      <c r="B908" s="835"/>
      <c r="C908" s="835"/>
    </row>
    <row r="909">
      <c r="B909" s="835"/>
      <c r="C909" s="835"/>
    </row>
    <row r="910">
      <c r="B910" s="835"/>
      <c r="C910" s="835"/>
    </row>
    <row r="911">
      <c r="B911" s="835"/>
      <c r="C911" s="835"/>
    </row>
    <row r="912">
      <c r="B912" s="835"/>
      <c r="C912" s="835"/>
    </row>
    <row r="913">
      <c r="B913" s="835"/>
      <c r="C913" s="835"/>
    </row>
    <row r="914">
      <c r="B914" s="835"/>
      <c r="C914" s="835"/>
    </row>
    <row r="915">
      <c r="B915" s="835"/>
      <c r="C915" s="835"/>
    </row>
    <row r="916">
      <c r="B916" s="835"/>
      <c r="C916" s="835"/>
    </row>
    <row r="917">
      <c r="B917" s="835"/>
      <c r="C917" s="835"/>
    </row>
    <row r="918">
      <c r="B918" s="835"/>
      <c r="C918" s="835"/>
    </row>
    <row r="919">
      <c r="B919" s="835"/>
      <c r="C919" s="835"/>
    </row>
    <row r="920">
      <c r="B920" s="835"/>
      <c r="C920" s="835"/>
    </row>
    <row r="921">
      <c r="B921" s="835"/>
      <c r="C921" s="835"/>
    </row>
    <row r="922">
      <c r="B922" s="835"/>
      <c r="C922" s="835"/>
    </row>
    <row r="923">
      <c r="B923" s="835"/>
      <c r="C923" s="835"/>
    </row>
    <row r="924">
      <c r="B924" s="835"/>
      <c r="C924" s="835"/>
    </row>
    <row r="925">
      <c r="B925" s="835"/>
      <c r="C925" s="835"/>
    </row>
    <row r="926">
      <c r="B926" s="835"/>
      <c r="C926" s="835"/>
    </row>
    <row r="927">
      <c r="B927" s="835"/>
      <c r="C927" s="835"/>
    </row>
    <row r="928">
      <c r="B928" s="835"/>
      <c r="C928" s="835"/>
    </row>
    <row r="929">
      <c r="B929" s="835"/>
      <c r="C929" s="835"/>
    </row>
    <row r="930">
      <c r="B930" s="835"/>
      <c r="C930" s="835"/>
    </row>
    <row r="931">
      <c r="B931" s="835"/>
      <c r="C931" s="835"/>
    </row>
    <row r="932">
      <c r="B932" s="835"/>
      <c r="C932" s="835"/>
    </row>
    <row r="933">
      <c r="B933" s="835"/>
      <c r="C933" s="835"/>
    </row>
    <row r="934">
      <c r="B934" s="835"/>
      <c r="C934" s="835"/>
    </row>
    <row r="935">
      <c r="B935" s="835"/>
      <c r="C935" s="835"/>
    </row>
    <row r="936">
      <c r="B936" s="835"/>
      <c r="C936" s="835"/>
    </row>
    <row r="937">
      <c r="B937" s="835"/>
      <c r="C937" s="835"/>
    </row>
    <row r="938">
      <c r="B938" s="835"/>
      <c r="C938" s="835"/>
    </row>
    <row r="939">
      <c r="B939" s="835"/>
      <c r="C939" s="835"/>
    </row>
    <row r="940">
      <c r="B940" s="835"/>
      <c r="C940" s="835"/>
    </row>
    <row r="941">
      <c r="B941" s="835"/>
      <c r="C941" s="835"/>
    </row>
    <row r="942">
      <c r="B942" s="835"/>
      <c r="C942" s="835"/>
    </row>
    <row r="943">
      <c r="B943" s="835"/>
      <c r="C943" s="835"/>
    </row>
    <row r="944">
      <c r="B944" s="835"/>
      <c r="C944" s="835"/>
    </row>
    <row r="945">
      <c r="B945" s="835"/>
      <c r="C945" s="835"/>
    </row>
    <row r="946">
      <c r="B946" s="835"/>
      <c r="C946" s="835"/>
    </row>
    <row r="947">
      <c r="B947" s="835"/>
      <c r="C947" s="835"/>
    </row>
    <row r="948">
      <c r="B948" s="835"/>
      <c r="C948" s="835"/>
    </row>
    <row r="949">
      <c r="B949" s="835"/>
      <c r="C949" s="835"/>
    </row>
    <row r="950">
      <c r="B950" s="835"/>
      <c r="C950" s="835"/>
    </row>
    <row r="951">
      <c r="B951" s="835"/>
      <c r="C951" s="835"/>
    </row>
    <row r="952">
      <c r="B952" s="835"/>
      <c r="C952" s="835"/>
    </row>
    <row r="953">
      <c r="B953" s="835"/>
      <c r="C953" s="835"/>
    </row>
    <row r="954">
      <c r="B954" s="835"/>
      <c r="C954" s="835"/>
    </row>
    <row r="955">
      <c r="B955" s="835"/>
      <c r="C955" s="835"/>
    </row>
    <row r="956">
      <c r="B956" s="835"/>
      <c r="C956" s="835"/>
    </row>
    <row r="957">
      <c r="B957" s="835"/>
      <c r="C957" s="835"/>
    </row>
    <row r="958">
      <c r="B958" s="835"/>
      <c r="C958" s="835"/>
    </row>
    <row r="959">
      <c r="B959" s="835"/>
      <c r="C959" s="835"/>
    </row>
    <row r="960">
      <c r="B960" s="835"/>
      <c r="C960" s="835"/>
    </row>
    <row r="961">
      <c r="B961" s="835"/>
      <c r="C961" s="835"/>
    </row>
    <row r="962">
      <c r="B962" s="835"/>
      <c r="C962" s="835"/>
    </row>
    <row r="963">
      <c r="B963" s="835"/>
      <c r="C963" s="835"/>
    </row>
    <row r="964">
      <c r="B964" s="835"/>
      <c r="C964" s="835"/>
    </row>
    <row r="965">
      <c r="B965" s="835"/>
      <c r="C965" s="835"/>
    </row>
    <row r="966">
      <c r="B966" s="835"/>
      <c r="C966" s="835"/>
    </row>
    <row r="967">
      <c r="B967" s="835"/>
      <c r="C967" s="835"/>
    </row>
    <row r="968">
      <c r="B968" s="835"/>
      <c r="C968" s="835"/>
    </row>
    <row r="969">
      <c r="B969" s="835"/>
      <c r="C969" s="835"/>
    </row>
    <row r="970">
      <c r="B970" s="835"/>
      <c r="C970" s="835"/>
    </row>
    <row r="971">
      <c r="B971" s="835"/>
      <c r="C971" s="835"/>
    </row>
    <row r="972">
      <c r="B972" s="835"/>
      <c r="C972" s="835"/>
    </row>
    <row r="973">
      <c r="B973" s="835"/>
      <c r="C973" s="835"/>
    </row>
    <row r="974">
      <c r="B974" s="835"/>
      <c r="C974" s="835"/>
    </row>
    <row r="975">
      <c r="B975" s="835"/>
      <c r="C975" s="835"/>
    </row>
    <row r="976">
      <c r="B976" s="835"/>
      <c r="C976" s="835"/>
    </row>
    <row r="977">
      <c r="B977" s="835"/>
      <c r="C977" s="835"/>
    </row>
    <row r="978">
      <c r="B978" s="835"/>
      <c r="C978" s="835"/>
    </row>
    <row r="979">
      <c r="B979" s="835"/>
      <c r="C979" s="835"/>
    </row>
    <row r="980">
      <c r="B980" s="835"/>
      <c r="C980" s="835"/>
    </row>
    <row r="981">
      <c r="B981" s="835"/>
      <c r="C981" s="835"/>
    </row>
    <row r="982">
      <c r="B982" s="835"/>
      <c r="C982" s="835"/>
    </row>
    <row r="983">
      <c r="B983" s="835"/>
      <c r="C983" s="835"/>
    </row>
    <row r="984">
      <c r="B984" s="835"/>
      <c r="C984" s="835"/>
    </row>
    <row r="985">
      <c r="B985" s="835"/>
      <c r="C985" s="835"/>
    </row>
    <row r="986">
      <c r="B986" s="835"/>
      <c r="C986" s="835"/>
    </row>
    <row r="987">
      <c r="B987" s="835"/>
      <c r="C987" s="835"/>
    </row>
    <row r="988">
      <c r="B988" s="835"/>
      <c r="C988" s="835"/>
    </row>
    <row r="989">
      <c r="B989" s="835"/>
      <c r="C989" s="835"/>
    </row>
    <row r="990">
      <c r="B990" s="835"/>
      <c r="C990" s="835"/>
    </row>
    <row r="991">
      <c r="B991" s="835"/>
      <c r="C991" s="835"/>
    </row>
    <row r="992">
      <c r="B992" s="835"/>
      <c r="C992" s="835"/>
    </row>
    <row r="993">
      <c r="B993" s="835"/>
      <c r="C993" s="835"/>
    </row>
    <row r="994">
      <c r="B994" s="835"/>
      <c r="C994" s="835"/>
    </row>
    <row r="995">
      <c r="B995" s="835"/>
      <c r="C995" s="835"/>
    </row>
    <row r="996">
      <c r="B996" s="835"/>
      <c r="C996" s="835"/>
    </row>
    <row r="997">
      <c r="B997" s="835"/>
      <c r="C997" s="835"/>
    </row>
    <row r="998">
      <c r="B998" s="835"/>
      <c r="C998" s="835"/>
    </row>
    <row r="999">
      <c r="B999" s="835"/>
      <c r="C999" s="835"/>
    </row>
    <row r="1000">
      <c r="B1000" s="835"/>
      <c r="C1000" s="835"/>
    </row>
    <row r="1001">
      <c r="B1001" s="835"/>
      <c r="C1001" s="835"/>
    </row>
  </sheetData>
  <hyperlinks>
    <hyperlink r:id="rId1" ref="K5"/>
    <hyperlink r:id="rId2" ref="K6"/>
    <hyperlink r:id="rId3" location="gid=1230167073" ref="K7"/>
    <hyperlink r:id="rId4" ref="K8"/>
    <hyperlink r:id="rId5" location="gid=1230167073" ref="K9"/>
    <hyperlink r:id="rId6" location="gid=1230167073" ref="K10"/>
  </hyperlinks>
  <drawing r:id="rId7"/>
</worksheet>
</file>