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はじめに" sheetId="1" r:id="rId5"/>
    <sheet state="visible" name="チェック表" sheetId="2" r:id="rId6"/>
    <sheet state="visible" name="入力制御" sheetId="3" r:id="rId7"/>
    <sheet state="visible" name="課題管理" sheetId="4" r:id="rId8"/>
    <sheet state="visible" name="app_readme" sheetId="5" r:id="rId9"/>
    <sheet state="visible" name="app_schedule" sheetId="6" r:id="rId10"/>
    <sheet state="visible" name="app_exceptions" sheetId="7" r:id="rId11"/>
    <sheet state="visible" name="app_check_status" sheetId="8" r:id="rId12"/>
    <sheet state="visible" name="app_comments" sheetId="9" r:id="rId13"/>
    <sheet state="hidden" name="月末増発✅" sheetId="10" r:id="rId14"/>
    <sheet state="hidden" name="MA" sheetId="11" r:id="rId15"/>
    <sheet state="hidden" name="商品系管理" sheetId="12" r:id="rId16"/>
    <sheet state="hidden" name="26414_編集版 のコピー 2" sheetId="13" r:id="rId17"/>
    <sheet state="visible" name="app_pr" sheetId="14" r:id="rId18"/>
    <sheet state="visible" name="app_pr_targets" sheetId="15" r:id="rId19"/>
    <sheet state="visible" name="app_holidays" sheetId="16" r:id="rId20"/>
    <sheet state="visible" name="app_schedule_archives" sheetId="17" r:id="rId21"/>
    <sheet state="visible" name="app_admin_master" sheetId="18" r:id="rId22"/>
    <sheet state="visible" name="app_pref_master" sheetId="19" r:id="rId23"/>
    <sheet state="visible" name="app_job_master" sheetId="20" r:id="rId24"/>
    <sheet state="visible" name="app_pr_code_master" sheetId="21" r:id="rId25"/>
  </sheets>
  <definedNames>
    <definedName hidden="1" localSheetId="3" name="_xlnm._FilterDatabase">'課題管理'!$A$1:$G$52</definedName>
    <definedName hidden="1" localSheetId="10" name="_xlnm._FilterDatabase">MA!$A$1:$L$1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メルマガ全件リスト</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その日だけの配信内容変更点</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tc={077d2e76-0213-40bb-9169-a0721b5d009e}</author>
  </authors>
  <commentList>
    <comment authorId="0" ref="A1">
      <text>
        <t xml:space="preserve">コメント履歴</t>
      </text>
    </comment>
    <comment authorId="1" xr:uid="{077d2e76-0213-40bb-9169-a0721b5d009e}" ref="A1">
      <text>
        <t xml:space="preserve">[Threaded comment]
 Your version of Excel allows you to read this threaded comment; however, any edits to it will get removed if the file is opened in a newer version of Excel. Learn more: https://go.microsoft.com/fwlink/?linkid=870924
Comment:
	コメント履歴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PR全件</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PRに紐づいているメルマガ</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バックアップデータ</t>
      </text>
    </comment>
  </commentList>
</comments>
</file>

<file path=xl/sharedStrings.xml><?xml version="1.0" encoding="utf-8"?>
<sst xmlns="http://schemas.openxmlformats.org/spreadsheetml/2006/main" count="9427" uniqueCount="1948">
  <si>
    <t>はじめに</t>
  </si>
  <si>
    <t>メルマガメーカー</t>
  </si>
  <si>
    <t>https://script.google.com/a/macros/type.jp/s/AKfycbzfuyTAe_ZUsCutzU5H1UkQZVoq2zOrmn1WoP4j9tiEYBo5BDNzPW6kofDGXkTiDAJ0Qw/exec</t>
  </si>
  <si>
    <t>このシートはメルマガスケジュールメーカーの母体になるスプレッドシートです。</t>
  </si>
  <si>
    <t>仕様書</t>
  </si>
  <si>
    <t>https://github.com/cdc-a-yokoo/mail-magazine-maker/blob/main/SPEC.md</t>
  </si>
  <si>
    <t>このシートをマスタとして、アプリに各メルマガが抽出されています。(リアルタイムで連携されています)</t>
  </si>
  <si>
    <t>スプシ【これ】</t>
  </si>
  <si>
    <t>【ウキ】新メルマガスケジュール(作成中)</t>
  </si>
  <si>
    <t>Github</t>
  </si>
  <si>
    <t>https://github.com/cdc-a-yokoo/mail-magazine-maker/tree/main</t>
  </si>
  <si>
    <t>GAS/AppscriptはGoogleツールを母体にWEBサイトを作成することができます。</t>
  </si>
  <si>
    <t>小～中規模社内ツールで利用するにはベストですが、何万の通信には耐えられません。</t>
  </si>
  <si>
    <t>メルマガ運用について</t>
  </si>
  <si>
    <t>基本的にアプリ上で追加・変更した内容を吐き出すスプシなので、このシートを修正することはありません。</t>
  </si>
  <si>
    <t>※力技で一気に変えたいときはこちらの方が便利です(設定者一気に変えたい、とか)</t>
  </si>
  <si>
    <t>ただ、壊れる可能性もあるので、確実なもの以外は注意して扱ってください。</t>
  </si>
  <si>
    <t>変更した際は必ずアプリでの変更と、他動作への影響などを確認してください。</t>
  </si>
  <si>
    <t>たまに壊れるのは作業中だからです</t>
  </si>
  <si>
    <t>メルマガスケジュールの作成法</t>
  </si>
  <si>
    <t>不要</t>
  </si>
  <si>
    <t>シートの日付を変える※火曜部分を変更すると残りは自動で更新される（土日・祝日・長期休暇は赤色に変更する）</t>
  </si>
  <si>
    <t>スケジュールの隔週で色を変える(B1部分、シートの色）</t>
  </si>
  <si>
    <t>桃</t>
  </si>
  <si>
    <t>緑</t>
  </si>
  <si>
    <r>
      <rPr>
        <rFont val="Noto Sans"/>
        <b/>
        <color theme="1"/>
      </rPr>
      <t>毎週タイトル変更があるメルマガ（ポジションマッチ ）</t>
    </r>
    <r>
      <rPr>
        <rFont val="Noto Sans"/>
        <color theme="1"/>
      </rPr>
      <t xml:space="preserve">
</t>
    </r>
    <r>
      <rPr>
        <rFont val="Noto Sans"/>
        <color theme="1"/>
        <sz val="9.0"/>
      </rPr>
      <t xml:space="preserve">(火8)A1・(金16)B1                        
(火8)A2・(金16)B2                        
(火8)A3・(金16)B3・関西                        </t>
    </r>
    <r>
      <rPr>
        <rFont val="Noto Sans"/>
        <color theme="1"/>
      </rPr>
      <t xml:space="preserve">   </t>
    </r>
  </si>
  <si>
    <r>
      <rPr>
        <rFont val="Noto Sans"/>
        <b/>
        <color theme="1"/>
      </rPr>
      <t xml:space="preserve">※関西を配信に変更する（火曜8時のポジマがA3のときに配信される。3週間ごとのサイクル）  </t>
    </r>
    <r>
      <rPr>
        <rFont val="Noto Sans"/>
        <color theme="1"/>
      </rPr>
      <t xml:space="preserve"> </t>
    </r>
  </si>
  <si>
    <t>金曜8時「フルリモート×好条件」は3週目以外はグレー</t>
  </si>
  <si>
    <t>PR管理のシートチェック（シートの一番上から変更する箇所があるかを一つ一つ確認する。）</t>
  </si>
  <si>
    <t>└PR202削除(4/27迄)</t>
  </si>
  <si>
    <t>該当週に変更（追加、削除）があれば赤字にして追記　→　変更ない場合は、グリーンの文字（継続中）</t>
  </si>
  <si>
    <t>└PR203追加(5/25迄)</t>
  </si>
  <si>
    <t>終了したシートにはPR管理に終了を記載する</t>
  </si>
  <si>
    <t>終了は該当PRが終了になる翌週に書き込む</t>
  </si>
  <si>
    <t>イレギュラー管理のシートチェック</t>
  </si>
  <si>
    <t>※忘れないよう注意※ イレギュラー対応が終わったら(配信日を過ぎているもの)、メルマガスケジュール欄から非表示にする。（前週のイレギュラーを確認配信終了ならば終了に終了と記載を付ける）</t>
  </si>
  <si>
    <t>該当がある場合は、メルマガスケジュール内の指定の日時に追記</t>
  </si>
  <si>
    <t>メルマガの文面が決まっている場合はフリー⇒青く塗る（うす水色）</t>
  </si>
  <si>
    <t>メルマガスケジュール内に追記完了したら、イレギュラー管理のシートに「レ」点で起票欄にチェック</t>
  </si>
  <si>
    <t>増発シートのチェック</t>
  </si>
  <si>
    <t>先週配信で今週配信しないものは削除する（作成週の前の週の増発は終了と記入）</t>
  </si>
  <si>
    <t>作成週の前の週の増発は終了を記入する</t>
  </si>
  <si>
    <t>配信日に該当がある場合は記載する⇒青く塗る（うす水色）</t>
  </si>
  <si>
    <t>該当日は、増発シート内を黄色で塗る</t>
  </si>
  <si>
    <t>上から一つ一つ確認</t>
  </si>
  <si>
    <t>施策の詳細部分に詳細スプレorドキュメントが記入されているか</t>
  </si>
  <si>
    <t>改善するもの＝「検」と記載＝増発シートの「増発」が該当　※月末増発は以前配信したもののため検証には該当しない</t>
  </si>
  <si>
    <t>メルマガスケジュール内に追記完了したら、増発管理のシートに「レ」点で起票欄にチェック</t>
  </si>
  <si>
    <t>新規レギュラー化したメルマガがないか確認</t>
  </si>
  <si>
    <t>https://docs.google.com/spreadsheets/d/1RRtVJK3L82OdGSbFEyj6XZFaaG__FdJtLBI5UNabBgM/edit?gid=1947740437#gid=1947740437</t>
  </si>
  <si>
    <t>各自で設定してもらう</t>
  </si>
  <si>
    <r>
      <rPr>
        <rFont val="Noto Sans"/>
        <b/>
        <color theme="1"/>
      </rPr>
      <t xml:space="preserve">月初1日に要対応　20時の「当日新規会員」の荒木さんの名前の部分に以下コメント追加
</t>
    </r>
    <r>
      <rPr>
        <rFont val="Noto Sans"/>
        <b val="0"/>
        <color theme="1"/>
        <sz val="9.0"/>
      </rPr>
      <t xml:space="preserve">「月初のため文面変更をお願い致します！」
</t>
    </r>
    <r>
      <rPr>
        <rFont val="Noto Sans"/>
        <b/>
        <color theme="1"/>
        <sz val="8.0"/>
      </rPr>
      <t xml:space="preserve">※このメルマガは毎月リード文を変更しているため、毎月1日に文面変更の依頼を荒木さんにコメントしております。
</t>
    </r>
  </si>
  <si>
    <t>モーダルに月初赤字で入れればOK？</t>
  </si>
  <si>
    <t>月末は増発する</t>
  </si>
  <si>
    <t>月末増発の箇所をオープンする</t>
  </si>
  <si>
    <t>最後の1週間は増発する。</t>
  </si>
  <si>
    <t>該当箇所以外（最後の1週間以外）はグレーアウト</t>
  </si>
  <si>
    <t>⑪IT派遣（第2・第4日曜・17時）　隔週配信のため、配信しない週はグレーアウト＆月が替わったら「〇月は～」部分の日付を修正</t>
  </si>
  <si>
    <t>前週のシートのコメント部分を確認し「来週からRPA」など書かれていたらRPAに変更する</t>
  </si>
  <si>
    <t>R（RPA）はシアン（水色）に変更する</t>
  </si>
  <si>
    <t>⑫最終チェック</t>
  </si>
  <si>
    <t xml:space="preserve">A1・A2などの数字が変更できているか（4ヶ所あり）
(火8)A1・(金16)B1                        
(火8)A2・(金16)B2                        
(火8)A3・(金16)B3・関西         </t>
  </si>
  <si>
    <t>下の36歳以上もセットで変更できているか</t>
  </si>
  <si>
    <t>AとBで共通の数字に変更できているか</t>
  </si>
  <si>
    <t>A3・B3の場合、関西を白背景にできているか
　※A1・B1　もしくは　A2・B2の場合、関西をグレーアウトできているか</t>
  </si>
  <si>
    <t>「前週のコメントをすべて確認し、RPAがあれば変更する」</t>
  </si>
  <si>
    <t>RPAメルマガは色は塗られているか</t>
  </si>
  <si>
    <t>終了のPRは削除されているか、追加のPRは該当箇所に追加されているか</t>
  </si>
  <si>
    <t>イレギュラーは起票したものには「レ」、終わったものに「終了」が記載されているか</t>
  </si>
  <si>
    <t>増発シートは対象の箇所に記載されているか。「レ」は記載されているか</t>
  </si>
  <si>
    <t>コメントの変更箇所がある場合は反映されているかどうか</t>
  </si>
  <si>
    <t>長期休暇対応</t>
  </si>
  <si>
    <r>
      <rPr>
        <rFont val="Noto Sans"/>
        <b/>
        <color theme="1"/>
      </rPr>
      <t>祝日がある場合は、エントリー関連のものなど、確認が必要</t>
    </r>
    <r>
      <rPr>
        <rFont val="Noto Sans"/>
        <color theme="1"/>
      </rPr>
      <t xml:space="preserve">
</t>
    </r>
    <r>
      <rPr>
        <rFont val="Noto Sans"/>
        <b/>
        <color rgb="FFFF0000"/>
        <sz val="9.0"/>
      </rPr>
      <t>▼長期休暇対応シート</t>
    </r>
  </si>
  <si>
    <t>モーダルもしくは一覧に対応方法を記載していく？休暇対応用の色分けする？</t>
  </si>
  <si>
    <t>祝日に対象のエントリー系のメルマガを確認</t>
  </si>
  <si>
    <t>以前の祝日の対応を確認し今回に当てはまるようなら同じ対応をとる</t>
  </si>
  <si>
    <t>type課と共通しているものは同じ連絡を取るのか確認する</t>
  </si>
  <si>
    <t>該当する営業にメールで確認をとる</t>
  </si>
  <si>
    <t>入力制御マトリクス</t>
  </si>
  <si>
    <t>画面</t>
  </si>
  <si>
    <t>モーダル</t>
  </si>
  <si>
    <t>タブ</t>
  </si>
  <si>
    <t>ID</t>
  </si>
  <si>
    <t>曜日</t>
  </si>
  <si>
    <t>時間</t>
  </si>
  <si>
    <t>開始日</t>
  </si>
  <si>
    <t>終了日</t>
  </si>
  <si>
    <t>メルマガ名</t>
  </si>
  <si>
    <t>通数</t>
  </si>
  <si>
    <t>種別</t>
  </si>
  <si>
    <t>サイクル</t>
  </si>
  <si>
    <t>形式</t>
  </si>
  <si>
    <t>担当部署</t>
  </si>
  <si>
    <t>メルマガ内容(抽出)</t>
  </si>
  <si>
    <t>メルマガ内容(フリー)</t>
  </si>
  <si>
    <t>備考</t>
  </si>
  <si>
    <t>新規</t>
  </si>
  <si>
    <t>設定者</t>
  </si>
  <si>
    <t>確認者</t>
  </si>
  <si>
    <t>USER_年齢</t>
  </si>
  <si>
    <t>USER_現住所</t>
  </si>
  <si>
    <t>USER_希望勤務地</t>
  </si>
  <si>
    <t>USER_経験職種</t>
  </si>
  <si>
    <t>USER_希望職種</t>
  </si>
  <si>
    <t>USER_その他条件</t>
  </si>
  <si>
    <t>JOB_勤務地</t>
  </si>
  <si>
    <t>JOB_職種</t>
  </si>
  <si>
    <t>JOB_フリーワード</t>
  </si>
  <si>
    <t>自動求人特集_ID</t>
  </si>
  <si>
    <t>自動求人特集_URL</t>
  </si>
  <si>
    <t>自動求人特集_求人数</t>
  </si>
  <si>
    <t>自動求人特集_その他条件</t>
  </si>
  <si>
    <t>確定済</t>
  </si>
  <si>
    <t>配信停止</t>
  </si>
  <si>
    <t>削除</t>
  </si>
  <si>
    <t>配信カレンダー</t>
  </si>
  <si>
    <t>配信編集モーダル</t>
  </si>
  <si>
    <t>フリー</t>
  </si>
  <si>
    <t>ロック</t>
  </si>
  <si>
    <t>表示</t>
  </si>
  <si>
    <t>非表示</t>
  </si>
  <si>
    <t>抽出</t>
  </si>
  <si>
    <t>自動求人特集</t>
  </si>
  <si>
    <t>その他</t>
  </si>
  <si>
    <t>メルマガ一覧</t>
  </si>
  <si>
    <t>マスタ新規追加モーダル</t>
  </si>
  <si>
    <t>マスタ編集モーダル</t>
  </si>
  <si>
    <t>PR管理専用 入力項目・配置マトリクス</t>
  </si>
  <si>
    <t>PR ID</t>
  </si>
  <si>
    <t>PRタイトル</t>
  </si>
  <si>
    <t>PR本文</t>
  </si>
  <si>
    <t>紐づいたメルマガ</t>
  </si>
  <si>
    <t>PRが入るメルマガを選択</t>
  </si>
  <si>
    <t>配信終了</t>
  </si>
  <si>
    <t>PR管理</t>
  </si>
  <si>
    <t>操作</t>
  </si>
  <si>
    <t>列 1</t>
  </si>
  <si>
    <t>カテゴリ</t>
  </si>
  <si>
    <t>列 2</t>
  </si>
  <si>
    <t>列 3</t>
  </si>
  <si>
    <t>列 4</t>
  </si>
  <si>
    <t>備考うき</t>
  </si>
  <si>
    <t>備考type</t>
  </si>
  <si>
    <t>機能修正</t>
  </si>
  <si>
    <t>Rを選んだら確認者は非活性、編集時は注意</t>
  </si>
  <si>
    <t>横尾</t>
  </si>
  <si>
    <t>マスタ削除じゃなくて配信停止一覧にしたい</t>
  </si>
  <si>
    <t>一覧の並びをスプシと同じにする</t>
  </si>
  <si>
    <t>モーダル内の並びをスプシと同じにする</t>
  </si>
  <si>
    <t>機能追加</t>
  </si>
  <si>
    <t>一括保存は毎日夜自動実施に変更予定</t>
  </si>
  <si>
    <t>Step形式にメルマガ追加できるようにする(①これはメルマガ？MA？→②メルマガはフリー？抽出？→③必須項目→④登録みたいな</t>
  </si>
  <si>
    <t>メルマガの条件もできれば保存したい。でも、1個1個入れるのも面倒だし・・作成中ステータスをつける？</t>
  </si>
  <si>
    <t>機能がきれいになったらＵＩをきれいにしたい。それから全体にアンケートをとりたい</t>
  </si>
  <si>
    <t>カレンダーオープン機能つける？管理者しかオープンクローズできないようにする？(でも先のメルマガって設定されたら困るのか？</t>
  </si>
  <si>
    <t>Rを解除したかつ広報後は神谷さんに連絡アラート？</t>
  </si>
  <si>
    <t>開始日と終了日は必須項目にする？サイクルごとに入れる項目変える？</t>
  </si>
  <si>
    <t>配信編集を変更するときはその日だけ変わるってアラートだす？マスタは確定以外全部変更になるよもだす？</t>
  </si>
  <si>
    <t>さらに設定の確認がしやすい仕組みって何だろう</t>
  </si>
  <si>
    <t>確認時のYYMMDDをボスとそろえると確認しやすいかも</t>
  </si>
  <si>
    <t>マスタから変えた部分が赤くなってたらわかりやすいなあ　新規は真っ赤とか</t>
  </si>
  <si>
    <t>効果悪くて配信停止にしたやつも管理したい　毎週配信設定→配信停止(効果悪)ボタンみたいな</t>
  </si>
  <si>
    <t>作成中ステータスつける？</t>
  </si>
  <si>
    <t>自分の名前で絞り込み初期表示できたら便利かも</t>
  </si>
  <si>
    <t>懸念</t>
  </si>
  <si>
    <t>マスタを編集したときに、いつのメルマガの内容が変わるのか(確認済かつ保存後は変わらないはずだけど、その前に変えてしまう可能性も)</t>
  </si>
  <si>
    <t>移動が1個ずつ読み込みなのは問題ないか？それとも全部終わってから長いロードの方がマシ？</t>
  </si>
  <si>
    <t>質問</t>
  </si>
  <si>
    <t>RPAはどうなってるのが一番楽？デイリーR一括塗りつぶしボタン必要？それともCSVを一括TRUEにするとかのほうがいいのか？</t>
  </si>
  <si>
    <t>毎朝・昼・夜などに未設定リマインドメールを送る機能追加予定。そしたら確認漏れ防げるかな？</t>
  </si>
  <si>
    <t>月末配信期間1週間より伸ばせるようにしたいとかある？追加時は手動で十分？</t>
  </si>
  <si>
    <t>サイクル1～3、隔週AB以外の特殊配信ルールってある？</t>
  </si>
  <si>
    <t>設定されたらメールが飛んでくる方がいいかな、わかりやすいし</t>
  </si>
  <si>
    <t>検索機能はフリーワードでＯＫ？</t>
  </si>
  <si>
    <t>商品とか、◇とか、ちょっとこれを機に見直したい。いらないんがありそう</t>
  </si>
  <si>
    <t>MAって見てる？そしてメルマガと同じカレンダーの必要ある？なければ別で作る？</t>
  </si>
  <si>
    <t>長期休暇対応の共通点を知りたい。他部署なのであれば他部署タブで管理できる</t>
  </si>
  <si>
    <t>アーカイブっていつ分まで必要なんだろう？2か月以上前のカレンダーってどんな状況で見る？</t>
  </si>
  <si>
    <t>"月初1日に要対応　20時の「当日新規会員」の荒木さんの名前の部分に以下コメント追加
「月初のため文面変更をお願い致します！」
※このメルマガは毎月リード文を変更しているため、毎月1日に文面変更の依頼を荒木さんにコメントしております。→これモーダルに月初赤字で入れればOK？</t>
  </si>
  <si>
    <t>パラメータ確認できる欄もいる？</t>
  </si>
  <si>
    <t>PRがある場合、カレンダー上はバッジにしてモーダル内で詳細はどう？</t>
  </si>
  <si>
    <t>受入</t>
  </si>
  <si>
    <t>PRID自動採番ほんとにされてるか？</t>
  </si>
  <si>
    <t>自動求人特集URL入れたら自動で求人数カウントしてるか？通数アウトになりそうだったらアラート出るか？</t>
  </si>
  <si>
    <t>提案</t>
  </si>
  <si>
    <t>RPA化について運用どうするか(今まで通りメール？)もしくは毎週その週の最後の日までとかに決める？金曜とかそしたらカレンダーに書いておけば広報も不要になる？</t>
  </si>
  <si>
    <t>形式タブじゃなくて別のタブがいいかなぁ</t>
  </si>
  <si>
    <t>アプリ内じゃなくてもいいのでメルマガ依頼フォーム作った方がいいかも？もしくはカレンダーで追加するレクチャー</t>
  </si>
  <si>
    <t>IDは英語名で採番させようかな</t>
  </si>
  <si>
    <t>サイクルを基準にメルマガを作成するスタイルに変更してみました</t>
  </si>
  <si>
    <t>列の値考えなおしたい</t>
  </si>
  <si>
    <t>スプシにロックつける</t>
  </si>
  <si>
    <t>選択し初期値はダミーいれる</t>
  </si>
  <si>
    <t>前週今週次週ボタンつけました</t>
  </si>
  <si>
    <t>コピーして新規ほしい</t>
  </si>
  <si>
    <r>
      <rPr>
        <rFont val="Noto Sans"/>
        <color theme="1"/>
      </rPr>
      <t xml:space="preserve">阿部メモ
求人特集に紐づいているのが紫という仕様が既存のカレンダーにはない。運用次第だがあえて色付けなくてもいいのかも？
削除がスプシ上でしかできないのは不便かも＜配信停止にはできる
今週ボタン、前週ボタン、翌週ボタンほしい
月末増発はどうやって表示する？サイクルが当てはまらない
</t>
    </r>
    <r>
      <rPr>
        <rFont val="Noto Sans"/>
        <b/>
        <color rgb="FFFF0000"/>
      </rPr>
      <t>3つ以上PRがあるときに2つまでしか表示されない？もしくは削除がうまく反映できていなさそう</t>
    </r>
    <r>
      <rPr>
        <rFont val="Noto Sans"/>
        <color theme="1"/>
      </rPr>
      <t xml:space="preserve">
月末増発は色を塗りたい
時間の境目が見ずらい
スプシのほうの数字をいじると以前の数字は変わってしまうのか？
</t>
    </r>
    <r>
      <rPr>
        <rFont val="Noto Sans"/>
        <b/>
        <color rgb="FFFF0000"/>
      </rPr>
      <t>サイクルの必須に通常、月末がない</t>
    </r>
    <r>
      <rPr>
        <rFont val="Noto Sans"/>
        <color theme="1"/>
      </rPr>
      <t xml:space="preserve">
MAの表示はいるのか？
PRはメルマガごとにつかなくていいか？</t>
    </r>
  </si>
  <si>
    <t>文字化け</t>
  </si>
  <si>
    <t>item</t>
  </si>
  <si>
    <t>value</t>
  </si>
  <si>
    <t>purpose</t>
  </si>
  <si>
    <t>Apps Script Webアプリで読み込みやすい正規化データ。元シートは未変更。</t>
  </si>
  <si>
    <t>last_converted</t>
  </si>
  <si>
    <t>app_schedule</t>
  </si>
  <si>
    <t>新規/リスト/特殊配信マスタ/MAを統合した配信マスタ</t>
  </si>
  <si>
    <t>app_pr</t>
  </si>
  <si>
    <t>PR管理のPR本文マスタ</t>
  </si>
  <si>
    <t>app_pr_targets</t>
  </si>
  <si>
    <t>PRと対象メルマガの1対多対応表</t>
  </si>
  <si>
    <t>app_holidays</t>
  </si>
  <si>
    <t>長期休暇対応の配信有無データ</t>
  </si>
  <si>
    <t>app_product</t>
  </si>
  <si>
    <t>商品系管理の条件/通数マスタ</t>
  </si>
  <si>
    <t>note_date</t>
  </si>
  <si>
    <t>日付列は yyyy-mm-dd 表示に統一。Apps Scriptでは getDisplayValues() でそのまま文字列取得できます。</t>
  </si>
  <si>
    <t>note_error</t>
  </si>
  <si>
    <t>元シート由来の #REF! は、アプリ側で扱いやすいよう出力シートでは空欄に変換済み。</t>
  </si>
  <si>
    <t>SCH_258</t>
  </si>
  <si>
    <t>火</t>
  </si>
  <si>
    <t>応募から1日_好条件営業ランキング</t>
  </si>
  <si>
    <t>メルマガ</t>
  </si>
  <si>
    <t>毎週配信</t>
  </si>
  <si>
    <t>R</t>
  </si>
  <si>
    <t>SCH_261</t>
  </si>
  <si>
    <t>SCH_357</t>
  </si>
  <si>
    <t>推し活_残業なし_休日120日以上_月給30万以上</t>
  </si>
  <si>
    <t>SCH_065</t>
  </si>
  <si>
    <t>日</t>
  </si>
  <si>
    <t>人気検索KW_事務系希望_関西</t>
  </si>
  <si>
    <t>隔週配信B</t>
  </si>
  <si>
    <t>部</t>
  </si>
  <si>
    <t>石</t>
  </si>
  <si>
    <t>SCH_114</t>
  </si>
  <si>
    <t>金</t>
  </si>
  <si>
    <t>自己PR不要×面接1回</t>
  </si>
  <si>
    <t>月末増発</t>
  </si>
  <si>
    <t>SCH_089</t>
  </si>
  <si>
    <t>◇ポジションマッチ A1</t>
  </si>
  <si>
    <t>特殊サイクル1</t>
  </si>
  <si>
    <t>特殊</t>
  </si>
  <si>
    <t>内</t>
  </si>
  <si>
    <t>平</t>
  </si>
  <si>
    <t>SCH_096</t>
  </si>
  <si>
    <t>◇ポジションマッチ_36歳以上 A1</t>
  </si>
  <si>
    <t>SCH_090</t>
  </si>
  <si>
    <t>◇ポジションマッチ A2</t>
  </si>
  <si>
    <t>特殊サイクル2</t>
  </si>
  <si>
    <t>SCH_097</t>
  </si>
  <si>
    <t>◇ポジションマッチ_36歳以上 A2</t>
  </si>
  <si>
    <t>SCH_091</t>
  </si>
  <si>
    <t>◇ポジションマッチ A3</t>
  </si>
  <si>
    <t>特殊サイクル3</t>
  </si>
  <si>
    <t>SCH_098</t>
  </si>
  <si>
    <t>◇ポジションマッチ_36歳以上 A3</t>
  </si>
  <si>
    <t>SCH_102</t>
  </si>
  <si>
    <t>フルリモート×好条件</t>
  </si>
  <si>
    <t>SCH_142</t>
  </si>
  <si>
    <t>関西_自己PR不要_リモート未経験_事務</t>
  </si>
  <si>
    <t>https://woman-type.jp/job-office/24376/f/</t>
  </si>
  <si>
    <t>SCH_149</t>
  </si>
  <si>
    <t>木</t>
  </si>
  <si>
    <t>年収500万以上_未経験歓迎</t>
  </si>
  <si>
    <t>https://woman-type.jp/job-condition/10/12077/f/</t>
  </si>
  <si>
    <t>SCH_153</t>
  </si>
  <si>
    <t>月</t>
  </si>
  <si>
    <t>◇掲載終了前+UP B</t>
  </si>
  <si>
    <t>荒</t>
  </si>
  <si>
    <t>SCH_155</t>
  </si>
  <si>
    <t>◇掲載終了前+UP_35歳以上 B</t>
  </si>
  <si>
    <t>SCH_157</t>
  </si>
  <si>
    <t>◇掲載終了前+UP_関西 B</t>
  </si>
  <si>
    <t>SCH_159</t>
  </si>
  <si>
    <t>水</t>
  </si>
  <si>
    <t>★求人特集(35歳未満) A</t>
  </si>
  <si>
    <t>商品</t>
  </si>
  <si>
    <t>配信日時: 水曜日 8:00
 応募（1配信あたり）: 5
 変更前（設定）: 年齢：〜34歳
 変更前（通数）: 16万通
 変更後（設定）: 年齢：〜34歳、最終ログイン 180日以内
 変更後（通数）: 7万通
 備考: メディマップの質問コーナーに記載あり
 https://docs.google.com/spreadsheets/d/16XGmrj4</t>
  </si>
  <si>
    <t>SCH_160</t>
  </si>
  <si>
    <t>土</t>
  </si>
  <si>
    <t>★求人特集(35歳未満） B</t>
  </si>
  <si>
    <t>配信日時: 土曜日 8:00
 応募（1配信あたり）: 4
 変更前（設定）: 年齢：〜34歳
 変更前（通数）: 16万通
 変更後（設定）: 年齢：〜34歳、最終ログイン 180日以内
 変更後（通数）: 7万通
 備考: メディマップの質問コーナーに記載あり
 https://docs.google.com/spreadsheets/d/16XGmrj4</t>
  </si>
  <si>
    <t>SCH_201</t>
  </si>
  <si>
    <t>40代再就職</t>
  </si>
  <si>
    <t>SCH_202</t>
  </si>
  <si>
    <t>40代再就職_関西</t>
  </si>
  <si>
    <t>SCH_204</t>
  </si>
  <si>
    <t>50代事務</t>
  </si>
  <si>
    <t>SCH_206</t>
  </si>
  <si>
    <t>webデザイナー×未経験歓迎_希望</t>
  </si>
  <si>
    <t>SCH_218</t>
  </si>
  <si>
    <t>データ入力×リモートOK</t>
  </si>
  <si>
    <t>SCH_259</t>
  </si>
  <si>
    <t>SCH_260</t>
  </si>
  <si>
    <t>SCH_262</t>
  </si>
  <si>
    <t>SCH_263</t>
  </si>
  <si>
    <t>SCH_264</t>
  </si>
  <si>
    <t>SCH_276</t>
  </si>
  <si>
    <t>快適な在宅ワーク</t>
  </si>
  <si>
    <t>SCH_288</t>
  </si>
  <si>
    <t>既婚者</t>
  </si>
  <si>
    <t>SCH_306</t>
  </si>
  <si>
    <t>高収入_リモート_営業</t>
  </si>
  <si>
    <t>SCH_307</t>
  </si>
  <si>
    <t>高収入_リモート_事務</t>
  </si>
  <si>
    <t>SCH_349</t>
  </si>
  <si>
    <t>新着_クリエイティブ</t>
  </si>
  <si>
    <t>SCH_350</t>
  </si>
  <si>
    <t>新着_企画営業</t>
  </si>
  <si>
    <t>SCH_351</t>
  </si>
  <si>
    <t>新着_経理</t>
  </si>
  <si>
    <t>SCH_352</t>
  </si>
  <si>
    <t>新着_事務</t>
  </si>
  <si>
    <t>SCH_353</t>
  </si>
  <si>
    <t>新着_人事</t>
  </si>
  <si>
    <t>SCH_356</t>
  </si>
  <si>
    <t>人気検索KW_事務系希望</t>
  </si>
  <si>
    <t>SCH_385</t>
  </si>
  <si>
    <t>梅田で働く</t>
  </si>
  <si>
    <t>SCH_405</t>
  </si>
  <si>
    <t>未婚者</t>
  </si>
  <si>
    <t>SCH_037</t>
  </si>
  <si>
    <t>ランキング×WEBマーケティング</t>
  </si>
  <si>
    <t>隔週配信A</t>
  </si>
  <si>
    <t>SCH_113</t>
  </si>
  <si>
    <t>時短×リモート_関西</t>
  </si>
  <si>
    <t>SCH_022</t>
  </si>
  <si>
    <t>転職活動・キャリアに関するアンケート</t>
  </si>
  <si>
    <t>AP</t>
  </si>
  <si>
    <t>##条件
 ・性別：女性
 ・年齢：20～49歳
 ・最終ログイン：10万通になるように設定
 \\cdc-fs00\media\電子メディア\00_電子メディア\MailMagazine\woman\bak\6_イレギュラーBAK\ユーザーアンケート\</t>
  </si>
  <si>
    <t>SCH_023</t>
  </si>
  <si>
    <t>SCH_124</t>
  </si>
  <si>
    <t>NPS取得アンケート</t>
  </si>
  <si>
    <t>SCH_137</t>
  </si>
  <si>
    <t>単独求人訴求メルマガ_A</t>
  </si>
  <si>
    <t>武</t>
  </si>
  <si>
    <t>SCH_150</t>
  </si>
  <si>
    <t>年収600万円以上</t>
  </si>
  <si>
    <t>https://woman-type.jp/job-condition/46/3317/f/</t>
  </si>
  <si>
    <t>SCH_199</t>
  </si>
  <si>
    <t>40~60代活躍中</t>
  </si>
  <si>
    <t>SCH_213</t>
  </si>
  <si>
    <t>これから人気×エンジニア</t>
  </si>
  <si>
    <t>SCH_214</t>
  </si>
  <si>
    <t>これから人気×リモート</t>
  </si>
  <si>
    <t>SCH_215</t>
  </si>
  <si>
    <t>これから人気×リモート×営業</t>
  </si>
  <si>
    <t>SCH_216</t>
  </si>
  <si>
    <t>これから人気×販サ</t>
  </si>
  <si>
    <t>SCH_230</t>
  </si>
  <si>
    <t>ランキング_エンジニア（IT系）_希望</t>
  </si>
  <si>
    <t>SCH_231</t>
  </si>
  <si>
    <t>ランキング_クリエイティブ（Web）_希望</t>
  </si>
  <si>
    <t>SCH_232</t>
  </si>
  <si>
    <t>ランキング_クリエイティブ（その他）_希望</t>
  </si>
  <si>
    <t>SCH_233</t>
  </si>
  <si>
    <t>ランキング_営業（BtoB）_希望</t>
  </si>
  <si>
    <t>SCH_235</t>
  </si>
  <si>
    <t>ランキング_営業（その他）_希望</t>
  </si>
  <si>
    <t>SCH_236</t>
  </si>
  <si>
    <t>ランキング_営業（マーケ）_希望</t>
  </si>
  <si>
    <t>SCH_238</t>
  </si>
  <si>
    <t>ランキング_事務（一般事務）_希望</t>
  </si>
  <si>
    <t>SCH_239</t>
  </si>
  <si>
    <t>ランキング_事務（営業事務）_希望</t>
  </si>
  <si>
    <t>SCH_240</t>
  </si>
  <si>
    <t>ランキング_事務（経理）_希望</t>
  </si>
  <si>
    <t>SCH_241</t>
  </si>
  <si>
    <t>ランキング_事務（広報）_希望</t>
  </si>
  <si>
    <t>SCH_243</t>
  </si>
  <si>
    <t>ランキング_事務（秘書）_希望</t>
  </si>
  <si>
    <t>SCH_273</t>
  </si>
  <si>
    <t>応募ランキング C</t>
  </si>
  <si>
    <t>SCH_281</t>
  </si>
  <si>
    <t>関西限定求人特集</t>
  </si>
  <si>
    <t>SCH_310</t>
  </si>
  <si>
    <t>裁量労働制</t>
  </si>
  <si>
    <t>SCH_337</t>
  </si>
  <si>
    <t>時短×リモート</t>
  </si>
  <si>
    <t>SCH_370</t>
  </si>
  <si>
    <t>直近新規登録会員向け</t>
  </si>
  <si>
    <t>SCH_030</t>
  </si>
  <si>
    <t>40代正社員×新着求人特集</t>
  </si>
  <si>
    <t>SCH_068</t>
  </si>
  <si>
    <t>全員面接</t>
  </si>
  <si>
    <t>SCH_410</t>
  </si>
  <si>
    <t>カスタマーサクセス_リモート</t>
  </si>
  <si>
    <t>SCH_111</t>
  </si>
  <si>
    <t>フルリモートランキング_新規8日から29日</t>
  </si>
  <si>
    <t>SCH_116</t>
  </si>
  <si>
    <t>週休3日OK_ランキング</t>
  </si>
  <si>
    <t>SCH_117</t>
  </si>
  <si>
    <t>全国募集</t>
  </si>
  <si>
    <t>SCH_012</t>
  </si>
  <si>
    <t>YouTube企画</t>
  </si>
  <si>
    <t>期間：5月9日～5月16日
 通数：2万通
 配信日：
 配信対象：最終ログイン日から日以内（2万通になるように設定）
 抽出ID：20949
 1社あたりの上限職種数：全て
 抽出上限社数：150社
 YouTube企画メルマガ</t>
  </si>
  <si>
    <t>SCH_014</t>
  </si>
  <si>
    <t>オンラインフェア_増発</t>
  </si>
  <si>
    <t>type課</t>
  </si>
  <si>
    <t>現住所：関東 
 新規会員の指定：最新レジュメ更新日からの経過日数を指定
 経過日数を指定：※上限の8.5万通以下になるよう設定お願いいたします。
 ※文面にも記載いたします。</t>
  </si>
  <si>
    <t>SCH_141</t>
  </si>
  <si>
    <t>40代未経験_正社員</t>
  </si>
  <si>
    <t>https://woman-type.jp/job-condition/10/24298/f/</t>
  </si>
  <si>
    <t>SCH_172</t>
  </si>
  <si>
    <t>☆TP部_事務_希望地</t>
  </si>
  <si>
    <t>他部署</t>
  </si>
  <si>
    <t>SCH_228</t>
  </si>
  <si>
    <t>フルリモートランキング</t>
  </si>
  <si>
    <t>SCH_295</t>
  </si>
  <si>
    <t>経験活かせる_営業</t>
  </si>
  <si>
    <t>SCH_296</t>
  </si>
  <si>
    <t>経験活かせる_事務</t>
  </si>
  <si>
    <t>SCH_300</t>
  </si>
  <si>
    <t>検討中ランキング_事務</t>
  </si>
  <si>
    <t>SCH_302</t>
  </si>
  <si>
    <t>語学を活かせる</t>
  </si>
  <si>
    <t>SCH_314</t>
  </si>
  <si>
    <t>子育て支援</t>
  </si>
  <si>
    <t>SCH_315</t>
  </si>
  <si>
    <t>子育手当</t>
  </si>
  <si>
    <t>SCH_318</t>
  </si>
  <si>
    <t>事務_販サ経験者向け_東京</t>
  </si>
  <si>
    <t>SCH_338</t>
  </si>
  <si>
    <t>趣味・興味メルマガ_A</t>
  </si>
  <si>
    <t>SCH_391</t>
  </si>
  <si>
    <t>副業OK</t>
  </si>
  <si>
    <t>SCH_407</t>
  </si>
  <si>
    <t>面接1回</t>
  </si>
  <si>
    <t>SCH_408</t>
  </si>
  <si>
    <t>面接1回_35歳以上</t>
  </si>
  <si>
    <t>SCH_036</t>
  </si>
  <si>
    <t>フレックス_ランキング</t>
  </si>
  <si>
    <t>福</t>
  </si>
  <si>
    <t>SCH_043</t>
  </si>
  <si>
    <t>外資系企業</t>
  </si>
  <si>
    <t>SCH_010</t>
  </si>
  <si>
    <t>6月入社可能</t>
  </si>
  <si>
    <t>制作</t>
  </si>
  <si>
    <t>＜配信条件＞※2万通 
 年齢：35歳～60歳以上
 最終ログイン日：40</t>
  </si>
  <si>
    <t>SCH_013</t>
  </si>
  <si>
    <t>オンラインフェア</t>
  </si>
  <si>
    <t>SCH_015</t>
  </si>
  <si>
    <t>ユーザーアンケート</t>
  </si>
  <si>
    <t>##条件
 ・性別：女性
 ・最終ログイン：10万通になるように設定
 \\cdc-fs00\media\電子メディア\00_電子メディア\MailMagazine\woman\bak\6_イレギュラーBAK\ユーザーアンケート\</t>
  </si>
  <si>
    <t>SCH_134</t>
  </si>
  <si>
    <t>関西単独求人メルマガ_B</t>
  </si>
  <si>
    <t>SCH_209</t>
  </si>
  <si>
    <t>クリエイティブ（Web）_希望</t>
  </si>
  <si>
    <t>SCH_210</t>
  </si>
  <si>
    <t>クリエイティブ（その他）_希望</t>
  </si>
  <si>
    <t>SCH_211</t>
  </si>
  <si>
    <t>クリエイティブ総合ランキング</t>
  </si>
  <si>
    <t>SCH_217</t>
  </si>
  <si>
    <t>コロナ禍_事務_首都圏</t>
  </si>
  <si>
    <t>SCH_278</t>
  </si>
  <si>
    <t>関西_未経験リモート_事務</t>
  </si>
  <si>
    <t>SCH_309</t>
  </si>
  <si>
    <t>今週の人気求人ランキング</t>
  </si>
  <si>
    <t>SCH_325</t>
  </si>
  <si>
    <t>事務（営業事務）_希望</t>
  </si>
  <si>
    <t>SCH_327</t>
  </si>
  <si>
    <t>事務（経理）_希望</t>
  </si>
  <si>
    <t>SCH_328</t>
  </si>
  <si>
    <t>事務（広報）_希望</t>
  </si>
  <si>
    <t>SCH_329</t>
  </si>
  <si>
    <t>事務（総務・人事）_希望</t>
  </si>
  <si>
    <t>SCH_050</t>
  </si>
  <si>
    <t>高層ビルで働く_首都圏</t>
  </si>
  <si>
    <t>SCH_051</t>
  </si>
  <si>
    <t>高層ビルで働く_大阪</t>
  </si>
  <si>
    <t>SCH_080</t>
  </si>
  <si>
    <t>未経験OK_専門性の高い事務</t>
  </si>
  <si>
    <t>SCH_039</t>
  </si>
  <si>
    <t>英語_リモートOK_月25万以上_未経験OK</t>
  </si>
  <si>
    <t>SCH_064</t>
  </si>
  <si>
    <t>人気検索KW_営業系希望</t>
  </si>
  <si>
    <t>SCH_106</t>
  </si>
  <si>
    <t>10時以降出社</t>
  </si>
  <si>
    <t>SCH_001</t>
  </si>
  <si>
    <t>閲覧履歴ペース（BB） 配信</t>
  </si>
  <si>
    <t>MA</t>
  </si>
  <si>
    <t>ウキ課</t>
  </si>
  <si>
    <t>SCH_002</t>
  </si>
  <si>
    <t>SCH_136</t>
  </si>
  <si>
    <t>新規会員向け_自己PR不要_求人特集</t>
  </si>
  <si>
    <t>SCH_145</t>
  </si>
  <si>
    <t>自己PR不要_リモート未経験_エンジニア</t>
  </si>
  <si>
    <t>https://woman-type.jp/job-engineer/24876/f/</t>
  </si>
  <si>
    <t>SCH_146</t>
  </si>
  <si>
    <t>自己PR不要_リモート未経験_営業</t>
  </si>
  <si>
    <t>https://woman-type.jp/job-sales/24356/f/</t>
  </si>
  <si>
    <t>SCH_147</t>
  </si>
  <si>
    <t>自己PR不要_リモート未経験_事務</t>
  </si>
  <si>
    <t>https://woman-type.jp/job-office/24336/f/</t>
  </si>
  <si>
    <t>SCH_148</t>
  </si>
  <si>
    <t>自己PR不要_残業無_未経験_販サ</t>
  </si>
  <si>
    <t>https://woman-type.jp/job-service/24358/f/</t>
  </si>
  <si>
    <t>SCH_158</t>
  </si>
  <si>
    <t>★ウキポリ[全]</t>
  </si>
  <si>
    <t>配信日時: 日曜日 12:00
 応募（1配信あたり）: 7
 変更前（設定）: （記載なし）
 変更前（通数）: 16万通
 変更後（設定）: 最終ログイン 180日以内
 変更後（通数）: 10万通
 備考: メディマップの質問コーナーに記載あり
 https://docs.google.com/spreadsheets/d/16XGmrj4</t>
  </si>
  <si>
    <t>SCH_161</t>
  </si>
  <si>
    <t>★新着総合_首都圏 A</t>
  </si>
  <si>
    <t>★新着総合_首都圏 A
 配信日時: 火曜日 13:00
 応募（1配信あたり）: 4
 変更前（設定）: 現住所：一都三県、入会時期：2017/08/01〜現在
 変更前（通数）: 16万通
 変更後（設定）: 現住所：一都三県、最終ログイン 180日以内
 変更後（通数）: 5万通
 備考: 商品のメルマガPRに紐づいていて、パンフに記載あり
 https://www.google.com/search?q=https://f.hubspotusercontent30.net/hubfs/6324080/</t>
  </si>
  <si>
    <t>SCH_162</t>
  </si>
  <si>
    <t>★新着総合_首都圏 B</t>
  </si>
  <si>
    <t>配信日時: 金曜日 13:00
 応募（1配信あたり）: 12
 変更前（設定）: 現住所：一都三県
 変更前（通数）: 16万通
 変更後（設定）: 現住所：一都三県、最終ログイン 180日以内
 変更後（通数）: 5万通
 備考: 商品のメルマガPRに紐づいていて、パンフに記載あり
 https://www.google.com/search?q=https://f.hubspotusercontent30.net/hubfs/6324080/</t>
  </si>
  <si>
    <t>SCH_163</t>
  </si>
  <si>
    <t>★新着総合_西日本 A</t>
  </si>
  <si>
    <t>SCH_164</t>
  </si>
  <si>
    <t>★新着総合_西日本 B</t>
  </si>
  <si>
    <t>SCH_165</t>
  </si>
  <si>
    <t>★新着総合_東海 A</t>
  </si>
  <si>
    <t>SCH_166</t>
  </si>
  <si>
    <t>★新着総合_東海 B</t>
  </si>
  <si>
    <t>SCH_167</t>
  </si>
  <si>
    <t>★新着総合_北海道・東北 A</t>
  </si>
  <si>
    <t>SCH_168</t>
  </si>
  <si>
    <t>★新着総合_北海道・東北 B</t>
  </si>
  <si>
    <t>SCH_169</t>
  </si>
  <si>
    <t>★新着総合_北関東・甲信越・北陸 A</t>
  </si>
  <si>
    <t>SCH_170</t>
  </si>
  <si>
    <t>★新着総合_北関東・甲信越・北陸 B</t>
  </si>
  <si>
    <t>SCH_171</t>
  </si>
  <si>
    <t>★納品対策</t>
  </si>
  <si>
    <t>配信日時: 月曜日 12:00
 応募（1配信あたり）: 5〜7
 変更前（設定）: レジュメ更新日 360日以内
 変更前（通数）: 11万通
 変更後（設定）: レジュメ更新日 180日以内
 変更後（通数）: 7万通
 備考: メディマップの営業資料に配信通数記載あり
 https://www.google.com/search?q=https://drive.google.com/drive/folders/1xcE0OLYD</t>
  </si>
  <si>
    <t>SCH_272</t>
  </si>
  <si>
    <t>応募ランキング B</t>
  </si>
  <si>
    <t>SCH_274</t>
  </si>
  <si>
    <t>応募ランキングB_全国</t>
  </si>
  <si>
    <t>SCH_283</t>
  </si>
  <si>
    <t>丸の内・大手町・有楽町_残業少_事務</t>
  </si>
  <si>
    <t>SCH_289</t>
  </si>
  <si>
    <t>休日120日_就業中_関西</t>
  </si>
  <si>
    <t>SCH_290</t>
  </si>
  <si>
    <t>休日120日_未就業</t>
  </si>
  <si>
    <t>SCH_316</t>
  </si>
  <si>
    <t>資格活かせる_簿記</t>
  </si>
  <si>
    <t>SCH_339</t>
  </si>
  <si>
    <t>趣味・興味メルマガ_B</t>
  </si>
  <si>
    <t>SCH_024</t>
  </si>
  <si>
    <t>関西_フルリモート_求人特集</t>
  </si>
  <si>
    <t>SCH_044</t>
  </si>
  <si>
    <t>外部人気求人ランキング</t>
  </si>
  <si>
    <t>SCH_016</t>
  </si>
  <si>
    <t>SCH_018</t>
  </si>
  <si>
    <t>単独メルマガ×womantype</t>
  </si>
  <si>
    <t>営業</t>
  </si>
  <si>
    <t>13時
 4.5万通
 アデコ様・単独メルマガ</t>
  </si>
  <si>
    <t>SCH_019</t>
  </si>
  <si>
    <t>SCH_020</t>
  </si>
  <si>
    <t>SCH_021</t>
  </si>
  <si>
    <t>SCH_081</t>
  </si>
  <si>
    <t>美容業界×営業_希望</t>
  </si>
  <si>
    <t>13時 スプシ</t>
  </si>
  <si>
    <t>SCH_082</t>
  </si>
  <si>
    <t>SCH_083</t>
  </si>
  <si>
    <t>SCH_084</t>
  </si>
  <si>
    <t>美容業界×事務_希望</t>
  </si>
  <si>
    <t>SCH_085</t>
  </si>
  <si>
    <t>SCH_086</t>
  </si>
  <si>
    <t>SCH_133</t>
  </si>
  <si>
    <t>関西単独求人メルマガ_A</t>
  </si>
  <si>
    <t>SCH_152</t>
  </si>
  <si>
    <t>◇掲載終了前+UP A</t>
  </si>
  <si>
    <t>SCH_154</t>
  </si>
  <si>
    <t>◇掲載終了前+UP_35歳以上 A</t>
  </si>
  <si>
    <t>SCH_156</t>
  </si>
  <si>
    <t>◇掲載終了前+UP_関西 A</t>
  </si>
  <si>
    <t>SCH_173</t>
  </si>
  <si>
    <t>☆TP部_事務_現住所</t>
  </si>
  <si>
    <t>SCH_221</t>
  </si>
  <si>
    <t>フルリモート_35歳以上</t>
  </si>
  <si>
    <t>SCH_234</t>
  </si>
  <si>
    <t>ランキング_営業（キャリアカウンセラー）_希望</t>
  </si>
  <si>
    <t>SCH_242</t>
  </si>
  <si>
    <t>ランキング_事務（総務・人事）_希望</t>
  </si>
  <si>
    <t>SCH_248</t>
  </si>
  <si>
    <t>リモートワーク B</t>
  </si>
  <si>
    <t>SCH_389</t>
  </si>
  <si>
    <t>SCH_180</t>
  </si>
  <si>
    <t>☆横浜</t>
  </si>
  <si>
    <t>SCH_181</t>
  </si>
  <si>
    <t>☆関西</t>
  </si>
  <si>
    <t>SCH_186</t>
  </si>
  <si>
    <t>☆東海</t>
  </si>
  <si>
    <t>SCH_222</t>
  </si>
  <si>
    <t>フルリモート_全国</t>
  </si>
  <si>
    <t>SCH_247</t>
  </si>
  <si>
    <t>リモートワーク A_35歳以上</t>
  </si>
  <si>
    <t>SCH_279</t>
  </si>
  <si>
    <t>関西‗リモート×フレックス</t>
  </si>
  <si>
    <t>SCH_285</t>
  </si>
  <si>
    <t>希望勤務地_埼玉</t>
  </si>
  <si>
    <t>SCH_286</t>
  </si>
  <si>
    <t>希望勤務地_千葉</t>
  </si>
  <si>
    <t>SCH_287</t>
  </si>
  <si>
    <t>希望勤務地_東京</t>
  </si>
  <si>
    <t>SCH_364</t>
  </si>
  <si>
    <t>大手・上場企業×事務</t>
  </si>
  <si>
    <t>SCH_394</t>
  </si>
  <si>
    <t>福祉事務</t>
  </si>
  <si>
    <t>SCH_395</t>
  </si>
  <si>
    <t>福祉事務_35歳以上</t>
  </si>
  <si>
    <t>SCH_402</t>
  </si>
  <si>
    <t>未経験向け急募求人_クリエイティブ</t>
  </si>
  <si>
    <t>SCH_403</t>
  </si>
  <si>
    <t>未経験向け急募求人_営業</t>
  </si>
  <si>
    <t>SCH_404</t>
  </si>
  <si>
    <t>未経験向け急募求人_事務</t>
  </si>
  <si>
    <t>SCH_031</t>
  </si>
  <si>
    <t>ECサイト運用_未経験</t>
  </si>
  <si>
    <t>SCH_104</t>
  </si>
  <si>
    <t>レコメンドリマインド</t>
  </si>
  <si>
    <t>SCH_112</t>
  </si>
  <si>
    <t>ミライさんリマインド</t>
  </si>
  <si>
    <t>SCH_237</t>
  </si>
  <si>
    <t>ランキング_事務（医療事務）_希望</t>
  </si>
  <si>
    <t>SCH_249</t>
  </si>
  <si>
    <t>リモート手当あり</t>
  </si>
  <si>
    <t>SCH_253</t>
  </si>
  <si>
    <t>営業（キャリアカウンセラー）_希望</t>
  </si>
  <si>
    <t>SCH_254</t>
  </si>
  <si>
    <t>営業（コールセンター）_希望</t>
  </si>
  <si>
    <t>SCH_255</t>
  </si>
  <si>
    <t>営業（その他）_希望</t>
  </si>
  <si>
    <t>SCH_256</t>
  </si>
  <si>
    <t>営業（マーケ）_希望</t>
  </si>
  <si>
    <t>SCH_303</t>
  </si>
  <si>
    <t>好条件×業務委託</t>
  </si>
  <si>
    <t>SCH_304</t>
  </si>
  <si>
    <t>好条件×契約社員</t>
  </si>
  <si>
    <t>SCH_322</t>
  </si>
  <si>
    <t>事務（その他）_希望</t>
  </si>
  <si>
    <t>SCH_323</t>
  </si>
  <si>
    <t>事務（医療事務）_希望</t>
  </si>
  <si>
    <t>SCH_326</t>
  </si>
  <si>
    <t>事務（金融関連）_希望</t>
  </si>
  <si>
    <t>SCH_330</t>
  </si>
  <si>
    <t>事務（貿易事務）_希望</t>
  </si>
  <si>
    <t>SCH_371</t>
  </si>
  <si>
    <t>転職回数不問</t>
  </si>
  <si>
    <t>SCH_388</t>
  </si>
  <si>
    <t>販サ（フロント）_希望</t>
  </si>
  <si>
    <t>SCH_092</t>
  </si>
  <si>
    <t>◇ポジションマッチ B1</t>
  </si>
  <si>
    <t>SCH_099</t>
  </si>
  <si>
    <t>◇ポジションマッチ_36歳以上 B1</t>
  </si>
  <si>
    <t>SCH_093</t>
  </si>
  <si>
    <t>◇ポジションマッチ B2</t>
  </si>
  <si>
    <t>SCH_100</t>
  </si>
  <si>
    <t>◇ポジションマッチ_36歳以上 B2</t>
  </si>
  <si>
    <t>SCH_094</t>
  </si>
  <si>
    <t>◇ポジションマッチ B3</t>
  </si>
  <si>
    <t>SCH_095</t>
  </si>
  <si>
    <t>◇ポジションマッチ 関西</t>
  </si>
  <si>
    <t>SCH_101</t>
  </si>
  <si>
    <t>◇ポジションマッチ_36歳以上 B3</t>
  </si>
  <si>
    <t>SCH_125</t>
  </si>
  <si>
    <t>エンジニア限定_単独求人メルマガ</t>
  </si>
  <si>
    <t>SCH_182</t>
  </si>
  <si>
    <t>☆救済メルマガ(UP10)</t>
  </si>
  <si>
    <t>SCH_193</t>
  </si>
  <si>
    <t>35歳以上向け A</t>
  </si>
  <si>
    <t>SCH_251</t>
  </si>
  <si>
    <t>育児両立_フレックス</t>
  </si>
  <si>
    <t>対象年齢</t>
  </si>
  <si>
    <t>対象現住所</t>
  </si>
  <si>
    <t>SCH_332</t>
  </si>
  <si>
    <t>事務職 B</t>
  </si>
  <si>
    <t>SCH_334</t>
  </si>
  <si>
    <t>事務職_35歳以上 B</t>
  </si>
  <si>
    <t>SCH_336</t>
  </si>
  <si>
    <t>事務職_関西 B</t>
  </si>
  <si>
    <t>SCH_380</t>
  </si>
  <si>
    <t>年休130日以上_残業10時間以下</t>
  </si>
  <si>
    <t>SCH_382</t>
  </si>
  <si>
    <t>年収UP_関西</t>
  </si>
  <si>
    <t>SCH_392</t>
  </si>
  <si>
    <t>副業OK×リモート_ランキング</t>
  </si>
  <si>
    <t>SCH_038</t>
  </si>
  <si>
    <t>引っ越し特典</t>
  </si>
  <si>
    <t>SCH_046</t>
  </si>
  <si>
    <t>京都市で働く</t>
  </si>
  <si>
    <t>SCH_047</t>
  </si>
  <si>
    <t>熊本市で働く</t>
  </si>
  <si>
    <t>SCH_048</t>
  </si>
  <si>
    <t>広島市で働く</t>
  </si>
  <si>
    <t>SCH_045</t>
  </si>
  <si>
    <t>関西_アドバイザー・カウンセラー_未経験</t>
  </si>
  <si>
    <t>SCH_057</t>
  </si>
  <si>
    <t>時短×月給30万円以上_関西</t>
  </si>
  <si>
    <t>SCH_069</t>
  </si>
  <si>
    <t>相模原市で働く</t>
  </si>
  <si>
    <t>SCH_077</t>
  </si>
  <si>
    <t>販サ経験者_ハイブランド</t>
  </si>
  <si>
    <t>SCH_108</t>
  </si>
  <si>
    <t>お祝い金あり</t>
  </si>
  <si>
    <t>SCH_109</t>
  </si>
  <si>
    <t>ふるさと納税メルマガ</t>
  </si>
  <si>
    <t>SCH_115</t>
  </si>
  <si>
    <t>首都圏_アドバイザー・カウンセラー_未経験</t>
  </si>
  <si>
    <t>SCH_120</t>
  </si>
  <si>
    <t>美容クリニックで働く</t>
  </si>
  <si>
    <t>SCH_011</t>
  </si>
  <si>
    <t>ITエンジニア向けアンケート</t>
  </si>
  <si>
    <t>##条件
 ・性別：女性
 ・年齢：20～49歳
 ・経験職種：ITエンジニア系
 ・1.4万通
 \\cdc-fs00\media\電子メディア\00_電子メディア\MailMagazine\woman\bak\6_イレギュラーBAK\ユーザーアンケート\</t>
  </si>
  <si>
    <t>SCH_122</t>
  </si>
  <si>
    <t>☆IT派遣［全］</t>
  </si>
  <si>
    <t>配信日時: 日曜日 17:00
 応募（1配信あたり）: 15〜20
 変更前（設定）: 年齢：〜45歳、新規会員登録日経過820日以内
 変更前（通数）: 16万通
 変更後（設定）: 年齢：〜45歳、レジュメ更新日 180日以内
 変更後（通数）: 6万通
 備考: ITH事業部より入稿。第2・第4日曜に配信。</t>
  </si>
  <si>
    <t>SCH_123</t>
  </si>
  <si>
    <t>☆Womantype[全]</t>
  </si>
  <si>
    <t>SCH_138</t>
  </si>
  <si>
    <t>単独求人訴求メルマガ_B</t>
  </si>
  <si>
    <t>SCH_139</t>
  </si>
  <si>
    <t>単独求人訴求メルマガ_C</t>
  </si>
  <si>
    <t>SCH_140</t>
  </si>
  <si>
    <t>SCH_151</t>
  </si>
  <si>
    <t>◇応募ランキング A</t>
  </si>
  <si>
    <t>SCH_183</t>
  </si>
  <si>
    <t>☆推進課</t>
  </si>
  <si>
    <t>SCH_184</t>
  </si>
  <si>
    <t>☆推進課_35歳以上</t>
  </si>
  <si>
    <t>SCH_185</t>
  </si>
  <si>
    <t>☆推進課_関西</t>
  </si>
  <si>
    <t>SCH_275</t>
  </si>
  <si>
    <t>横浜駅で働く</t>
  </si>
  <si>
    <t>SCH_291</t>
  </si>
  <si>
    <t>掲載終了間近_人気求人ランキング</t>
  </si>
  <si>
    <t>SCH_311</t>
  </si>
  <si>
    <t>札幌駅で働く</t>
  </si>
  <si>
    <t>SCH_321</t>
  </si>
  <si>
    <t>事務・営業職経験者向け</t>
  </si>
  <si>
    <t>SCH_348</t>
  </si>
  <si>
    <t>新大阪駅・本町駅で働く</t>
  </si>
  <si>
    <t>SCH_359</t>
  </si>
  <si>
    <t>仙台_リモートOK_未経験</t>
  </si>
  <si>
    <t>SCH_360</t>
  </si>
  <si>
    <t>仙台駅で働く</t>
  </si>
  <si>
    <t>SCH_362</t>
  </si>
  <si>
    <t>大宮浦和で働く</t>
  </si>
  <si>
    <t>SCH_363</t>
  </si>
  <si>
    <t>大阪_リモートOK_未経験</t>
  </si>
  <si>
    <t>SCH_372</t>
  </si>
  <si>
    <t>東海_リモート</t>
  </si>
  <si>
    <t>SCH_386</t>
  </si>
  <si>
    <t>博多区で働く</t>
  </si>
  <si>
    <t>SCH_393</t>
  </si>
  <si>
    <t>福岡_リモートOK_未経験</t>
  </si>
  <si>
    <t>SCH_034</t>
  </si>
  <si>
    <t>TP部_働きやすい企業特集</t>
  </si>
  <si>
    <t>SCH_035</t>
  </si>
  <si>
    <t>コスメ業界_希望</t>
  </si>
  <si>
    <t>SCH_041</t>
  </si>
  <si>
    <t>過去会員×フルリモート×未経験歓迎</t>
  </si>
  <si>
    <t>SCH_025</t>
  </si>
  <si>
    <t>☆エンジニア_経験_35歳以上_首都圏版</t>
  </si>
  <si>
    <t>SCH_026</t>
  </si>
  <si>
    <t>☆エンジニア_未経験_35歳以上_首都圏版</t>
  </si>
  <si>
    <t>SCH_027</t>
  </si>
  <si>
    <t>☆営業_経験_35歳以上_首都圏版</t>
  </si>
  <si>
    <t>SCH_028</t>
  </si>
  <si>
    <t>☆営業_未経験_35歳以上_首都圏版</t>
  </si>
  <si>
    <t>SCH_040</t>
  </si>
  <si>
    <t>駅直結_営業販サコンサル</t>
  </si>
  <si>
    <t>SCH_049</t>
  </si>
  <si>
    <t>高収入_未経験OK</t>
  </si>
  <si>
    <t>SCH_055</t>
  </si>
  <si>
    <t>四国で働く</t>
  </si>
  <si>
    <t>SCH_063</t>
  </si>
  <si>
    <t>人気検索KW_クリエイティブ系希望</t>
  </si>
  <si>
    <t>SCH_071</t>
  </si>
  <si>
    <t>大阪で働く</t>
  </si>
  <si>
    <t>SCH_072</t>
  </si>
  <si>
    <t>宅地建物取引士資格あり</t>
  </si>
  <si>
    <t>SCH_076</t>
  </si>
  <si>
    <t>東北で働く</t>
  </si>
  <si>
    <t>SCH_079</t>
  </si>
  <si>
    <t>北陸で働く</t>
  </si>
  <si>
    <t>SCH_103</t>
  </si>
  <si>
    <t>スカウトリマインド</t>
  </si>
  <si>
    <t>SCH_105</t>
  </si>
  <si>
    <t>人気単独求人_おまとめメルマガ</t>
  </si>
  <si>
    <t>SCH_118</t>
  </si>
  <si>
    <t>増発_フレキシブル事務</t>
  </si>
  <si>
    <t>SCH_008</t>
  </si>
  <si>
    <t>購入履歴ペース（PO） 配信</t>
  </si>
  <si>
    <t>SCH_009</t>
  </si>
  <si>
    <t>SCH_017</t>
  </si>
  <si>
    <t>4.5万通
 アデコ様・単独メルマガ</t>
  </si>
  <si>
    <t>SCH_144</t>
  </si>
  <si>
    <t>自己PR不要_フルリモート</t>
  </si>
  <si>
    <t>https://woman-type.jp/job-area/district3/24436/f/</t>
  </si>
  <si>
    <t>SCH_176</t>
  </si>
  <si>
    <t>☆エンジニア_経験_首都圏版</t>
  </si>
  <si>
    <t>SCH_177</t>
  </si>
  <si>
    <t>☆エンジニア_未経験_首都圏版</t>
  </si>
  <si>
    <t>SCH_178</t>
  </si>
  <si>
    <t>☆営業_経験_首都圏版</t>
  </si>
  <si>
    <t>SCH_179</t>
  </si>
  <si>
    <t>☆営業_未経験_首都圏版</t>
  </si>
  <si>
    <t>SCH_187</t>
  </si>
  <si>
    <t>☆販サ_経験_35歳以上_首都圏版</t>
  </si>
  <si>
    <t>SCH_188</t>
  </si>
  <si>
    <t>☆販サ_経験_35歳以上_全国版</t>
  </si>
  <si>
    <t>SCH_189</t>
  </si>
  <si>
    <t>☆販サ_経験_首都圏版</t>
  </si>
  <si>
    <t>SCH_190</t>
  </si>
  <si>
    <t>☆販サ_経験_全国版</t>
  </si>
  <si>
    <t>SCH_191</t>
  </si>
  <si>
    <t>☆販サ_未経験_35歳以上_首都圏版</t>
  </si>
  <si>
    <t>SCH_192</t>
  </si>
  <si>
    <t>☆販サ_未経験_首都圏版</t>
  </si>
  <si>
    <t>SCH_203</t>
  </si>
  <si>
    <t>40代事務ランキング</t>
  </si>
  <si>
    <t>SCH_219</t>
  </si>
  <si>
    <t>プライベート重視_35歳以上</t>
  </si>
  <si>
    <t>SCH_257</t>
  </si>
  <si>
    <t>駅直結_事務</t>
  </si>
  <si>
    <t>SCH_282</t>
  </si>
  <si>
    <t>関西限定事務求人特集</t>
  </si>
  <si>
    <t>SCH_298</t>
  </si>
  <si>
    <t>月曜日はリモート×フレックスで働く</t>
  </si>
  <si>
    <t>SCH_317</t>
  </si>
  <si>
    <t>事務_経験_35歳以上_首都圏版</t>
  </si>
  <si>
    <t>SCH_319</t>
  </si>
  <si>
    <t>事務_未経験_35歳以上_首都圏版</t>
  </si>
  <si>
    <t>SCH_320</t>
  </si>
  <si>
    <t>事務_未経験_休眠会員_首都圏版</t>
  </si>
  <si>
    <t>SCH_343</t>
  </si>
  <si>
    <t>賞与3ヶ月以上×リモート_ランキング</t>
  </si>
  <si>
    <t>SCH_368</t>
  </si>
  <si>
    <t>中国地方で働く</t>
  </si>
  <si>
    <t>SCH_032</t>
  </si>
  <si>
    <t>TP部_リモート×未経験OKの求人特集</t>
  </si>
  <si>
    <t>SCH_053</t>
  </si>
  <si>
    <t>埼玉_路線</t>
  </si>
  <si>
    <t>SCH_061</t>
  </si>
  <si>
    <t>神奈川_路線</t>
  </si>
  <si>
    <t>SCH_066</t>
  </si>
  <si>
    <t>千葉_路線</t>
  </si>
  <si>
    <t>SCH_070</t>
  </si>
  <si>
    <t>大阪_路線</t>
  </si>
  <si>
    <t>SCH_073</t>
  </si>
  <si>
    <t>超好条件_営業</t>
  </si>
  <si>
    <t>SCH_074</t>
  </si>
  <si>
    <t>東京_路線_事務</t>
  </si>
  <si>
    <t>SCH_078</t>
  </si>
  <si>
    <t>美容業界×未経験歓迎</t>
  </si>
  <si>
    <t>SCH_033</t>
  </si>
  <si>
    <t>TP部_リモートOK×女性管理職在籍の求人特集</t>
  </si>
  <si>
    <t>SCH_054</t>
  </si>
  <si>
    <t>埼玉_路線_B</t>
  </si>
  <si>
    <t>SCH_058</t>
  </si>
  <si>
    <t>首都圏‗営業×リモート×フレックス</t>
  </si>
  <si>
    <t>SCH_059</t>
  </si>
  <si>
    <t>首都圏‗事務×リモート×フレックス</t>
  </si>
  <si>
    <t>SCH_060</t>
  </si>
  <si>
    <t>上場_エンジニア経験</t>
  </si>
  <si>
    <t>SCH_062</t>
  </si>
  <si>
    <t>神奈川_路線_B</t>
  </si>
  <si>
    <t>SCH_067</t>
  </si>
  <si>
    <t>千葉_路線_B</t>
  </si>
  <si>
    <t>SCH_075</t>
  </si>
  <si>
    <t>東京_路線_事務_B</t>
  </si>
  <si>
    <t>SCH_107</t>
  </si>
  <si>
    <t>アプリ人気</t>
  </si>
  <si>
    <t>SCH_110</t>
  </si>
  <si>
    <t>フルリモートランキング_新規30日以降</t>
  </si>
  <si>
    <t>SCH_119</t>
  </si>
  <si>
    <t>内定まで最短</t>
  </si>
  <si>
    <t>SCH_087</t>
  </si>
  <si>
    <t>保育士_幼稚園教諭</t>
  </si>
  <si>
    <t>19時 スプシ</t>
  </si>
  <si>
    <t>SCH_088</t>
  </si>
  <si>
    <t>有給取得率</t>
  </si>
  <si>
    <t>SCH_143</t>
  </si>
  <si>
    <t>自己PR不要_35歳以上</t>
  </si>
  <si>
    <t>https://woman-type.jp/job-area/24936/f/</t>
  </si>
  <si>
    <t>SCH_174</t>
  </si>
  <si>
    <t>☆TP部メルマガ</t>
  </si>
  <si>
    <t>SCH_175</t>
  </si>
  <si>
    <t>☆TP部メルマガ_未就業</t>
  </si>
  <si>
    <t>SCH_195</t>
  </si>
  <si>
    <t>35歳以上向け_関西 A</t>
  </si>
  <si>
    <t>SCH_200</t>
  </si>
  <si>
    <t>40代ラスト転職</t>
  </si>
  <si>
    <t>SCH_205</t>
  </si>
  <si>
    <t>TP部_営業_現住所</t>
  </si>
  <si>
    <t>SCH_223</t>
  </si>
  <si>
    <t>フルリモート_全国_エンジニア</t>
  </si>
  <si>
    <t>SCH_224</t>
  </si>
  <si>
    <t>フルリモート_全国_営業</t>
  </si>
  <si>
    <t>SCH_225</t>
  </si>
  <si>
    <t>フルリモート_全国_事務</t>
  </si>
  <si>
    <t>SCH_226</t>
  </si>
  <si>
    <t>フルリモート×正社員</t>
  </si>
  <si>
    <t>SCH_227</t>
  </si>
  <si>
    <t>フルリモート×未経験歓迎</t>
  </si>
  <si>
    <t>SCH_245</t>
  </si>
  <si>
    <t>ランキング_販サ（フロント）_希望</t>
  </si>
  <si>
    <t>SCH_280</t>
  </si>
  <si>
    <t>関西‗超好条件_事務</t>
  </si>
  <si>
    <t>SCH_292</t>
  </si>
  <si>
    <t>経験_アパレル・コスメ</t>
  </si>
  <si>
    <t>SCH_293</t>
  </si>
  <si>
    <t>経験_一般事務</t>
  </si>
  <si>
    <t>SCH_294</t>
  </si>
  <si>
    <t>経験_営業</t>
  </si>
  <si>
    <t>SCH_342</t>
  </si>
  <si>
    <t>渋谷・恵比寿勤務_事務</t>
  </si>
  <si>
    <t>SCH_344</t>
  </si>
  <si>
    <t>上場_営業経験</t>
  </si>
  <si>
    <t>SCH_345</t>
  </si>
  <si>
    <t>上場_事務経験</t>
  </si>
  <si>
    <t>SCH_346</t>
  </si>
  <si>
    <t>上場_販サ経験</t>
  </si>
  <si>
    <t>SCH_361</t>
  </si>
  <si>
    <t>全国_超好条件_事務</t>
  </si>
  <si>
    <t>SCH_369</t>
  </si>
  <si>
    <t>超好条件_エンジニア</t>
  </si>
  <si>
    <t>SCH_396</t>
  </si>
  <si>
    <t>未経験_研修・資格_エンジニア系_首都圏</t>
  </si>
  <si>
    <t>SCH_399</t>
  </si>
  <si>
    <t>未経験_研修・資格_事務系_関西</t>
  </si>
  <si>
    <t>SCH_400</t>
  </si>
  <si>
    <t>未経験_研修・資格_事務系_首都圏</t>
  </si>
  <si>
    <t>SCH_401</t>
  </si>
  <si>
    <t>未経験エンジニア希望向け_首都圏</t>
  </si>
  <si>
    <t>SCH_409</t>
  </si>
  <si>
    <t>六本木勤務</t>
  </si>
  <si>
    <t>SCH_029</t>
  </si>
  <si>
    <t>２回目転職×称号</t>
  </si>
  <si>
    <t>SCH_042</t>
  </si>
  <si>
    <t>海外旅行し放題メルマガ</t>
  </si>
  <si>
    <t>SCH_052</t>
  </si>
  <si>
    <t>再募集メルマガ</t>
  </si>
  <si>
    <t>SCH_003</t>
  </si>
  <si>
    <t>応募フォーム離脱直後（C） 配信</t>
  </si>
  <si>
    <t>SCH_004</t>
  </si>
  <si>
    <t>SCH_005</t>
  </si>
  <si>
    <t>SCH_006</t>
  </si>
  <si>
    <t>SCH_007</t>
  </si>
  <si>
    <t>SCH_135</t>
  </si>
  <si>
    <t>首都圏_フルリモート_求人特集</t>
  </si>
  <si>
    <t>SCH_194</t>
  </si>
  <si>
    <t>35歳以上向け B</t>
  </si>
  <si>
    <t>SCH_196</t>
  </si>
  <si>
    <t>35歳以上向け_関西 B</t>
  </si>
  <si>
    <t>SCH_197</t>
  </si>
  <si>
    <t>35歳未満_PV多い求人</t>
  </si>
  <si>
    <t>SCH_198</t>
  </si>
  <si>
    <t>36歳以上正社員求人</t>
  </si>
  <si>
    <t>SCH_212</t>
  </si>
  <si>
    <t>これから人気</t>
  </si>
  <si>
    <t>SCH_229</t>
  </si>
  <si>
    <t>ユニークな福利厚生制度_B</t>
  </si>
  <si>
    <t>SCH_250</t>
  </si>
  <si>
    <t>異業種提案_事務</t>
  </si>
  <si>
    <t>SCH_305</t>
  </si>
  <si>
    <t>広報・マーケティング_リモート_未経験</t>
  </si>
  <si>
    <t>SCH_308</t>
  </si>
  <si>
    <t>国認定企業</t>
  </si>
  <si>
    <t>SCH_312</t>
  </si>
  <si>
    <t>残業したくない</t>
  </si>
  <si>
    <t>SCH_313</t>
  </si>
  <si>
    <t>残業したくない_関西</t>
  </si>
  <si>
    <t>SCH_331</t>
  </si>
  <si>
    <t>事務職 A</t>
  </si>
  <si>
    <t>SCH_333</t>
  </si>
  <si>
    <t>事務職_35歳以上 A_ランキング</t>
  </si>
  <si>
    <t>SCH_335</t>
  </si>
  <si>
    <t>事務職_関西 A</t>
  </si>
  <si>
    <t>SCH_340</t>
  </si>
  <si>
    <t>住宅手当あり_首都圏</t>
  </si>
  <si>
    <t>SCH_341</t>
  </si>
  <si>
    <t>住宅手当あり_首都圏_35歳以上</t>
  </si>
  <si>
    <t>SCH_347</t>
  </si>
  <si>
    <t>新規会員向け_フルリモート×未経験歓迎</t>
  </si>
  <si>
    <t>SCH_358</t>
  </si>
  <si>
    <t>正社員_関西</t>
  </si>
  <si>
    <t>SCH_365</t>
  </si>
  <si>
    <t>大手上場_35歳以上 A</t>
  </si>
  <si>
    <t>SCH_366</t>
  </si>
  <si>
    <t>大手上場_関西 A</t>
  </si>
  <si>
    <t>SCH_367</t>
  </si>
  <si>
    <t>大手上場_第二新卒 A</t>
  </si>
  <si>
    <t>SCH_373</t>
  </si>
  <si>
    <t>当日新規会員</t>
  </si>
  <si>
    <t>SCH_374</t>
  </si>
  <si>
    <t>SCH_375</t>
  </si>
  <si>
    <t>SCH_376</t>
  </si>
  <si>
    <t>SCH_377</t>
  </si>
  <si>
    <t>SCH_378</t>
  </si>
  <si>
    <t>SCH_379</t>
  </si>
  <si>
    <t>SCH_390</t>
  </si>
  <si>
    <t>不動産×事務</t>
  </si>
  <si>
    <t>SCH_397</t>
  </si>
  <si>
    <t>未経験_研修・資格_クリエイティブ系_埼玉神奈川千葉</t>
  </si>
  <si>
    <t>SCH_398</t>
  </si>
  <si>
    <t>未経験_研修・資格_クリエイティブ系_東京</t>
  </si>
  <si>
    <t>SCH_056</t>
  </si>
  <si>
    <t>事務‗新宿駅×駅チカ</t>
  </si>
  <si>
    <t>SCH_121</t>
  </si>
  <si>
    <t>◇ウキにしか掲載していない求人</t>
  </si>
  <si>
    <t>SCH_126</t>
  </si>
  <si>
    <t>応募から3日会員</t>
  </si>
  <si>
    <t>SCH_127</t>
  </si>
  <si>
    <t>SCH_128</t>
  </si>
  <si>
    <t>SCH_129</t>
  </si>
  <si>
    <t>SCH_130</t>
  </si>
  <si>
    <t>SCH_131</t>
  </si>
  <si>
    <t>SCH_132</t>
  </si>
  <si>
    <t>SCH_207</t>
  </si>
  <si>
    <t>WEB面接・コロナ対策</t>
  </si>
  <si>
    <t>SCH_208</t>
  </si>
  <si>
    <t>ウルトラ好条件</t>
  </si>
  <si>
    <t>SCH_220</t>
  </si>
  <si>
    <t>フルフレックス</t>
  </si>
  <si>
    <t>SCH_244</t>
  </si>
  <si>
    <t>ランキング_事務（貿易事務）_希望</t>
  </si>
  <si>
    <t>SCH_246</t>
  </si>
  <si>
    <t>リモート_ランキング</t>
  </si>
  <si>
    <t>SCH_252</t>
  </si>
  <si>
    <t>営業_カタカナ職業</t>
  </si>
  <si>
    <t>SCH_265</t>
  </si>
  <si>
    <t>応募から1日_好条件事務ランキング</t>
  </si>
  <si>
    <t>SCH_266</t>
  </si>
  <si>
    <t>SCH_267</t>
  </si>
  <si>
    <t>SCH_268</t>
  </si>
  <si>
    <t>SCH_269</t>
  </si>
  <si>
    <t>SCH_270</t>
  </si>
  <si>
    <t>SCH_271</t>
  </si>
  <si>
    <t>SCH_277</t>
  </si>
  <si>
    <t>学歴不問×大手上場企業</t>
  </si>
  <si>
    <t>SCH_284</t>
  </si>
  <si>
    <t>希望業種_人材サービス</t>
  </si>
  <si>
    <t>SCH_297</t>
  </si>
  <si>
    <t>月給30万以上_ランキング</t>
  </si>
  <si>
    <t>SCH_299</t>
  </si>
  <si>
    <t>検討中ランキング_クリエイティブ</t>
  </si>
  <si>
    <t>SCH_301</t>
  </si>
  <si>
    <t>検討中ランキング_販サ</t>
  </si>
  <si>
    <t>SCH_324</t>
  </si>
  <si>
    <t>事務（一般事務）_希望</t>
  </si>
  <si>
    <t>SCH_354</t>
  </si>
  <si>
    <t>新働きやすさ_A</t>
  </si>
  <si>
    <t>SCH_355</t>
  </si>
  <si>
    <t>新働きやすさ_A_関西</t>
  </si>
  <si>
    <t>SCH_381</t>
  </si>
  <si>
    <t>年収UP_営業</t>
  </si>
  <si>
    <t>SCH_383</t>
  </si>
  <si>
    <t>年収UP_事務</t>
  </si>
  <si>
    <t>SCH_384</t>
  </si>
  <si>
    <t>年収UP_販サ</t>
  </si>
  <si>
    <t>SCH_387</t>
  </si>
  <si>
    <t>髪色・服装自由_事務</t>
  </si>
  <si>
    <t>SCH_406</t>
  </si>
  <si>
    <t>名駅・栄駅で働く</t>
  </si>
  <si>
    <t>SCH_411</t>
  </si>
  <si>
    <t>フルリモート×フレックス_エンジニア</t>
  </si>
  <si>
    <t>SCH_412</t>
  </si>
  <si>
    <t>テキスト</t>
  </si>
  <si>
    <t>schedule_id</t>
  </si>
  <si>
    <t>target_date</t>
  </si>
  <si>
    <t>status</t>
  </si>
  <si>
    <t>stopped</t>
  </si>
  <si>
    <t>item_id</t>
  </si>
  <si>
    <t>field</t>
  </si>
  <si>
    <t>is_active</t>
  </si>
  <si>
    <t>updated_at</t>
  </si>
  <si>
    <t>original_date</t>
  </si>
  <si>
    <t>delivery_date</t>
  </si>
  <si>
    <t>confirmed_by</t>
  </si>
  <si>
    <t>confirmed_at</t>
  </si>
  <si>
    <t>override_fields</t>
  </si>
  <si>
    <t>メルマガ内容</t>
  </si>
  <si>
    <t>Column 39</t>
  </si>
  <si>
    <t>Column 40</t>
  </si>
  <si>
    <t>Column 41</t>
  </si>
  <si>
    <t>Column 42</t>
  </si>
  <si>
    <t>Column 43</t>
  </si>
  <si>
    <t>Column 44</t>
  </si>
  <si>
    <t>Column 45</t>
  </si>
  <si>
    <t>Column 46</t>
  </si>
  <si>
    <t>Column 47</t>
  </si>
  <si>
    <t>Column 48</t>
  </si>
  <si>
    <t>Column 49</t>
  </si>
  <si>
    <t>Column 50</t>
  </si>
  <si>
    <t>Column 51</t>
  </si>
  <si>
    <t>Column 52</t>
  </si>
  <si>
    <t>Column 53</t>
  </si>
  <si>
    <t>Column 54</t>
  </si>
  <si>
    <t>Column 55</t>
  </si>
  <si>
    <t>Column 56</t>
  </si>
  <si>
    <t>Column 57</t>
  </si>
  <si>
    <t>Column 58</t>
  </si>
  <si>
    <t>Column 59</t>
  </si>
  <si>
    <t>Column 60</t>
  </si>
  <si>
    <t>Column 61</t>
  </si>
  <si>
    <t>Column 62</t>
  </si>
  <si>
    <t>Column 63</t>
  </si>
  <si>
    <t>Column 64</t>
  </si>
  <si>
    <t>pr</t>
  </si>
  <si>
    <t>Column 66</t>
  </si>
  <si>
    <t>Column 67</t>
  </si>
  <si>
    <t>リスト_159|2026-05-19</t>
  </si>
  <si>
    <t>リスト_159</t>
  </si>
  <si>
    <t>move_override</t>
  </si>
  <si>
    <t>(移動による自動更新)</t>
  </si>
  <si>
    <t>リスト_159|2026-05-20</t>
  </si>
  <si>
    <t>occurrence_override</t>
  </si>
  <si>
    <t>delivery_count,assignee</t>
  </si>
  <si>
    <t>横</t>
  </si>
  <si>
    <t>SCH_001|2026-05-19</t>
  </si>
  <si>
    <t>リスト_276|2026-05-19</t>
  </si>
  <si>
    <t>リスト_276</t>
  </si>
  <si>
    <t>リスト_136|2026-05-19</t>
  </si>
  <si>
    <t>リスト_136</t>
  </si>
  <si>
    <t>リスト_133|2026-05-19</t>
  </si>
  <si>
    <t>リスト_133</t>
  </si>
  <si>
    <t>リスト_133|2026-05-26</t>
  </si>
  <si>
    <t>SCH_001|2026-05-26</t>
  </si>
  <si>
    <t>新規_10|2026-05-26</t>
  </si>
  <si>
    <t>新規_10</t>
  </si>
  <si>
    <t>cycle,hour,assignee,reviewer</t>
  </si>
  <si>
    <t>阿</t>
  </si>
  <si>
    <t>リスト_53|2026-05-26</t>
  </si>
  <si>
    <t>リスト_53</t>
  </si>
  <si>
    <t>cycle,hour,sub_category,assignee,reviewer</t>
  </si>
  <si>
    <t>SCH_204|2026-05-20</t>
  </si>
  <si>
    <t>SCH_229|2026-05-20</t>
  </si>
  <si>
    <t>timestamp</t>
  </si>
  <si>
    <t>user</t>
  </si>
  <si>
    <t>comment_text</t>
  </si>
  <si>
    <t>PR</t>
  </si>
  <si>
    <t>自動求人特集ID</t>
  </si>
  <si>
    <t>日付</t>
  </si>
  <si>
    <t>閲覧履歴ペース（BB）　配信</t>
  </si>
  <si>
    <t>応募フォーム離脱直後（C）　配信</t>
  </si>
  <si>
    <t>購入履歴ペース（PO）　配信</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</si>
  <si>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</si>
  <si>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</si>
  <si>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</si>
  <si>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</si>
  <si>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</si>
  <si>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</si>
  <si>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</si>
  <si>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</si>
  <si>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</si>
  <si>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</si>
  <si>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</si>
  <si>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</si>
  <si>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</si>
  <si>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</si>
  <si>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color theme="1"/>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</si>
  <si>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</si>
  <si>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</si>
  <si>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</si>
  <si>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</si>
  <si>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</si>
  <si>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</si>
  <si>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</si>
  <si>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</si>
  <si>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</si>
  <si>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</si>
  <si>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</si>
  <si>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</si>
  <si>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</si>
  <si>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</si>
  <si>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</si>
  <si>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</si>
  <si>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color theme="1"/>
      </rPr>
      <t xml:space="preserve">年齢：～45歳
</t>
    </r>
    <r>
      <rPr>
        <rFont val="&quot;Noto Sans JP&quot;, Arial"/>
        <color rgb="FFFF0000"/>
      </rPr>
      <t>レジュメ更新日180日以内</t>
    </r>
  </si>
  <si>
    <t>6万通</t>
  </si>
  <si>
    <t>ITH事業部より入稿
→第2・第4日曜に配信</t>
  </si>
  <si>
    <t>エンジニア専門サイトPR
未経験者(経験職種無・未経験OK)</t>
  </si>
  <si>
    <t>┏.+゜☆+.━━━━━━━━ ━.+゜☆+. ゜┓
～未経験からでも大丈夫◎　目指せ手に職！ITエンジニア～
ITエンジニア求人を様々な検索方法で探せる！
＼エンジニア専門サイトはこちら／
http://woman.type.jp/s/engineer/?utm_source=adm&amp;utm_medium=email&amp;utm_campaign=adm_pr_11
┗.+゜☆+. ゜━ ━━━━━━━━.+゜☆+.┛</t>
  </si>
  <si>
    <t>リード文の下に入れる
※他のPRも差し込んでいる場合は
こちらのPRを最上部にする
※今後新しくPRを差し込むときは下になってしまっても問題ないです</t>
  </si>
  <si>
    <t>エンジニア専門サイトPR
(経験者※経験職種有)</t>
  </si>
  <si>
    <t>┏.+゜☆+.━━━━━━━━ ━.+゜☆+. ゜┓
～エンジニア経験者必見◎今後のキャリアのヒントに！～
こだわりの働き方や会社の特徴などから簡単に求人が探せる！
＼エンジニア専門サイトはこちら／
https://woman-type.jp/s/itengineer/?utm_source=adm&amp;utm_medium=email&amp;utm_campaign=adm_pr_12
┗.+゜☆+. ゜━ ━━━━━━━━.+゜☆+.┛</t>
  </si>
  <si>
    <t>エンジニア専門サイトPR
(希望職種のみ)</t>
  </si>
  <si>
    <t>┏.+゜☆+.━━━━━━━━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https://woman-type.jp/s/itengineer/?utm_source=adm&amp;utm_medium=email&amp;utm_campaign=adm_pr_12
┗.+゜☆+. ゜━ ━━━━━━━━.+゜☆+.┛</t>
  </si>
  <si>
    <t>営業大特集</t>
  </si>
  <si>
    <t>"┏━━━★期間限定特集★━━━━┓
◆スキルアップしながら長く働く！エンジニア経験者のためのIT・Web業界大特集◆
https://woman-type.jp/s/itweb/?utm_source=adm&amp;utm_medium=email&amp;utm_campaign=adm_pr_2
┗━━━━━━━━━━━━━━━┛"</t>
  </si>
  <si>
    <t>リード文の下に入れる
※他のPRも差し込んでいる場合は
こちらのPRを最上部にする</t>
  </si>
  <si>
    <t>ウキフェア</t>
  </si>
  <si>
    <t>┏━━.+゜☆+.女の転職type 転職イベント━━━┓
7/4(土)12:00～18:00
東京国際フォーラムにて女性のための転職イベント開催！
最大1,500円分のQUOカード他をプレゼント！
https://woman-type.jp/s/event/?utm_source=fair_woman-type&amp;utm_medium=email&amp;utm_campaign=inner_wr_mail_boss_pr_260704
┗━━━━━━━━━━━━━━━ .+゜☆+.━━┛</t>
  </si>
  <si>
    <t>アパレルコスメ大特集 関西大特集</t>
  </si>
  <si>
    <t>┏━━━★期間限定特集★━━━━┓  ◆キレイもキャリアも手に入れるアパレル･コスメ･美容業界大特集◆ https://woman-type.jp/s/fashion/sp20160927/?utm_source=adm&amp;utm_medium=email&amp;utm_campaign=adm_pr_6 ◆仕事もプライベートも充実！大阪エリアで働きたい人のための関西大特集◆ https://woman-type.jp/s/kansai/?utm_source=adm&amp;utm_medium=email&amp;utm_campaign=adm_pr_5  ┗━━━━━━━━━━━━━━━┛</t>
  </si>
  <si>
    <t>リード文の下に入れる  
※他のPRも差し込んでいる場合は こちらのPRを最上部にする</t>
  </si>
  <si>
    <t>block_name</t>
  </si>
  <si>
    <t>department</t>
  </si>
  <si>
    <t>delivery_status</t>
  </si>
  <si>
    <t>contact_note</t>
  </si>
  <si>
    <t>2020年_GW</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</si>
  <si>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</si>
  <si>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</si>
  <si>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</si>
  <si>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</si>
  <si>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</si>
  <si>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</si>
  <si>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</si>
  <si>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</si>
  <si>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</si>
  <si>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</si>
  <si>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</si>
  <si>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</si>
  <si>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</si>
  <si>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</si>
  <si>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</si>
  <si>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</si>
  <si>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</si>
  <si>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</si>
  <si>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</si>
  <si>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</si>
  <si>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</si>
  <si>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</si>
  <si>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</si>
  <si>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エンジニアフェア</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</si>
  <si>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</si>
  <si>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</si>
  <si>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</si>
  <si>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</si>
  <si>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</si>
  <si>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</si>
  <si>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</si>
  <si>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</si>
  <si>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</si>
  <si>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</si>
  <si>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</si>
  <si>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</si>
  <si>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</si>
  <si>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</si>
  <si>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</si>
  <si>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</si>
  <si>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</si>
  <si>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</si>
  <si>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</si>
  <si>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</si>
  <si>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</si>
  <si>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</si>
  <si>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</si>
  <si>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</si>
  <si>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</si>
  <si>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</si>
  <si>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</si>
  <si>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</si>
  <si>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</si>
  <si>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</si>
  <si>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</si>
  <si>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</si>
  <si>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</si>
  <si>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</si>
  <si>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</si>
  <si>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</si>
  <si>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</si>
  <si>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</si>
  <si>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</si>
  <si>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</si>
  <si>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t>
  </si>
  <si>
    <t>差込なしのイレギュラー文面で配信。</t>
  </si>
  <si>
    <t>TW_秋元さん</t>
  </si>
  <si>
    <t>入稿を金曜AM〆⇒水曜AM〆に早めてもらう。</t>
  </si>
  <si>
    <t>編集部オススメ_営業</t>
  </si>
  <si>
    <t>TP_吉江さん</t>
  </si>
  <si>
    <t>求人特集(35歳未満） B</t>
  </si>
  <si>
    <t>金曜更新がないので配信休止</t>
  </si>
  <si>
    <t>入稿を木曜〆⇒火曜〆に早めてもらう。</t>
  </si>
  <si>
    <t>営業_花澤さん、紅谷さん</t>
  </si>
  <si>
    <t>エントリーを木曜〆⇒水曜AM〆に前倒してもらう。</t>
  </si>
  <si>
    <t>IT派遣</t>
  </si>
  <si>
    <t>CDI_羽根さん、北島さん</t>
  </si>
  <si>
    <t>TP部メルマガ×2本</t>
  </si>
  <si>
    <t>掲載終了前+UP B</t>
  </si>
  <si>
    <r>
      <rPr>
        <rFont val="Calibri"/>
        <color rgb="FF000000"/>
        <sz val="11.0"/>
      </rPr>
      <t>2021</t>
    </r>
    <r>
      <rPr>
        <rFont val="Arial"/>
        <color rgb="FF000000"/>
        <sz val="11.0"/>
      </rPr>
      <t>年</t>
    </r>
    <r>
      <rPr>
        <rFont val="Calibri"/>
        <color rgb="FF000000"/>
        <sz val="11.0"/>
      </rPr>
      <t>_</t>
    </r>
    <r>
      <rPr>
        <rFont val="Arial"/>
        <color rgb="FF000000"/>
        <sz val="11.0"/>
      </rPr>
      <t>お盆（</t>
    </r>
    <r>
      <rPr>
        <rFont val="Calibri"/>
        <color rgb="FF000000"/>
        <sz val="11.0"/>
      </rPr>
      <t>8/7</t>
    </r>
    <r>
      <rPr>
        <rFont val="Arial"/>
        <color rgb="FF000000"/>
        <sz val="11.0"/>
      </rPr>
      <t>土～</t>
    </r>
    <r>
      <rPr>
        <rFont val="Calibri"/>
        <color rgb="FF000000"/>
        <sz val="11.0"/>
      </rPr>
      <t>8/15</t>
    </r>
    <r>
      <rPr>
        <rFont val="Arial"/>
        <color rgb="FF000000"/>
        <sz val="11.0"/>
      </rPr>
      <t>日）</t>
    </r>
  </si>
  <si>
    <t>差込なしで配信</t>
  </si>
  <si>
    <t>18時のエンジニア系</t>
  </si>
  <si>
    <t>営業 花澤さん紅谷さん</t>
  </si>
  <si>
    <t>火曜更新がないので配信休止</t>
  </si>
  <si>
    <t>編集部オススメ_事務</t>
  </si>
  <si>
    <t>TP 吉江さん</t>
  </si>
  <si>
    <t>18時の営業系</t>
  </si>
  <si>
    <t>18時の販サ系</t>
  </si>
  <si>
    <t>TW 秋元さん</t>
  </si>
  <si>
    <t>配信休止。代替で「希望勤務地_神奈川」を配信。</t>
  </si>
  <si>
    <t>配信休止。代替で「救済メルマガ(UP10)_イレギュラー」を配信。</t>
  </si>
  <si>
    <t>関西</t>
  </si>
  <si>
    <t>代理店課　河合さん</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</si>
  <si>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</si>
  <si>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</si>
  <si>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</si>
  <si>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</si>
  <si>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</si>
  <si>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</si>
  <si>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</si>
  <si>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</si>
  <si>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</si>
  <si>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</si>
  <si>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</si>
  <si>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</si>
  <si>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</si>
  <si>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</si>
  <si>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</si>
  <si>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</si>
  <si>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</si>
  <si>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</si>
  <si>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（火12・13）新着総合5本・・・更新が無いため、メルマガPR（商品）の差込無し+通常文面とは異なるイレギュラー文面での配信。</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</si>
  <si>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</si>
  <si>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</si>
  <si>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</si>
  <si>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</si>
  <si>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</si>
  <si>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入稿〆切を2/9（水）に変更</t>
  </si>
  <si>
    <t>営アシ_藤村さん</t>
  </si>
  <si>
    <t>エントリー〆が水曜18時のため配信に間に合うため配信</t>
  </si>
  <si>
    <t>制作_桑原さん、本多さん</t>
  </si>
  <si>
    <t>エントリー〆を木曜午前中に変更</t>
  </si>
  <si>
    <t>求人特集の更新がないため配信停止</t>
  </si>
  <si>
    <t>営業 花澤さん紅谷さん富田さん</t>
  </si>
  <si>
    <t>エントリー〆を2/9（水）に変更</t>
  </si>
  <si>
    <t>エントリー〆切を2/10（木）午前に変更</t>
  </si>
  <si>
    <t>IT派遣　加藤さん　木村さん　川村さん</t>
  </si>
  <si>
    <t>入稿〆切を2/10（木）午前中までにお願いする</t>
  </si>
  <si>
    <t>制作_本多さん　Cc：桑原さん</t>
  </si>
  <si>
    <t>代理店_井上さん</t>
  </si>
  <si>
    <t>2022年2月23日（水）祝日対応</t>
  </si>
  <si>
    <t>火曜12時〆切　→　月曜12時〆切</t>
  </si>
  <si>
    <t>2022年3月20日（日）～19時までメンテでサイト停止・3月21日（月）祝日</t>
  </si>
  <si>
    <t>エントリー〆切を3/17（木）午前に変更</t>
  </si>
  <si>
    <t>納品対策</t>
  </si>
  <si>
    <t>通常通り配信</t>
  </si>
  <si>
    <t>入稿を3/17（木）午前までの締め切りに変更</t>
  </si>
  <si>
    <t>ポジションマッチ A2</t>
  </si>
  <si>
    <t>新着総合（8本）</t>
  </si>
  <si>
    <t>応募ランキング A</t>
  </si>
  <si>
    <t>2022年_GW</t>
  </si>
  <si>
    <r>
      <rPr>
        <rFont val="Arial"/>
        <color rgb="FF000000"/>
        <sz val="11.0"/>
      </rPr>
      <t>祝日：</t>
    </r>
    <r>
      <rPr>
        <rFont val="Calibri"/>
        <color rgb="FF000000"/>
        <sz val="11.0"/>
      </rPr>
      <t>4/29</t>
    </r>
    <r>
      <rPr>
        <rFont val="Arial"/>
        <color rgb="FF000000"/>
        <sz val="11.0"/>
      </rPr>
      <t>（金）、</t>
    </r>
    <r>
      <rPr>
        <rFont val="Calibri"/>
        <color rgb="FF000000"/>
        <sz val="11.0"/>
      </rPr>
      <t>5/3</t>
    </r>
    <r>
      <rPr>
        <rFont val="Arial"/>
        <color rgb="FF000000"/>
        <sz val="11.0"/>
      </rPr>
      <t>（火）、</t>
    </r>
    <r>
      <rPr>
        <rFont val="Calibri"/>
        <color rgb="FF000000"/>
        <sz val="11.0"/>
      </rPr>
      <t>5/4</t>
    </r>
    <r>
      <rPr>
        <rFont val="Arial"/>
        <color rgb="FF000000"/>
        <sz val="11.0"/>
      </rPr>
      <t>（水）、</t>
    </r>
    <r>
      <rPr>
        <rFont val="Calibri"/>
        <color rgb="FF000000"/>
        <sz val="11.0"/>
      </rPr>
      <t>5/5</t>
    </r>
    <r>
      <rPr>
        <rFont val="Arial"/>
        <color rgb="FF000000"/>
        <sz val="11.0"/>
      </rPr>
      <t>（木）</t>
    </r>
  </si>
  <si>
    <t>MT_柴田さん　Cc：TW課</t>
  </si>
  <si>
    <t>入稿〆切を4/27（水）に変更</t>
  </si>
  <si>
    <t>4/29(金)に設定ができないため配信休止</t>
  </si>
  <si>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</si>
  <si>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</si>
  <si>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</si>
  <si>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</si>
  <si>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</si>
  <si>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推進課メルマガ3本</t>
  </si>
  <si>
    <t>推進_小林晃輝さん</t>
  </si>
  <si>
    <t>5/4(水)のエントリー停止のため配信停止</t>
  </si>
  <si>
    <t>5/5(木)のエントリー停止のため配信停止</t>
  </si>
  <si>
    <t>求人特集の更新があるため配信</t>
  </si>
  <si>
    <t>5/3(火)～5/5(木)のエントリーを停止のため配信休止</t>
  </si>
  <si>
    <t>エントリー〆切が5/6（金）午前のため配信可能</t>
  </si>
  <si>
    <t>IT派遣　木村さん　中島さん　加藤さん</t>
  </si>
  <si>
    <t>入稿〆切を4/28（木）午前中までにお願いする</t>
  </si>
  <si>
    <t>入稿〆切が5/6(金)午前のため配信可能
→　typeは配信停止</t>
  </si>
  <si>
    <t>5/3(火)～5/5(木)のエントリーを停止のため差込なしで配信</t>
  </si>
  <si>
    <t>2022年7月18日（月）祝日対応</t>
  </si>
  <si>
    <t>金曜12時〆切 → 通常運営でOK</t>
  </si>
  <si>
    <t>ポジションマッチ A3</t>
  </si>
  <si>
    <r>
      <rPr>
        <rFont val="Calibri"/>
        <color rgb="FF000000"/>
        <sz val="11.0"/>
      </rPr>
      <t>2022</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木～</t>
    </r>
    <r>
      <rPr>
        <rFont val="Calibri"/>
        <color rgb="FF000000"/>
        <sz val="11.0"/>
      </rPr>
      <t>8/17</t>
    </r>
    <r>
      <rPr>
        <rFont val="Arial"/>
        <color rgb="FF000000"/>
        <sz val="11.0"/>
      </rPr>
      <t>水）</t>
    </r>
  </si>
  <si>
    <t>TW 柴田さん</t>
  </si>
  <si>
    <t>平山さん、原田さん、営アシsales-assistant@type.jp</t>
  </si>
  <si>
    <t>8/9AMで前倒し</t>
  </si>
  <si>
    <t>配信休止→配信有、エントリー期間8/9(火)中に変更</t>
  </si>
  <si>
    <t>水曜午前中で入稿〆切変更</t>
  </si>
  <si>
    <t>代理店_西山さん</t>
  </si>
  <si>
    <t>差込なしで配信→差し込み有、エントリー期間8/9(火)中に変更</t>
  </si>
  <si>
    <t>配信休止　エントリー受付なし</t>
  </si>
  <si>
    <t>2022年9月23日（金曜）祝日対応</t>
  </si>
  <si>
    <t>ポジションマッチ B2</t>
  </si>
  <si>
    <t>入稿〆切を9/21（水）に変更</t>
  </si>
  <si>
    <t>エントリー〆を水曜中に変更</t>
  </si>
  <si>
    <t>水曜中で入稿〆切変更</t>
  </si>
  <si>
    <r>
      <rPr>
        <rFont val="Calibri"/>
        <color rgb="FF000000"/>
        <sz val="11.0"/>
      </rPr>
      <t>2022</t>
    </r>
    <r>
      <rPr>
        <rFont val="Arial"/>
        <color rgb="FF000000"/>
        <sz val="11.0"/>
      </rPr>
      <t>年</t>
    </r>
    <r>
      <rPr>
        <rFont val="Calibri"/>
        <color rgb="FF000000"/>
        <sz val="11.0"/>
      </rPr>
      <t>_</t>
    </r>
    <r>
      <rPr>
        <rFont val="Arial"/>
        <color rgb="FF000000"/>
        <sz val="11.0"/>
      </rPr>
      <t>マスタ改修期間（</t>
    </r>
    <r>
      <rPr>
        <rFont val="Calibri"/>
        <color rgb="FF000000"/>
        <sz val="11.0"/>
      </rPr>
      <t>10/22</t>
    </r>
    <r>
      <rPr>
        <rFont val="Arial"/>
        <color rgb="FF000000"/>
        <sz val="11.0"/>
      </rPr>
      <t>～</t>
    </r>
    <r>
      <rPr>
        <rFont val="Calibri"/>
        <color rgb="FF000000"/>
        <sz val="11.0"/>
      </rPr>
      <t>10/24</t>
    </r>
    <r>
      <rPr>
        <rFont val="Arial"/>
        <color rgb="FF000000"/>
        <sz val="11.0"/>
      </rPr>
      <t>）</t>
    </r>
  </si>
  <si>
    <t>営業 _石川翔一さん、紅谷さん</t>
  </si>
  <si>
    <t>IT派遣　木村さん　中島さん</t>
  </si>
  <si>
    <t>2022年11月3日（木曜）祝日対応</t>
  </si>
  <si>
    <t>エントリーは火曜なので通常配信</t>
  </si>
  <si>
    <t>11/3日(木)が祝日のためエントリー期間を10/31(月)～11/1(火)</t>
  </si>
  <si>
    <t>TW 関口さん　Cc：TW課</t>
  </si>
  <si>
    <t>入稿〆切を11/2（水）に変更</t>
  </si>
  <si>
    <t>2022年11月23日（水曜）祝日対応</t>
  </si>
  <si>
    <t>推進_布施さん</t>
  </si>
  <si>
    <t>2022年12月29日から2023年1月3日　年末年始休日対応</t>
  </si>
  <si>
    <t>差し込みなしで配信</t>
  </si>
  <si>
    <t>ポジションマッチB1</t>
  </si>
  <si>
    <t>sales-assistant@type.jpのみ(島原さん)</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</si>
  <si>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</si>
  <si>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</si>
  <si>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</si>
  <si>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</si>
  <si>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</si>
  <si>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</si>
  <si>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ポジションマッチ</t>
  </si>
  <si>
    <t>TW 柴田さん　Cc：TW課</t>
  </si>
  <si>
    <t>入稿〆切を2/22（水）AM中に変更</t>
  </si>
  <si>
    <t>2023年3月21日（火）祝日対応</t>
  </si>
  <si>
    <t>入稿〆切を3/20（月）AM中に変更</t>
  </si>
  <si>
    <t>休みの前後1日も注視</t>
  </si>
  <si>
    <t>通常配信※前倒し設定可能</t>
  </si>
  <si>
    <t>TW 光谷さん　Cc：TW課</t>
  </si>
  <si>
    <t>入稿〆切5/2（火）AM中に変更</t>
  </si>
  <si>
    <t>原田梓 &lt;a-harata@type.jp&gt;
Cc:        arp_assistant@type.jp,</t>
  </si>
  <si>
    <t>2023年6月4日（日）BOSS-Cメンテ対応</t>
  </si>
  <si>
    <t>6/3(土)18時に配信日だけ変更する旨お伝えする</t>
  </si>
  <si>
    <t>6/5(月)19時に配信日だけ変更する旨お伝えする</t>
  </si>
  <si>
    <t>2023年7月17日（月）祝日対応</t>
  </si>
  <si>
    <r>
      <rPr>
        <rFont val="Calibri"/>
        <color rgb="FF000000"/>
        <sz val="11.0"/>
      </rPr>
      <t>2023</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金～</t>
    </r>
    <r>
      <rPr>
        <rFont val="Calibri"/>
        <color rgb="FF000000"/>
        <sz val="11.0"/>
      </rPr>
      <t>8/20</t>
    </r>
    <r>
      <rPr>
        <rFont val="Arial"/>
        <color rgb="FF000000"/>
        <sz val="11.0"/>
      </rPr>
      <t>日）</t>
    </r>
  </si>
  <si>
    <t>山田達郎さん、原田さん、営アシsales-assistant@type.jp</t>
  </si>
  <si>
    <t>8/7AMで前倒し</t>
  </si>
  <si>
    <t>配信休止→配信有、エントリー期間8/9(水)中に変更</t>
  </si>
  <si>
    <t>営業 石川翔一さん、畑さん</t>
  </si>
  <si>
    <t>IT派遣　木村さん　中島さん　Cc：ITH事業部 登録部</t>
  </si>
  <si>
    <t>木曜午前中で入稿〆切変更</t>
  </si>
  <si>
    <t>差込なしで配信→配信有、エントリー期間8/9(水)中に変更</t>
  </si>
  <si>
    <t>代理店_中嶋さん</t>
  </si>
  <si>
    <t>差込なしで配信→差し込み有、エントリー期間8/9(水)中に変更</t>
  </si>
  <si>
    <t>火曜更新がないので配信停止</t>
  </si>
  <si>
    <t>推進_布施舞奈味さん</t>
  </si>
  <si>
    <t>8/7に入稿締め切りを前倒し</t>
  </si>
  <si>
    <t>2023年9月18日（月）祝日対応</t>
  </si>
  <si>
    <t>2023年10月9日（月）祝日対応</t>
  </si>
  <si>
    <t>2023年11月3日（金）祝日対応</t>
  </si>
  <si>
    <t>山田達郎さん、原田さん、営アシeh_eiashi@type.jp</t>
  </si>
  <si>
    <t>10/31（火）AMで前倒し</t>
  </si>
  <si>
    <t>配信休止→配信有、エントリー期間11/1(水)中に変更</t>
  </si>
  <si>
    <t>差込なしで配信→配信有、エントリー期間11/1(水)中に変更</t>
  </si>
  <si>
    <t>2023年11月23日（木）祝日対応</t>
  </si>
  <si>
    <t>差込なしで配信→差し込み有、通常通り配信</t>
  </si>
  <si>
    <t>配信休止→配信有、エントリー期間11/22(水)中に変更</t>
  </si>
  <si>
    <t>配信休止→配信有、エントリー期間11/20(月)～11/21(火)中に変更</t>
  </si>
  <si>
    <t>差込なしで配信→差し込み有、エントリー期間11/22(水)中に変更</t>
  </si>
  <si>
    <t>2023年12月29日から2024年1月3日　年末年始休日対応
2024年1月8日（月）　祝日対応</t>
  </si>
  <si>
    <t>山田達郎さん、松浦さん、営アシsales-assistant@type.jp</t>
  </si>
  <si>
    <t>12/26AMに入稿締め切りを前倒し</t>
  </si>
  <si>
    <t>配信休止→配信有、エントリー期間12/27(水)中に変更</t>
  </si>
  <si>
    <t>配信停止　金曜更新がないため</t>
  </si>
  <si>
    <t>配信停止　※毎年12/31 17時～1/1終日の間、メルマガを停止している</t>
  </si>
  <si>
    <t>IT派遣　岩間理穂さん　中島さん　Cc：ITH事業部 登録部</t>
  </si>
  <si>
    <t>差込なしで配信→差し込み有、エントリー期間12/27(水)中に変更</t>
  </si>
  <si>
    <t>配信停止　火曜更新がないため</t>
  </si>
  <si>
    <t>配信停止　12/26AMに入稿締め切りを前倒し</t>
  </si>
  <si>
    <t>金曜更新あり→通常運営でOK</t>
  </si>
  <si>
    <t>配信休止→配信有、エントリー期間1/4(木)中に変更</t>
  </si>
  <si>
    <t>2024年2月12日（月）祝日対応</t>
  </si>
  <si>
    <t>今後全員一斉送信でもいいと思う＆祝日あるから対応方法考えてよってメールにしたいな</t>
  </si>
  <si>
    <t>山田達郎さん、松浦悠真さん、営アシeh_eiashi@type.jp</t>
  </si>
  <si>
    <t>2/21（水）エントリー締切なので配信可
通常配信
→差し込みなしで配信。</t>
  </si>
  <si>
    <t>制作_桑原さん、小櫻さん</t>
  </si>
  <si>
    <t>配信有、エントリー期間2/21(水)中に変更</t>
  </si>
  <si>
    <t>ITH事業部 中島さん</t>
  </si>
  <si>
    <t>配信有、入稿2/22(木)AM中に変更</t>
  </si>
  <si>
    <t>配信スキップ</t>
  </si>
  <si>
    <t>TP部_事務_希望地</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</si>
  <si>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</si>
  <si>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</si>
  <si>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</si>
  <si>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</si>
  <si>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</si>
  <si>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</si>
  <si>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</si>
  <si>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</si>
  <si>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TP部_事務_現住所</t>
  </si>
  <si>
    <t>エントリーは前週金曜締めなので対応不要。
通常配信</t>
  </si>
  <si>
    <t>18時
TP部_働きやすい企業特集</t>
  </si>
  <si>
    <t>通常配信で、連絡等も不要。</t>
  </si>
  <si>
    <t>メディア営業　松浦さん
CC:山田さん、町田さん</t>
  </si>
  <si>
    <t>エントリー締めが水曜のため、前倒しorスキップ確認が必要。
火曜中エントリーで対応⇒通常配信</t>
  </si>
  <si>
    <t>2024年4月29日（月）祝日対応
2024年5月  3日（金）～  5月6日（月）GW対応</t>
  </si>
  <si>
    <t>制作_小櫻さん　Cc：薄井さん</t>
  </si>
  <si>
    <t>金曜12時〆切なので問題ない。
通常配信</t>
  </si>
  <si>
    <t>19日がエントリー締めなので問題ない。
通常配信</t>
  </si>
  <si>
    <t>データは金曜に更新される。でも金曜休みでも特に連絡は不要。
通常配信</t>
  </si>
  <si>
    <t>荒木さんが設定くださっている。特に連絡不要。
通常配信</t>
  </si>
  <si>
    <t>参照：type／女の転職typeのGWを挟む入稿スケジュールのお知らせ
「広告・オプション」部分確認。</t>
  </si>
  <si>
    <t>営業_石川翔一さん、斉藤さん</t>
  </si>
  <si>
    <t>通常配信（木曜エントリー締め）</t>
  </si>
  <si>
    <t>連休前に神谷さんがRPA設定するのでスケジュール早めに出す。
通常配信</t>
  </si>
  <si>
    <t>メルマガPR(商品)差込なしで配信。
スケジュールに「イレギュラー文面で設定」とコメント挿入。</t>
  </si>
  <si>
    <t>5/1中に入稿を依頼。
⇒5/1入稿で対応。</t>
  </si>
  <si>
    <t>済み</t>
  </si>
  <si>
    <t>松浦悠真さん、町田さん
CC：山田達郎さん→中村真太郎さん</t>
  </si>
  <si>
    <t>5/1(水)中にエントリーがない場合
配信スキップとなりますのでご注意ください。
的な連絡を入れておく。
⇒通常配信</t>
  </si>
  <si>
    <t>制作_小櫻さん</t>
  </si>
  <si>
    <t>エントリー5/1(水)中で可能なら配信、難しければスキップ
5/1中入稿⇒通常配信</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</si>
  <si>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</si>
  <si>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</si>
  <si>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</si>
  <si>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</si>
  <si>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</si>
  <si>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t>5/3(金)エントリー締め。5/7(火)中エントリーで問題ない旨念のため連絡。
その時に併せて4/29,5/6通常配信も伝える。</t>
  </si>
  <si>
    <t>2024年7月15日（月）祝日対応</t>
  </si>
  <si>
    <t>制作_堤智美さん　Cc：薄井真理子さん</t>
  </si>
  <si>
    <t>5日がエントリー締めなので問題ない。
通常配信</t>
  </si>
  <si>
    <r>
      <rPr>
        <rFont val="Calibri"/>
        <color rgb="FF000000"/>
        <sz val="11.0"/>
      </rPr>
      <t>2024</t>
    </r>
    <r>
      <rPr>
        <rFont val="Arial"/>
        <color rgb="FF000000"/>
        <sz val="11.0"/>
      </rPr>
      <t>年</t>
    </r>
    <r>
      <rPr>
        <rFont val="Calibri"/>
        <color rgb="FF000000"/>
        <sz val="11.0"/>
      </rPr>
      <t>_</t>
    </r>
    <r>
      <rPr>
        <rFont val="Arial"/>
        <color rgb="FF000000"/>
        <sz val="11.0"/>
      </rPr>
      <t>お盆（</t>
    </r>
    <r>
      <rPr>
        <rFont val="Calibri"/>
        <color rgb="FF000000"/>
        <sz val="11.0"/>
      </rPr>
      <t>8/10</t>
    </r>
    <r>
      <rPr>
        <rFont val="Arial"/>
        <color rgb="FF000000"/>
        <sz val="11.0"/>
      </rPr>
      <t>土～</t>
    </r>
    <r>
      <rPr>
        <rFont val="Calibri"/>
        <color rgb="FF000000"/>
        <sz val="11.0"/>
      </rPr>
      <t>8/18</t>
    </r>
    <r>
      <rPr>
        <rFont val="Arial"/>
        <color rgb="FF000000"/>
        <sz val="11.0"/>
      </rPr>
      <t>日）</t>
    </r>
  </si>
  <si>
    <t>松浦悠真さん
CC：中村真太郎さん、町田有希さん</t>
  </si>
  <si>
    <t>8/5AM入稿〆切変更で前倒し
前倒し無し、通常運用。typeとは別で連絡。</t>
  </si>
  <si>
    <t>営業_斉藤美香子さん
CC：畑さん、石川邦之さん</t>
  </si>
  <si>
    <t>8/7(水)中入稿〆切変更(前倒し)
配信あり</t>
  </si>
  <si>
    <t>メルマガPR(商品)差込なしで配信。
スケジュール表に「メルマガPR(商品)差込なしです。イレギュラー文面で設定お願いします。」とコメントを追加</t>
  </si>
  <si>
    <t>推進_中村優花さん</t>
  </si>
  <si>
    <t>19日(月) AM入稿〆切変更</t>
  </si>
  <si>
    <t>2024年9月16日（月）祝日対応</t>
  </si>
  <si>
    <t>2024年9月23日（月）祝日対応</t>
  </si>
  <si>
    <t>2024年10月14日（月）祝日対応</t>
  </si>
  <si>
    <t>2024年11月4日（月）祝日対応</t>
  </si>
  <si>
    <t>通常運営でOK</t>
  </si>
  <si>
    <t>2024年12月28日から2025年1月6日　年末年始休日対応</t>
  </si>
  <si>
    <t>山田達郎さん、松浦さん、営アシsales-assistant@type.jp
後ほど担当者 要確認！！</t>
  </si>
  <si>
    <t>12月24日（火）入稿前倒し依頼　通常配信</t>
  </si>
  <si>
    <t>制作 堤 智美さん
cc：薄井 真理子さん</t>
  </si>
  <si>
    <t>ウキポリ[全]</t>
  </si>
  <si>
    <t>営業 斉藤 美香子さん
cc：畑 幸歩さん、森 秀将さん</t>
  </si>
  <si>
    <t>通常配信
連係ミスでエントリー無し⇒配信停止。</t>
  </si>
  <si>
    <t>IT派遣［全］</t>
  </si>
  <si>
    <t>IT派遣　岩間理穂さん　中島さん　Cc：ITH事業部 登録部
後ほど担当者 要確認！！</t>
  </si>
  <si>
    <t>第２，第４日曜配信</t>
  </si>
  <si>
    <t>代理店_保母さん</t>
  </si>
  <si>
    <t>推進_布施舞奈味さん
担当要確認、中村さんだと思う</t>
  </si>
  <si>
    <t>12/26(木)前倒し</t>
  </si>
  <si>
    <t>差し込み無しで配信</t>
  </si>
  <si>
    <t>エントリー〆を1/6(月)AMに変更
期限までにエントリー無い場合差し込みなし</t>
  </si>
  <si>
    <t>2025年1月13日（月）　祝日対応</t>
  </si>
  <si>
    <t>2025年2月11日（火）祝日対応</t>
  </si>
  <si>
    <t>入稿〆切を2/10（月）AM中に変更</t>
  </si>
  <si>
    <t>2025/02/12（水）求人抽出に変更</t>
  </si>
  <si>
    <t>2025年2月24日（月）　祝日対応</t>
  </si>
  <si>
    <t>営業 _小林さん</t>
  </si>
  <si>
    <t>2025年3月20日(木)　祝日対応</t>
  </si>
  <si>
    <t>入稿前倒し：3/19(水)AM中
要連絡</t>
  </si>
  <si>
    <t>エントリー前倒し：3/19(水)中
シート確認して、、、連絡したほうがいいと思う。</t>
  </si>
  <si>
    <t>営業 小林大翼さん
cc：畑 幸歩さん、森秀将さん</t>
  </si>
  <si>
    <t>24日週，31日週に配信　　【ご相談】3/20配信分ウキメルマガについて
通常金曜にメールで入稿っぽいため連絡不要：通常配信</t>
  </si>
  <si>
    <t>3/19(水)に入稿を前田推すと金曜更新分が拾えないと思うので、
金曜午前中入稿でいけるかを設定者に確認して、問題なければ連絡。</t>
  </si>
  <si>
    <t>2025年4月29日（火）祝日対応
2025年5月  3日（土）～  5月6日（火）GW対応</t>
  </si>
  <si>
    <t>メルマガPR(商品)差込なしで配信。
スケジュールに「イレギュラー文面で設定」とコメント追加。</t>
  </si>
  <si>
    <t>小林大翼さん(daisuke.kobayashi@type.jp)</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</si>
  <si>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</si>
  <si>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</si>
  <si>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</si>
  <si>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</si>
  <si>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</si>
  <si>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</si>
  <si>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</si>
  <si>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</si>
  <si>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</si>
  <si>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</si>
  <si>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</si>
  <si>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</si>
  <si>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5/1(木)AM中に対応いただけるなら配信
※２と併せて連絡。</t>
  </si>
  <si>
    <t>5/7(水)求人抽出に変更。配信日当日設定。
通常配信</t>
  </si>
  <si>
    <t>5/7(水)AM中にエントリー後倒し。
通常配信</t>
  </si>
  <si>
    <r>
      <rPr>
        <rFont val="Arial"/>
        <color rgb="FF000000"/>
        <sz val="11.0"/>
      </rPr>
      <t>※本部確認分反映済み</t>
    </r>
    <r>
      <rPr>
        <rFont val="Calibri"/>
        <color rgb="FF000000"/>
        <sz val="11.0"/>
      </rPr>
      <t xml:space="preserve"> (4/18</t>
    </r>
    <r>
      <rPr>
        <rFont val="Arial"/>
        <color rgb="FF000000"/>
        <sz val="11.0"/>
      </rPr>
      <t>金</t>
    </r>
    <r>
      <rPr>
        <rFont val="Calibri"/>
        <color rgb="FF000000"/>
        <sz val="11.0"/>
      </rPr>
      <t xml:space="preserve"> </t>
    </r>
    <r>
      <rPr>
        <rFont val="Arial"/>
        <color rgb="FF000000"/>
        <sz val="11.0"/>
      </rPr>
      <t>更新</t>
    </r>
    <r>
      <rPr>
        <rFont val="Calibri"/>
        <color rgb="FF000000"/>
        <sz val="11.0"/>
      </rPr>
      <t>)</t>
    </r>
    <r>
      <rPr>
        <rFont val="Arial"/>
        <color rgb="FF000000"/>
        <sz val="11.0"/>
      </rPr>
      <t>。</t>
    </r>
  </si>
  <si>
    <t>2025年7月21日（月）　祝日対応</t>
  </si>
  <si>
    <t>設定：内田さん、確認：平田さん
通常配信</t>
  </si>
  <si>
    <t>設定：荒木さん、確認：平田さん
通常配信</t>
  </si>
  <si>
    <t>斉藤美香子さん(m-saito@type.jp)
cc:森秀将さん(h-mori@type.jp)</t>
  </si>
  <si>
    <t>2025年8月9日（土）～  8月17日（日）お盆対応</t>
  </si>
  <si>
    <t>◇ポジションマッチ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</si>
  <si>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</si>
  <si>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</si>
  <si>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</si>
  <si>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</si>
  <si>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</si>
  <si>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</si>
  <si>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</si>
  <si>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通常配信
⑤：念のため通常配信の旨連絡</t>
  </si>
  <si>
    <t>連絡済
⑤</t>
  </si>
  <si>
    <t>制作_堤智美さん
Cc：薄井真理子さん</t>
  </si>
  <si>
    <t>☆エンジニア系</t>
  </si>
  <si>
    <t>☆営業系</t>
  </si>
  <si>
    <t>連絡済
③</t>
  </si>
  <si>
    <t>連絡済
④</t>
  </si>
  <si>
    <t>☆販サ系</t>
  </si>
  <si>
    <t>TW 光谷さん　cc：TW課</t>
  </si>
  <si>
    <t>連絡済
⑥</t>
  </si>
  <si>
    <t>金曜更新がないので配信停止</t>
  </si>
  <si>
    <t>連絡済
⑦</t>
  </si>
  <si>
    <t>連絡済</t>
  </si>
  <si>
    <t>連絡済
⑧</t>
  </si>
  <si>
    <t>通常配信
7/18(月)午前中までにエントリーがない場合差し込みなしで配信</t>
  </si>
  <si>
    <r>
      <rPr>
        <rFont val="Arial"/>
        <color rgb="FF000000"/>
        <sz val="11.0"/>
      </rPr>
      <t>※本部確認済み</t>
    </r>
    <r>
      <rPr>
        <rFont val="Calibri"/>
        <color rgb="FF000000"/>
        <sz val="11.0"/>
      </rPr>
      <t>(7/25)</t>
    </r>
  </si>
  <si>
    <t>2025年9月15日（月）祝日対応</t>
  </si>
  <si>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</si>
  <si>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</si>
  <si>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</si>
  <si>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</si>
  <si>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</si>
  <si>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t>2025年11月3日（月）祝日対応</t>
  </si>
  <si>
    <t>2025年11月24日（月）祝日対応</t>
  </si>
  <si>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</si>
  <si>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</si>
  <si>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</si>
  <si>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</si>
  <si>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</si>
  <si>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村上瑞恵さん(m-murakami@type.jp)
cc:森秀将さん(h-mori@type.jp)</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</si>
  <si>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</si>
  <si>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</si>
  <si>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</si>
  <si>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</si>
  <si>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</si>
  <si>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</si>
  <si>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</si>
  <si>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</si>
  <si>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</si>
  <si>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</si>
  <si>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</si>
  <si>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</si>
  <si>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</si>
  <si>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</si>
  <si>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</si>
  <si>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</si>
  <si>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</si>
  <si>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</si>
  <si>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</si>
  <si>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</si>
  <si>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</si>
  <si>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</si>
  <si>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</si>
  <si>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</si>
  <si>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</si>
  <si>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r>
      <rPr>
        <rFont val="Arial"/>
        <color rgb="FF000000"/>
        <sz val="11.0"/>
      </rPr>
      <t>本部確認済み</t>
    </r>
    <r>
      <rPr>
        <rFont val="Calibri"/>
        <color rgb="FF000000"/>
        <sz val="11.0"/>
      </rPr>
      <t>_25/12/05</t>
    </r>
  </si>
  <si>
    <t>2026年1月12日（月）祝日対応</t>
  </si>
  <si>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</si>
  <si>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</si>
  <si>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</si>
  <si>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</si>
  <si>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</si>
  <si>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</si>
  <si>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</si>
  <si>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</si>
  <si>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</si>
  <si>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t>2026年3月20日（月）祝日対応</t>
  </si>
  <si>
    <t>小林大翼さん &lt;daisuke.kobayashi@type.jp&gt;、営アシeh_eiashi@type.jp</t>
  </si>
  <si>
    <t>エントリー〆3/18(水)中に変更で配信。</t>
  </si>
  <si>
    <t>要</t>
  </si>
  <si>
    <t>エントリー期間3/18(水)中に変更して配信。</t>
  </si>
  <si>
    <t>入稿3/19(木)AM中に変更して配信。</t>
  </si>
  <si>
    <t>入稿3/19(木)AM中に変更可能か連絡</t>
  </si>
  <si>
    <t>通常配信(3/17〆)</t>
  </si>
  <si>
    <t>3/18(水)中に求人特集紐づけが可能であれば配信、そうでなければ配信停止
ウキは通常配信で問題ない。typeもそれで問題ないか確認。前回は火曜入稿前倒しで対応。⑧：typeと調整後連絡検討</t>
  </si>
  <si>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</si>
  <si>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</si>
  <si>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</si>
  <si>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</si>
  <si>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</si>
  <si>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</si>
  <si>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</si>
  <si>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archived_at</t>
  </si>
  <si>
    <t>fixed_week_start</t>
  </si>
  <si>
    <t>fixed_week_end</t>
  </si>
  <si>
    <t>source_row</t>
  </si>
  <si>
    <t>サブカテゴリ</t>
  </si>
  <si>
    <t>自動求人特集URL</t>
  </si>
  <si>
    <t>現在求人数</t>
  </si>
  <si>
    <t>check_setter_active</t>
  </si>
  <si>
    <t>check_checker_active</t>
  </si>
  <si>
    <t>Column 30</t>
  </si>
  <si>
    <t>Column 31</t>
  </si>
  <si>
    <t>Column 32</t>
  </si>
  <si>
    <t>Column 33</t>
  </si>
  <si>
    <t>Column 34</t>
  </si>
  <si>
    <t>Column 35</t>
  </si>
  <si>
    <t>Column 36</t>
  </si>
  <si>
    <t>Column 37</t>
  </si>
  <si>
    <t>Column 38</t>
  </si>
  <si>
    <t>略称</t>
  </si>
  <si>
    <t>名前</t>
  </si>
  <si>
    <t>メールアドレス</t>
  </si>
  <si>
    <t>役割・備考</t>
  </si>
  <si>
    <t>部署</t>
  </si>
  <si>
    <t>阿部 響</t>
  </si>
  <si>
    <t>hibiki.abe@type.jp</t>
  </si>
  <si>
    <t>設定者・確認者・メルマガスケジュール作成</t>
  </si>
  <si>
    <t>石原 貴章</t>
  </si>
  <si>
    <t>takafumi.ishihara@type.jp</t>
  </si>
  <si>
    <t>武政 亮汰</t>
  </si>
  <si>
    <t>ryota.takemasa@type.jp</t>
  </si>
  <si>
    <t>横尾 綾奈</t>
  </si>
  <si>
    <t>ayana.yokoo@type.jp</t>
  </si>
  <si>
    <t>設定者・確認者</t>
  </si>
  <si>
    <t>荒木 有美枝</t>
  </si>
  <si>
    <t>araki@type.jp</t>
  </si>
  <si>
    <t>QA</t>
  </si>
  <si>
    <t>か</t>
  </si>
  <si>
    <t>小林 佳代子</t>
  </si>
  <si>
    <t>k-kobayashi@type.jp</t>
  </si>
  <si>
    <t>内田 秀和</t>
  </si>
  <si>
    <t>hidekazu.uchida@type.jp</t>
  </si>
  <si>
    <t>福島 農</t>
  </si>
  <si>
    <t>minori.fukushima@type.jp</t>
  </si>
  <si>
    <t>本部 裕子</t>
  </si>
  <si>
    <t>yuko.motobu@type.jp</t>
  </si>
  <si>
    <t>平田 真詠</t>
  </si>
  <si>
    <t>follow@type.jp</t>
  </si>
  <si>
    <t>RPA</t>
  </si>
  <si>
    <t>並び順</t>
  </si>
  <si>
    <t>地域_大分類</t>
  </si>
  <si>
    <t>地域_中分類</t>
  </si>
  <si>
    <t>北海道・東北</t>
  </si>
  <si>
    <t>北関東</t>
  </si>
  <si>
    <t>首都圏</t>
  </si>
  <si>
    <t>埼玉県</t>
  </si>
  <si>
    <t>千葉県</t>
  </si>
  <si>
    <t>東京都</t>
  </si>
  <si>
    <t>神奈川県</t>
  </si>
  <si>
    <t>北陸・甲信越</t>
  </si>
  <si>
    <t>岐阜県</t>
  </si>
  <si>
    <t>静岡県</t>
  </si>
  <si>
    <t>愛知県</t>
  </si>
  <si>
    <t>三重県</t>
  </si>
  <si>
    <t>滋賀県</t>
  </si>
  <si>
    <t>京都府</t>
  </si>
  <si>
    <t>大阪府</t>
  </si>
  <si>
    <t>兵庫県</t>
  </si>
  <si>
    <t>奈良県</t>
  </si>
  <si>
    <t>和歌山県</t>
  </si>
  <si>
    <t>中国・四国</t>
  </si>
  <si>
    <t>九州・沖縄</t>
  </si>
  <si>
    <t>福岡県</t>
  </si>
  <si>
    <t>佐賀県</t>
  </si>
  <si>
    <t>長崎県</t>
  </si>
  <si>
    <t>熊本県</t>
  </si>
  <si>
    <t>大分県</t>
  </si>
  <si>
    <t>宮崎県</t>
  </si>
  <si>
    <t>鹿児島県</t>
  </si>
  <si>
    <t>沖縄県</t>
  </si>
  <si>
    <t>海外</t>
  </si>
  <si>
    <t>職種大分類</t>
  </si>
  <si>
    <t>職種小分類</t>
  </si>
  <si>
    <t>営業・企画・マーケティング系</t>
  </si>
  <si>
    <t>法人営業（BtoB）</t>
  </si>
  <si>
    <t>個人営業（BtoC）</t>
  </si>
  <si>
    <t>ルート営業、ルートセールス</t>
  </si>
  <si>
    <t>内勤営業、カウンターセールス</t>
  </si>
  <si>
    <t>代理店営業、パートナーセールス</t>
  </si>
  <si>
    <t>キャリアカウンセラー、人材コーディネーター</t>
  </si>
  <si>
    <t>IT営業、技術営業、システム営業</t>
  </si>
  <si>
    <t>MR、医療機器営業、医薬品卸</t>
  </si>
  <si>
    <t>コールセンター運営、スーパーバイザー（SV）</t>
  </si>
  <si>
    <t>カスタマーサポート、オペレーター</t>
  </si>
  <si>
    <t>カスタマーサクセス</t>
  </si>
  <si>
    <t>販促企画、営業企画</t>
  </si>
  <si>
    <t>商品企画、商品開発</t>
  </si>
  <si>
    <t>マーケティング、広告宣伝</t>
  </si>
  <si>
    <t>広報、IR、PR</t>
  </si>
  <si>
    <t>リサーチャー、市場調査、マーケティングリサーチ</t>
  </si>
  <si>
    <t>Webマーケティング（Web広告、SEO）</t>
  </si>
  <si>
    <t>その他営業関連職</t>
  </si>
  <si>
    <t>サービス・販売系</t>
  </si>
  <si>
    <t>エリアマネージャー</t>
  </si>
  <si>
    <t>店長、支配人</t>
  </si>
  <si>
    <t>接客・販売（アパレル、雑貨、ジュエリー）</t>
  </si>
  <si>
    <t>接客・販売（コスメ、化粧品）、美容部員</t>
  </si>
  <si>
    <t>接客・販売（飲食）</t>
  </si>
  <si>
    <t>エステティシャン、セラピスト</t>
  </si>
  <si>
    <t>美容カウンセラー</t>
  </si>
  <si>
    <t>美容師、ヘアメイク、ネイリスト、スタイリスト</t>
  </si>
  <si>
    <t>ブライダル・ウェディングプランナー</t>
  </si>
  <si>
    <t>トレーナー、スポーツインストラクター</t>
  </si>
  <si>
    <t>ホテルフロント、レセプション、コンシェルジュ</t>
  </si>
  <si>
    <t>カウンタースタッフ</t>
  </si>
  <si>
    <t>製造・軽作業スタッフ</t>
  </si>
  <si>
    <t>ドライバー、配達員</t>
  </si>
  <si>
    <t>その他サービス・販売関連職</t>
  </si>
  <si>
    <t>クリエイティブ系</t>
  </si>
  <si>
    <t>Webプロデューサー、Webディレクター</t>
  </si>
  <si>
    <t>Webサイト・ECサイト運営</t>
  </si>
  <si>
    <t>Webデザイナー、グラフィックデザイナー、イラストレーター</t>
  </si>
  <si>
    <t>クリエイティブディレクター、アートディレクター</t>
  </si>
  <si>
    <t>ライター、記者、編集、校正、出版関連</t>
  </si>
  <si>
    <t>ファッション・インテリア関連職</t>
  </si>
  <si>
    <t>その他クリエイティブ関連職</t>
  </si>
  <si>
    <t>事務・経理・人事系</t>
  </si>
  <si>
    <t>経営企画、事業企画、事業開発</t>
  </si>
  <si>
    <t>経理、会計、財務</t>
  </si>
  <si>
    <t>総務</t>
  </si>
  <si>
    <t>人事、労務、採用</t>
  </si>
  <si>
    <t>法務、知財、特許</t>
  </si>
  <si>
    <t>秘書</t>
  </si>
  <si>
    <t>受付</t>
  </si>
  <si>
    <t>一般事務</t>
  </si>
  <si>
    <t>営業事務、営業アシスタント</t>
  </si>
  <si>
    <t>貿易事務、国際事務、英文事務</t>
  </si>
  <si>
    <t>法律事務、特許事務</t>
  </si>
  <si>
    <t>金融事務、銀行事務、会計事務</t>
  </si>
  <si>
    <t>生産管理、在庫管理、品質管理、品質保証</t>
  </si>
  <si>
    <t>その他事務関連職</t>
  </si>
  <si>
    <t>技術・専門職系、その他</t>
  </si>
  <si>
    <t>電気・半導体・機械関連技術者</t>
  </si>
  <si>
    <t>化学・バイオ・素材関連技術者</t>
  </si>
  <si>
    <t>施工管理・土木建築関連技術者</t>
  </si>
  <si>
    <t>CADオペレーター（建築、機械）</t>
  </si>
  <si>
    <t>コンサルタント（経営、戦略、人事など）</t>
  </si>
  <si>
    <t>講師、塾講師</t>
  </si>
  <si>
    <t>教室長、スクール運営</t>
  </si>
  <si>
    <t>その他専門職（公務員、団体職員、士業など）</t>
  </si>
  <si>
    <t>ITエンジニア系</t>
  </si>
  <si>
    <t>ITコンサルタント、システムコンサルタント</t>
  </si>
  <si>
    <t>プロジェクトマネジャー、プロジェクトリーダー</t>
  </si>
  <si>
    <t>Web系システムエンジニア</t>
  </si>
  <si>
    <t>Web系プログラマ</t>
  </si>
  <si>
    <t>iOSエンジニア、Androidエンジニア</t>
  </si>
  <si>
    <t>インフラ・ネットワークエンジニア（設計、構築）</t>
  </si>
  <si>
    <t>インフラ・ネットワークエンジニア（運用、保守）</t>
  </si>
  <si>
    <t>セキュリティエンジニア</t>
  </si>
  <si>
    <t>システム運用・保守</t>
  </si>
  <si>
    <t>社内SE、情報システム</t>
  </si>
  <si>
    <t>テクニカルサポート、ヘルプデスク</t>
  </si>
  <si>
    <t>テスター、QAエンジニア</t>
  </si>
  <si>
    <t>プリセールス、セールスエンジニア</t>
  </si>
  <si>
    <t>データサイエンティスト、データアナリスト</t>
  </si>
  <si>
    <t>汎用機系エンジニア</t>
  </si>
  <si>
    <t>制御系エンジニア</t>
  </si>
  <si>
    <t>その他ITエンジニア関連職</t>
  </si>
  <si>
    <t>介護・医療・福祉系</t>
  </si>
  <si>
    <t>介護福祉士、介護士、ケアマネジャー、ホームヘルパー</t>
  </si>
  <si>
    <t>社会福祉士、臨床心理士、心理カウンセラー、生活相談員</t>
  </si>
  <si>
    <t>保育士、幼稚園教諭</t>
  </si>
  <si>
    <t>児童支援員、学童指導員、補助員</t>
  </si>
  <si>
    <t>管理栄養士、栄養士</t>
  </si>
  <si>
    <t>看護師、准看護師、看護助手</t>
  </si>
  <si>
    <t>歯科衛生士、歯科助手、歯科アシスタント</t>
  </si>
  <si>
    <t>医療事務</t>
  </si>
  <si>
    <t>その他介護福祉関連職（サービス提供責任者、サービス管理責任者など）</t>
  </si>
  <si>
    <t>その他医療関連職（医師、薬剤師など）</t>
  </si>
  <si>
    <t>PRコード名</t>
  </si>
  <si>
    <t>職種未経験OK</t>
  </si>
  <si>
    <t>業種未経験OK</t>
  </si>
  <si>
    <t>第二新卒OK</t>
  </si>
  <si>
    <t>学歴不問</t>
  </si>
  <si>
    <t>経験者限定</t>
  </si>
  <si>
    <t>研修・教育あり</t>
  </si>
  <si>
    <t>転勤なし</t>
  </si>
  <si>
    <t>リモートワークOK</t>
  </si>
  <si>
    <t>土日祝休み</t>
  </si>
  <si>
    <t>月残業20時間以内</t>
  </si>
  <si>
    <t>産育休活用有</t>
  </si>
  <si>
    <t>服装自由</t>
  </si>
  <si>
    <t>女性管理職在籍</t>
  </si>
  <si>
    <t>休日120日以上</t>
  </si>
  <si>
    <t>育児と両立しやすい</t>
  </si>
  <si>
    <t>ブランクありOK</t>
  </si>
  <si>
    <t>時短勤務あり</t>
  </si>
  <si>
    <t>資格取得支援制度あり</t>
  </si>
  <si>
    <t>国認定取得企業（女性活躍推進企業認定）</t>
  </si>
  <si>
    <t>U・Iターン歓迎</t>
  </si>
  <si>
    <t>急募</t>
  </si>
  <si>
    <t>5名以上募集</t>
  </si>
  <si>
    <t>大手・上場企業</t>
  </si>
  <si>
    <t>高成長企業</t>
  </si>
  <si>
    <t>インセンティブが充実</t>
  </si>
  <si>
    <t>福利厚生が充実</t>
  </si>
  <si>
    <t>駅から5分以内</t>
  </si>
  <si>
    <t>18時までに退社可</t>
  </si>
  <si>
    <t>スーツを着る仕事</t>
  </si>
  <si>
    <t>女性社員50％以上</t>
  </si>
  <si>
    <t>中途入社50％以上</t>
  </si>
  <si>
    <t>託児所あり</t>
  </si>
  <si>
    <t>育児中の社員在籍</t>
  </si>
  <si>
    <t>お金に強くなる</t>
  </si>
  <si>
    <t>エコ、環境に関わる</t>
  </si>
  <si>
    <t>表参道・青山で働く</t>
  </si>
  <si>
    <t>渋谷・原宿で働く</t>
  </si>
  <si>
    <t>銀座・丸の内で働く</t>
  </si>
  <si>
    <t>恵比寿で働く</t>
  </si>
  <si>
    <t>六本木で働く</t>
  </si>
  <si>
    <t>新宿で働く</t>
  </si>
  <si>
    <t>ブライダル業界</t>
  </si>
  <si>
    <t>女性向け商品・サービス</t>
  </si>
  <si>
    <t>直行・直帰可</t>
  </si>
  <si>
    <t>チーム営業</t>
  </si>
  <si>
    <t>海外勤務・出張あり</t>
  </si>
  <si>
    <t>フレックスタイム</t>
  </si>
  <si>
    <t>交通費支給</t>
  </si>
  <si>
    <t>くるみん</t>
  </si>
  <si>
    <t>プラチナくるみん</t>
  </si>
  <si>
    <t>なでしこ銘柄・準なでしこ銘柄</t>
  </si>
  <si>
    <t>えるぼし</t>
  </si>
  <si>
    <t>フォトショップ・イラストレーター活用</t>
  </si>
  <si>
    <t>5日以上連続休暇取得可</t>
  </si>
  <si>
    <t>社員食堂、食事補助あり</t>
  </si>
  <si>
    <t>マイカー通勤可</t>
  </si>
  <si>
    <t>完全週休2日制</t>
  </si>
  <si>
    <t>リフレッシュスペースあり</t>
  </si>
  <si>
    <t>3年連続売上UP</t>
  </si>
  <si>
    <t>始業10時以降</t>
  </si>
  <si>
    <t>週3日～OK</t>
  </si>
  <si>
    <t>新規立ち上げ</t>
  </si>
  <si>
    <t>月給20万円以上</t>
  </si>
  <si>
    <t>月給23万円以上</t>
  </si>
  <si>
    <t>月給25万円以上</t>
  </si>
  <si>
    <t>月給30万円以上</t>
  </si>
  <si>
    <t>月給35万円以上</t>
  </si>
  <si>
    <t>賞与3ヶ月以上</t>
  </si>
  <si>
    <t>Web面接OK</t>
  </si>
  <si>
    <t>本社で働く</t>
  </si>
  <si>
    <t>週休3日OK</t>
  </si>
  <si>
    <t>社会人経験10年以上歓迎</t>
  </si>
  <si>
    <t>退職金制度あり</t>
  </si>
  <si>
    <t>住宅手当・家賃補助あり</t>
  </si>
  <si>
    <t>障がい者積極採用</t>
  </si>
  <si>
    <t>管理職登用有求人</t>
  </si>
  <si>
    <t>20代の女性管理職登用実績あり</t>
  </si>
  <si>
    <t>設立30年以上（老舗企業、創業30年以上)</t>
  </si>
  <si>
    <t>テレアポなし</t>
  </si>
  <si>
    <t>公的機関・官公庁</t>
  </si>
  <si>
    <t>プラチナえるぼし</t>
  </si>
  <si>
    <t>英語を使う仕事</t>
  </si>
  <si>
    <t>中国語を使う仕事</t>
  </si>
  <si>
    <t>その他の言語を使う仕事</t>
  </si>
  <si>
    <t>語学活かせる</t>
  </si>
  <si>
    <t>正社員登用有</t>
  </si>
  <si>
    <t>賞与あり</t>
  </si>
  <si>
    <t>社会保険完備</t>
  </si>
  <si>
    <t>上場企業</t>
  </si>
  <si>
    <t>サービス企画・立案</t>
  </si>
  <si>
    <t>システム計画・企画</t>
  </si>
  <si>
    <t>要件定義・設計</t>
  </si>
  <si>
    <t>女性エンジニア活躍</t>
  </si>
  <si>
    <t>自社サービス70％以上</t>
  </si>
  <si>
    <t>BtoC</t>
  </si>
  <si>
    <t>BtoB</t>
  </si>
  <si>
    <t>未経験転職者活躍</t>
  </si>
  <si>
    <t>エンドユーザー直請5割以上</t>
  </si>
  <si>
    <t>自社内開発</t>
  </si>
  <si>
    <t>アジャイル開発</t>
  </si>
  <si>
    <t>開発期間6カ月以上</t>
  </si>
  <si>
    <t>社長がエンジニア出身</t>
  </si>
  <si>
    <t>美容・コスメ</t>
  </si>
  <si>
    <t>エステ・サロン</t>
  </si>
  <si>
    <t>路面店で働く</t>
  </si>
  <si>
    <t>百貨店で働く</t>
  </si>
  <si>
    <t>駅ビル・商業施設で働く</t>
  </si>
  <si>
    <t>雑誌掲載ブランド</t>
  </si>
  <si>
    <t>ハイブランド</t>
  </si>
  <si>
    <t>国内アパレル</t>
  </si>
  <si>
    <t>外資アパレル</t>
  </si>
  <si>
    <t>ジュエリー・アクセサリー</t>
  </si>
  <si>
    <t>シューズ・バッグ</t>
  </si>
  <si>
    <t>雑貨・インテリア</t>
  </si>
  <si>
    <t>社員割引あり</t>
  </si>
  <si>
    <t>オープニングスタッフ</t>
  </si>
  <si>
    <t>パルコで働く</t>
  </si>
  <si>
    <t>ルミネで働く</t>
  </si>
  <si>
    <t>マルイで働く</t>
  </si>
  <si>
    <t>三越伊勢丹で働く</t>
  </si>
  <si>
    <t>阪急阪神で働く</t>
  </si>
  <si>
    <t>高島屋で働く</t>
  </si>
  <si>
    <t>小田急で働く</t>
  </si>
  <si>
    <t>アウトレットで働く</t>
  </si>
  <si>
    <t>ECブランドで働く</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</si>
</sst>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m/d"/>
    <numFmt numFmtId="165" formatCode="yyyy\-mm\-dd"/>
    <numFmt numFmtId="166" formatCode="yyyy-mm-dd"/>
    <numFmt numFmtId="167" formatCode="yyyy/mm/dd h:mm"/>
    <numFmt numFmtId="168" formatCode="m/d/yyyy h:mm:ss"/>
    <numFmt numFmtId="169" formatCode="yyyy&quot;/&quot;m&quot;/&quot;d&quot;(&quot;ddd)"/>
    <numFmt numFmtId="170" formatCode="yyyy/MM/dd"/>
  </numFmts>
  <fonts count="37">
    <font>
      <sz val="10.0"/>
      <color rgb="FF000000"/>
      <name val="Arial"/>
      <scheme val="minor"/>
    </font>
    <font>
      <b/>
      <color theme="1"/>
      <name val="Noto Sans"/>
    </font>
    <font>
      <color theme="1"/>
      <name val="Noto Sans"/>
    </font>
    <font>
      <u/>
      <color rgb="FF0000FF"/>
      <name val="Noto Sans"/>
    </font>
    <font>
      <u/>
      <color theme="1"/>
      <name val="Noto Sans"/>
    </font>
    <font>
      <b/>
      <sz val="14.0"/>
      <color rgb="FFFFFFFF"/>
      <name val="Noto Sans"/>
    </font>
    <font>
      <b/>
      <sz val="12.0"/>
      <color theme="1"/>
      <name val="Noto Sans"/>
    </font>
    <font>
      <sz val="8.0"/>
      <color rgb="FFFF0000"/>
      <name val="Noto Sans"/>
    </font>
    <font>
      <color rgb="FFFF0000"/>
      <name val="Noto Sans"/>
    </font>
    <font>
      <b/>
      <color rgb="FFFF0000"/>
      <name val="Noto Sans"/>
    </font>
    <font>
      <sz val="9.0"/>
      <color theme="1"/>
      <name val="Noto Sans"/>
    </font>
    <font>
      <b/>
      <sz val="10.0"/>
      <color theme="1"/>
      <name val="Noto Sans"/>
    </font>
    <font>
      <sz val="10.0"/>
      <color theme="1"/>
      <name val="Noto Sans"/>
    </font>
    <font>
      <sz val="10.0"/>
      <color rgb="FF000000"/>
      <name val="Noto Sans"/>
    </font>
    <font>
      <color theme="1"/>
      <name val="Arial"/>
      <scheme val="minor"/>
    </font>
    <font>
      <color rgb="FFFFFFFF"/>
      <name val="Roboto"/>
    </font>
    <font>
      <color theme="1"/>
      <name val="Arial"/>
    </font>
    <font>
      <u/>
      <color rgb="FF0000FF"/>
      <name val="Roboto"/>
    </font>
    <font>
      <color rgb="FF434343"/>
      <name val="Roboto"/>
    </font>
    <font>
      <b/>
      <color theme="1"/>
      <name val="Arial"/>
    </font>
    <font>
      <b/>
      <sz val="11.0"/>
      <color theme="1"/>
      <name val="Calibri"/>
    </font>
    <font>
      <b/>
      <sz val="11.0"/>
      <color rgb="FFFFFFFF"/>
      <name val="Calibri"/>
    </font>
    <font>
      <b/>
      <sz val="8.0"/>
      <color theme="1"/>
      <name val="Arial"/>
    </font>
    <font>
      <sz val="8.0"/>
      <color theme="1"/>
      <name val="Arial"/>
    </font>
    <font>
      <sz val="8.0"/>
      <color rgb="FF000000"/>
      <name val="Arial"/>
    </font>
    <font>
      <sz val="9.0"/>
      <color theme="1"/>
      <name val="Arial"/>
    </font>
    <font>
      <color rgb="FFFFFFFF"/>
      <name val="Noto Sans JP"/>
    </font>
    <font>
      <color theme="1"/>
      <name val="Noto Sans JP"/>
    </font>
    <font>
      <color rgb="FFFF0000"/>
      <name val="Noto Sans JP"/>
    </font>
    <font>
      <u/>
      <color rgb="FF0000FF"/>
    </font>
    <font>
      <b/>
      <sz val="8.0"/>
      <color rgb="FFFFFFFF"/>
      <name val="Noto Sans JP"/>
    </font>
    <font/>
    <font>
      <b/>
      <sz val="8.0"/>
      <color theme="1"/>
      <name val="Noto Sans JP"/>
    </font>
    <font>
      <b/>
      <sz val="12.0"/>
      <color theme="1"/>
      <name val="Noto Sans JP"/>
    </font>
    <font>
      <sz val="8.0"/>
      <color theme="1"/>
      <name val="Noto Sans JP"/>
    </font>
    <font>
      <sz val="10.0"/>
      <color rgb="FF000000"/>
      <name val="Arial"/>
    </font>
    <font>
      <sz val="11.0"/>
      <color rgb="FF000000"/>
      <name val="Calibri"/>
    </font>
  </fonts>
  <fills count="16">
    <fill>
      <patternFill patternType="none"/>
    </fill>
    <fill>
      <patternFill patternType="lightGray"/>
    </fill>
    <fill>
      <patternFill patternType="solid">
        <fgColor rgb="FFEA4335"/>
        <bgColor rgb="FFEA4335"/>
      </patternFill>
    </fill>
    <fill>
      <patternFill patternType="solid">
        <fgColor rgb="FFFFE1F6"/>
        <bgColor rgb="FFFFE1F6"/>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356854"/>
        <bgColor rgb="FF356854"/>
      </patternFill>
    </fill>
    <fill>
      <patternFill patternType="solid">
        <fgColor rgb="FFF6F8F9"/>
        <bgColor rgb="FFF6F8F9"/>
      </patternFill>
    </fill>
    <fill>
      <patternFill patternType="solid">
        <fgColor rgb="FF1D4E89"/>
        <bgColor rgb="FF1D4E89"/>
      </patternFill>
    </fill>
    <fill>
      <patternFill patternType="solid">
        <fgColor rgb="FF4285F4"/>
        <bgColor rgb="FF4285F4"/>
      </patternFill>
    </fill>
    <fill>
      <patternFill patternType="solid">
        <fgColor rgb="FF93C47D"/>
        <bgColor rgb="FF93C47D"/>
      </patternFill>
    </fill>
    <fill>
      <patternFill patternType="solid">
        <fgColor rgb="FF434343"/>
        <bgColor rgb="FF434343"/>
      </patternFill>
    </fill>
    <fill>
      <patternFill patternType="solid">
        <fgColor rgb="FFE06666"/>
        <bgColor rgb="FFE06666"/>
      </patternFill>
    </fill>
    <fill>
      <patternFill patternType="solid">
        <fgColor rgb="FFD82035"/>
        <bgColor rgb="FFD82035"/>
      </patternFill>
    </fill>
  </fills>
  <borders count="14">
    <border/>
    <border>
      <left style="hair">
        <color rgb="FF000000"/>
      </left>
      <right style="hair">
        <color rgb="FF000000"/>
      </righ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ttom style="thin">
        <color rgb="FF000000"/>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Font="1"/>
    <xf borderId="0" fillId="0" fontId="3" numFmtId="0" xfId="0" applyFont="1"/>
    <xf borderId="0" fillId="0" fontId="4" numFmtId="0" xfId="0" applyFont="1"/>
    <xf borderId="0" fillId="2" fontId="5" numFmtId="0" xfId="0" applyAlignment="1" applyFill="1" applyFont="1">
      <alignment shrinkToFit="0" vertical="bottom" wrapText="0"/>
    </xf>
    <xf borderId="0" fillId="2" fontId="2" numFmtId="0" xfId="0" applyAlignment="1" applyFont="1">
      <alignment vertical="bottom"/>
    </xf>
    <xf borderId="0" fillId="0" fontId="2" numFmtId="0" xfId="0" applyAlignment="1" applyFont="1">
      <alignment horizontal="center"/>
    </xf>
    <xf borderId="0" fillId="3" fontId="6" numFmtId="0" xfId="0" applyAlignment="1" applyFill="1" applyFont="1">
      <alignment horizontal="center" shrinkToFit="0" vertical="center" wrapText="0"/>
    </xf>
    <xf borderId="0" fillId="4" fontId="6" numFmtId="0" xfId="0" applyAlignment="1" applyFill="1" applyFont="1">
      <alignment horizontal="center" shrinkToFit="0" vertical="center" wrapText="0"/>
    </xf>
    <xf borderId="1" fillId="5" fontId="7" numFmtId="0" xfId="0" applyAlignment="1" applyBorder="1" applyFill="1" applyFont="1">
      <alignment shrinkToFit="0" vertical="bottom" wrapText="0"/>
    </xf>
    <xf borderId="0" fillId="0" fontId="8" numFmtId="0" xfId="0" applyFont="1"/>
    <xf borderId="0" fillId="5" fontId="9" numFmtId="0" xfId="0" applyAlignment="1" applyFont="1">
      <alignment horizontal="left"/>
    </xf>
    <xf borderId="0" fillId="6" fontId="2" numFmtId="0" xfId="0" applyFill="1" applyFont="1"/>
    <xf borderId="0" fillId="0" fontId="10" numFmtId="0" xfId="0" applyFont="1"/>
    <xf borderId="0" fillId="0" fontId="1" numFmtId="0" xfId="0" applyAlignment="1" applyFont="1">
      <alignment vertical="center"/>
    </xf>
    <xf borderId="0" fillId="7" fontId="2" numFmtId="0" xfId="0" applyAlignment="1" applyFill="1" applyFont="1">
      <alignment horizontal="center"/>
    </xf>
    <xf borderId="0" fillId="7" fontId="2" numFmtId="0" xfId="0" applyFont="1"/>
    <xf borderId="0" fillId="0" fontId="2" numFmtId="0" xfId="0" applyFont="1"/>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readingOrder="0" shrinkToFit="0" vertical="center" wrapText="0"/>
    </xf>
    <xf borderId="0" fillId="0" fontId="2" numFmtId="0" xfId="0" applyFont="1"/>
    <xf borderId="0" fillId="0" fontId="2" numFmtId="49" xfId="0" applyFont="1" applyNumberFormat="1"/>
    <xf borderId="0" fillId="0" fontId="2" numFmtId="0" xfId="0" applyAlignment="1" applyFont="1">
      <alignment readingOrder="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Font="1"/>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0" fontId="8" numFmtId="0" xfId="0" applyAlignment="1" applyFont="1">
      <alignment readingOrder="0" shrinkToFit="0" vertical="center" wrapText="0"/>
    </xf>
    <xf borderId="0" fillId="0" fontId="11" numFmtId="49" xfId="0" applyAlignment="1" applyFont="1" applyNumberFormat="1">
      <alignment horizontal="center" readingOrder="0" shrinkToFit="0" vertical="center" wrapText="0"/>
    </xf>
    <xf borderId="0" fillId="0" fontId="12" numFmtId="0" xfId="0" applyFont="1"/>
    <xf borderId="0" fillId="0" fontId="12" numFmtId="0" xfId="0" applyAlignment="1" applyFont="1">
      <alignment shrinkToFit="0" vertical="center" wrapText="0"/>
    </xf>
    <xf borderId="0" fillId="0" fontId="13" numFmtId="164" xfId="0" applyAlignment="1" applyFont="1" applyNumberFormat="1">
      <alignment shrinkToFit="0" vertical="center" wrapText="0"/>
    </xf>
    <xf borderId="0" fillId="0" fontId="14" numFmtId="49" xfId="0" applyAlignment="1" applyFont="1" applyNumberFormat="1">
      <alignment horizontal="left" readingOrder="0" shrinkToFit="0" vertical="center" wrapText="0"/>
    </xf>
    <xf borderId="0" fillId="0" fontId="14" numFmtId="0" xfId="0" applyAlignment="1" applyFont="1">
      <alignment horizontal="left" readingOrder="0" shrinkToFit="0" vertical="center" wrapText="0"/>
    </xf>
    <xf borderId="2" fillId="8" fontId="15" numFmtId="49" xfId="0" applyAlignment="1" applyBorder="1" applyFill="1" applyFont="1" applyNumberFormat="1">
      <alignment horizontal="left" readingOrder="0" shrinkToFit="0" vertical="center" wrapText="0"/>
    </xf>
    <xf borderId="0" fillId="0" fontId="14" numFmtId="49" xfId="0" applyAlignment="1" applyFont="1" applyNumberFormat="1">
      <alignment horizontal="left" readingOrder="0" shrinkToFit="0" vertical="center" wrapText="0"/>
    </xf>
    <xf borderId="0" fillId="0" fontId="14" numFmtId="0" xfId="0" applyAlignment="1" applyFont="1">
      <alignment shrinkToFit="0" vertical="center" wrapText="0"/>
    </xf>
    <xf borderId="0" fillId="0" fontId="14" numFmtId="0" xfId="0" applyAlignment="1" applyFont="1">
      <alignment shrinkToFit="0" vertical="center" wrapText="0"/>
    </xf>
    <xf borderId="0" fillId="0" fontId="14" numFmtId="20" xfId="0" applyAlignment="1" applyFont="1" applyNumberFormat="1">
      <alignment readingOrder="0" shrinkToFit="0" vertical="center" wrapText="0"/>
    </xf>
    <xf borderId="0" fillId="0" fontId="14" numFmtId="165" xfId="0" applyAlignment="1" applyFont="1" applyNumberFormat="1">
      <alignment shrinkToFit="0" vertical="center" wrapText="0"/>
    </xf>
    <xf borderId="0" fillId="0" fontId="14" numFmtId="0" xfId="0" applyAlignment="1" applyFont="1">
      <alignment shrinkToFit="0" vertical="center" wrapText="0"/>
    </xf>
    <xf borderId="0" fillId="0" fontId="14" numFmtId="0" xfId="0" applyAlignment="1" applyFont="1">
      <alignment readingOrder="0" shrinkToFit="0" vertical="center" wrapText="0"/>
    </xf>
    <xf borderId="3" fillId="5" fontId="16" numFmtId="49" xfId="0" applyAlignment="1" applyBorder="1" applyFont="1" applyNumberFormat="1">
      <alignment shrinkToFit="0" vertical="center" wrapText="0"/>
    </xf>
    <xf borderId="0" fillId="0" fontId="14" numFmtId="49" xfId="0" applyAlignment="1" applyFont="1" applyNumberFormat="1">
      <alignment shrinkToFit="0" vertical="center" wrapText="0"/>
    </xf>
    <xf borderId="3" fillId="5" fontId="16" numFmtId="0" xfId="0" applyAlignment="1" applyBorder="1" applyFont="1">
      <alignment shrinkToFit="0" vertical="center" wrapText="0"/>
    </xf>
    <xf borderId="0" fillId="0" fontId="14" numFmtId="0" xfId="0" applyAlignment="1" applyFont="1">
      <alignment horizontal="center" shrinkToFit="0" vertical="center" wrapText="0"/>
    </xf>
    <xf borderId="0" fillId="0" fontId="14" numFmtId="0" xfId="0" applyAlignment="1" applyFont="1">
      <alignment readingOrder="0" shrinkToFit="0" vertical="center" wrapText="0"/>
    </xf>
    <xf borderId="4" fillId="9" fontId="16" numFmtId="49" xfId="0" applyAlignment="1" applyBorder="1" applyFill="1" applyFont="1" applyNumberFormat="1">
      <alignment shrinkToFit="0" vertical="center" wrapText="0"/>
    </xf>
    <xf borderId="4" fillId="9" fontId="16" numFmtId="0" xfId="0" applyAlignment="1" applyBorder="1" applyFont="1">
      <alignment shrinkToFit="0" vertical="center" wrapText="0"/>
    </xf>
    <xf borderId="0" fillId="0" fontId="17" numFmtId="0" xfId="0" applyAlignment="1" applyFont="1">
      <alignment shrinkToFit="0" vertical="center" wrapText="0"/>
    </xf>
    <xf borderId="0" fillId="0" fontId="14" numFmtId="0" xfId="0" applyAlignment="1" applyFont="1">
      <alignment horizontal="center" readingOrder="0" shrinkToFit="0" vertical="center" wrapText="0"/>
    </xf>
    <xf borderId="3" fillId="5" fontId="18" numFmtId="0" xfId="0" applyAlignment="1" applyBorder="1" applyFont="1">
      <alignment shrinkToFit="0" vertical="center" wrapText="0"/>
    </xf>
    <xf borderId="4" fillId="9" fontId="18" numFmtId="0" xfId="0" applyAlignment="1" applyBorder="1" applyFont="1">
      <alignment shrinkToFit="0" vertical="center" wrapText="0"/>
    </xf>
    <xf borderId="5" fillId="5" fontId="16" numFmtId="49" xfId="0" applyAlignment="1" applyBorder="1" applyFont="1" applyNumberFormat="1">
      <alignment shrinkToFit="0" vertical="center" wrapText="0"/>
    </xf>
    <xf borderId="5" fillId="5" fontId="16" numFmtId="0" xfId="0" applyAlignment="1" applyBorder="1" applyFont="1">
      <alignment shrinkToFit="0" vertical="center" wrapText="0"/>
    </xf>
    <xf borderId="0" fillId="5" fontId="16" numFmtId="49" xfId="0" applyAlignment="1" applyFont="1" applyNumberFormat="1">
      <alignment shrinkToFit="0" vertical="center" wrapText="0"/>
    </xf>
    <xf borderId="0" fillId="5" fontId="16" numFmtId="0" xfId="0" applyAlignment="1" applyFont="1">
      <alignment shrinkToFit="0" vertical="center" wrapText="0"/>
    </xf>
    <xf borderId="0" fillId="0" fontId="16" numFmtId="0" xfId="0" applyAlignment="1" applyFont="1">
      <alignment horizontal="left" readingOrder="0" shrinkToFit="0" vertical="center" wrapText="0"/>
    </xf>
    <xf borderId="0" fillId="0" fontId="16" numFmtId="0" xfId="0" applyAlignment="1" applyFont="1">
      <alignment shrinkToFit="0" vertical="center" wrapText="0"/>
    </xf>
    <xf borderId="0" fillId="0" fontId="16" numFmtId="166" xfId="0" applyAlignment="1" applyFont="1" applyNumberFormat="1">
      <alignment shrinkToFit="0" vertical="center" wrapText="0"/>
    </xf>
    <xf borderId="0" fillId="0" fontId="16" numFmtId="166" xfId="0" applyFont="1" applyNumberFormat="1"/>
    <xf borderId="0" fillId="0" fontId="16" numFmtId="0" xfId="0" applyFont="1"/>
    <xf borderId="0" fillId="0" fontId="19" numFmtId="0" xfId="0" applyAlignment="1" applyFont="1">
      <alignment horizontal="left" readingOrder="0" shrinkToFit="0" vertical="center" wrapText="0"/>
    </xf>
    <xf borderId="0" fillId="0" fontId="20" numFmtId="49" xfId="0" applyAlignment="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0" fillId="0" fontId="16" numFmtId="0" xfId="0" applyAlignment="1" applyFont="1">
      <alignment shrinkToFit="0" vertical="bottom" wrapText="0"/>
    </xf>
    <xf borderId="0" fillId="0" fontId="16" numFmtId="0" xfId="0" applyAlignment="1" applyFont="1">
      <alignment horizontal="center" shrinkToFit="0" vertical="bottom" wrapText="0"/>
    </xf>
    <xf borderId="0" fillId="0" fontId="16" numFmtId="167" xfId="0" applyAlignment="1" applyFont="1" applyNumberFormat="1">
      <alignment shrinkToFit="0" vertical="bottom" wrapText="0"/>
    </xf>
    <xf borderId="0" fillId="0" fontId="16" numFmtId="166" xfId="0" applyAlignment="1" applyFont="1" applyNumberFormat="1">
      <alignment shrinkToFit="0" vertical="bottom" wrapText="0"/>
    </xf>
    <xf borderId="0" fillId="10" fontId="21" numFmtId="0" xfId="0" applyAlignment="1" applyFill="1" applyFont="1">
      <alignment horizontal="center" shrinkToFit="0" vertical="center" wrapText="0"/>
    </xf>
    <xf borderId="0" fillId="0" fontId="16" numFmtId="20" xfId="0" applyAlignment="1" applyFont="1" applyNumberFormat="1">
      <alignment shrinkToFit="0" vertical="bottom" wrapText="0"/>
    </xf>
    <xf borderId="0" fillId="10" fontId="21" numFmtId="167" xfId="0" applyAlignment="1" applyFont="1" applyNumberFormat="1">
      <alignment shrinkToFit="0" vertical="center" wrapText="0"/>
    </xf>
    <xf borderId="0" fillId="10" fontId="21" numFmtId="166" xfId="0" applyAlignment="1" applyFont="1" applyNumberFormat="1">
      <alignment shrinkToFit="0" vertical="center" wrapText="0"/>
    </xf>
    <xf borderId="0" fillId="11" fontId="21" numFmtId="0" xfId="0" applyAlignment="1" applyFill="1" applyFont="1">
      <alignment horizontal="center" shrinkToFit="0" vertical="center" wrapText="0"/>
    </xf>
    <xf borderId="0" fillId="0" fontId="16" numFmtId="0" xfId="0" applyAlignment="1" applyFont="1">
      <alignment horizontal="right" shrinkToFit="0" vertical="bottom" wrapText="0"/>
    </xf>
    <xf borderId="0" fillId="0" fontId="16" numFmtId="0" xfId="0" applyAlignment="1" applyFont="1">
      <alignment readingOrder="0" shrinkToFit="0" vertical="bottom" wrapText="0"/>
    </xf>
    <xf borderId="0" fillId="0" fontId="16" numFmtId="0" xfId="0" applyAlignment="1" applyFont="1">
      <alignment horizontal="center" readingOrder="0" shrinkToFit="0" vertical="bottom" wrapText="0"/>
    </xf>
    <xf borderId="0" fillId="0" fontId="16" numFmtId="167" xfId="0" applyAlignment="1" applyFont="1" applyNumberFormat="1">
      <alignment readingOrder="0" shrinkToFit="0" vertical="bottom" wrapText="0"/>
    </xf>
    <xf borderId="0" fillId="0" fontId="16" numFmtId="166" xfId="0" applyAlignment="1" applyFont="1" applyNumberFormat="1">
      <alignment readingOrder="0" shrinkToFit="0" vertical="bottom" wrapText="0"/>
    </xf>
    <xf borderId="0" fillId="0" fontId="16" numFmtId="20" xfId="0" applyAlignment="1" applyFont="1" applyNumberFormat="1">
      <alignment readingOrder="0" shrinkToFit="0" vertical="bottom" wrapText="0"/>
    </xf>
    <xf borderId="0" fillId="11" fontId="21" numFmtId="0" xfId="0" applyAlignment="1" applyFont="1">
      <alignment horizontal="center" readingOrder="0" shrinkToFit="0" vertical="center" wrapText="0"/>
    </xf>
    <xf borderId="0" fillId="0" fontId="16" numFmtId="167" xfId="0" applyFont="1" applyNumberFormat="1"/>
    <xf borderId="0" fillId="0" fontId="16" numFmtId="20" xfId="0" applyFont="1" applyNumberFormat="1"/>
    <xf borderId="0" fillId="0" fontId="16" numFmtId="168" xfId="0" applyFont="1" applyNumberFormat="1"/>
    <xf borderId="6" fillId="0" fontId="16" numFmtId="0" xfId="0" applyAlignment="1" applyBorder="1" applyFont="1">
      <alignment vertical="center"/>
    </xf>
    <xf borderId="6" fillId="0" fontId="22" numFmtId="0" xfId="0" applyAlignment="1" applyBorder="1" applyFont="1">
      <alignment horizontal="center" vertical="center"/>
    </xf>
    <xf borderId="0" fillId="0" fontId="22" numFmtId="0" xfId="0" applyAlignment="1" applyFont="1">
      <alignment horizontal="center" vertical="center"/>
    </xf>
    <xf borderId="6" fillId="0" fontId="22" numFmtId="164" xfId="0" applyAlignment="1" applyBorder="1" applyFont="1" applyNumberFormat="1">
      <alignment horizontal="left" vertical="center"/>
    </xf>
    <xf borderId="0" fillId="0" fontId="22" numFmtId="164" xfId="0" applyAlignment="1" applyFont="1" applyNumberFormat="1">
      <alignment horizontal="left" vertical="center"/>
    </xf>
    <xf borderId="6" fillId="0" fontId="22" numFmtId="164" xfId="0" applyAlignment="1" applyBorder="1" applyFont="1" applyNumberFormat="1">
      <alignment horizontal="center" vertical="center"/>
    </xf>
    <xf borderId="0" fillId="0" fontId="22" numFmtId="164" xfId="0" applyAlignment="1" applyFont="1" applyNumberFormat="1">
      <alignment horizontal="center" vertical="center"/>
    </xf>
    <xf borderId="6" fillId="0" fontId="23" numFmtId="49" xfId="0" applyAlignment="1" applyBorder="1" applyFont="1" applyNumberFormat="1">
      <alignment horizontal="center" shrinkToFit="0" vertical="center" wrapText="0"/>
    </xf>
    <xf borderId="6" fillId="0" fontId="23" numFmtId="0" xfId="0" applyAlignment="1" applyBorder="1" applyFont="1">
      <alignment horizontal="center" shrinkToFit="0" vertical="center" wrapText="0"/>
    </xf>
    <xf borderId="6" fillId="0" fontId="23" numFmtId="0" xfId="0" applyAlignment="1" applyBorder="1" applyFont="1">
      <alignment horizontal="center" vertical="center"/>
    </xf>
    <xf borderId="6" fillId="0" fontId="23" numFmtId="0" xfId="0" applyAlignment="1" applyBorder="1" applyFont="1">
      <alignment horizontal="left" vertical="center"/>
    </xf>
    <xf borderId="6" fillId="0" fontId="23" numFmtId="0" xfId="0" applyAlignment="1" applyBorder="1" applyFont="1">
      <alignment horizontal="left" shrinkToFit="0" vertical="center" wrapText="0"/>
    </xf>
    <xf borderId="6" fillId="0" fontId="24" numFmtId="0" xfId="0" applyAlignment="1" applyBorder="1" applyFont="1">
      <alignment horizontal="center" shrinkToFit="0" vertical="center" wrapText="0"/>
    </xf>
    <xf borderId="6" fillId="0" fontId="16" numFmtId="169" xfId="0" applyAlignment="1" applyBorder="1" applyFont="1" applyNumberFormat="1">
      <alignment horizontal="center" shrinkToFit="0" vertical="center" wrapText="0"/>
    </xf>
    <xf borderId="6" fillId="0" fontId="16" numFmtId="0" xfId="0" applyAlignment="1" applyBorder="1" applyFont="1">
      <alignment horizontal="center" shrinkToFit="0" vertical="center" wrapText="0"/>
    </xf>
    <xf borderId="6" fillId="0" fontId="16" numFmtId="0" xfId="0" applyAlignment="1" applyBorder="1" applyFont="1">
      <alignment horizontal="center" vertical="center"/>
    </xf>
    <xf borderId="6" fillId="0" fontId="23" numFmtId="169" xfId="0" applyAlignment="1" applyBorder="1" applyFont="1" applyNumberFormat="1">
      <alignment horizontal="center" shrinkToFit="0" vertical="center" wrapText="0"/>
    </xf>
    <xf borderId="6" fillId="12" fontId="23" numFmtId="0" xfId="0" applyAlignment="1" applyBorder="1" applyFill="1" applyFont="1">
      <alignment horizontal="center" shrinkToFit="0" vertical="center" wrapText="0"/>
    </xf>
    <xf borderId="6" fillId="12" fontId="25" numFmtId="0" xfId="0" applyAlignment="1" applyBorder="1" applyFont="1">
      <alignment horizontal="center" vertical="center"/>
    </xf>
    <xf borderId="6" fillId="0" fontId="25" numFmtId="0" xfId="0" applyAlignment="1" applyBorder="1" applyFont="1">
      <alignment horizontal="center" vertical="center"/>
    </xf>
    <xf borderId="6" fillId="6" fontId="23" numFmtId="0" xfId="0" applyAlignment="1" applyBorder="1" applyFont="1">
      <alignment horizontal="center" vertical="center"/>
    </xf>
    <xf borderId="6" fillId="6" fontId="23" numFmtId="0" xfId="0" applyAlignment="1" applyBorder="1" applyFont="1">
      <alignment horizontal="center" shrinkToFit="0" vertical="center" wrapText="0"/>
    </xf>
    <xf borderId="0" fillId="0" fontId="16" numFmtId="0" xfId="0" applyAlignment="1" applyFont="1">
      <alignment horizontal="center"/>
    </xf>
    <xf borderId="0" fillId="0" fontId="16" numFmtId="0" xfId="0" applyAlignment="1" applyFont="1">
      <alignment horizontal="left"/>
    </xf>
    <xf borderId="0" fillId="0" fontId="16" numFmtId="0" xfId="0" applyAlignment="1" applyFont="1">
      <alignment vertical="center"/>
    </xf>
    <xf borderId="7" fillId="13" fontId="26" numFmtId="0" xfId="0" applyAlignment="1" applyBorder="1" applyFill="1" applyFont="1">
      <alignment horizontal="center" vertical="center"/>
    </xf>
    <xf borderId="7" fillId="14" fontId="26" numFmtId="0" xfId="0" applyAlignment="1" applyBorder="1" applyFill="1" applyFont="1">
      <alignment horizontal="center" vertical="center"/>
    </xf>
    <xf borderId="8" fillId="0" fontId="27" numFmtId="0" xfId="0" applyAlignment="1" applyBorder="1" applyFont="1">
      <alignment horizontal="center" vertical="center"/>
    </xf>
    <xf borderId="9" fillId="0" fontId="27" numFmtId="0" xfId="0" applyAlignment="1" applyBorder="1" applyFont="1">
      <alignment horizontal="center" vertical="center"/>
    </xf>
    <xf borderId="9" fillId="0" fontId="27" numFmtId="0" xfId="0" applyAlignment="1" applyBorder="1" applyFont="1">
      <alignment vertical="center"/>
    </xf>
    <xf borderId="9" fillId="0" fontId="27" numFmtId="0" xfId="0" applyAlignment="1" applyBorder="1" applyFont="1">
      <alignment horizontal="right" vertical="center"/>
    </xf>
    <xf borderId="9" fillId="0" fontId="28" numFmtId="0" xfId="0" applyAlignment="1" applyBorder="1" applyFont="1">
      <alignment vertical="center"/>
    </xf>
    <xf borderId="9" fillId="0" fontId="28" numFmtId="0" xfId="0" applyAlignment="1" applyBorder="1" applyFont="1">
      <alignment horizontal="right" vertical="center"/>
    </xf>
    <xf borderId="9" fillId="0" fontId="16" numFmtId="0" xfId="0" applyAlignment="1" applyBorder="1" applyFont="1">
      <alignment vertical="center"/>
    </xf>
    <xf borderId="0" fillId="0" fontId="29" numFmtId="0" xfId="0" applyFont="1"/>
    <xf borderId="6" fillId="15" fontId="30" numFmtId="170" xfId="0" applyAlignment="1" applyBorder="1" applyFill="1" applyFont="1" applyNumberFormat="1">
      <alignment horizontal="center" shrinkToFit="0" vertical="center" wrapText="0"/>
    </xf>
    <xf borderId="10" fillId="15" fontId="30" numFmtId="169" xfId="0" applyAlignment="1" applyBorder="1" applyFont="1" applyNumberFormat="1">
      <alignment horizontal="center" shrinkToFit="0" vertical="center" wrapText="0"/>
    </xf>
    <xf borderId="11" fillId="0" fontId="31" numFmtId="0" xfId="0" applyBorder="1" applyFont="1"/>
    <xf borderId="12" fillId="0" fontId="31" numFmtId="0" xfId="0" applyBorder="1" applyFont="1"/>
    <xf borderId="6" fillId="15" fontId="30" numFmtId="3" xfId="0" applyAlignment="1" applyBorder="1" applyFont="1" applyNumberFormat="1">
      <alignment horizontal="center" shrinkToFit="0" vertical="center" wrapText="0"/>
    </xf>
    <xf borderId="6" fillId="7" fontId="32" numFmtId="0" xfId="0" applyAlignment="1" applyBorder="1" applyFont="1">
      <alignment horizontal="center" shrinkToFit="0" vertical="center" wrapText="0"/>
    </xf>
    <xf borderId="10" fillId="7" fontId="32" numFmtId="3" xfId="0" applyAlignment="1" applyBorder="1" applyFont="1" applyNumberFormat="1">
      <alignment horizontal="center" shrinkToFit="0" vertical="center" wrapText="0"/>
    </xf>
    <xf borderId="6" fillId="7" fontId="33" numFmtId="0" xfId="0" applyAlignment="1" applyBorder="1" applyFont="1">
      <alignment horizontal="right" shrinkToFit="0" vertical="center" wrapText="0"/>
    </xf>
    <xf borderId="6" fillId="0" fontId="34" numFmtId="0" xfId="0" applyAlignment="1" applyBorder="1" applyFont="1">
      <alignment shrinkToFit="0" vertical="center" wrapText="0"/>
    </xf>
    <xf borderId="6" fillId="0" fontId="34" numFmtId="3" xfId="0" applyAlignment="1" applyBorder="1" applyFont="1" applyNumberFormat="1">
      <alignment horizontal="center" shrinkToFit="0" vertical="center" wrapText="0"/>
    </xf>
    <xf borderId="6" fillId="0" fontId="34" numFmtId="0" xfId="0" applyAlignment="1" applyBorder="1" applyFont="1">
      <alignment horizontal="center" shrinkToFit="0" vertical="center" wrapText="0"/>
    </xf>
    <xf borderId="6" fillId="7" fontId="33" numFmtId="0" xfId="0" applyAlignment="1" applyBorder="1" applyFont="1">
      <alignment shrinkToFit="0" vertical="center" wrapText="0"/>
    </xf>
    <xf borderId="0" fillId="0" fontId="20" numFmtId="49" xfId="0" applyAlignment="1" applyFont="1" applyNumberFormat="1">
      <alignment horizontal="center" readingOrder="0" shrinkToFit="0" vertical="center" wrapText="0"/>
    </xf>
    <xf borderId="0" fillId="0" fontId="14" numFmtId="0" xfId="0" applyAlignment="1" applyFont="1">
      <alignment horizontal="left" readingOrder="0" shrinkToFit="0" vertical="center" wrapText="0"/>
    </xf>
    <xf borderId="0" fillId="0" fontId="16" numFmtId="0" xfId="0" applyAlignment="1" applyFont="1">
      <alignment shrinkToFit="0" vertical="center" wrapText="0"/>
    </xf>
    <xf borderId="0" fillId="0" fontId="35" numFmtId="0" xfId="0" applyAlignment="1" applyFont="1">
      <alignment shrinkToFit="0" vertical="center" wrapText="1"/>
    </xf>
    <xf borderId="13" fillId="5" fontId="36" numFmtId="165" xfId="0" applyAlignment="1" applyBorder="1" applyFont="1" applyNumberFormat="1">
      <alignment horizontal="right" shrinkToFit="0" vertical="center" wrapText="0"/>
    </xf>
    <xf borderId="13" fillId="5" fontId="36" numFmtId="166" xfId="0" applyAlignment="1" applyBorder="1" applyFont="1" applyNumberFormat="1">
      <alignment horizontal="right" shrinkToFit="0" vertical="center" wrapText="0"/>
    </xf>
    <xf borderId="13" fillId="5" fontId="36" numFmtId="165" xfId="0" applyAlignment="1" applyBorder="1" applyFont="1" applyNumberFormat="1">
      <alignment horizontal="right"/>
    </xf>
    <xf borderId="13" fillId="5" fontId="36" numFmtId="165" xfId="0" applyAlignment="1" applyBorder="1" applyFont="1" applyNumberFormat="1">
      <alignment shrinkToFit="0" vertical="center" wrapText="0"/>
    </xf>
    <xf borderId="0" fillId="0" fontId="16" numFmtId="164" xfId="0" applyAlignment="1" applyFont="1" applyNumberFormat="1">
      <alignment readingOrder="0" shrinkToFit="0" vertical="center" wrapText="0"/>
    </xf>
    <xf borderId="0" fillId="0" fontId="16" numFmtId="166" xfId="0" applyAlignment="1" applyFont="1" applyNumberFormat="1">
      <alignment readingOrder="0" shrinkToFit="0" vertical="center" wrapText="0"/>
    </xf>
    <xf borderId="0" fillId="0" fontId="16" numFmtId="0" xfId="0" applyAlignment="1" applyFont="1">
      <alignment readingOrder="0" shrinkToFit="0" vertical="center" wrapText="0"/>
    </xf>
    <xf borderId="0" fillId="0" fontId="16" numFmtId="0" xfId="0" applyAlignment="1" applyFont="1">
      <alignment readingOrder="0" shrinkToFit="0" vertical="center" wrapText="0"/>
    </xf>
    <xf borderId="0" fillId="0" fontId="16" numFmtId="20" xfId="0" applyAlignment="1" applyFont="1" applyNumberFormat="1">
      <alignment readingOrder="0" shrinkToFit="0" vertical="center" wrapText="0"/>
    </xf>
    <xf borderId="0" fillId="0" fontId="16" numFmtId="0" xfId="0" applyAlignment="1" applyFont="1">
      <alignment readingOrder="0" shrinkToFit="0" vertical="center" wrapText="0"/>
    </xf>
    <xf borderId="0" fillId="0" fontId="16" numFmtId="0" xfId="0" applyAlignment="1" applyFont="1">
      <alignment horizontal="left" readingOrder="0" shrinkToFit="0" vertical="center" wrapText="0"/>
    </xf>
    <xf borderId="0" fillId="0" fontId="16" numFmtId="0" xfId="0" applyAlignment="1" applyFont="1">
      <alignment horizontal="left" readingOrder="0" shrinkToFit="0" vertical="center" wrapText="1"/>
    </xf>
    <xf borderId="0" fillId="0" fontId="16" numFmtId="0" xfId="0" applyAlignment="1" applyFont="1">
      <alignment shrinkToFit="0" vertical="center" wrapText="0"/>
    </xf>
    <xf borderId="0" fillId="0" fontId="16" numFmtId="0" xfId="0" applyAlignment="1" applyFont="1">
      <alignment shrinkToFit="0" vertical="center" wrapText="1"/>
    </xf>
    <xf borderId="0" fillId="0" fontId="16" numFmtId="0" xfId="0" applyAlignment="1" applyFont="1">
      <alignment readingOrder="0" shrinkToFit="0" vertical="center" wrapText="0"/>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B7B7"/>
          <bgColor rgb="FFB7B7B7"/>
        </patternFill>
      </fill>
      <border/>
    </dxf>
    <dxf>
      <font/>
      <fill>
        <patternFill patternType="solid">
          <fgColor rgb="FFD9D2E9"/>
          <bgColor rgb="FFD9D2E9"/>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
      <font/>
      <fill>
        <patternFill patternType="solid">
          <fgColor rgb="FFB7E1CD"/>
          <bgColor rgb="FFB7E1CD"/>
        </patternFill>
      </fill>
      <border/>
    </dxf>
    <dxf>
      <font/>
      <fill>
        <patternFill patternType="solid">
          <fgColor rgb="FF00FFFF"/>
          <bgColor rgb="FF00FFFF"/>
        </patternFill>
      </fill>
      <border/>
    </dxf>
  </dxfs>
  <tableStyles count="17">
    <tableStyle count="4" pivot="0" name="入力制御-style">
      <tableStyleElement dxfId="1" type="headerRow"/>
      <tableStyleElement dxfId="2" type="firstRowStripe"/>
      <tableStyleElement dxfId="3" type="secondRowStripe"/>
      <tableStyleElement dxfId="4" size="0" type="wholeTable"/>
    </tableStyle>
    <tableStyle count="4" pivot="0" name="入力制御-style 2">
      <tableStyleElement dxfId="1" type="headerRow"/>
      <tableStyleElement dxfId="2" type="firstRowStripe"/>
      <tableStyleElement dxfId="3" type="secondRowStripe"/>
      <tableStyleElement dxfId="4" size="0" type="wholeTable"/>
    </tableStyle>
    <tableStyle count="2" pivot="0" name="入力制御-style 3">
      <tableStyleElement dxfId="2" type="firstRowStripe"/>
      <tableStyleElement dxfId="3" type="secondRowStripe"/>
    </tableStyle>
    <tableStyle count="4" pivot="0" name="課題管理-style">
      <tableStyleElement dxfId="1" type="headerRow"/>
      <tableStyleElement dxfId="2" type="firstRowStripe"/>
      <tableStyleElement dxfId="3" type="secondRowStripe"/>
      <tableStyleElement dxfId="4" size="0" type="wholeTable"/>
    </tableStyle>
    <tableStyle count="4" pivot="0" name="app_readme-style">
      <tableStyleElement dxfId="1" type="headerRow"/>
      <tableStyleElement dxfId="2" type="firstRowStripe"/>
      <tableStyleElement dxfId="3" type="secondRowStripe"/>
      <tableStyleElement dxfId="4" size="0" type="wholeTable"/>
    </tableStyle>
    <tableStyle count="4" pivot="0" name="app_schedule-style">
      <tableStyleElement dxfId="1" type="headerRow"/>
      <tableStyleElement dxfId="2" type="firstRowStripe"/>
      <tableStyleElement dxfId="3" type="secondRowStripe"/>
      <tableStyleElement dxfId="4" size="0" type="wholeTable"/>
    </tableStyle>
    <tableStyle count="4" pivot="0" name="app_exceptions-style">
      <tableStyleElement dxfId="1" type="headerRow"/>
      <tableStyleElement dxfId="2" type="firstRowStripe"/>
      <tableStyleElement dxfId="3" type="secondRowStripe"/>
      <tableStyleElement dxfId="4" size="0" type="wholeTable"/>
    </tableStyle>
    <tableStyle count="4" pivot="0" name="app_check_status-style">
      <tableStyleElement dxfId="1" type="headerRow"/>
      <tableStyleElement dxfId="2" type="firstRowStripe"/>
      <tableStyleElement dxfId="3" type="secondRowStripe"/>
      <tableStyleElement dxfId="4" size="0" type="wholeTable"/>
    </tableStyle>
    <tableStyle count="4" pivot="0" name="app_comments-style">
      <tableStyleElement dxfId="1" type="headerRow"/>
      <tableStyleElement dxfId="2" type="firstRowStripe"/>
      <tableStyleElement dxfId="3" type="secondRowStripe"/>
      <tableStyleElement dxfId="4" size="0" type="wholeTable"/>
    </tableStyle>
    <tableStyle count="4" pivot="0" name="app_pr-style">
      <tableStyleElement dxfId="1" type="headerRow"/>
      <tableStyleElement dxfId="2" type="firstRowStripe"/>
      <tableStyleElement dxfId="3" type="secondRowStripe"/>
      <tableStyleElement dxfId="4" size="0" type="wholeTable"/>
    </tableStyle>
    <tableStyle count="4" pivot="0" name="app_pr_targets-style">
      <tableStyleElement dxfId="1" type="headerRow"/>
      <tableStyleElement dxfId="2" type="firstRowStripe"/>
      <tableStyleElement dxfId="3" type="secondRowStripe"/>
      <tableStyleElement dxfId="4" size="0" type="wholeTable"/>
    </tableStyle>
    <tableStyle count="4" pivot="0" name="app_holidays-style">
      <tableStyleElement dxfId="1" type="headerRow"/>
      <tableStyleElement dxfId="2" type="firstRowStripe"/>
      <tableStyleElement dxfId="3" type="secondRowStripe"/>
      <tableStyleElement dxfId="4" size="0" type="wholeTable"/>
    </tableStyle>
    <tableStyle count="4" pivot="0" name="app_schedule_archives-style">
      <tableStyleElement dxfId="1" type="headerRow"/>
      <tableStyleElement dxfId="2" type="firstRowStripe"/>
      <tableStyleElement dxfId="3" type="secondRowStripe"/>
      <tableStyleElement dxfId="4" size="0" type="wholeTable"/>
    </tableStyle>
    <tableStyle count="4" pivot="0" name="app_admin_master-style">
      <tableStyleElement dxfId="1" type="headerRow"/>
      <tableStyleElement dxfId="2" type="firstRowStripe"/>
      <tableStyleElement dxfId="3" type="secondRowStripe"/>
      <tableStyleElement dxfId="4" size="0" type="wholeTable"/>
    </tableStyle>
    <tableStyle count="4" pivot="0" name="app_pref_master-style">
      <tableStyleElement dxfId="1" type="headerRow"/>
      <tableStyleElement dxfId="2" type="firstRowStripe"/>
      <tableStyleElement dxfId="3" type="secondRowStripe"/>
      <tableStyleElement dxfId="4" size="0" type="wholeTable"/>
    </tableStyle>
    <tableStyle count="4" pivot="0" name="app_job_master-style">
      <tableStyleElement dxfId="1" type="headerRow"/>
      <tableStyleElement dxfId="2" type="firstRowStripe"/>
      <tableStyleElement dxfId="3" type="secondRowStripe"/>
      <tableStyleElement dxfId="4" size="0" type="wholeTable"/>
    </tableStyle>
    <tableStyle count="4" pivot="0" name="app_pr_code_mast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53</xdr:row>
      <xdr:rowOff>0</xdr:rowOff>
    </xdr:from>
    <xdr:ext cx="809625" cy="1905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横尾綾奈" id="{016a06b8-c659-4df4-ab39-7fea996a53d0}" providerId="google-sheets"/>
</x18tc:personList>
</file>

<file path=xl/tables/table1.xml><?xml version="1.0" encoding="utf-8"?>
<table xmlns="http://schemas.openxmlformats.org/spreadsheetml/2006/main" ref="A2:AJ15" displayName="表_15" name="表_15" id="1">
  <tableColumns count="36">
    <tableColumn name="画面" id="1"/>
    <tableColumn name="モーダル" id="2"/>
    <tableColumn name="タブ" id="3"/>
    <tableColumn name="ID" id="4"/>
    <tableColumn name="曜日" id="5"/>
    <tableColumn name="時間" id="6"/>
    <tableColumn name="開始日" id="7"/>
    <tableColumn name="終了日" id="8"/>
    <tableColumn name="メルマガ名" id="9"/>
    <tableColumn name="通数" id="10"/>
    <tableColumn name="種別" id="11"/>
    <tableColumn name="サイクル" id="12"/>
    <tableColumn name="形式" id="13"/>
    <tableColumn name="担当部署" id="14"/>
    <tableColumn name="メルマガ内容(抽出)" id="15"/>
    <tableColumn name="メルマガ内容(フリー)" id="16"/>
    <tableColumn name="備考" id="17"/>
    <tableColumn name="新規" id="18"/>
    <tableColumn name="設定者" id="19"/>
    <tableColumn name="確認者" id="20"/>
    <tableColumn name="USER_年齢" id="21"/>
    <tableColumn name="USER_現住所" id="22"/>
    <tableColumn name="USER_希望勤務地" id="23"/>
    <tableColumn name="USER_経験職種" id="24"/>
    <tableColumn name="USER_希望職種" id="25"/>
    <tableColumn name="USER_その他条件" id="26"/>
    <tableColumn name="JOB_勤務地" id="27"/>
    <tableColumn name="JOB_職種" id="28"/>
    <tableColumn name="JOB_フリーワード" id="29"/>
    <tableColumn name="自動求人特集_ID" id="30"/>
    <tableColumn name="自動求人特集_URL" id="31"/>
    <tableColumn name="自動求人特集_求人数" id="32"/>
    <tableColumn name="自動求人特集_その他条件" id="33"/>
    <tableColumn name="確定済" id="34"/>
    <tableColumn name="配信停止" id="35"/>
    <tableColumn name="削除" id="36"/>
  </tableColumns>
  <tableStyleInfo name="入力制御-style" showColumnStripes="0" showFirstColumn="1" showLastColumn="1" showRowStripes="1"/>
</table>
</file>

<file path=xl/tables/table2.xml><?xml version="1.0" encoding="utf-8"?>
<table xmlns="http://schemas.openxmlformats.org/spreadsheetml/2006/main" ref="A18:M21" displayName="表_16" name="表_16" id="2">
  <tableColumns count="13">
    <tableColumn name="画面" id="1"/>
    <tableColumn name="モーダル" id="2"/>
    <tableColumn name="タブ" id="3"/>
    <tableColumn name="PR ID" id="4"/>
    <tableColumn name="PRタイトル" id="5"/>
    <tableColumn name="開始日" id="6"/>
    <tableColumn name="終了日" id="7"/>
    <tableColumn name="PR本文" id="8"/>
    <tableColumn name="備考" id="9"/>
    <tableColumn name="紐づいたメルマガ" id="10"/>
    <tableColumn name="PRが入るメルマガを選択" id="11"/>
    <tableColumn name="配信終了" id="12"/>
    <tableColumn name="削除" id="13"/>
  </tableColumns>
  <tableStyleInfo name="入力制御-style 2" showColumnStripes="0" showFirstColumn="1" showLastColumn="1" showRowStripes="1"/>
</table>
</file>

<file path=xl/tables/table3.xml><?xml version="1.0" encoding="utf-8"?>
<table xmlns="http://schemas.openxmlformats.org/spreadsheetml/2006/main" headerRowCount="0" ref="E23:K23" displayName="Table_1" name="Table_1" id="3">
  <tableColumns count="7">
    <tableColumn name="Column1" id="1"/>
    <tableColumn name="Column2" id="2"/>
    <tableColumn name="Column3" id="3"/>
    <tableColumn name="Column4" id="4"/>
    <tableColumn name="Column5" id="5"/>
    <tableColumn name="Column6" id="6"/>
    <tableColumn name="Column7" id="7"/>
  </tableColumns>
  <tableStyleInfo name="入力制御-style 3" showColumnStripes="0" showFirstColumn="1" showLastColumn="1" showRowStripes="1"/>
</table>
</file>

<file path=xl/tables/table4.xml><?xml version="1.0" encoding="utf-8"?>
<table xmlns="http://schemas.openxmlformats.org/spreadsheetml/2006/main" ref="A1:G52" displayName="表_14" name="表_14" id="4">
  <autoFilter ref="$A$1:$G$52"/>
  <tableColumns count="7">
    <tableColumn name="列 1" id="1"/>
    <tableColumn name="カテゴリ" id="2"/>
    <tableColumn name="列 2" id="3"/>
    <tableColumn name="列 3" id="4"/>
    <tableColumn name="列 4" id="5"/>
    <tableColumn name="備考うき" id="6"/>
    <tableColumn name="備考type" id="7"/>
  </tableColumns>
  <tableStyleInfo name="課題管理-style" showColumnStripes="0" showFirstColumn="1" showLastColumn="1" showRowStripes="1"/>
</table>
</file>

<file path=xl/tables/table5.xml><?xml version="1.0" encoding="utf-8"?>
<table xmlns="http://schemas.openxmlformats.org/spreadsheetml/2006/main" ref="A1:B10" displayName="表_2" name="表_2" id="5">
  <tableColumns count="2">
    <tableColumn name="item" id="1"/>
    <tableColumn name="value" id="2"/>
  </tableColumns>
  <tableStyleInfo name="app_readme-style" showColumnStripes="0" showFirstColumn="1" showLastColumn="1" showRowStripes="1"/>
</table>
</file>

<file path=xl/tables/table6.xml><?xml version="1.0" encoding="utf-8"?>
<table xmlns="http://schemas.openxmlformats.org/spreadsheetml/2006/main" ref="A1:AF413" displayName="表_1" name="表_1" id="6">
  <tableColumns count="32">
    <tableColumn name="ID" id="1"/>
    <tableColumn name="曜日" id="2"/>
    <tableColumn name="時間" id="3"/>
    <tableColumn name="開始日" id="4"/>
    <tableColumn name="終了日" id="5"/>
    <tableColumn name="メルマガ名" id="6"/>
    <tableColumn name="通数" id="7"/>
    <tableColumn name="種別" id="8"/>
    <tableColumn name="サイクル" id="9"/>
    <tableColumn name="形式" id="10"/>
    <tableColumn name="担当部署" id="11"/>
    <tableColumn name="メルマガ内容(抽出)" id="12"/>
    <tableColumn name="メルマガ内容(フリー)" id="13"/>
    <tableColumn name="備考" id="14"/>
    <tableColumn name="新規" id="15"/>
    <tableColumn name="設定者" id="16"/>
    <tableColumn name="確認者" id="17"/>
    <tableColumn name="USER_年齢" id="18"/>
    <tableColumn name="USER_現住所" id="19"/>
    <tableColumn name="USER_希望勤務地" id="20"/>
    <tableColumn name="USER_経験職種" id="21"/>
    <tableColumn name="USER_希望職種" id="22"/>
    <tableColumn name="USER_その他条件" id="23"/>
    <tableColumn name="JOB_勤務地" id="24"/>
    <tableColumn name="JOB_職種" id="25"/>
    <tableColumn name="JOB_フリーワード" id="26"/>
    <tableColumn name="自動求人特集_ID" id="27"/>
    <tableColumn name="自動求人特集_URL" id="28"/>
    <tableColumn name="自動求人特集_求人数" id="29"/>
    <tableColumn name="自動求人特集_その他条件" id="30"/>
    <tableColumn name="確定済" id="31"/>
    <tableColumn name="配信停止" id="32"/>
  </tableColumns>
  <tableStyleInfo name="app_schedule-style" showColumnStripes="0" showFirstColumn="1" showLastColumn="1" showRowStripes="1"/>
</table>
</file>

<file path=xl/tables/table7.xml><?xml version="1.0" encoding="utf-8"?>
<table xmlns="http://schemas.openxmlformats.org/spreadsheetml/2006/main" ref="A1:C2" displayName="表_3" name="表_3" id="7">
  <tableColumns count="3">
    <tableColumn name="schedule_id" id="1"/>
    <tableColumn name="target_date" id="2"/>
    <tableColumn name="status" id="3"/>
  </tableColumns>
  <tableStyleInfo name="app_exceptions-style" showColumnStripes="0" showFirstColumn="1" showLastColumn="1" showRowStripes="1"/>
</table>
</file>

<file path=xl/tables/table8.xml><?xml version="1.0" encoding="utf-8"?>
<table xmlns="http://schemas.openxmlformats.org/spreadsheetml/2006/main" ref="A1:BT13" displayName="表_4" name="表_4" id="8">
  <tableColumns count="72">
    <tableColumn name="item_id" id="1"/>
    <tableColumn name="ID" id="2"/>
    <tableColumn name="field" id="3"/>
    <tableColumn name="is_active" id="4"/>
    <tableColumn name="updated_at" id="5"/>
    <tableColumn name="original_date" id="6"/>
    <tableColumn name="delivery_date" id="7"/>
    <tableColumn name="confirmed_by" id="8"/>
    <tableColumn name="confirmed_at" id="9"/>
    <tableColumn name="override_fields" id="10"/>
    <tableColumn name="曜日" id="11"/>
    <tableColumn name="時間" id="12"/>
    <tableColumn name="開始日" id="13"/>
    <tableColumn name="終了日" id="14"/>
    <tableColumn name="メルマガ名" id="15"/>
    <tableColumn name="通数" id="16"/>
    <tableColumn name="種別" id="17"/>
    <tableColumn name="サイクル" id="18"/>
    <tableColumn name="形式" id="19"/>
    <tableColumn name="担当部署" id="20"/>
    <tableColumn name="メルマガ内容" id="21"/>
    <tableColumn name="備考" id="22"/>
    <tableColumn name="新規" id="23"/>
    <tableColumn name="設定者" id="24"/>
    <tableColumn name="確認者" id="25"/>
    <tableColumn name="USER_年齢" id="26"/>
    <tableColumn name="USER_現住所" id="27"/>
    <tableColumn name="USER_希望勤務地" id="28"/>
    <tableColumn name="USER_経験職種" id="29"/>
    <tableColumn name="USER_希望職種" id="30"/>
    <tableColumn name="JOB_勤務地" id="31"/>
    <tableColumn name="JOB_職種" id="32"/>
    <tableColumn name="JOB_フリーワード" id="33"/>
    <tableColumn name="自動求人特集_ID" id="34"/>
    <tableColumn name="自動求人特集_URL" id="35"/>
    <tableColumn name="自動求人特集_求人数" id="36"/>
    <tableColumn name="確定済" id="37"/>
    <tableColumn name="配信終了" id="38"/>
    <tableColumn name="Column 39" id="39"/>
    <tableColumn name="Column 40" id="40"/>
    <tableColumn name="Column 41" id="41"/>
    <tableColumn name="Column 42" id="42"/>
    <tableColumn name="Column 43" id="43"/>
    <tableColumn name="Column 44" id="44"/>
    <tableColumn name="Column 45" id="45"/>
    <tableColumn name="Column 46" id="46"/>
    <tableColumn name="Column 47" id="47"/>
    <tableColumn name="Column 48" id="48"/>
    <tableColumn name="Column 49" id="49"/>
    <tableColumn name="Column 50" id="50"/>
    <tableColumn name="Column 51" id="51"/>
    <tableColumn name="Column 52" id="52"/>
    <tableColumn name="Column 53" id="53"/>
    <tableColumn name="Column 54" id="54"/>
    <tableColumn name="Column 55" id="55"/>
    <tableColumn name="Column 56" id="56"/>
    <tableColumn name="Column 57" id="57"/>
    <tableColumn name="Column 58" id="58"/>
    <tableColumn name="Column 59" id="59"/>
    <tableColumn name="Column 60" id="60"/>
    <tableColumn name="Column 61" id="61"/>
    <tableColumn name="Column 62" id="62"/>
    <tableColumn name="Column 63" id="63"/>
    <tableColumn name="Column 64" id="64"/>
    <tableColumn name="pr" id="65"/>
    <tableColumn name="Column 66" id="66"/>
    <tableColumn name="Column 67" id="67"/>
    <tableColumn name="メルマガ内容(抽出)" id="68"/>
    <tableColumn name="メルマガ内容(フリー)" id="69"/>
    <tableColumn name="USER_その他条件" id="70"/>
    <tableColumn name="自動求人特集_その他条件" id="71"/>
    <tableColumn name="配信停止" id="72"/>
  </tableColumns>
  <tableStyleInfo name="app_check_status-style" showColumnStripes="0" showFirstColumn="1" showLastColumn="1" showRowStripes="1"/>
</table>
</file>

<file path=xl/tables/table9.xml><?xml version="1.0" encoding="utf-8"?>
<table xmlns="http://schemas.openxmlformats.org/spreadsheetml/2006/main" headerRowCount="0" ref="A1:E1" displayName="表_5" name="表_5" id="9">
  <tableColumns count="5">
    <tableColumn name="Column1" id="1"/>
    <tableColumn name="Column2" id="2"/>
    <tableColumn name="Column3" id="3"/>
    <tableColumn name="Column4" id="4"/>
    <tableColumn name="Column5" id="5"/>
  </tableColumns>
  <tableStyleInfo name="app_comments-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ref="A1:G7" displayName="表_6" name="表_6" id="10">
  <tableColumns count="7">
    <tableColumn name="PR ID" id="1"/>
    <tableColumn name="PRタイトル" id="2"/>
    <tableColumn name="開始日" id="3"/>
    <tableColumn name="終了日" id="4"/>
    <tableColumn name="PR本文" id="5"/>
    <tableColumn name="備考" id="6"/>
    <tableColumn name="配信終了" id="7"/>
  </tableColumns>
  <tableStyleInfo name="app_pr-style" showColumnStripes="0" showFirstColumn="1" showLastColumn="1" showRowStripes="1"/>
</table>
</file>

<file path=xl/tables/table11.xml><?xml version="1.0" encoding="utf-8"?>
<table xmlns="http://schemas.openxmlformats.org/spreadsheetml/2006/main" ref="A1:B48" displayName="表_7" name="表_7" id="11">
  <tableColumns count="2">
    <tableColumn name="PR ID" id="1"/>
    <tableColumn name="メルマガ名" id="2"/>
  </tableColumns>
  <tableStyleInfo name="app_pr_targets-style" showColumnStripes="0" showFirstColumn="1" showLastColumn="1" showRowStripes="1"/>
</table>
</file>

<file path=xl/tables/table12.xml><?xml version="1.0" encoding="utf-8"?>
<table xmlns="http://schemas.openxmlformats.org/spreadsheetml/2006/main" ref="A1:F926" displayName="表_8" name="表_8" id="12">
  <tableColumns count="6">
    <tableColumn name="block_name" id="1"/>
    <tableColumn name="delivery_date" id="2"/>
    <tableColumn name="メルマガ名" id="3"/>
    <tableColumn name="department" id="4"/>
    <tableColumn name="delivery_status" id="5"/>
    <tableColumn name="contact_note" id="6"/>
  </tableColumns>
  <tableStyleInfo name="app_holidays-style" showColumnStripes="0" showFirstColumn="1" showLastColumn="1" showRowStripes="1"/>
</table>
</file>

<file path=xl/tables/table13.xml><?xml version="1.0" encoding="utf-8"?>
<table xmlns="http://schemas.openxmlformats.org/spreadsheetml/2006/main" ref="A1:BI3" displayName="表_10" name="表_10" id="13">
  <tableColumns count="61">
    <tableColumn name="archived_at" id="1"/>
    <tableColumn name="fixed_week_start" id="2"/>
    <tableColumn name="fixed_week_end" id="3"/>
    <tableColumn name="source_row" id="4"/>
    <tableColumn name="ID" id="5"/>
    <tableColumn name="種別" id="6"/>
    <tableColumn name="サイクル" id="7"/>
    <tableColumn name="曜日" id="8"/>
    <tableColumn name="時間" id="9"/>
    <tableColumn name="開始日" id="10"/>
    <tableColumn name="終了日" id="11"/>
    <tableColumn name="メルマガ名" id="12"/>
    <tableColumn name="通数" id="13"/>
    <tableColumn name="サブカテゴリ" id="14"/>
    <tableColumn name="PR ID" id="15"/>
    <tableColumn name="形式" id="16"/>
    <tableColumn name="対象年齢" id="17"/>
    <tableColumn name="対象現住所" id="18"/>
    <tableColumn name="自動求人特集ID" id="19"/>
    <tableColumn name="メルマガ内容" id="20"/>
    <tableColumn name="備考" id="21"/>
    <tableColumn name="新規" id="22"/>
    <tableColumn name="設定者" id="23"/>
    <tableColumn name="確認者" id="24"/>
    <tableColumn name="確定済" id="25"/>
    <tableColumn name="自動求人特集URL" id="26"/>
    <tableColumn name="現在求人数" id="27"/>
    <tableColumn name="check_setter_active" id="28"/>
    <tableColumn name="check_checker_active" id="29"/>
    <tableColumn name="Column 30" id="30"/>
    <tableColumn name="Column 31" id="31"/>
    <tableColumn name="Column 32" id="32"/>
    <tableColumn name="Column 33" id="33"/>
    <tableColumn name="Column 34" id="34"/>
    <tableColumn name="Column 35" id="35"/>
    <tableColumn name="Column 36" id="36"/>
    <tableColumn name="Column 37" id="37"/>
    <tableColumn name="Column 38" id="38"/>
    <tableColumn name="Column 39" id="39"/>
    <tableColumn name="Column 40" id="40"/>
    <tableColumn name="Column 41" id="41"/>
    <tableColumn name="Column 42" id="42"/>
    <tableColumn name="Column 43" id="43"/>
    <tableColumn name="Column 44" id="44"/>
    <tableColumn name="Column 45" id="45"/>
    <tableColumn name="Column 46" id="46"/>
    <tableColumn name="Column 47" id="47"/>
    <tableColumn name="Column 48" id="48"/>
    <tableColumn name="担当部署" id="49"/>
    <tableColumn name="USER_年齢" id="50"/>
    <tableColumn name="USER_現住所" id="51"/>
    <tableColumn name="USER_希望勤務地" id="52"/>
    <tableColumn name="USER_経験職種" id="53"/>
    <tableColumn name="USER_希望職種" id="54"/>
    <tableColumn name="JOB_勤務地" id="55"/>
    <tableColumn name="JOB_職種" id="56"/>
    <tableColumn name="JOB_フリーワード" id="57"/>
    <tableColumn name="自動求人特集_ID" id="58"/>
    <tableColumn name="自動求人特集_URL" id="59"/>
    <tableColumn name="自動求人特集_求人数" id="60"/>
    <tableColumn name="配信終了" id="61"/>
  </tableColumns>
  <tableStyleInfo name="app_schedule_archives-style" showColumnStripes="0" showFirstColumn="1" showLastColumn="1" showRowStripes="1"/>
</table>
</file>

<file path=xl/tables/table14.xml><?xml version="1.0" encoding="utf-8"?>
<table xmlns="http://schemas.openxmlformats.org/spreadsheetml/2006/main" ref="A1:E12" displayName="表_9" name="表_9" id="14">
  <tableColumns count="5">
    <tableColumn name="略称" id="1"/>
    <tableColumn name="名前" id="2"/>
    <tableColumn name="メールアドレス" id="3"/>
    <tableColumn name="役割・備考" id="4"/>
    <tableColumn name="部署" id="5"/>
  </tableColumns>
  <tableStyleInfo name="app_admin_master-style" showColumnStripes="0" showFirstColumn="1" showLastColumn="1" showRowStripes="1"/>
</table>
</file>

<file path=xl/tables/table15.xml><?xml version="1.0" encoding="utf-8"?>
<table xmlns="http://schemas.openxmlformats.org/spreadsheetml/2006/main" ref="A1:C28" displayName="表_13" name="表_13" id="15">
  <tableColumns count="3">
    <tableColumn name="並び順" id="1"/>
    <tableColumn name="地域_大分類" id="2"/>
    <tableColumn name="地域_中分類" id="3"/>
  </tableColumns>
  <tableStyleInfo name="app_pref_master-style" showColumnStripes="0" showFirstColumn="1" showLastColumn="1" showRowStripes="1"/>
</table>
</file>

<file path=xl/tables/table16.xml><?xml version="1.0" encoding="utf-8"?>
<table xmlns="http://schemas.openxmlformats.org/spreadsheetml/2006/main" ref="A1:C90" displayName="表_11" name="表_11" id="16">
  <tableColumns count="3">
    <tableColumn name="並び順" id="1"/>
    <tableColumn name="職種大分類" id="2"/>
    <tableColumn name="職種小分類" id="3"/>
  </tableColumns>
  <tableStyleInfo name="app_job_master-style" showColumnStripes="0" showFirstColumn="1" showLastColumn="1" showRowStripes="1"/>
</table>
</file>

<file path=xl/tables/table17.xml><?xml version="1.0" encoding="utf-8"?>
<table xmlns="http://schemas.openxmlformats.org/spreadsheetml/2006/main" ref="A1:B129" displayName="表_12" name="表_12" id="17">
  <tableColumns count="2">
    <tableColumn name="並び順" id="1"/>
    <tableColumn name="PRコード名" id="2"/>
  </tableColumns>
  <tableStyleInfo name="app_pr_code_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8T01:35:32.00" personId="{016a06b8-c659-4df4-ab39-7fea996a53d0}" id="{077d2e76-0213-40bb-9169-a0721b5d009e}" done="1">
    <x18tc:text xml:space="preserve">コメント履歴</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script.google.com/a/macros/type.jp/s/AKfycbzfuyTAe_ZUsCutzU5H1UkQZVoq2zOrmn1WoP4j9tiEYBo5BDNzPW6kofDGXkTiDAJ0Qw/exec" TargetMode="External"/><Relationship Id="rId2" Type="http://schemas.openxmlformats.org/officeDocument/2006/relationships/hyperlink" Target="https://github.com/cdc-a-yokoo/mail-magazine-maker/blob/main/SPEC.md" TargetMode="External"/><Relationship Id="rId3" Type="http://schemas.openxmlformats.org/officeDocument/2006/relationships/hyperlink" Target="https://docs.google.com/spreadsheets/d/1hr-bf6g0Lhe9tuTiGHjhM9uyfKOmiQ9ZCpgD5kVdnrs/edit?pli=1&amp;gid=796479749" TargetMode="External"/><Relationship Id="rId4" Type="http://schemas.openxmlformats.org/officeDocument/2006/relationships/hyperlink" Target="https://github.com/cdc-a-yokoo/mail-magazine-maker/tree/main"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RRtVJK3L82OdGSbFEyj6XZFaaG__FdJtLBI5UNabBgM/edit?gid=1947740437"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0" Type="http://schemas.openxmlformats.org/officeDocument/2006/relationships/vmlDrawing" Target="../drawings/vmlDrawing1.vml"/><Relationship Id="rId11" Type="http://schemas.openxmlformats.org/officeDocument/2006/relationships/hyperlink" Target="https://woman-type.jp/job-service/24358/f/" TargetMode="External"/><Relationship Id="rId22" Type="http://schemas.openxmlformats.org/officeDocument/2006/relationships/table" Target="../tables/table6.xml"/><Relationship Id="rId10" Type="http://schemas.openxmlformats.org/officeDocument/2006/relationships/hyperlink" Target="https://woman-type.jp/job-office/24336/f/" TargetMode="External"/><Relationship Id="rId13" Type="http://schemas.openxmlformats.org/officeDocument/2006/relationships/hyperlink" Target="https://www.google.com/search?q=https://f.hubspotusercontent30.net/hubfs/6324080/" TargetMode="External"/><Relationship Id="rId12" Type="http://schemas.openxmlformats.org/officeDocument/2006/relationships/hyperlink" Target="https://docs.google.com/spreadsheets/d/16XGmrj4" TargetMode="External"/><Relationship Id="rId1" Type="http://schemas.openxmlformats.org/officeDocument/2006/relationships/comments" Target="../comments1.xml"/><Relationship Id="rId2" Type="http://schemas.openxmlformats.org/officeDocument/2006/relationships/hyperlink" Target="https://woman-type.jp/job-office/24376/f/" TargetMode="External"/><Relationship Id="rId3" Type="http://schemas.openxmlformats.org/officeDocument/2006/relationships/hyperlink" Target="https://woman-type.jp/job-condition/10/12077/f/" TargetMode="External"/><Relationship Id="rId4" Type="http://schemas.openxmlformats.org/officeDocument/2006/relationships/hyperlink" Target="https://docs.google.com/spreadsheets/d/16XGmrj4" TargetMode="External"/><Relationship Id="rId9" Type="http://schemas.openxmlformats.org/officeDocument/2006/relationships/hyperlink" Target="https://woman-type.jp/job-sales/24356/f/" TargetMode="External"/><Relationship Id="rId15" Type="http://schemas.openxmlformats.org/officeDocument/2006/relationships/hyperlink" Target="https://www.google.com/search?q=https://drive.google.com/drive/folders/1xcE0OLYD" TargetMode="External"/><Relationship Id="rId14" Type="http://schemas.openxmlformats.org/officeDocument/2006/relationships/hyperlink" Target="https://www.google.com/search?q=https://f.hubspotusercontent30.net/hubfs/6324080/" TargetMode="External"/><Relationship Id="rId17" Type="http://schemas.openxmlformats.org/officeDocument/2006/relationships/hyperlink" Target="https://woman-type.jp/job-area/district3/24436/f/" TargetMode="External"/><Relationship Id="rId16" Type="http://schemas.openxmlformats.org/officeDocument/2006/relationships/hyperlink" Target="http://dummy/" TargetMode="External"/><Relationship Id="rId5" Type="http://schemas.openxmlformats.org/officeDocument/2006/relationships/hyperlink" Target="https://docs.google.com/spreadsheets/d/16XGmrj4" TargetMode="External"/><Relationship Id="rId19" Type="http://schemas.openxmlformats.org/officeDocument/2006/relationships/drawing" Target="../drawings/drawing6.xml"/><Relationship Id="rId6" Type="http://schemas.openxmlformats.org/officeDocument/2006/relationships/hyperlink" Target="https://woman-type.jp/job-condition/46/3317/f/" TargetMode="External"/><Relationship Id="rId18" Type="http://schemas.openxmlformats.org/officeDocument/2006/relationships/hyperlink" Target="https://woman-type.jp/job-area/24936/f/" TargetMode="External"/><Relationship Id="rId7" Type="http://schemas.openxmlformats.org/officeDocument/2006/relationships/hyperlink" Target="https://woman-type.jp/job-condition/10/24298/f/" TargetMode="External"/><Relationship Id="rId8" Type="http://schemas.openxmlformats.org/officeDocument/2006/relationships/hyperlink" Target="https://woman-type.jp/job-engineer/24876/f/"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 Id="rId5"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 Id="rId5"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9.xml"/><Relationship Id="rId5" Type="http://schemas.openxmlformats.org/officeDocument/2006/relationships/vmlDrawing" Target="../drawings/vmlDrawing4.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1.xml"/><Relationship Id="rId3"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3.xml"/><Relationship Id="rId3"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4.xml"/><Relationship Id="rId3" Type="http://schemas.openxmlformats.org/officeDocument/2006/relationships/vmlDrawing" Target="../drawings/vmlDrawing7.vml"/><Relationship Id="rId5"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5.xml"/><Relationship Id="rId3" Type="http://schemas.openxmlformats.org/officeDocument/2006/relationships/vmlDrawing" Target="../drawings/vmlDrawing8.vml"/><Relationship Id="rId5"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7.xml"/><Relationship Id="rId3" Type="http://schemas.openxmlformats.org/officeDocument/2006/relationships/vmlDrawing" Target="../drawings/vmlDrawing9.vml"/><Relationship Id="rId5"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6.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 t="s">
        <v>0</v>
      </c>
      <c r="B1" s="2"/>
      <c r="C1" s="2"/>
      <c r="D1" s="2"/>
      <c r="E1" s="2"/>
      <c r="F1" s="2"/>
      <c r="G1" s="2"/>
      <c r="H1" s="2"/>
      <c r="I1" s="3" t="s">
        <v>1</v>
      </c>
      <c r="J1" s="4" t="s">
        <v>2</v>
      </c>
      <c r="K1" s="2"/>
      <c r="L1" s="2"/>
      <c r="M1" s="2"/>
      <c r="N1" s="2"/>
      <c r="O1" s="2"/>
      <c r="P1" s="2"/>
      <c r="Q1" s="2"/>
      <c r="R1" s="2"/>
      <c r="S1" s="2"/>
      <c r="T1" s="2"/>
      <c r="U1" s="2"/>
      <c r="V1" s="2"/>
      <c r="W1" s="2"/>
      <c r="X1" s="2"/>
      <c r="Y1" s="2"/>
      <c r="Z1" s="2"/>
    </row>
    <row r="2" ht="15.75" customHeight="1">
      <c r="A2" s="3" t="s">
        <v>3</v>
      </c>
      <c r="B2" s="2"/>
      <c r="C2" s="2"/>
      <c r="D2" s="2"/>
      <c r="E2" s="2"/>
      <c r="F2" s="2"/>
      <c r="G2" s="2"/>
      <c r="H2" s="2"/>
      <c r="I2" s="3" t="s">
        <v>4</v>
      </c>
      <c r="J2" s="4" t="s">
        <v>5</v>
      </c>
      <c r="K2" s="2"/>
      <c r="L2" s="2"/>
      <c r="M2" s="2"/>
      <c r="N2" s="2"/>
      <c r="O2" s="2"/>
      <c r="P2" s="2"/>
      <c r="Q2" s="2"/>
      <c r="R2" s="2"/>
      <c r="S2" s="2"/>
      <c r="T2" s="2"/>
      <c r="U2" s="2"/>
      <c r="V2" s="2"/>
      <c r="W2" s="2"/>
      <c r="X2" s="2"/>
      <c r="Y2" s="2"/>
      <c r="Z2" s="2"/>
    </row>
    <row r="3" ht="15.75" customHeight="1">
      <c r="A3" s="3" t="s">
        <v>6</v>
      </c>
      <c r="B3" s="2"/>
      <c r="C3" s="2"/>
      <c r="D3" s="2"/>
      <c r="E3" s="2"/>
      <c r="F3" s="2"/>
      <c r="G3" s="2"/>
      <c r="H3" s="2"/>
      <c r="I3" s="3" t="s">
        <v>7</v>
      </c>
      <c r="J3" s="5" t="s">
        <v>8</v>
      </c>
      <c r="K3" s="2"/>
      <c r="L3" s="2"/>
      <c r="M3" s="2"/>
      <c r="N3" s="2"/>
      <c r="O3" s="2"/>
      <c r="P3" s="2"/>
      <c r="Q3" s="2"/>
      <c r="R3" s="2"/>
      <c r="S3" s="2"/>
      <c r="T3" s="2"/>
      <c r="U3" s="2"/>
      <c r="V3" s="2"/>
      <c r="W3" s="2"/>
      <c r="X3" s="2"/>
      <c r="Y3" s="2"/>
      <c r="Z3" s="2"/>
    </row>
    <row r="4" ht="15.75" customHeight="1">
      <c r="A4" s="2"/>
      <c r="B4" s="2"/>
      <c r="C4" s="2"/>
      <c r="D4" s="2"/>
      <c r="E4" s="2"/>
      <c r="F4" s="2"/>
      <c r="G4" s="2"/>
      <c r="H4" s="2"/>
      <c r="I4" s="3" t="s">
        <v>9</v>
      </c>
      <c r="J4" s="4" t="s">
        <v>10</v>
      </c>
      <c r="K4" s="2"/>
      <c r="L4" s="2"/>
      <c r="M4" s="2"/>
      <c r="N4" s="2"/>
      <c r="O4" s="2"/>
      <c r="P4" s="2"/>
      <c r="Q4" s="2"/>
      <c r="R4" s="2"/>
      <c r="S4" s="2"/>
      <c r="T4" s="2"/>
      <c r="U4" s="2"/>
      <c r="V4" s="2"/>
      <c r="W4" s="2"/>
      <c r="X4" s="2"/>
      <c r="Y4" s="2"/>
      <c r="Z4" s="2"/>
    </row>
    <row r="5" ht="15.75" customHeight="1">
      <c r="A5" s="3" t="s">
        <v>11</v>
      </c>
      <c r="B5" s="2"/>
      <c r="C5" s="2"/>
      <c r="D5" s="2"/>
      <c r="E5" s="2"/>
      <c r="F5" s="2"/>
      <c r="G5" s="2"/>
      <c r="H5" s="2"/>
      <c r="I5" s="2"/>
      <c r="J5" s="2"/>
      <c r="K5" s="2"/>
      <c r="L5" s="2"/>
      <c r="M5" s="2"/>
      <c r="N5" s="2"/>
      <c r="O5" s="2"/>
      <c r="P5" s="2"/>
      <c r="Q5" s="2"/>
      <c r="R5" s="2"/>
      <c r="S5" s="2"/>
      <c r="T5" s="2"/>
      <c r="U5" s="2"/>
      <c r="V5" s="2"/>
      <c r="W5" s="2"/>
      <c r="X5" s="2"/>
      <c r="Y5" s="2"/>
      <c r="Z5" s="2"/>
    </row>
    <row r="6" ht="15.75" customHeight="1">
      <c r="A6" s="3" t="s">
        <v>12</v>
      </c>
      <c r="B6" s="2"/>
      <c r="C6" s="2"/>
      <c r="D6" s="2"/>
      <c r="E6" s="2"/>
      <c r="F6" s="2"/>
      <c r="G6" s="2"/>
      <c r="H6" s="2"/>
      <c r="I6" s="2"/>
      <c r="J6" s="2"/>
      <c r="K6" s="2"/>
      <c r="L6" s="2"/>
      <c r="M6" s="2"/>
      <c r="N6" s="2"/>
      <c r="O6" s="2"/>
      <c r="P6" s="2"/>
      <c r="Q6" s="2"/>
      <c r="R6" s="2"/>
      <c r="S6" s="2"/>
      <c r="T6" s="2"/>
      <c r="U6" s="2"/>
      <c r="V6" s="2"/>
      <c r="W6" s="2"/>
      <c r="X6" s="2"/>
      <c r="Y6" s="2"/>
      <c r="Z6" s="2"/>
    </row>
    <row r="7" ht="15.75" customHeight="1">
      <c r="A7" s="2"/>
      <c r="B7" s="2"/>
      <c r="C7" s="2"/>
      <c r="D7" s="2"/>
      <c r="E7" s="2"/>
      <c r="F7" s="2"/>
      <c r="G7" s="2"/>
      <c r="H7" s="2"/>
      <c r="I7" s="2"/>
      <c r="J7" s="2"/>
      <c r="K7" s="2"/>
      <c r="L7" s="2"/>
      <c r="M7" s="2"/>
      <c r="N7" s="2"/>
      <c r="O7" s="2"/>
      <c r="P7" s="2"/>
      <c r="Q7" s="2"/>
      <c r="R7" s="2"/>
      <c r="S7" s="2"/>
      <c r="T7" s="2"/>
      <c r="U7" s="2"/>
      <c r="V7" s="2"/>
      <c r="W7" s="2"/>
      <c r="X7" s="2"/>
      <c r="Y7" s="2"/>
      <c r="Z7" s="2"/>
    </row>
    <row r="8" ht="15.75" customHeight="1">
      <c r="A8" s="1" t="s">
        <v>13</v>
      </c>
      <c r="B8" s="2"/>
      <c r="C8" s="2"/>
      <c r="D8" s="2"/>
      <c r="E8" s="2"/>
      <c r="F8" s="2"/>
      <c r="G8" s="2"/>
      <c r="H8" s="2"/>
      <c r="I8" s="2"/>
      <c r="J8" s="2"/>
      <c r="K8" s="2"/>
      <c r="L8" s="2"/>
      <c r="M8" s="2"/>
      <c r="N8" s="2"/>
      <c r="O8" s="2"/>
      <c r="P8" s="2"/>
      <c r="Q8" s="2"/>
      <c r="R8" s="2"/>
      <c r="S8" s="2"/>
      <c r="T8" s="2"/>
      <c r="U8" s="2"/>
      <c r="V8" s="2"/>
      <c r="W8" s="2"/>
      <c r="X8" s="2"/>
      <c r="Y8" s="2"/>
      <c r="Z8" s="2"/>
    </row>
    <row r="9" ht="15.75" customHeight="1">
      <c r="A9" s="3" t="s">
        <v>14</v>
      </c>
      <c r="B9" s="2"/>
      <c r="C9" s="2"/>
      <c r="D9" s="2"/>
      <c r="E9" s="2"/>
      <c r="F9" s="2"/>
      <c r="G9" s="2"/>
      <c r="H9" s="2"/>
      <c r="I9" s="2"/>
      <c r="J9" s="2"/>
      <c r="K9" s="2"/>
      <c r="L9" s="2"/>
      <c r="M9" s="2"/>
      <c r="N9" s="2"/>
      <c r="O9" s="2"/>
      <c r="P9" s="2"/>
      <c r="Q9" s="2"/>
      <c r="R9" s="2"/>
      <c r="S9" s="2"/>
      <c r="T9" s="2"/>
      <c r="U9" s="2"/>
      <c r="V9" s="2"/>
      <c r="W9" s="2"/>
      <c r="X9" s="2"/>
      <c r="Y9" s="2"/>
      <c r="Z9" s="2"/>
    </row>
    <row r="10" ht="15.75" customHeight="1">
      <c r="A10" s="3" t="s">
        <v>15</v>
      </c>
      <c r="B10" s="2"/>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3" t="s">
        <v>16</v>
      </c>
      <c r="B11" s="2"/>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3" t="s">
        <v>17</v>
      </c>
      <c r="B12" s="2"/>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3" t="s">
        <v>18</v>
      </c>
      <c r="B16" s="2"/>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id="rId1" ref="J1"/>
    <hyperlink r:id="rId2" ref="J2"/>
    <hyperlink r:id="rId3" location="gid=796479749" ref="J3"/>
    <hyperlink r:id="rId4" ref="J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6.5"/>
    <col customWidth="1" min="3" max="6" width="12.63"/>
  </cols>
  <sheetData>
    <row r="1" ht="15.75" customHeight="1">
      <c r="A1" s="6" t="s">
        <v>19</v>
      </c>
      <c r="B1" s="6"/>
      <c r="C1" s="7"/>
      <c r="D1" s="7"/>
      <c r="E1" s="7"/>
      <c r="F1" s="7"/>
      <c r="G1" s="7"/>
      <c r="H1" s="7"/>
      <c r="I1" s="2"/>
      <c r="J1" s="2"/>
      <c r="K1" s="2"/>
      <c r="L1" s="2"/>
      <c r="M1" s="2"/>
      <c r="N1" s="2"/>
      <c r="O1" s="2"/>
      <c r="P1" s="2"/>
      <c r="Q1" s="2"/>
      <c r="R1" s="2"/>
      <c r="S1" s="2"/>
      <c r="T1" s="2"/>
      <c r="U1" s="2"/>
      <c r="V1" s="2"/>
      <c r="W1" s="2"/>
      <c r="X1" s="2"/>
      <c r="Y1" s="2"/>
      <c r="Z1" s="2"/>
    </row>
    <row r="2" ht="15.75" customHeight="1">
      <c r="A2" s="2"/>
      <c r="B2" s="2"/>
      <c r="C2" s="2"/>
      <c r="D2" s="2"/>
      <c r="E2" s="2"/>
      <c r="F2" s="2"/>
      <c r="G2" s="2"/>
      <c r="H2" s="2"/>
      <c r="I2" s="2"/>
      <c r="J2" s="2"/>
      <c r="K2" s="2"/>
      <c r="L2" s="2"/>
      <c r="M2" s="2"/>
      <c r="N2" s="2"/>
      <c r="O2" s="2"/>
      <c r="P2" s="2"/>
      <c r="Q2" s="2"/>
      <c r="R2" s="2"/>
      <c r="S2" s="2"/>
      <c r="T2" s="2"/>
      <c r="U2" s="2"/>
      <c r="V2" s="2"/>
      <c r="W2" s="2"/>
      <c r="X2" s="2"/>
      <c r="Y2" s="2"/>
      <c r="Z2" s="2"/>
    </row>
    <row r="3" ht="15.75" customHeight="1">
      <c r="A3" s="3" t="s">
        <v>20</v>
      </c>
      <c r="B3" s="8">
        <v>1.0</v>
      </c>
      <c r="C3" s="1" t="s">
        <v>21</v>
      </c>
      <c r="D3" s="1"/>
      <c r="E3" s="2"/>
      <c r="F3" s="2"/>
      <c r="G3" s="2"/>
      <c r="H3" s="2"/>
      <c r="I3" s="2"/>
      <c r="J3" s="2"/>
      <c r="K3" s="2"/>
      <c r="L3" s="2"/>
      <c r="M3" s="2"/>
      <c r="N3" s="2"/>
      <c r="O3" s="2"/>
      <c r="P3" s="2"/>
      <c r="Q3" s="2"/>
      <c r="R3" s="2"/>
      <c r="S3" s="2"/>
      <c r="T3" s="2"/>
      <c r="U3" s="2"/>
      <c r="V3" s="2"/>
      <c r="W3" s="2"/>
      <c r="X3" s="2"/>
      <c r="Y3" s="2"/>
      <c r="Z3" s="2"/>
    </row>
    <row r="4" ht="15.75" customHeight="1">
      <c r="A4" s="3" t="s">
        <v>20</v>
      </c>
      <c r="B4" s="8">
        <v>2.0</v>
      </c>
      <c r="C4" s="1" t="s">
        <v>22</v>
      </c>
      <c r="D4" s="2"/>
      <c r="E4" s="2"/>
      <c r="F4" s="2"/>
      <c r="G4" s="9" t="s">
        <v>23</v>
      </c>
      <c r="H4" s="10" t="s">
        <v>24</v>
      </c>
      <c r="I4" s="2"/>
      <c r="J4" s="2"/>
      <c r="K4" s="2"/>
      <c r="L4" s="2"/>
      <c r="M4" s="2"/>
      <c r="N4" s="2"/>
      <c r="O4" s="2"/>
      <c r="P4" s="2"/>
      <c r="Q4" s="2"/>
      <c r="R4" s="2"/>
      <c r="S4" s="2"/>
      <c r="T4" s="2"/>
      <c r="U4" s="2"/>
      <c r="V4" s="2"/>
      <c r="W4" s="2"/>
      <c r="X4" s="2"/>
      <c r="Y4" s="2"/>
      <c r="Z4" s="2"/>
    </row>
    <row r="5" ht="15.75" customHeight="1">
      <c r="A5" s="3" t="s">
        <v>20</v>
      </c>
      <c r="B5" s="8">
        <v>3.0</v>
      </c>
      <c r="C5" s="3" t="s">
        <v>25</v>
      </c>
      <c r="D5" s="2"/>
      <c r="E5" s="2"/>
      <c r="F5" s="2"/>
      <c r="G5" s="2"/>
      <c r="H5" s="2"/>
      <c r="I5" s="2"/>
      <c r="J5" s="2"/>
      <c r="K5" s="2"/>
      <c r="L5" s="2"/>
      <c r="M5" s="2"/>
      <c r="N5" s="2"/>
      <c r="O5" s="2"/>
      <c r="P5" s="2"/>
      <c r="Q5" s="2"/>
      <c r="R5" s="2"/>
      <c r="S5" s="2"/>
      <c r="T5" s="2"/>
      <c r="U5" s="2"/>
      <c r="V5" s="2"/>
      <c r="W5" s="2"/>
      <c r="X5" s="2"/>
      <c r="Y5" s="2"/>
      <c r="Z5" s="2"/>
    </row>
    <row r="6" ht="15.75" customHeight="1">
      <c r="A6" s="3" t="s">
        <v>20</v>
      </c>
      <c r="B6" s="8">
        <v>4.0</v>
      </c>
      <c r="C6" s="3" t="s">
        <v>26</v>
      </c>
      <c r="D6" s="2"/>
      <c r="E6" s="2"/>
      <c r="F6" s="2"/>
      <c r="G6" s="2"/>
      <c r="H6" s="2"/>
      <c r="I6" s="2"/>
      <c r="J6" s="2"/>
      <c r="K6" s="2"/>
      <c r="L6" s="2"/>
      <c r="M6" s="2"/>
      <c r="N6" s="2"/>
      <c r="O6" s="2"/>
      <c r="P6" s="2"/>
      <c r="Q6" s="2"/>
      <c r="R6" s="2"/>
      <c r="S6" s="2"/>
      <c r="T6" s="2"/>
      <c r="U6" s="2"/>
      <c r="V6" s="2"/>
      <c r="W6" s="2"/>
      <c r="X6" s="2"/>
      <c r="Y6" s="2"/>
      <c r="Z6" s="2"/>
    </row>
    <row r="7" ht="15.75" customHeight="1">
      <c r="A7" s="3" t="s">
        <v>20</v>
      </c>
      <c r="B7" s="8">
        <v>5.0</v>
      </c>
      <c r="C7" s="3" t="s">
        <v>27</v>
      </c>
      <c r="D7" s="2"/>
      <c r="E7" s="2"/>
      <c r="F7" s="2"/>
      <c r="G7" s="2"/>
      <c r="H7" s="2"/>
      <c r="I7" s="2"/>
      <c r="J7" s="2"/>
      <c r="K7" s="2"/>
      <c r="L7" s="2"/>
      <c r="M7" s="2"/>
      <c r="N7" s="2"/>
      <c r="O7" s="2"/>
      <c r="P7" s="2"/>
      <c r="Q7" s="2"/>
      <c r="R7" s="2"/>
      <c r="S7" s="2"/>
      <c r="T7" s="2"/>
      <c r="U7" s="2"/>
      <c r="V7" s="2"/>
      <c r="W7" s="2"/>
      <c r="X7" s="2"/>
      <c r="Y7" s="2"/>
      <c r="Z7" s="2"/>
    </row>
    <row r="8" ht="15.75" customHeight="1">
      <c r="A8" s="3" t="s">
        <v>20</v>
      </c>
      <c r="B8" s="8">
        <v>6.0</v>
      </c>
      <c r="C8" s="1" t="s">
        <v>28</v>
      </c>
      <c r="D8" s="2"/>
      <c r="E8" s="2"/>
      <c r="F8" s="2"/>
      <c r="G8" s="2"/>
      <c r="H8" s="2"/>
      <c r="I8" s="2"/>
      <c r="J8" s="11" t="s">
        <v>29</v>
      </c>
      <c r="K8" s="2"/>
      <c r="L8" s="2"/>
      <c r="M8" s="2"/>
      <c r="N8" s="2"/>
      <c r="O8" s="2"/>
      <c r="P8" s="2"/>
      <c r="Q8" s="2"/>
      <c r="R8" s="2"/>
      <c r="S8" s="2"/>
      <c r="T8" s="2"/>
      <c r="U8" s="2"/>
      <c r="V8" s="2"/>
      <c r="W8" s="2"/>
      <c r="X8" s="2"/>
      <c r="Y8" s="2"/>
      <c r="Z8" s="2"/>
    </row>
    <row r="9" ht="15.75" customHeight="1">
      <c r="A9" s="3" t="s">
        <v>20</v>
      </c>
      <c r="B9" s="8">
        <v>7.0</v>
      </c>
      <c r="C9" s="3" t="s">
        <v>30</v>
      </c>
      <c r="D9" s="2"/>
      <c r="E9" s="2"/>
      <c r="F9" s="2"/>
      <c r="G9" s="2"/>
      <c r="H9" s="2"/>
      <c r="I9" s="2"/>
      <c r="J9" s="11" t="s">
        <v>31</v>
      </c>
      <c r="K9" s="2"/>
      <c r="L9" s="2"/>
      <c r="M9" s="2"/>
      <c r="N9" s="2"/>
      <c r="O9" s="2"/>
      <c r="P9" s="2"/>
      <c r="Q9" s="2"/>
      <c r="R9" s="2"/>
      <c r="S9" s="2"/>
      <c r="T9" s="2"/>
      <c r="U9" s="2"/>
      <c r="V9" s="2"/>
      <c r="W9" s="2"/>
      <c r="X9" s="2"/>
      <c r="Y9" s="2"/>
      <c r="Z9" s="2"/>
    </row>
    <row r="10" ht="15.75" customHeight="1">
      <c r="A10" s="3" t="s">
        <v>20</v>
      </c>
      <c r="B10" s="8">
        <v>8.0</v>
      </c>
      <c r="C10" s="3" t="s">
        <v>32</v>
      </c>
      <c r="D10" s="2"/>
      <c r="E10" s="2"/>
      <c r="F10" s="12" t="s">
        <v>33</v>
      </c>
      <c r="G10" s="2"/>
      <c r="H10" s="2"/>
      <c r="I10" s="2"/>
      <c r="J10" s="2"/>
      <c r="K10" s="2"/>
      <c r="L10" s="2"/>
      <c r="M10" s="2"/>
      <c r="N10" s="2"/>
      <c r="O10" s="2"/>
      <c r="P10" s="2"/>
      <c r="Q10" s="2"/>
      <c r="R10" s="2"/>
      <c r="S10" s="2"/>
      <c r="T10" s="2"/>
      <c r="U10" s="2"/>
      <c r="V10" s="2"/>
      <c r="W10" s="2"/>
      <c r="X10" s="2"/>
      <c r="Y10" s="2"/>
      <c r="Z10" s="2"/>
    </row>
    <row r="11" ht="15.75" customHeight="1">
      <c r="A11" s="3" t="s">
        <v>20</v>
      </c>
      <c r="B11" s="8">
        <v>9.0</v>
      </c>
      <c r="C11" s="1" t="s">
        <v>34</v>
      </c>
      <c r="D11" s="2"/>
      <c r="E11" s="2"/>
      <c r="F11" s="2"/>
      <c r="G11" s="2"/>
      <c r="H11" s="2"/>
      <c r="I11" s="2"/>
      <c r="J11" s="2"/>
      <c r="K11" s="2"/>
      <c r="L11" s="2"/>
      <c r="M11" s="2"/>
      <c r="N11" s="2"/>
      <c r="O11" s="2"/>
      <c r="P11" s="2"/>
      <c r="Q11" s="2"/>
      <c r="R11" s="2"/>
      <c r="S11" s="2"/>
      <c r="T11" s="2"/>
      <c r="U11" s="2"/>
      <c r="V11" s="2"/>
      <c r="W11" s="2"/>
      <c r="X11" s="2"/>
      <c r="Y11" s="2"/>
      <c r="Z11" s="2"/>
    </row>
    <row r="12" ht="15.75" customHeight="1">
      <c r="A12" s="3" t="s">
        <v>20</v>
      </c>
      <c r="B12" s="8">
        <v>10.0</v>
      </c>
      <c r="C12" s="13" t="s">
        <v>35</v>
      </c>
      <c r="D12" s="2"/>
      <c r="E12" s="2"/>
      <c r="F12" s="2"/>
      <c r="G12" s="2"/>
      <c r="H12" s="2"/>
      <c r="I12" s="2"/>
      <c r="J12" s="2"/>
      <c r="K12" s="2"/>
      <c r="L12" s="2"/>
      <c r="M12" s="2"/>
      <c r="N12" s="2"/>
      <c r="O12" s="2"/>
      <c r="P12" s="2"/>
      <c r="Q12" s="2"/>
      <c r="R12" s="2"/>
      <c r="S12" s="2"/>
      <c r="T12" s="2"/>
      <c r="U12" s="2"/>
      <c r="V12" s="2"/>
      <c r="W12" s="2"/>
      <c r="X12" s="2"/>
      <c r="Y12" s="2"/>
      <c r="Z12" s="2"/>
    </row>
    <row r="13" ht="15.75" customHeight="1">
      <c r="A13" s="3" t="s">
        <v>20</v>
      </c>
      <c r="B13" s="8">
        <v>11.0</v>
      </c>
      <c r="C13" s="3" t="s">
        <v>36</v>
      </c>
      <c r="D13" s="2"/>
      <c r="E13" s="2"/>
      <c r="F13" s="2"/>
      <c r="G13" s="2"/>
      <c r="H13" s="2"/>
      <c r="I13" s="2"/>
      <c r="J13" s="2"/>
      <c r="K13" s="2"/>
      <c r="L13" s="2"/>
      <c r="M13" s="2"/>
      <c r="N13" s="2"/>
      <c r="O13" s="2"/>
      <c r="P13" s="2"/>
      <c r="Q13" s="2"/>
      <c r="R13" s="2"/>
      <c r="S13" s="2"/>
      <c r="T13" s="2"/>
      <c r="U13" s="2"/>
      <c r="V13" s="2"/>
      <c r="W13" s="2"/>
      <c r="X13" s="2"/>
      <c r="Y13" s="2"/>
      <c r="Z13" s="2"/>
    </row>
    <row r="14" ht="15.75" customHeight="1">
      <c r="A14" s="3" t="s">
        <v>20</v>
      </c>
      <c r="B14" s="8">
        <v>12.0</v>
      </c>
      <c r="C14" s="3" t="s">
        <v>37</v>
      </c>
      <c r="D14" s="2"/>
      <c r="E14" s="2"/>
      <c r="F14" s="2"/>
      <c r="G14" s="14"/>
      <c r="H14" s="2"/>
      <c r="I14" s="2"/>
      <c r="J14" s="2"/>
      <c r="K14" s="2"/>
      <c r="L14" s="2"/>
      <c r="M14" s="2"/>
      <c r="N14" s="2"/>
      <c r="O14" s="2"/>
      <c r="P14" s="2"/>
      <c r="Q14" s="2"/>
      <c r="R14" s="2"/>
      <c r="S14" s="2"/>
      <c r="T14" s="2"/>
      <c r="U14" s="2"/>
      <c r="V14" s="2"/>
      <c r="W14" s="2"/>
      <c r="X14" s="2"/>
      <c r="Y14" s="2"/>
      <c r="Z14" s="2"/>
    </row>
    <row r="15" ht="15.75" customHeight="1">
      <c r="A15" s="3" t="s">
        <v>20</v>
      </c>
      <c r="B15" s="8">
        <v>13.0</v>
      </c>
      <c r="C15" s="3" t="s">
        <v>38</v>
      </c>
      <c r="D15" s="2"/>
      <c r="E15" s="2"/>
      <c r="F15" s="2"/>
      <c r="G15" s="2"/>
      <c r="H15" s="2"/>
      <c r="I15" s="2"/>
      <c r="J15" s="2"/>
      <c r="K15" s="2"/>
      <c r="L15" s="2"/>
      <c r="M15" s="2"/>
      <c r="N15" s="2"/>
      <c r="O15" s="2"/>
      <c r="P15" s="2"/>
      <c r="Q15" s="2"/>
      <c r="R15" s="2"/>
      <c r="S15" s="2"/>
      <c r="T15" s="2"/>
      <c r="U15" s="2"/>
      <c r="V15" s="2"/>
      <c r="W15" s="2"/>
      <c r="X15" s="2"/>
      <c r="Y15" s="2"/>
      <c r="Z15" s="2"/>
    </row>
    <row r="16" ht="15.75" customHeight="1">
      <c r="A16" s="3" t="s">
        <v>20</v>
      </c>
      <c r="B16" s="8">
        <v>14.0</v>
      </c>
      <c r="C16" s="1" t="s">
        <v>39</v>
      </c>
      <c r="D16" s="2"/>
      <c r="E16" s="2"/>
      <c r="F16" s="2"/>
      <c r="G16" s="2"/>
      <c r="H16" s="2"/>
      <c r="I16" s="2"/>
      <c r="J16" s="2"/>
      <c r="K16" s="2"/>
      <c r="L16" s="2"/>
      <c r="M16" s="2"/>
      <c r="N16" s="2"/>
      <c r="O16" s="2"/>
      <c r="P16" s="2"/>
      <c r="Q16" s="2"/>
      <c r="R16" s="2"/>
      <c r="S16" s="2"/>
      <c r="T16" s="2"/>
      <c r="U16" s="2"/>
      <c r="V16" s="2"/>
      <c r="W16" s="2"/>
      <c r="X16" s="2"/>
      <c r="Y16" s="2"/>
      <c r="Z16" s="2"/>
    </row>
    <row r="17" ht="15.75" customHeight="1">
      <c r="A17" s="3" t="s">
        <v>20</v>
      </c>
      <c r="B17" s="8">
        <v>15.0</v>
      </c>
      <c r="C17" s="3" t="s">
        <v>40</v>
      </c>
      <c r="D17" s="2"/>
      <c r="E17" s="2"/>
      <c r="F17" s="2"/>
      <c r="G17" s="2"/>
      <c r="H17" s="2"/>
      <c r="I17" s="2"/>
      <c r="J17" s="2"/>
      <c r="K17" s="2"/>
      <c r="L17" s="2"/>
      <c r="M17" s="2"/>
      <c r="N17" s="2"/>
      <c r="O17" s="2"/>
      <c r="P17" s="2"/>
      <c r="Q17" s="2"/>
      <c r="R17" s="2"/>
      <c r="S17" s="2"/>
      <c r="T17" s="2"/>
      <c r="U17" s="2"/>
      <c r="V17" s="2"/>
      <c r="W17" s="2"/>
      <c r="X17" s="2"/>
      <c r="Y17" s="2"/>
      <c r="Z17" s="2"/>
    </row>
    <row r="18" ht="15.75" customHeight="1">
      <c r="A18" s="3" t="s">
        <v>20</v>
      </c>
      <c r="B18" s="8">
        <v>16.0</v>
      </c>
      <c r="C18" s="12" t="s">
        <v>41</v>
      </c>
      <c r="D18" s="2"/>
      <c r="E18" s="2"/>
      <c r="F18" s="12"/>
      <c r="G18" s="2"/>
      <c r="H18" s="2"/>
      <c r="I18" s="2"/>
      <c r="J18" s="2"/>
      <c r="K18" s="2"/>
      <c r="L18" s="2"/>
      <c r="M18" s="2"/>
      <c r="N18" s="2"/>
      <c r="O18" s="2"/>
      <c r="P18" s="2"/>
      <c r="Q18" s="2"/>
      <c r="R18" s="2"/>
      <c r="S18" s="2"/>
      <c r="T18" s="2"/>
      <c r="U18" s="2"/>
      <c r="V18" s="2"/>
      <c r="W18" s="2"/>
      <c r="X18" s="2"/>
      <c r="Y18" s="2"/>
      <c r="Z18" s="2"/>
    </row>
    <row r="19" ht="15.75" customHeight="1">
      <c r="A19" s="3" t="s">
        <v>20</v>
      </c>
      <c r="B19" s="8">
        <v>17.0</v>
      </c>
      <c r="C19" s="15" t="s">
        <v>38</v>
      </c>
      <c r="D19" s="2"/>
      <c r="E19" s="2"/>
      <c r="F19" s="2"/>
      <c r="G19" s="2"/>
      <c r="H19" s="2"/>
      <c r="I19" s="2"/>
      <c r="J19" s="2"/>
      <c r="K19" s="2"/>
      <c r="L19" s="2"/>
      <c r="M19" s="2"/>
      <c r="N19" s="2"/>
      <c r="O19" s="2"/>
      <c r="P19" s="2"/>
      <c r="Q19" s="2"/>
      <c r="R19" s="2"/>
      <c r="S19" s="2"/>
      <c r="T19" s="2"/>
      <c r="U19" s="2"/>
      <c r="V19" s="2"/>
      <c r="W19" s="2"/>
      <c r="X19" s="2"/>
      <c r="Y19" s="2"/>
      <c r="Z19" s="2"/>
    </row>
    <row r="20" ht="15.75" customHeight="1">
      <c r="A20" s="3" t="s">
        <v>20</v>
      </c>
      <c r="B20" s="8">
        <v>18.0</v>
      </c>
      <c r="C20" s="15" t="s">
        <v>42</v>
      </c>
      <c r="D20" s="2"/>
      <c r="E20" s="2"/>
      <c r="F20" s="2"/>
      <c r="G20" s="2"/>
      <c r="H20" s="2"/>
      <c r="I20" s="2"/>
      <c r="J20" s="2"/>
      <c r="K20" s="2"/>
      <c r="L20" s="2"/>
      <c r="M20" s="2"/>
      <c r="N20" s="2"/>
      <c r="O20" s="2"/>
      <c r="P20" s="2"/>
      <c r="Q20" s="2"/>
      <c r="R20" s="2"/>
      <c r="S20" s="2"/>
      <c r="T20" s="2"/>
      <c r="U20" s="2"/>
      <c r="V20" s="2"/>
      <c r="W20" s="2"/>
      <c r="X20" s="2"/>
      <c r="Y20" s="2"/>
      <c r="Z20" s="2"/>
    </row>
    <row r="21" ht="15.75" customHeight="1">
      <c r="A21" s="3" t="s">
        <v>20</v>
      </c>
      <c r="B21" s="8">
        <v>19.0</v>
      </c>
      <c r="C21" s="15" t="s">
        <v>43</v>
      </c>
      <c r="D21" s="2"/>
      <c r="E21" s="2"/>
      <c r="F21" s="2"/>
      <c r="G21" s="2"/>
      <c r="H21" s="2"/>
      <c r="I21" s="2"/>
      <c r="J21" s="2"/>
      <c r="K21" s="2"/>
      <c r="L21" s="2"/>
      <c r="M21" s="2"/>
      <c r="N21" s="2"/>
      <c r="O21" s="2"/>
      <c r="P21" s="2"/>
      <c r="Q21" s="2"/>
      <c r="R21" s="2"/>
      <c r="S21" s="2"/>
      <c r="T21" s="2"/>
      <c r="U21" s="2"/>
      <c r="V21" s="2"/>
      <c r="W21" s="2"/>
      <c r="X21" s="2"/>
      <c r="Y21" s="2"/>
      <c r="Z21" s="2"/>
    </row>
    <row r="22" ht="15.75" customHeight="1">
      <c r="A22" s="3" t="s">
        <v>20</v>
      </c>
      <c r="B22" s="8">
        <v>20.0</v>
      </c>
      <c r="C22" s="15" t="s">
        <v>44</v>
      </c>
      <c r="D22" s="2"/>
      <c r="E22" s="2"/>
      <c r="F22" s="2"/>
      <c r="G22" s="2"/>
      <c r="H22" s="2"/>
      <c r="I22" s="2"/>
      <c r="J22" s="2"/>
      <c r="K22" s="2"/>
      <c r="L22" s="2"/>
      <c r="M22" s="2"/>
      <c r="N22" s="2"/>
      <c r="O22" s="2"/>
      <c r="P22" s="2"/>
      <c r="Q22" s="2"/>
      <c r="R22" s="2"/>
      <c r="S22" s="2"/>
      <c r="T22" s="2"/>
      <c r="U22" s="2"/>
      <c r="V22" s="2"/>
      <c r="W22" s="2"/>
      <c r="X22" s="2"/>
      <c r="Y22" s="2"/>
      <c r="Z22" s="2"/>
    </row>
    <row r="23" ht="15.75" customHeight="1">
      <c r="A23" s="3" t="s">
        <v>20</v>
      </c>
      <c r="B23" s="8">
        <v>21.0</v>
      </c>
      <c r="C23" s="15" t="s">
        <v>45</v>
      </c>
      <c r="D23" s="2"/>
      <c r="E23" s="2"/>
      <c r="F23" s="2"/>
      <c r="G23" s="2"/>
      <c r="H23" s="2"/>
      <c r="I23" s="2"/>
      <c r="J23" s="2"/>
      <c r="K23" s="2"/>
      <c r="L23" s="2"/>
      <c r="M23" s="2"/>
      <c r="N23" s="2"/>
      <c r="O23" s="2"/>
      <c r="P23" s="2"/>
      <c r="Q23" s="2"/>
      <c r="R23" s="2"/>
      <c r="S23" s="2"/>
      <c r="T23" s="2"/>
      <c r="U23" s="2"/>
      <c r="V23" s="2"/>
      <c r="W23" s="2"/>
      <c r="X23" s="2"/>
      <c r="Y23" s="2"/>
      <c r="Z23" s="2"/>
    </row>
    <row r="24" ht="15.75" customHeight="1">
      <c r="A24" s="3" t="s">
        <v>20</v>
      </c>
      <c r="B24" s="8">
        <v>22.0</v>
      </c>
      <c r="C24" s="15" t="s">
        <v>46</v>
      </c>
      <c r="D24" s="2"/>
      <c r="E24" s="2"/>
      <c r="F24" s="2"/>
      <c r="G24" s="2"/>
      <c r="H24" s="2"/>
      <c r="I24" s="2"/>
      <c r="J24" s="2"/>
      <c r="K24" s="2"/>
      <c r="L24" s="2"/>
      <c r="M24" s="2"/>
      <c r="N24" s="2"/>
      <c r="O24" s="2"/>
      <c r="P24" s="2"/>
      <c r="Q24" s="2"/>
      <c r="R24" s="2"/>
      <c r="S24" s="2"/>
      <c r="T24" s="2"/>
      <c r="U24" s="2"/>
      <c r="V24" s="2"/>
      <c r="W24" s="2"/>
      <c r="X24" s="2"/>
      <c r="Y24" s="2"/>
      <c r="Z24" s="2"/>
    </row>
    <row r="25" ht="15.75" customHeight="1">
      <c r="A25" s="3" t="s">
        <v>20</v>
      </c>
      <c r="B25" s="8">
        <v>23.0</v>
      </c>
      <c r="C25" s="15" t="s">
        <v>47</v>
      </c>
      <c r="D25" s="2"/>
      <c r="E25" s="2"/>
      <c r="F25" s="2"/>
      <c r="G25" s="2"/>
      <c r="H25" s="2"/>
      <c r="I25" s="2"/>
      <c r="J25" s="2"/>
      <c r="K25" s="2"/>
      <c r="L25" s="2"/>
      <c r="M25" s="2"/>
      <c r="N25" s="2"/>
      <c r="O25" s="2"/>
      <c r="P25" s="2"/>
      <c r="Q25" s="2"/>
      <c r="R25" s="2"/>
      <c r="S25" s="2"/>
      <c r="T25" s="2"/>
      <c r="U25" s="2"/>
      <c r="V25" s="2"/>
      <c r="W25" s="2"/>
      <c r="X25" s="2"/>
      <c r="Y25" s="2"/>
      <c r="Z25" s="2"/>
    </row>
    <row r="26" ht="15.75" customHeight="1">
      <c r="A26" s="3" t="b">
        <v>1</v>
      </c>
      <c r="B26" s="8">
        <v>24.0</v>
      </c>
      <c r="C26" s="1" t="s">
        <v>48</v>
      </c>
      <c r="D26" s="2"/>
      <c r="E26" s="2"/>
      <c r="F26" s="4" t="s">
        <v>49</v>
      </c>
      <c r="G26" s="2"/>
      <c r="H26" s="2"/>
      <c r="I26" s="2"/>
      <c r="J26" s="3" t="s">
        <v>50</v>
      </c>
      <c r="K26" s="2"/>
      <c r="L26" s="2"/>
      <c r="M26" s="2"/>
      <c r="N26" s="2"/>
      <c r="O26" s="2"/>
      <c r="P26" s="2"/>
      <c r="Q26" s="2"/>
      <c r="R26" s="2"/>
      <c r="S26" s="2"/>
      <c r="T26" s="2"/>
      <c r="U26" s="2"/>
      <c r="V26" s="2"/>
      <c r="W26" s="2"/>
      <c r="X26" s="2"/>
      <c r="Y26" s="2"/>
      <c r="Z26" s="2"/>
    </row>
    <row r="27" ht="15.75" customHeight="1">
      <c r="A27" s="3" t="b">
        <v>1</v>
      </c>
      <c r="B27" s="8">
        <v>25.0</v>
      </c>
      <c r="C27" s="1" t="s">
        <v>51</v>
      </c>
      <c r="D27" s="2"/>
      <c r="E27" s="2"/>
      <c r="F27" s="2"/>
      <c r="G27" s="2"/>
      <c r="H27" s="2"/>
      <c r="I27" s="2"/>
      <c r="J27" s="3" t="s">
        <v>52</v>
      </c>
      <c r="K27" s="2"/>
      <c r="L27" s="2"/>
      <c r="M27" s="2"/>
      <c r="N27" s="2"/>
      <c r="O27" s="2"/>
      <c r="P27" s="2"/>
      <c r="Q27" s="2"/>
      <c r="R27" s="2"/>
      <c r="S27" s="2"/>
      <c r="T27" s="2"/>
      <c r="U27" s="2"/>
      <c r="V27" s="2"/>
      <c r="W27" s="2"/>
      <c r="X27" s="2"/>
      <c r="Y27" s="2"/>
      <c r="Z27" s="2"/>
    </row>
    <row r="28" ht="15.75" customHeight="1">
      <c r="A28" s="3" t="s">
        <v>20</v>
      </c>
      <c r="B28" s="8">
        <v>26.0</v>
      </c>
      <c r="C28" s="1" t="s">
        <v>53</v>
      </c>
      <c r="D28" s="2"/>
      <c r="E28" s="2"/>
      <c r="F28" s="2"/>
      <c r="G28" s="2"/>
      <c r="H28" s="2"/>
      <c r="I28" s="2"/>
      <c r="J28" s="2"/>
      <c r="K28" s="2"/>
      <c r="L28" s="2"/>
      <c r="M28" s="2"/>
      <c r="N28" s="2"/>
      <c r="O28" s="2"/>
      <c r="P28" s="2"/>
      <c r="Q28" s="2"/>
      <c r="R28" s="2"/>
      <c r="S28" s="2"/>
      <c r="T28" s="2"/>
      <c r="U28" s="2"/>
      <c r="V28" s="2"/>
      <c r="W28" s="2"/>
      <c r="X28" s="2"/>
      <c r="Y28" s="2"/>
      <c r="Z28" s="2"/>
    </row>
    <row r="29" ht="15.75" customHeight="1">
      <c r="A29" s="3" t="s">
        <v>20</v>
      </c>
      <c r="B29" s="8">
        <v>27.0</v>
      </c>
      <c r="C29" s="3" t="s">
        <v>54</v>
      </c>
      <c r="D29" s="2"/>
      <c r="E29" s="2"/>
      <c r="F29" s="2"/>
      <c r="G29" s="2"/>
      <c r="H29" s="2"/>
      <c r="I29" s="2"/>
      <c r="J29" s="2"/>
      <c r="K29" s="2"/>
      <c r="L29" s="2"/>
      <c r="M29" s="2"/>
      <c r="N29" s="2"/>
      <c r="O29" s="2"/>
      <c r="P29" s="2"/>
      <c r="Q29" s="2"/>
      <c r="R29" s="2"/>
      <c r="S29" s="2"/>
      <c r="T29" s="2"/>
      <c r="U29" s="2"/>
      <c r="V29" s="2"/>
      <c r="W29" s="2"/>
      <c r="X29" s="2"/>
      <c r="Y29" s="2"/>
      <c r="Z29" s="2"/>
    </row>
    <row r="30" ht="15.75" customHeight="1">
      <c r="A30" s="3" t="s">
        <v>20</v>
      </c>
      <c r="B30" s="8">
        <v>28.0</v>
      </c>
      <c r="C30" s="3" t="s">
        <v>55</v>
      </c>
      <c r="D30" s="2"/>
      <c r="E30" s="2"/>
      <c r="F30" s="2"/>
      <c r="G30" s="2"/>
      <c r="H30" s="2"/>
      <c r="I30" s="2"/>
      <c r="J30" s="2"/>
      <c r="K30" s="2"/>
      <c r="L30" s="2"/>
      <c r="M30" s="2"/>
      <c r="N30" s="2"/>
      <c r="O30" s="2"/>
      <c r="P30" s="2"/>
      <c r="Q30" s="2"/>
      <c r="R30" s="2"/>
      <c r="S30" s="2"/>
      <c r="T30" s="2"/>
      <c r="U30" s="2"/>
      <c r="V30" s="2"/>
      <c r="W30" s="2"/>
      <c r="X30" s="2"/>
      <c r="Y30" s="2"/>
      <c r="Z30" s="2"/>
    </row>
    <row r="31" ht="16.5" customHeight="1">
      <c r="A31" s="3" t="s">
        <v>20</v>
      </c>
      <c r="B31" s="8">
        <v>29.0</v>
      </c>
      <c r="C31" s="3" t="s">
        <v>56</v>
      </c>
      <c r="D31" s="2"/>
      <c r="E31" s="2"/>
      <c r="F31" s="2"/>
      <c r="G31" s="2"/>
      <c r="H31" s="2"/>
      <c r="I31" s="2"/>
      <c r="J31" s="2"/>
      <c r="K31" s="2"/>
      <c r="L31" s="2"/>
      <c r="M31" s="2"/>
      <c r="N31" s="2"/>
      <c r="O31" s="2"/>
      <c r="P31" s="2"/>
      <c r="Q31" s="2"/>
      <c r="R31" s="2"/>
      <c r="S31" s="2"/>
      <c r="T31" s="2"/>
      <c r="U31" s="2"/>
      <c r="V31" s="2"/>
      <c r="W31" s="2"/>
      <c r="X31" s="2"/>
      <c r="Y31" s="2"/>
      <c r="Z31" s="2"/>
    </row>
    <row r="32" ht="15.75" hidden="1" customHeight="1">
      <c r="A32" s="3" t="b">
        <v>0</v>
      </c>
      <c r="B32" s="8">
        <v>30.0</v>
      </c>
      <c r="C32" s="1" t="s">
        <v>57</v>
      </c>
      <c r="D32" s="2"/>
      <c r="E32" s="2"/>
      <c r="F32" s="2"/>
      <c r="G32" s="2"/>
      <c r="H32" s="2"/>
      <c r="I32" s="2"/>
      <c r="J32" s="2"/>
      <c r="K32" s="2"/>
      <c r="L32" s="2"/>
      <c r="M32" s="2"/>
      <c r="N32" s="2"/>
      <c r="O32" s="2"/>
      <c r="P32" s="2"/>
      <c r="Q32" s="2"/>
      <c r="R32" s="2"/>
      <c r="S32" s="2"/>
      <c r="T32" s="2"/>
      <c r="U32" s="2"/>
      <c r="V32" s="2"/>
      <c r="W32" s="2"/>
      <c r="X32" s="2"/>
      <c r="Y32" s="2"/>
      <c r="Z32" s="2"/>
    </row>
    <row r="33" ht="15.75" customHeight="1">
      <c r="A33" s="3" t="b">
        <v>1</v>
      </c>
      <c r="B33" s="8">
        <v>31.0</v>
      </c>
      <c r="C33" s="16" t="s">
        <v>58</v>
      </c>
      <c r="D33" s="2"/>
      <c r="E33" s="2"/>
      <c r="F33" s="2"/>
      <c r="G33" s="2"/>
      <c r="H33" s="2"/>
      <c r="I33" s="2"/>
      <c r="J33" s="3" t="s">
        <v>50</v>
      </c>
      <c r="K33" s="2"/>
      <c r="L33" s="2"/>
      <c r="M33" s="2"/>
      <c r="N33" s="2"/>
      <c r="O33" s="2"/>
      <c r="P33" s="2"/>
      <c r="Q33" s="2"/>
      <c r="R33" s="2"/>
      <c r="S33" s="2"/>
      <c r="T33" s="2"/>
      <c r="U33" s="2"/>
      <c r="V33" s="2"/>
      <c r="W33" s="2"/>
      <c r="X33" s="2"/>
      <c r="Y33" s="2"/>
      <c r="Z33" s="2"/>
    </row>
    <row r="34" ht="15.75" customHeight="1">
      <c r="A34" s="3" t="s">
        <v>20</v>
      </c>
      <c r="B34" s="8">
        <v>32.0</v>
      </c>
      <c r="C34" s="1" t="s">
        <v>59</v>
      </c>
      <c r="D34" s="2"/>
      <c r="E34" s="2"/>
      <c r="F34" s="2"/>
      <c r="G34" s="2"/>
      <c r="H34" s="2"/>
      <c r="I34" s="2"/>
      <c r="J34" s="2"/>
      <c r="K34" s="2"/>
      <c r="L34" s="2"/>
      <c r="M34" s="2"/>
      <c r="N34" s="2"/>
      <c r="O34" s="2"/>
      <c r="P34" s="2"/>
      <c r="Q34" s="2"/>
      <c r="R34" s="2"/>
      <c r="S34" s="2"/>
      <c r="T34" s="2"/>
      <c r="U34" s="2"/>
      <c r="V34" s="2"/>
      <c r="W34" s="2"/>
      <c r="X34" s="2"/>
      <c r="Y34" s="2"/>
      <c r="Z34" s="2"/>
    </row>
    <row r="35" ht="15.75" customHeight="1">
      <c r="A35" s="3" t="s">
        <v>20</v>
      </c>
      <c r="B35" s="8">
        <v>33.0</v>
      </c>
      <c r="C35" s="1" t="s">
        <v>60</v>
      </c>
      <c r="D35" s="2"/>
      <c r="E35" s="2"/>
      <c r="F35" s="2"/>
      <c r="G35" s="2"/>
      <c r="H35" s="2"/>
      <c r="I35" s="2"/>
      <c r="J35" s="2"/>
      <c r="K35" s="2"/>
      <c r="L35" s="2"/>
      <c r="M35" s="2"/>
      <c r="N35" s="2"/>
      <c r="O35" s="2"/>
      <c r="P35" s="2"/>
      <c r="Q35" s="2"/>
      <c r="R35" s="2"/>
      <c r="S35" s="2"/>
      <c r="T35" s="2"/>
      <c r="U35" s="2"/>
      <c r="V35" s="2"/>
      <c r="W35" s="2"/>
      <c r="X35" s="2"/>
      <c r="Y35" s="2"/>
      <c r="Z35" s="2"/>
    </row>
    <row r="36" ht="15.75" customHeight="1">
      <c r="A36" s="3" t="s">
        <v>20</v>
      </c>
      <c r="B36" s="8">
        <v>34.0</v>
      </c>
      <c r="C36" s="3" t="s">
        <v>61</v>
      </c>
      <c r="D36" s="2"/>
      <c r="E36" s="2"/>
      <c r="F36" s="2"/>
      <c r="G36" s="2"/>
      <c r="H36" s="2"/>
      <c r="I36" s="2"/>
      <c r="J36" s="2"/>
      <c r="K36" s="2"/>
      <c r="L36" s="2"/>
      <c r="M36" s="2"/>
      <c r="N36" s="2"/>
      <c r="O36" s="2"/>
      <c r="P36" s="2"/>
      <c r="Q36" s="2"/>
      <c r="R36" s="2"/>
      <c r="S36" s="2"/>
      <c r="T36" s="2"/>
      <c r="U36" s="2"/>
      <c r="V36" s="2"/>
      <c r="W36" s="2"/>
      <c r="X36" s="2"/>
      <c r="Y36" s="2"/>
      <c r="Z36" s="2"/>
    </row>
    <row r="37" ht="15.75" customHeight="1">
      <c r="A37" s="3" t="s">
        <v>20</v>
      </c>
      <c r="B37" s="8">
        <v>35.0</v>
      </c>
      <c r="C37" s="3" t="s">
        <v>62</v>
      </c>
      <c r="D37" s="2"/>
      <c r="E37" s="2"/>
      <c r="F37" s="2"/>
      <c r="G37" s="2"/>
      <c r="H37" s="2"/>
      <c r="I37" s="2"/>
      <c r="J37" s="2"/>
      <c r="K37" s="2"/>
      <c r="L37" s="2"/>
      <c r="M37" s="2"/>
      <c r="N37" s="2"/>
      <c r="O37" s="2"/>
      <c r="P37" s="2"/>
      <c r="Q37" s="2"/>
      <c r="R37" s="2"/>
      <c r="S37" s="2"/>
      <c r="T37" s="2"/>
      <c r="U37" s="2"/>
      <c r="V37" s="2"/>
      <c r="W37" s="2"/>
      <c r="X37" s="2"/>
      <c r="Y37" s="2"/>
      <c r="Z37" s="2"/>
    </row>
    <row r="38" ht="15.75" customHeight="1">
      <c r="A38" s="3" t="s">
        <v>20</v>
      </c>
      <c r="B38" s="8">
        <v>36.0</v>
      </c>
      <c r="C38" s="3" t="s">
        <v>63</v>
      </c>
      <c r="D38" s="2"/>
      <c r="E38" s="2"/>
      <c r="F38" s="2"/>
      <c r="G38" s="2"/>
      <c r="H38" s="2"/>
      <c r="I38" s="2"/>
      <c r="J38" s="2"/>
      <c r="K38" s="2"/>
      <c r="L38" s="2"/>
      <c r="M38" s="2"/>
      <c r="N38" s="2"/>
      <c r="O38" s="2"/>
      <c r="P38" s="2"/>
      <c r="Q38" s="2"/>
      <c r="R38" s="2"/>
      <c r="S38" s="2"/>
      <c r="T38" s="2"/>
      <c r="U38" s="2"/>
      <c r="V38" s="2"/>
      <c r="W38" s="2"/>
      <c r="X38" s="2"/>
      <c r="Y38" s="2"/>
      <c r="Z38" s="2"/>
    </row>
    <row r="39" ht="15.75" customHeight="1">
      <c r="A39" s="3" t="s">
        <v>20</v>
      </c>
      <c r="B39" s="8">
        <v>37.0</v>
      </c>
      <c r="C39" s="3" t="s">
        <v>64</v>
      </c>
      <c r="D39" s="2"/>
      <c r="E39" s="2"/>
      <c r="F39" s="2"/>
      <c r="G39" s="2"/>
      <c r="H39" s="2"/>
      <c r="I39" s="2"/>
      <c r="J39" s="2"/>
      <c r="K39" s="2"/>
      <c r="L39" s="2"/>
      <c r="M39" s="2"/>
      <c r="N39" s="2"/>
      <c r="O39" s="2"/>
      <c r="P39" s="2"/>
      <c r="Q39" s="2"/>
      <c r="R39" s="2"/>
      <c r="S39" s="2"/>
      <c r="T39" s="2"/>
      <c r="U39" s="2"/>
      <c r="V39" s="2"/>
      <c r="W39" s="2"/>
      <c r="X39" s="2"/>
      <c r="Y39" s="2"/>
      <c r="Z39" s="2"/>
    </row>
    <row r="40" ht="15.75" customHeight="1">
      <c r="A40" s="3" t="s">
        <v>20</v>
      </c>
      <c r="B40" s="8">
        <v>38.0</v>
      </c>
      <c r="C40" s="3" t="s">
        <v>65</v>
      </c>
      <c r="D40" s="2"/>
      <c r="E40" s="2"/>
      <c r="F40" s="2"/>
      <c r="G40" s="2"/>
      <c r="H40" s="2"/>
      <c r="I40" s="2"/>
      <c r="J40" s="2"/>
      <c r="K40" s="2"/>
      <c r="L40" s="2"/>
      <c r="M40" s="2"/>
      <c r="N40" s="2"/>
      <c r="O40" s="2"/>
      <c r="P40" s="2"/>
      <c r="Q40" s="2"/>
      <c r="R40" s="2"/>
      <c r="S40" s="2"/>
      <c r="T40" s="2"/>
      <c r="U40" s="2"/>
      <c r="V40" s="2"/>
      <c r="W40" s="2"/>
      <c r="X40" s="2"/>
      <c r="Y40" s="2"/>
      <c r="Z40" s="2"/>
    </row>
    <row r="41" ht="15.75" customHeight="1">
      <c r="A41" s="3" t="s">
        <v>20</v>
      </c>
      <c r="B41" s="8">
        <v>39.0</v>
      </c>
      <c r="C41" s="3" t="s">
        <v>66</v>
      </c>
      <c r="D41" s="2"/>
      <c r="E41" s="2"/>
      <c r="F41" s="2"/>
      <c r="G41" s="2"/>
      <c r="H41" s="2"/>
      <c r="I41" s="2"/>
      <c r="J41" s="2"/>
      <c r="K41" s="2"/>
      <c r="L41" s="2"/>
      <c r="M41" s="2"/>
      <c r="N41" s="2"/>
      <c r="O41" s="2"/>
      <c r="P41" s="2"/>
      <c r="Q41" s="2"/>
      <c r="R41" s="2"/>
      <c r="S41" s="2"/>
      <c r="T41" s="2"/>
      <c r="U41" s="2"/>
      <c r="V41" s="2"/>
      <c r="W41" s="2"/>
      <c r="X41" s="2"/>
      <c r="Y41" s="2"/>
      <c r="Z41" s="2"/>
    </row>
    <row r="42" ht="15.75" customHeight="1">
      <c r="A42" s="3" t="s">
        <v>20</v>
      </c>
      <c r="B42" s="8">
        <v>40.0</v>
      </c>
      <c r="C42" s="3" t="s">
        <v>67</v>
      </c>
      <c r="D42" s="2"/>
      <c r="E42" s="2"/>
      <c r="F42" s="2"/>
      <c r="G42" s="2"/>
      <c r="H42" s="2"/>
      <c r="I42" s="2"/>
      <c r="J42" s="2"/>
      <c r="K42" s="2"/>
      <c r="L42" s="2"/>
      <c r="M42" s="2"/>
      <c r="N42" s="2"/>
      <c r="O42" s="2"/>
      <c r="P42" s="2"/>
      <c r="Q42" s="2"/>
      <c r="R42" s="2"/>
      <c r="S42" s="2"/>
      <c r="T42" s="2"/>
      <c r="U42" s="2"/>
      <c r="V42" s="2"/>
      <c r="W42" s="2"/>
      <c r="X42" s="2"/>
      <c r="Y42" s="2"/>
      <c r="Z42" s="2"/>
    </row>
    <row r="43" ht="15.75" customHeight="1">
      <c r="A43" s="3" t="s">
        <v>20</v>
      </c>
      <c r="B43" s="8">
        <v>41.0</v>
      </c>
      <c r="C43" s="3" t="s">
        <v>68</v>
      </c>
      <c r="D43" s="2"/>
      <c r="E43" s="2"/>
      <c r="F43" s="2"/>
      <c r="G43" s="2"/>
      <c r="H43" s="2"/>
      <c r="I43" s="2"/>
      <c r="J43" s="2"/>
      <c r="K43" s="2"/>
      <c r="L43" s="2"/>
      <c r="M43" s="2"/>
      <c r="N43" s="2"/>
      <c r="O43" s="2"/>
      <c r="P43" s="2"/>
      <c r="Q43" s="2"/>
      <c r="R43" s="2"/>
      <c r="S43" s="2"/>
      <c r="T43" s="2"/>
      <c r="U43" s="2"/>
      <c r="V43" s="2"/>
      <c r="W43" s="2"/>
      <c r="X43" s="2"/>
      <c r="Y43" s="2"/>
      <c r="Z43" s="2"/>
    </row>
    <row r="44" ht="15.75" customHeight="1">
      <c r="A44" s="3" t="s">
        <v>20</v>
      </c>
      <c r="B44" s="8">
        <v>42.0</v>
      </c>
      <c r="C44" s="3" t="s">
        <v>69</v>
      </c>
      <c r="D44" s="2"/>
      <c r="E44" s="2"/>
      <c r="F44" s="2"/>
      <c r="G44" s="2"/>
      <c r="H44" s="2"/>
      <c r="I44" s="2"/>
      <c r="J44" s="2"/>
      <c r="K44" s="2"/>
      <c r="L44" s="2"/>
      <c r="M44" s="2"/>
      <c r="N44" s="2"/>
      <c r="O44" s="2"/>
      <c r="P44" s="2"/>
      <c r="Q44" s="2"/>
      <c r="R44" s="2"/>
      <c r="S44" s="2"/>
      <c r="T44" s="2"/>
      <c r="U44" s="2"/>
      <c r="V44" s="2"/>
      <c r="W44" s="2"/>
      <c r="X44" s="2"/>
      <c r="Y44" s="2"/>
      <c r="Z44" s="2"/>
    </row>
    <row r="45" ht="15.75" customHeight="1">
      <c r="A45" s="3" t="s">
        <v>20</v>
      </c>
      <c r="B45" s="8">
        <v>43.0</v>
      </c>
      <c r="C45" s="3" t="s">
        <v>70</v>
      </c>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3" t="s">
        <v>71</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3" t="b">
        <v>0</v>
      </c>
      <c r="B48" s="17">
        <v>45.0</v>
      </c>
      <c r="C48" s="18" t="s">
        <v>72</v>
      </c>
      <c r="D48" s="18"/>
      <c r="E48" s="18"/>
      <c r="F48" s="18"/>
      <c r="G48" s="18"/>
      <c r="H48" s="2"/>
      <c r="I48" s="2"/>
      <c r="J48" s="3" t="s">
        <v>73</v>
      </c>
      <c r="K48" s="2"/>
      <c r="L48" s="2"/>
      <c r="M48" s="2"/>
      <c r="N48" s="2"/>
      <c r="O48" s="2"/>
      <c r="P48" s="2"/>
      <c r="Q48" s="2"/>
      <c r="R48" s="2"/>
      <c r="S48" s="2"/>
      <c r="T48" s="2"/>
      <c r="U48" s="2"/>
      <c r="V48" s="2"/>
      <c r="W48" s="2"/>
      <c r="X48" s="2"/>
      <c r="Y48" s="2"/>
      <c r="Z48" s="2"/>
    </row>
    <row r="49" ht="15.75" customHeight="1">
      <c r="A49" s="3" t="b">
        <v>0</v>
      </c>
      <c r="B49" s="17">
        <v>46.0</v>
      </c>
      <c r="C49" s="18" t="s">
        <v>74</v>
      </c>
      <c r="D49" s="18"/>
      <c r="E49" s="18"/>
      <c r="F49" s="18"/>
      <c r="G49" s="18"/>
      <c r="H49" s="2"/>
      <c r="I49" s="2"/>
      <c r="J49" s="2"/>
      <c r="K49" s="2"/>
      <c r="L49" s="2"/>
      <c r="M49" s="2"/>
      <c r="N49" s="2"/>
      <c r="O49" s="2"/>
      <c r="P49" s="2"/>
      <c r="Q49" s="2"/>
      <c r="R49" s="2"/>
      <c r="S49" s="2"/>
      <c r="T49" s="2"/>
      <c r="U49" s="2"/>
      <c r="V49" s="2"/>
      <c r="W49" s="2"/>
      <c r="X49" s="2"/>
      <c r="Y49" s="2"/>
      <c r="Z49" s="2"/>
    </row>
    <row r="50" ht="15.75" customHeight="1">
      <c r="A50" s="3" t="b">
        <v>0</v>
      </c>
      <c r="B50" s="17">
        <v>47.0</v>
      </c>
      <c r="C50" s="18" t="s">
        <v>75</v>
      </c>
      <c r="D50" s="18"/>
      <c r="E50" s="18"/>
      <c r="F50" s="18"/>
      <c r="G50" s="18"/>
      <c r="H50" s="2"/>
      <c r="I50" s="2"/>
      <c r="J50" s="2"/>
      <c r="K50" s="2"/>
      <c r="L50" s="2"/>
      <c r="M50" s="2"/>
      <c r="N50" s="2"/>
      <c r="O50" s="2"/>
      <c r="P50" s="2"/>
      <c r="Q50" s="2"/>
      <c r="R50" s="2"/>
      <c r="S50" s="2"/>
      <c r="T50" s="2"/>
      <c r="U50" s="2"/>
      <c r="V50" s="2"/>
      <c r="W50" s="2"/>
      <c r="X50" s="2"/>
      <c r="Y50" s="2"/>
      <c r="Z50" s="2"/>
    </row>
    <row r="51" ht="15.75" customHeight="1">
      <c r="A51" s="3" t="b">
        <v>0</v>
      </c>
      <c r="B51" s="17">
        <v>48.0</v>
      </c>
      <c r="C51" s="18" t="s">
        <v>76</v>
      </c>
      <c r="D51" s="18"/>
      <c r="E51" s="18"/>
      <c r="F51" s="18"/>
      <c r="G51" s="18"/>
      <c r="H51" s="2"/>
      <c r="I51" s="2"/>
      <c r="J51" s="2"/>
      <c r="K51" s="2"/>
      <c r="L51" s="2"/>
      <c r="M51" s="2"/>
      <c r="N51" s="2"/>
      <c r="O51" s="2"/>
      <c r="P51" s="2"/>
      <c r="Q51" s="2"/>
      <c r="R51" s="2"/>
      <c r="S51" s="2"/>
      <c r="T51" s="2"/>
      <c r="U51" s="2"/>
      <c r="V51" s="2"/>
      <c r="W51" s="2"/>
      <c r="X51" s="2"/>
      <c r="Y51" s="2"/>
      <c r="Z51" s="2"/>
    </row>
    <row r="52" ht="15.75" customHeight="1">
      <c r="A52" s="3" t="b">
        <v>0</v>
      </c>
      <c r="B52" s="17">
        <v>49.0</v>
      </c>
      <c r="C52" s="18" t="s">
        <v>77</v>
      </c>
      <c r="D52" s="18"/>
      <c r="E52" s="18"/>
      <c r="F52" s="18"/>
      <c r="G52" s="18"/>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id="rId1" location="gid=1947740437" ref="F26"/>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0"/>
  <cols>
    <col customWidth="1" min="1" max="1" width="20.5"/>
    <col customWidth="1" min="2" max="2" width="20.63"/>
    <col customWidth="1" min="3" max="3" width="12.25"/>
    <col customWidth="1" min="4" max="7" width="12.63"/>
    <col customWidth="1" min="11" max="11" width="12.75"/>
    <col customWidth="1" min="12" max="12" width="13.75"/>
    <col customWidth="1" min="13" max="14" width="12.75"/>
    <col customWidth="1" min="15" max="15" width="18.0"/>
    <col customWidth="1" min="16" max="16" width="19.63"/>
    <col customWidth="1" min="17" max="21" width="12.75"/>
    <col customWidth="1" min="22" max="22" width="13.38"/>
    <col customWidth="1" min="23" max="23" width="16.75"/>
    <col customWidth="1" min="24" max="25" width="15.0"/>
    <col customWidth="1" min="26" max="26" width="16.75"/>
    <col customWidth="1" min="27" max="28" width="12.75"/>
    <col customWidth="1" min="29" max="29" width="17.38"/>
    <col customWidth="1" min="30" max="30" width="15.75"/>
    <col customWidth="1" min="31" max="31" width="17.25"/>
    <col customWidth="1" min="32" max="32" width="19.25"/>
    <col customWidth="1" min="33" max="33" width="22.63"/>
    <col customWidth="1" min="34" max="36" width="12.75"/>
  </cols>
  <sheetData>
    <row r="1" ht="15.75" customHeight="1">
      <c r="A1" s="19" t="s">
        <v>78</v>
      </c>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row>
    <row r="2" ht="15.75" customHeight="1">
      <c r="A2" s="21" t="s">
        <v>79</v>
      </c>
      <c r="B2" s="22" t="s">
        <v>80</v>
      </c>
      <c r="C2" s="23" t="s">
        <v>81</v>
      </c>
      <c r="D2" s="24" t="s">
        <v>82</v>
      </c>
      <c r="E2" s="24" t="s">
        <v>83</v>
      </c>
      <c r="F2" s="24" t="s">
        <v>84</v>
      </c>
      <c r="G2" s="24" t="s">
        <v>85</v>
      </c>
      <c r="H2" s="23" t="s">
        <v>86</v>
      </c>
      <c r="I2" s="24" t="s">
        <v>87</v>
      </c>
      <c r="J2" s="24" t="s">
        <v>88</v>
      </c>
      <c r="K2" s="24" t="s">
        <v>89</v>
      </c>
      <c r="L2" s="22" t="s">
        <v>90</v>
      </c>
      <c r="M2" s="24" t="s">
        <v>91</v>
      </c>
      <c r="N2" s="24" t="s">
        <v>92</v>
      </c>
      <c r="O2" s="24" t="s">
        <v>93</v>
      </c>
      <c r="P2" s="25" t="s">
        <v>94</v>
      </c>
      <c r="Q2" s="24" t="s">
        <v>95</v>
      </c>
      <c r="R2" s="24" t="s">
        <v>96</v>
      </c>
      <c r="S2" s="24" t="s">
        <v>97</v>
      </c>
      <c r="T2" s="24" t="s">
        <v>98</v>
      </c>
      <c r="U2" s="24" t="s">
        <v>99</v>
      </c>
      <c r="V2" s="24" t="s">
        <v>100</v>
      </c>
      <c r="W2" s="24" t="s">
        <v>101</v>
      </c>
      <c r="X2" s="24" t="s">
        <v>102</v>
      </c>
      <c r="Y2" s="24" t="s">
        <v>103</v>
      </c>
      <c r="Z2" s="24" t="s">
        <v>104</v>
      </c>
      <c r="AA2" s="24" t="s">
        <v>105</v>
      </c>
      <c r="AB2" s="24" t="s">
        <v>106</v>
      </c>
      <c r="AC2" s="24" t="s">
        <v>107</v>
      </c>
      <c r="AD2" s="24" t="s">
        <v>108</v>
      </c>
      <c r="AE2" s="24" t="s">
        <v>109</v>
      </c>
      <c r="AF2" s="24" t="s">
        <v>110</v>
      </c>
      <c r="AG2" s="24" t="s">
        <v>111</v>
      </c>
      <c r="AH2" s="23" t="s">
        <v>112</v>
      </c>
      <c r="AI2" s="23" t="s">
        <v>113</v>
      </c>
      <c r="AJ2" s="23" t="s">
        <v>114</v>
      </c>
    </row>
    <row r="3" ht="15.75" customHeight="1">
      <c r="A3" s="26" t="s">
        <v>115</v>
      </c>
      <c r="B3" s="26" t="s">
        <v>116</v>
      </c>
      <c r="C3" s="26" t="s">
        <v>117</v>
      </c>
      <c r="D3" s="27" t="s">
        <v>118</v>
      </c>
      <c r="E3" s="27" t="s">
        <v>119</v>
      </c>
      <c r="F3" s="27" t="s">
        <v>119</v>
      </c>
      <c r="G3" s="27" t="s">
        <v>118</v>
      </c>
      <c r="H3" s="27" t="s">
        <v>118</v>
      </c>
      <c r="I3" s="27" t="s">
        <v>118</v>
      </c>
      <c r="J3" s="27" t="s">
        <v>119</v>
      </c>
      <c r="K3" s="27" t="s">
        <v>118</v>
      </c>
      <c r="L3" s="27" t="s">
        <v>118</v>
      </c>
      <c r="M3" s="27" t="s">
        <v>118</v>
      </c>
      <c r="N3" s="27" t="s">
        <v>118</v>
      </c>
      <c r="O3" s="27" t="s">
        <v>120</v>
      </c>
      <c r="P3" s="27" t="s">
        <v>119</v>
      </c>
      <c r="Q3" s="27" t="s">
        <v>119</v>
      </c>
      <c r="R3" s="27" t="s">
        <v>118</v>
      </c>
      <c r="S3" s="27" t="s">
        <v>119</v>
      </c>
      <c r="T3" s="27" t="s">
        <v>119</v>
      </c>
      <c r="U3" s="27" t="s">
        <v>119</v>
      </c>
      <c r="V3" s="27" t="s">
        <v>119</v>
      </c>
      <c r="W3" s="27" t="s">
        <v>119</v>
      </c>
      <c r="X3" s="27" t="s">
        <v>119</v>
      </c>
      <c r="Y3" s="27" t="s">
        <v>119</v>
      </c>
      <c r="Z3" s="27" t="s">
        <v>119</v>
      </c>
      <c r="AA3" s="27" t="s">
        <v>119</v>
      </c>
      <c r="AB3" s="27" t="s">
        <v>119</v>
      </c>
      <c r="AC3" s="27" t="s">
        <v>119</v>
      </c>
      <c r="AD3" s="27" t="s">
        <v>120</v>
      </c>
      <c r="AE3" s="27" t="s">
        <v>120</v>
      </c>
      <c r="AF3" s="27" t="s">
        <v>120</v>
      </c>
      <c r="AG3" s="27" t="s">
        <v>120</v>
      </c>
      <c r="AH3" s="27" t="s">
        <v>120</v>
      </c>
      <c r="AI3" s="27" t="s">
        <v>119</v>
      </c>
      <c r="AJ3" s="27" t="s">
        <v>120</v>
      </c>
    </row>
    <row r="4" ht="15.75" customHeight="1">
      <c r="A4" s="26" t="s">
        <v>115</v>
      </c>
      <c r="B4" s="26" t="s">
        <v>116</v>
      </c>
      <c r="C4" s="26" t="s">
        <v>121</v>
      </c>
      <c r="D4" s="27" t="s">
        <v>118</v>
      </c>
      <c r="E4" s="27" t="s">
        <v>119</v>
      </c>
      <c r="F4" s="27" t="s">
        <v>119</v>
      </c>
      <c r="G4" s="27" t="s">
        <v>118</v>
      </c>
      <c r="H4" s="27" t="s">
        <v>118</v>
      </c>
      <c r="I4" s="27" t="s">
        <v>118</v>
      </c>
      <c r="J4" s="27" t="s">
        <v>119</v>
      </c>
      <c r="K4" s="27" t="s">
        <v>118</v>
      </c>
      <c r="L4" s="27" t="s">
        <v>118</v>
      </c>
      <c r="M4" s="27" t="s">
        <v>118</v>
      </c>
      <c r="N4" s="27" t="s">
        <v>118</v>
      </c>
      <c r="O4" s="27" t="s">
        <v>119</v>
      </c>
      <c r="P4" s="27" t="s">
        <v>120</v>
      </c>
      <c r="Q4" s="27" t="s">
        <v>119</v>
      </c>
      <c r="R4" s="27" t="s">
        <v>118</v>
      </c>
      <c r="S4" s="27" t="s">
        <v>119</v>
      </c>
      <c r="T4" s="27" t="s">
        <v>119</v>
      </c>
      <c r="U4" s="27" t="s">
        <v>119</v>
      </c>
      <c r="V4" s="27" t="s">
        <v>119</v>
      </c>
      <c r="W4" s="27" t="s">
        <v>119</v>
      </c>
      <c r="X4" s="27" t="s">
        <v>119</v>
      </c>
      <c r="Y4" s="27" t="s">
        <v>119</v>
      </c>
      <c r="Z4" s="27" t="s">
        <v>119</v>
      </c>
      <c r="AA4" s="27" t="s">
        <v>119</v>
      </c>
      <c r="AB4" s="27" t="s">
        <v>119</v>
      </c>
      <c r="AC4" s="27" t="s">
        <v>119</v>
      </c>
      <c r="AD4" s="27" t="s">
        <v>120</v>
      </c>
      <c r="AE4" s="27" t="s">
        <v>120</v>
      </c>
      <c r="AF4" s="27" t="s">
        <v>120</v>
      </c>
      <c r="AG4" s="27" t="s">
        <v>120</v>
      </c>
      <c r="AH4" s="27" t="s">
        <v>120</v>
      </c>
      <c r="AI4" s="27" t="s">
        <v>119</v>
      </c>
      <c r="AJ4" s="27" t="s">
        <v>120</v>
      </c>
    </row>
    <row r="5" ht="15.75" customHeight="1">
      <c r="A5" s="26" t="s">
        <v>115</v>
      </c>
      <c r="B5" s="26" t="s">
        <v>116</v>
      </c>
      <c r="C5" s="26" t="s">
        <v>122</v>
      </c>
      <c r="D5" s="27" t="s">
        <v>118</v>
      </c>
      <c r="E5" s="27" t="s">
        <v>119</v>
      </c>
      <c r="F5" s="27" t="s">
        <v>119</v>
      </c>
      <c r="G5" s="27" t="s">
        <v>118</v>
      </c>
      <c r="H5" s="27" t="s">
        <v>118</v>
      </c>
      <c r="I5" s="27" t="s">
        <v>118</v>
      </c>
      <c r="J5" s="27" t="s">
        <v>119</v>
      </c>
      <c r="K5" s="27" t="s">
        <v>118</v>
      </c>
      <c r="L5" s="27" t="s">
        <v>118</v>
      </c>
      <c r="M5" s="27" t="s">
        <v>118</v>
      </c>
      <c r="N5" s="27" t="s">
        <v>118</v>
      </c>
      <c r="O5" s="27" t="s">
        <v>119</v>
      </c>
      <c r="P5" s="27" t="s">
        <v>120</v>
      </c>
      <c r="Q5" s="27" t="s">
        <v>119</v>
      </c>
      <c r="R5" s="27" t="s">
        <v>118</v>
      </c>
      <c r="S5" s="27" t="s">
        <v>119</v>
      </c>
      <c r="T5" s="27" t="s">
        <v>119</v>
      </c>
      <c r="U5" s="27" t="s">
        <v>119</v>
      </c>
      <c r="V5" s="27" t="s">
        <v>119</v>
      </c>
      <c r="W5" s="27" t="s">
        <v>119</v>
      </c>
      <c r="X5" s="27" t="s">
        <v>119</v>
      </c>
      <c r="Y5" s="27" t="s">
        <v>119</v>
      </c>
      <c r="Z5" s="27" t="s">
        <v>119</v>
      </c>
      <c r="AA5" s="27" t="s">
        <v>120</v>
      </c>
      <c r="AB5" s="27" t="s">
        <v>120</v>
      </c>
      <c r="AC5" s="27" t="s">
        <v>120</v>
      </c>
      <c r="AD5" s="27" t="s">
        <v>119</v>
      </c>
      <c r="AE5" s="27" t="s">
        <v>119</v>
      </c>
      <c r="AF5" s="27" t="s">
        <v>118</v>
      </c>
      <c r="AG5" s="27" t="s">
        <v>119</v>
      </c>
      <c r="AH5" s="27" t="s">
        <v>120</v>
      </c>
      <c r="AI5" s="27" t="s">
        <v>119</v>
      </c>
      <c r="AJ5" s="27" t="s">
        <v>120</v>
      </c>
    </row>
    <row r="6" ht="15.75" customHeight="1">
      <c r="A6" s="26" t="s">
        <v>115</v>
      </c>
      <c r="B6" s="26" t="s">
        <v>116</v>
      </c>
      <c r="C6" s="26" t="s">
        <v>123</v>
      </c>
      <c r="D6" s="27" t="s">
        <v>118</v>
      </c>
      <c r="E6" s="27" t="s">
        <v>119</v>
      </c>
      <c r="F6" s="27" t="s">
        <v>119</v>
      </c>
      <c r="G6" s="27" t="s">
        <v>118</v>
      </c>
      <c r="H6" s="27" t="s">
        <v>118</v>
      </c>
      <c r="I6" s="27" t="s">
        <v>118</v>
      </c>
      <c r="J6" s="27" t="s">
        <v>119</v>
      </c>
      <c r="K6" s="27" t="s">
        <v>118</v>
      </c>
      <c r="L6" s="27" t="s">
        <v>118</v>
      </c>
      <c r="M6" s="27" t="s">
        <v>118</v>
      </c>
      <c r="N6" s="27" t="s">
        <v>118</v>
      </c>
      <c r="O6" s="27" t="s">
        <v>119</v>
      </c>
      <c r="P6" s="27" t="s">
        <v>119</v>
      </c>
      <c r="Q6" s="27" t="s">
        <v>119</v>
      </c>
      <c r="R6" s="27" t="s">
        <v>118</v>
      </c>
      <c r="S6" s="27" t="s">
        <v>119</v>
      </c>
      <c r="T6" s="27" t="s">
        <v>119</v>
      </c>
      <c r="U6" s="27" t="s">
        <v>119</v>
      </c>
      <c r="V6" s="27" t="s">
        <v>119</v>
      </c>
      <c r="W6" s="27" t="s">
        <v>119</v>
      </c>
      <c r="X6" s="27" t="s">
        <v>119</v>
      </c>
      <c r="Y6" s="27" t="s">
        <v>119</v>
      </c>
      <c r="Z6" s="27" t="s">
        <v>119</v>
      </c>
      <c r="AA6" s="27" t="s">
        <v>119</v>
      </c>
      <c r="AB6" s="27" t="s">
        <v>119</v>
      </c>
      <c r="AC6" s="27" t="s">
        <v>119</v>
      </c>
      <c r="AD6" s="27" t="s">
        <v>119</v>
      </c>
      <c r="AE6" s="27" t="s">
        <v>119</v>
      </c>
      <c r="AF6" s="27" t="s">
        <v>119</v>
      </c>
      <c r="AG6" s="27" t="s">
        <v>119</v>
      </c>
      <c r="AH6" s="27" t="s">
        <v>119</v>
      </c>
      <c r="AI6" s="27" t="s">
        <v>119</v>
      </c>
      <c r="AJ6" s="27" t="s">
        <v>120</v>
      </c>
    </row>
    <row r="7" ht="15.75" customHeight="1">
      <c r="A7" s="26" t="s">
        <v>124</v>
      </c>
      <c r="B7" s="26" t="s">
        <v>124</v>
      </c>
      <c r="C7" s="26" t="s">
        <v>117</v>
      </c>
      <c r="D7" s="27" t="s">
        <v>119</v>
      </c>
      <c r="E7" s="27" t="s">
        <v>119</v>
      </c>
      <c r="F7" s="27" t="s">
        <v>119</v>
      </c>
      <c r="G7" s="27" t="s">
        <v>119</v>
      </c>
      <c r="H7" s="27" t="s">
        <v>119</v>
      </c>
      <c r="I7" s="27" t="s">
        <v>119</v>
      </c>
      <c r="J7" s="27" t="s">
        <v>119</v>
      </c>
      <c r="K7" s="27" t="s">
        <v>119</v>
      </c>
      <c r="L7" s="27" t="s">
        <v>119</v>
      </c>
      <c r="M7" s="27" t="s">
        <v>119</v>
      </c>
      <c r="N7" s="27" t="s">
        <v>119</v>
      </c>
      <c r="O7" s="27" t="s">
        <v>119</v>
      </c>
      <c r="P7" s="27" t="s">
        <v>119</v>
      </c>
      <c r="Q7" s="27" t="s">
        <v>119</v>
      </c>
      <c r="R7" s="27" t="s">
        <v>119</v>
      </c>
      <c r="S7" s="27" t="s">
        <v>119</v>
      </c>
      <c r="T7" s="27" t="s">
        <v>119</v>
      </c>
      <c r="U7" s="27" t="s">
        <v>119</v>
      </c>
      <c r="V7" s="27" t="s">
        <v>119</v>
      </c>
      <c r="W7" s="27" t="s">
        <v>119</v>
      </c>
      <c r="X7" s="27" t="s">
        <v>119</v>
      </c>
      <c r="Y7" s="27" t="s">
        <v>119</v>
      </c>
      <c r="Z7" s="27" t="s">
        <v>119</v>
      </c>
      <c r="AA7" s="27" t="s">
        <v>119</v>
      </c>
      <c r="AB7" s="27" t="s">
        <v>119</v>
      </c>
      <c r="AC7" s="27" t="s">
        <v>119</v>
      </c>
      <c r="AD7" s="27" t="s">
        <v>119</v>
      </c>
      <c r="AE7" s="27" t="s">
        <v>119</v>
      </c>
      <c r="AF7" s="27" t="s">
        <v>119</v>
      </c>
      <c r="AG7" s="27" t="s">
        <v>119</v>
      </c>
      <c r="AH7" s="27" t="s">
        <v>119</v>
      </c>
      <c r="AI7" s="27" t="s">
        <v>119</v>
      </c>
      <c r="AJ7" s="27" t="s">
        <v>120</v>
      </c>
    </row>
    <row r="8" ht="15.75" customHeight="1">
      <c r="A8" s="26" t="s">
        <v>124</v>
      </c>
      <c r="B8" s="26" t="s">
        <v>125</v>
      </c>
      <c r="C8" s="26" t="s">
        <v>117</v>
      </c>
      <c r="D8" s="27" t="s">
        <v>118</v>
      </c>
      <c r="E8" s="27" t="s">
        <v>119</v>
      </c>
      <c r="F8" s="27" t="s">
        <v>119</v>
      </c>
      <c r="G8" s="27" t="s">
        <v>119</v>
      </c>
      <c r="H8" s="27" t="s">
        <v>119</v>
      </c>
      <c r="I8" s="27" t="s">
        <v>119</v>
      </c>
      <c r="J8" s="27" t="s">
        <v>119</v>
      </c>
      <c r="K8" s="27" t="s">
        <v>119</v>
      </c>
      <c r="L8" s="27" t="s">
        <v>119</v>
      </c>
      <c r="M8" s="27" t="s">
        <v>119</v>
      </c>
      <c r="N8" s="27" t="s">
        <v>119</v>
      </c>
      <c r="O8" s="27" t="s">
        <v>120</v>
      </c>
      <c r="P8" s="27" t="s">
        <v>119</v>
      </c>
      <c r="Q8" s="27" t="s">
        <v>119</v>
      </c>
      <c r="R8" s="27" t="s">
        <v>119</v>
      </c>
      <c r="S8" s="27" t="s">
        <v>119</v>
      </c>
      <c r="T8" s="27" t="s">
        <v>119</v>
      </c>
      <c r="U8" s="27" t="s">
        <v>119</v>
      </c>
      <c r="V8" s="27" t="s">
        <v>119</v>
      </c>
      <c r="W8" s="27" t="s">
        <v>119</v>
      </c>
      <c r="X8" s="27" t="s">
        <v>119</v>
      </c>
      <c r="Y8" s="27" t="s">
        <v>119</v>
      </c>
      <c r="Z8" s="27" t="s">
        <v>119</v>
      </c>
      <c r="AA8" s="27" t="s">
        <v>119</v>
      </c>
      <c r="AB8" s="27" t="s">
        <v>119</v>
      </c>
      <c r="AC8" s="27" t="s">
        <v>119</v>
      </c>
      <c r="AD8" s="27" t="s">
        <v>120</v>
      </c>
      <c r="AE8" s="27" t="s">
        <v>120</v>
      </c>
      <c r="AF8" s="27" t="s">
        <v>120</v>
      </c>
      <c r="AG8" s="27" t="s">
        <v>120</v>
      </c>
      <c r="AH8" s="27" t="s">
        <v>120</v>
      </c>
      <c r="AI8" s="27" t="s">
        <v>120</v>
      </c>
      <c r="AJ8" s="27" t="s">
        <v>120</v>
      </c>
    </row>
    <row r="9" ht="15.75" customHeight="1">
      <c r="A9" s="26" t="s">
        <v>124</v>
      </c>
      <c r="B9" s="26" t="s">
        <v>125</v>
      </c>
      <c r="C9" s="26" t="s">
        <v>121</v>
      </c>
      <c r="D9" s="27" t="s">
        <v>118</v>
      </c>
      <c r="E9" s="27" t="s">
        <v>119</v>
      </c>
      <c r="F9" s="27" t="s">
        <v>119</v>
      </c>
      <c r="G9" s="27" t="s">
        <v>119</v>
      </c>
      <c r="H9" s="27" t="s">
        <v>119</v>
      </c>
      <c r="I9" s="27" t="s">
        <v>119</v>
      </c>
      <c r="J9" s="27" t="s">
        <v>119</v>
      </c>
      <c r="K9" s="27" t="s">
        <v>119</v>
      </c>
      <c r="L9" s="27" t="s">
        <v>119</v>
      </c>
      <c r="M9" s="27" t="s">
        <v>119</v>
      </c>
      <c r="N9" s="27" t="s">
        <v>119</v>
      </c>
      <c r="O9" s="27" t="s">
        <v>119</v>
      </c>
      <c r="P9" s="27" t="s">
        <v>120</v>
      </c>
      <c r="Q9" s="27" t="s">
        <v>119</v>
      </c>
      <c r="R9" s="27" t="s">
        <v>119</v>
      </c>
      <c r="S9" s="27" t="s">
        <v>119</v>
      </c>
      <c r="T9" s="27" t="s">
        <v>119</v>
      </c>
      <c r="U9" s="27" t="s">
        <v>119</v>
      </c>
      <c r="V9" s="27" t="s">
        <v>119</v>
      </c>
      <c r="W9" s="27" t="s">
        <v>119</v>
      </c>
      <c r="X9" s="27" t="s">
        <v>119</v>
      </c>
      <c r="Y9" s="27" t="s">
        <v>119</v>
      </c>
      <c r="Z9" s="27" t="s">
        <v>119</v>
      </c>
      <c r="AA9" s="27" t="s">
        <v>119</v>
      </c>
      <c r="AB9" s="27" t="s">
        <v>119</v>
      </c>
      <c r="AC9" s="27" t="s">
        <v>119</v>
      </c>
      <c r="AD9" s="27" t="s">
        <v>120</v>
      </c>
      <c r="AE9" s="27" t="s">
        <v>120</v>
      </c>
      <c r="AF9" s="27" t="s">
        <v>120</v>
      </c>
      <c r="AG9" s="27" t="s">
        <v>120</v>
      </c>
      <c r="AH9" s="27" t="s">
        <v>120</v>
      </c>
      <c r="AI9" s="27" t="s">
        <v>120</v>
      </c>
      <c r="AJ9" s="27" t="s">
        <v>120</v>
      </c>
    </row>
    <row r="10" ht="15.75" customHeight="1">
      <c r="A10" s="26" t="s">
        <v>124</v>
      </c>
      <c r="B10" s="26" t="s">
        <v>125</v>
      </c>
      <c r="C10" s="26" t="s">
        <v>122</v>
      </c>
      <c r="D10" s="27" t="s">
        <v>118</v>
      </c>
      <c r="E10" s="27" t="s">
        <v>119</v>
      </c>
      <c r="F10" s="27" t="s">
        <v>119</v>
      </c>
      <c r="G10" s="27" t="s">
        <v>119</v>
      </c>
      <c r="H10" s="27" t="s">
        <v>119</v>
      </c>
      <c r="I10" s="27" t="s">
        <v>119</v>
      </c>
      <c r="J10" s="27" t="s">
        <v>119</v>
      </c>
      <c r="K10" s="27" t="s">
        <v>119</v>
      </c>
      <c r="L10" s="27" t="s">
        <v>119</v>
      </c>
      <c r="M10" s="27" t="s">
        <v>119</v>
      </c>
      <c r="N10" s="27" t="s">
        <v>119</v>
      </c>
      <c r="O10" s="27" t="s">
        <v>119</v>
      </c>
      <c r="P10" s="27" t="s">
        <v>120</v>
      </c>
      <c r="Q10" s="27" t="s">
        <v>119</v>
      </c>
      <c r="R10" s="27" t="s">
        <v>119</v>
      </c>
      <c r="S10" s="27" t="s">
        <v>119</v>
      </c>
      <c r="T10" s="27" t="s">
        <v>119</v>
      </c>
      <c r="U10" s="27" t="s">
        <v>119</v>
      </c>
      <c r="V10" s="27" t="s">
        <v>119</v>
      </c>
      <c r="W10" s="27" t="s">
        <v>119</v>
      </c>
      <c r="X10" s="27" t="s">
        <v>119</v>
      </c>
      <c r="Y10" s="27" t="s">
        <v>119</v>
      </c>
      <c r="Z10" s="27" t="s">
        <v>119</v>
      </c>
      <c r="AA10" s="27" t="s">
        <v>120</v>
      </c>
      <c r="AB10" s="27" t="s">
        <v>120</v>
      </c>
      <c r="AC10" s="27" t="s">
        <v>120</v>
      </c>
      <c r="AD10" s="27" t="s">
        <v>119</v>
      </c>
      <c r="AE10" s="27" t="s">
        <v>119</v>
      </c>
      <c r="AF10" s="27" t="s">
        <v>118</v>
      </c>
      <c r="AG10" s="27" t="s">
        <v>119</v>
      </c>
      <c r="AH10" s="27" t="s">
        <v>120</v>
      </c>
      <c r="AI10" s="27" t="s">
        <v>120</v>
      </c>
      <c r="AJ10" s="27" t="s">
        <v>120</v>
      </c>
    </row>
    <row r="11" ht="15.75" customHeight="1">
      <c r="A11" s="26" t="s">
        <v>124</v>
      </c>
      <c r="B11" s="26" t="s">
        <v>125</v>
      </c>
      <c r="C11" s="26" t="s">
        <v>123</v>
      </c>
      <c r="D11" s="27" t="s">
        <v>118</v>
      </c>
      <c r="E11" s="27" t="s">
        <v>119</v>
      </c>
      <c r="F11" s="27" t="s">
        <v>119</v>
      </c>
      <c r="G11" s="27" t="s">
        <v>119</v>
      </c>
      <c r="H11" s="27" t="s">
        <v>119</v>
      </c>
      <c r="I11" s="27" t="s">
        <v>119</v>
      </c>
      <c r="J11" s="27" t="s">
        <v>119</v>
      </c>
      <c r="K11" s="27" t="s">
        <v>119</v>
      </c>
      <c r="L11" s="27" t="s">
        <v>119</v>
      </c>
      <c r="M11" s="27" t="s">
        <v>119</v>
      </c>
      <c r="N11" s="27" t="s">
        <v>119</v>
      </c>
      <c r="O11" s="27" t="s">
        <v>119</v>
      </c>
      <c r="P11" s="27" t="s">
        <v>119</v>
      </c>
      <c r="Q11" s="27" t="s">
        <v>119</v>
      </c>
      <c r="R11" s="27" t="s">
        <v>119</v>
      </c>
      <c r="S11" s="27" t="s">
        <v>119</v>
      </c>
      <c r="T11" s="27" t="s">
        <v>119</v>
      </c>
      <c r="U11" s="27" t="s">
        <v>119</v>
      </c>
      <c r="V11" s="27" t="s">
        <v>119</v>
      </c>
      <c r="W11" s="27" t="s">
        <v>119</v>
      </c>
      <c r="X11" s="27" t="s">
        <v>119</v>
      </c>
      <c r="Y11" s="27" t="s">
        <v>119</v>
      </c>
      <c r="Z11" s="27" t="s">
        <v>119</v>
      </c>
      <c r="AA11" s="27" t="s">
        <v>119</v>
      </c>
      <c r="AB11" s="27" t="s">
        <v>119</v>
      </c>
      <c r="AC11" s="27" t="s">
        <v>119</v>
      </c>
      <c r="AD11" s="27" t="s">
        <v>119</v>
      </c>
      <c r="AE11" s="27" t="s">
        <v>119</v>
      </c>
      <c r="AF11" s="27" t="s">
        <v>119</v>
      </c>
      <c r="AG11" s="27" t="s">
        <v>119</v>
      </c>
      <c r="AH11" s="27" t="s">
        <v>119</v>
      </c>
      <c r="AI11" s="27" t="s">
        <v>120</v>
      </c>
      <c r="AJ11" s="27" t="s">
        <v>120</v>
      </c>
    </row>
    <row r="12" ht="15.75" customHeight="1">
      <c r="A12" s="26" t="s">
        <v>124</v>
      </c>
      <c r="B12" s="26" t="s">
        <v>126</v>
      </c>
      <c r="C12" s="26" t="s">
        <v>117</v>
      </c>
      <c r="D12" s="27" t="s">
        <v>118</v>
      </c>
      <c r="E12" s="27" t="s">
        <v>119</v>
      </c>
      <c r="F12" s="27" t="s">
        <v>119</v>
      </c>
      <c r="G12" s="27" t="s">
        <v>119</v>
      </c>
      <c r="H12" s="27" t="s">
        <v>119</v>
      </c>
      <c r="I12" s="27" t="s">
        <v>119</v>
      </c>
      <c r="J12" s="27" t="s">
        <v>119</v>
      </c>
      <c r="K12" s="27" t="s">
        <v>119</v>
      </c>
      <c r="L12" s="27" t="s">
        <v>119</v>
      </c>
      <c r="M12" s="27" t="s">
        <v>119</v>
      </c>
      <c r="N12" s="27" t="s">
        <v>119</v>
      </c>
      <c r="O12" s="27" t="s">
        <v>120</v>
      </c>
      <c r="P12" s="27" t="s">
        <v>119</v>
      </c>
      <c r="Q12" s="27" t="s">
        <v>119</v>
      </c>
      <c r="R12" s="27" t="s">
        <v>118</v>
      </c>
      <c r="S12" s="27" t="s">
        <v>119</v>
      </c>
      <c r="T12" s="27" t="s">
        <v>119</v>
      </c>
      <c r="U12" s="27" t="s">
        <v>119</v>
      </c>
      <c r="V12" s="27" t="s">
        <v>119</v>
      </c>
      <c r="W12" s="27" t="s">
        <v>119</v>
      </c>
      <c r="X12" s="27" t="s">
        <v>119</v>
      </c>
      <c r="Y12" s="27" t="s">
        <v>119</v>
      </c>
      <c r="Z12" s="27" t="s">
        <v>119</v>
      </c>
      <c r="AA12" s="27" t="s">
        <v>119</v>
      </c>
      <c r="AB12" s="27" t="s">
        <v>119</v>
      </c>
      <c r="AC12" s="27" t="s">
        <v>119</v>
      </c>
      <c r="AD12" s="27" t="s">
        <v>120</v>
      </c>
      <c r="AE12" s="27" t="s">
        <v>120</v>
      </c>
      <c r="AF12" s="27" t="s">
        <v>120</v>
      </c>
      <c r="AG12" s="27" t="s">
        <v>120</v>
      </c>
      <c r="AH12" s="27" t="s">
        <v>120</v>
      </c>
      <c r="AI12" s="27" t="s">
        <v>119</v>
      </c>
      <c r="AJ12" s="27" t="s">
        <v>119</v>
      </c>
    </row>
    <row r="13" ht="15.75" customHeight="1">
      <c r="A13" s="26" t="s">
        <v>124</v>
      </c>
      <c r="B13" s="26" t="s">
        <v>126</v>
      </c>
      <c r="C13" s="26" t="s">
        <v>121</v>
      </c>
      <c r="D13" s="27" t="s">
        <v>118</v>
      </c>
      <c r="E13" s="27" t="s">
        <v>119</v>
      </c>
      <c r="F13" s="27" t="s">
        <v>119</v>
      </c>
      <c r="G13" s="27" t="s">
        <v>119</v>
      </c>
      <c r="H13" s="27" t="s">
        <v>119</v>
      </c>
      <c r="I13" s="27" t="s">
        <v>119</v>
      </c>
      <c r="J13" s="27" t="s">
        <v>119</v>
      </c>
      <c r="K13" s="27" t="s">
        <v>119</v>
      </c>
      <c r="L13" s="27" t="s">
        <v>119</v>
      </c>
      <c r="M13" s="27" t="s">
        <v>119</v>
      </c>
      <c r="N13" s="27" t="s">
        <v>119</v>
      </c>
      <c r="O13" s="27" t="s">
        <v>119</v>
      </c>
      <c r="P13" s="27" t="s">
        <v>120</v>
      </c>
      <c r="Q13" s="27" t="s">
        <v>119</v>
      </c>
      <c r="R13" s="27" t="s">
        <v>118</v>
      </c>
      <c r="S13" s="27" t="s">
        <v>119</v>
      </c>
      <c r="T13" s="27" t="s">
        <v>119</v>
      </c>
      <c r="U13" s="27" t="s">
        <v>119</v>
      </c>
      <c r="V13" s="27" t="s">
        <v>119</v>
      </c>
      <c r="W13" s="27" t="s">
        <v>119</v>
      </c>
      <c r="X13" s="27" t="s">
        <v>119</v>
      </c>
      <c r="Y13" s="27" t="s">
        <v>119</v>
      </c>
      <c r="Z13" s="27" t="s">
        <v>119</v>
      </c>
      <c r="AA13" s="27" t="s">
        <v>119</v>
      </c>
      <c r="AB13" s="27" t="s">
        <v>119</v>
      </c>
      <c r="AC13" s="27" t="s">
        <v>119</v>
      </c>
      <c r="AD13" s="27" t="s">
        <v>120</v>
      </c>
      <c r="AE13" s="27" t="s">
        <v>120</v>
      </c>
      <c r="AF13" s="27" t="s">
        <v>120</v>
      </c>
      <c r="AG13" s="27" t="s">
        <v>120</v>
      </c>
      <c r="AH13" s="27" t="s">
        <v>120</v>
      </c>
      <c r="AI13" s="27" t="s">
        <v>119</v>
      </c>
      <c r="AJ13" s="27" t="s">
        <v>119</v>
      </c>
    </row>
    <row r="14" ht="15.75" customHeight="1">
      <c r="A14" s="26" t="s">
        <v>124</v>
      </c>
      <c r="B14" s="26" t="s">
        <v>126</v>
      </c>
      <c r="C14" s="26" t="s">
        <v>122</v>
      </c>
      <c r="D14" s="27" t="s">
        <v>118</v>
      </c>
      <c r="E14" s="27" t="s">
        <v>119</v>
      </c>
      <c r="F14" s="27" t="s">
        <v>119</v>
      </c>
      <c r="G14" s="27" t="s">
        <v>119</v>
      </c>
      <c r="H14" s="27" t="s">
        <v>119</v>
      </c>
      <c r="I14" s="27" t="s">
        <v>119</v>
      </c>
      <c r="J14" s="27" t="s">
        <v>119</v>
      </c>
      <c r="K14" s="27" t="s">
        <v>119</v>
      </c>
      <c r="L14" s="27" t="s">
        <v>119</v>
      </c>
      <c r="M14" s="27" t="s">
        <v>119</v>
      </c>
      <c r="N14" s="27" t="s">
        <v>119</v>
      </c>
      <c r="O14" s="27" t="s">
        <v>119</v>
      </c>
      <c r="P14" s="27" t="s">
        <v>120</v>
      </c>
      <c r="Q14" s="27" t="s">
        <v>119</v>
      </c>
      <c r="R14" s="27" t="s">
        <v>118</v>
      </c>
      <c r="S14" s="27" t="s">
        <v>119</v>
      </c>
      <c r="T14" s="27" t="s">
        <v>119</v>
      </c>
      <c r="U14" s="27" t="s">
        <v>119</v>
      </c>
      <c r="V14" s="27" t="s">
        <v>119</v>
      </c>
      <c r="W14" s="27" t="s">
        <v>119</v>
      </c>
      <c r="X14" s="27" t="s">
        <v>119</v>
      </c>
      <c r="Y14" s="27" t="s">
        <v>119</v>
      </c>
      <c r="Z14" s="27" t="s">
        <v>119</v>
      </c>
      <c r="AA14" s="27" t="s">
        <v>120</v>
      </c>
      <c r="AB14" s="27" t="s">
        <v>120</v>
      </c>
      <c r="AC14" s="27" t="s">
        <v>120</v>
      </c>
      <c r="AD14" s="27" t="s">
        <v>119</v>
      </c>
      <c r="AE14" s="27" t="s">
        <v>119</v>
      </c>
      <c r="AF14" s="27" t="s">
        <v>118</v>
      </c>
      <c r="AG14" s="27" t="s">
        <v>119</v>
      </c>
      <c r="AH14" s="27" t="s">
        <v>120</v>
      </c>
      <c r="AI14" s="27" t="s">
        <v>119</v>
      </c>
      <c r="AJ14" s="27" t="s">
        <v>119</v>
      </c>
    </row>
    <row r="15" ht="15.75" customHeight="1">
      <c r="A15" s="26" t="s">
        <v>124</v>
      </c>
      <c r="B15" s="26" t="s">
        <v>126</v>
      </c>
      <c r="C15" s="26" t="s">
        <v>123</v>
      </c>
      <c r="D15" s="27" t="s">
        <v>118</v>
      </c>
      <c r="E15" s="27" t="s">
        <v>119</v>
      </c>
      <c r="F15" s="27" t="s">
        <v>119</v>
      </c>
      <c r="G15" s="27" t="s">
        <v>119</v>
      </c>
      <c r="H15" s="27" t="s">
        <v>119</v>
      </c>
      <c r="I15" s="27" t="s">
        <v>119</v>
      </c>
      <c r="J15" s="27" t="s">
        <v>119</v>
      </c>
      <c r="K15" s="27" t="s">
        <v>119</v>
      </c>
      <c r="L15" s="27" t="s">
        <v>119</v>
      </c>
      <c r="M15" s="27" t="s">
        <v>119</v>
      </c>
      <c r="N15" s="27" t="s">
        <v>119</v>
      </c>
      <c r="O15" s="27" t="s">
        <v>119</v>
      </c>
      <c r="P15" s="27" t="s">
        <v>119</v>
      </c>
      <c r="Q15" s="27" t="s">
        <v>119</v>
      </c>
      <c r="R15" s="27" t="s">
        <v>118</v>
      </c>
      <c r="S15" s="27" t="s">
        <v>119</v>
      </c>
      <c r="T15" s="27" t="s">
        <v>119</v>
      </c>
      <c r="U15" s="27" t="s">
        <v>119</v>
      </c>
      <c r="V15" s="27" t="s">
        <v>119</v>
      </c>
      <c r="W15" s="27" t="s">
        <v>119</v>
      </c>
      <c r="X15" s="27" t="s">
        <v>119</v>
      </c>
      <c r="Y15" s="27" t="s">
        <v>119</v>
      </c>
      <c r="Z15" s="27" t="s">
        <v>119</v>
      </c>
      <c r="AA15" s="27" t="s">
        <v>119</v>
      </c>
      <c r="AB15" s="27" t="s">
        <v>119</v>
      </c>
      <c r="AC15" s="27" t="s">
        <v>119</v>
      </c>
      <c r="AD15" s="27" t="s">
        <v>119</v>
      </c>
      <c r="AE15" s="27" t="s">
        <v>119</v>
      </c>
      <c r="AF15" s="27" t="s">
        <v>119</v>
      </c>
      <c r="AG15" s="27" t="s">
        <v>119</v>
      </c>
      <c r="AH15" s="27" t="s">
        <v>119</v>
      </c>
      <c r="AI15" s="27" t="s">
        <v>119</v>
      </c>
      <c r="AJ15" s="27" t="s">
        <v>119</v>
      </c>
    </row>
    <row r="16" ht="15.75" customHeight="1">
      <c r="A16" s="19"/>
      <c r="B16" s="28"/>
      <c r="C16" s="28"/>
      <c r="D16" s="29"/>
      <c r="E16" s="29"/>
      <c r="F16" s="29"/>
      <c r="G16" s="29"/>
      <c r="H16" s="29"/>
      <c r="I16" s="29"/>
      <c r="J16" s="28"/>
      <c r="K16" s="28"/>
      <c r="L16" s="2"/>
      <c r="M16" s="2"/>
      <c r="N16" s="30"/>
      <c r="O16" s="2"/>
      <c r="P16" s="2"/>
      <c r="Q16" s="2"/>
      <c r="R16" s="2"/>
      <c r="S16" s="2"/>
      <c r="T16" s="2"/>
      <c r="U16" s="2"/>
      <c r="V16" s="2"/>
      <c r="W16" s="2"/>
      <c r="X16" s="2"/>
      <c r="Y16" s="2"/>
      <c r="Z16" s="2"/>
      <c r="AA16" s="2"/>
      <c r="AB16" s="2"/>
      <c r="AC16" s="2"/>
      <c r="AD16" s="2"/>
      <c r="AE16" s="2"/>
      <c r="AF16" s="2"/>
      <c r="AG16" s="2"/>
      <c r="AH16" s="2"/>
      <c r="AI16" s="2"/>
      <c r="AJ16" s="2"/>
    </row>
    <row r="17" ht="15.75" customHeight="1">
      <c r="A17" s="19" t="s">
        <v>127</v>
      </c>
      <c r="B17" s="28"/>
      <c r="C17" s="28"/>
      <c r="D17" s="29"/>
      <c r="E17" s="29"/>
      <c r="F17" s="29"/>
      <c r="G17" s="29"/>
      <c r="H17" s="29"/>
      <c r="I17" s="29"/>
      <c r="J17" s="28"/>
      <c r="K17" s="28"/>
      <c r="L17" s="2"/>
      <c r="M17" s="2"/>
      <c r="N17" s="30"/>
      <c r="O17" s="2"/>
      <c r="P17" s="2"/>
      <c r="Q17" s="2"/>
      <c r="R17" s="2"/>
      <c r="S17" s="2"/>
      <c r="T17" s="2"/>
      <c r="U17" s="2"/>
      <c r="V17" s="2"/>
      <c r="W17" s="2"/>
      <c r="X17" s="2"/>
      <c r="Y17" s="2"/>
      <c r="Z17" s="2"/>
      <c r="AA17" s="2"/>
      <c r="AB17" s="2"/>
      <c r="AC17" s="2"/>
      <c r="AD17" s="2"/>
      <c r="AE17" s="2"/>
      <c r="AF17" s="2"/>
      <c r="AG17" s="2"/>
      <c r="AH17" s="2"/>
      <c r="AI17" s="2"/>
      <c r="AJ17" s="2"/>
    </row>
    <row r="18" ht="15.75" customHeight="1">
      <c r="A18" s="21" t="s">
        <v>79</v>
      </c>
      <c r="B18" s="23" t="s">
        <v>80</v>
      </c>
      <c r="C18" s="23" t="s">
        <v>81</v>
      </c>
      <c r="D18" s="24" t="s">
        <v>128</v>
      </c>
      <c r="E18" s="24" t="s">
        <v>129</v>
      </c>
      <c r="F18" s="24" t="s">
        <v>85</v>
      </c>
      <c r="G18" s="24" t="s">
        <v>86</v>
      </c>
      <c r="H18" s="24" t="s">
        <v>130</v>
      </c>
      <c r="I18" s="24" t="s">
        <v>95</v>
      </c>
      <c r="J18" s="23" t="s">
        <v>131</v>
      </c>
      <c r="K18" s="23" t="s">
        <v>132</v>
      </c>
      <c r="L18" s="23" t="s">
        <v>133</v>
      </c>
      <c r="M18" s="23" t="s">
        <v>114</v>
      </c>
      <c r="N18" s="30"/>
      <c r="O18" s="2"/>
      <c r="P18" s="2"/>
      <c r="Q18" s="2"/>
      <c r="R18" s="2"/>
      <c r="S18" s="2"/>
      <c r="T18" s="2"/>
      <c r="U18" s="2"/>
      <c r="V18" s="2"/>
      <c r="W18" s="2"/>
      <c r="X18" s="2"/>
      <c r="Y18" s="2"/>
      <c r="Z18" s="2"/>
      <c r="AA18" s="2"/>
      <c r="AB18" s="2"/>
      <c r="AC18" s="2"/>
      <c r="AD18" s="2"/>
      <c r="AE18" s="2"/>
      <c r="AF18" s="2"/>
      <c r="AG18" s="2"/>
      <c r="AH18" s="2"/>
      <c r="AI18" s="2"/>
      <c r="AJ18" s="2"/>
    </row>
    <row r="19" ht="15.75" customHeight="1">
      <c r="A19" s="26" t="s">
        <v>134</v>
      </c>
      <c r="B19" s="26" t="s">
        <v>134</v>
      </c>
      <c r="C19" s="31"/>
      <c r="D19" s="26" t="s">
        <v>119</v>
      </c>
      <c r="E19" s="26" t="s">
        <v>119</v>
      </c>
      <c r="F19" s="26" t="s">
        <v>119</v>
      </c>
      <c r="G19" s="26" t="s">
        <v>119</v>
      </c>
      <c r="H19" s="26" t="s">
        <v>119</v>
      </c>
      <c r="I19" s="26" t="s">
        <v>119</v>
      </c>
      <c r="J19" s="26" t="s">
        <v>119</v>
      </c>
      <c r="K19" s="26" t="s">
        <v>119</v>
      </c>
      <c r="L19" s="32" t="s">
        <v>119</v>
      </c>
      <c r="M19" s="32" t="s">
        <v>119</v>
      </c>
      <c r="N19" s="2"/>
      <c r="O19" s="2"/>
      <c r="P19" s="2"/>
      <c r="Q19" s="2"/>
      <c r="R19" s="2"/>
      <c r="S19" s="2"/>
      <c r="T19" s="2"/>
      <c r="U19" s="2"/>
      <c r="V19" s="2"/>
      <c r="W19" s="2"/>
      <c r="X19" s="2"/>
      <c r="Y19" s="2"/>
      <c r="Z19" s="2"/>
      <c r="AA19" s="2"/>
      <c r="AB19" s="2"/>
      <c r="AC19" s="2"/>
      <c r="AD19" s="2"/>
      <c r="AE19" s="2"/>
      <c r="AF19" s="2"/>
      <c r="AG19" s="2"/>
      <c r="AH19" s="2"/>
      <c r="AI19" s="2"/>
      <c r="AJ19" s="2"/>
    </row>
    <row r="20" ht="15.75" customHeight="1">
      <c r="A20" s="26" t="s">
        <v>134</v>
      </c>
      <c r="B20" s="26" t="s">
        <v>125</v>
      </c>
      <c r="C20" s="31"/>
      <c r="D20" s="26" t="s">
        <v>118</v>
      </c>
      <c r="E20" s="26" t="s">
        <v>119</v>
      </c>
      <c r="F20" s="26" t="s">
        <v>119</v>
      </c>
      <c r="G20" s="26" t="s">
        <v>119</v>
      </c>
      <c r="H20" s="26" t="s">
        <v>119</v>
      </c>
      <c r="I20" s="26" t="s">
        <v>119</v>
      </c>
      <c r="J20" s="26" t="s">
        <v>119</v>
      </c>
      <c r="K20" s="26" t="s">
        <v>119</v>
      </c>
      <c r="L20" s="27" t="s">
        <v>120</v>
      </c>
      <c r="M20" s="27" t="s">
        <v>120</v>
      </c>
      <c r="N20" s="2"/>
      <c r="O20" s="2"/>
      <c r="P20" s="2"/>
      <c r="Q20" s="2"/>
      <c r="R20" s="2"/>
      <c r="S20" s="2"/>
      <c r="T20" s="2"/>
      <c r="U20" s="2"/>
      <c r="V20" s="2"/>
      <c r="W20" s="2"/>
      <c r="X20" s="2"/>
      <c r="Y20" s="2"/>
      <c r="Z20" s="2"/>
      <c r="AA20" s="2"/>
      <c r="AB20" s="2"/>
      <c r="AC20" s="2"/>
      <c r="AD20" s="2"/>
      <c r="AE20" s="2"/>
      <c r="AF20" s="2"/>
      <c r="AG20" s="2"/>
      <c r="AH20" s="2"/>
      <c r="AI20" s="2"/>
      <c r="AJ20" s="2"/>
    </row>
    <row r="21" ht="15.75" customHeight="1">
      <c r="A21" s="26" t="s">
        <v>134</v>
      </c>
      <c r="B21" s="26" t="s">
        <v>126</v>
      </c>
      <c r="C21" s="31"/>
      <c r="D21" s="26" t="s">
        <v>118</v>
      </c>
      <c r="E21" s="26" t="s">
        <v>119</v>
      </c>
      <c r="F21" s="26" t="s">
        <v>119</v>
      </c>
      <c r="G21" s="26" t="s">
        <v>119</v>
      </c>
      <c r="H21" s="26" t="s">
        <v>119</v>
      </c>
      <c r="I21" s="26" t="s">
        <v>119</v>
      </c>
      <c r="J21" s="26" t="s">
        <v>119</v>
      </c>
      <c r="K21" s="26" t="s">
        <v>119</v>
      </c>
      <c r="L21" s="27" t="s">
        <v>120</v>
      </c>
      <c r="M21" s="27" t="s">
        <v>119</v>
      </c>
      <c r="N21" s="2"/>
      <c r="O21" s="2"/>
      <c r="P21" s="2"/>
      <c r="Q21" s="2"/>
      <c r="R21" s="2"/>
      <c r="S21" s="2"/>
      <c r="T21" s="2"/>
      <c r="U21" s="2"/>
      <c r="V21" s="2"/>
      <c r="W21" s="2"/>
      <c r="X21" s="2"/>
      <c r="Y21" s="2"/>
      <c r="Z21" s="2"/>
      <c r="AA21" s="2"/>
      <c r="AB21" s="2"/>
      <c r="AC21" s="2"/>
      <c r="AD21" s="2"/>
      <c r="AE21" s="2"/>
      <c r="AF21" s="2"/>
      <c r="AG21" s="2"/>
      <c r="AH21" s="2"/>
      <c r="AI21" s="2"/>
      <c r="AJ21" s="2"/>
    </row>
    <row r="22" ht="15.75" customHeight="1">
      <c r="A22" s="3"/>
      <c r="B22" s="3"/>
      <c r="C22" s="2"/>
      <c r="D22" s="2"/>
      <c r="E22" s="2"/>
      <c r="F22" s="2"/>
      <c r="G22" s="3"/>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row>
    <row r="23" ht="15.75" customHeight="1">
      <c r="A23" s="3"/>
      <c r="B23" s="3"/>
      <c r="C23" s="2"/>
      <c r="D23" s="2"/>
      <c r="E23" s="28" t="s">
        <v>135</v>
      </c>
      <c r="F23" s="28" t="s">
        <v>129</v>
      </c>
      <c r="G23" s="33" t="s">
        <v>85</v>
      </c>
      <c r="H23" s="28" t="s">
        <v>86</v>
      </c>
      <c r="I23" s="28" t="s">
        <v>130</v>
      </c>
      <c r="J23" s="28" t="s">
        <v>95</v>
      </c>
      <c r="K23" s="28" t="s">
        <v>131</v>
      </c>
      <c r="L23" s="2"/>
      <c r="M23" s="2"/>
      <c r="N23" s="2"/>
      <c r="O23" s="2"/>
      <c r="P23" s="2"/>
      <c r="Q23" s="2"/>
      <c r="R23" s="2"/>
      <c r="S23" s="2"/>
      <c r="T23" s="2"/>
      <c r="U23" s="2"/>
      <c r="V23" s="2"/>
      <c r="W23" s="2"/>
      <c r="X23" s="2"/>
      <c r="Y23" s="2"/>
      <c r="Z23" s="2"/>
      <c r="AA23" s="2"/>
      <c r="AB23" s="2"/>
      <c r="AC23" s="2"/>
      <c r="AD23" s="2"/>
      <c r="AE23" s="2"/>
      <c r="AF23" s="2"/>
      <c r="AG23" s="2"/>
      <c r="AH23" s="2"/>
      <c r="AI23" s="2"/>
      <c r="AJ23" s="2"/>
    </row>
    <row r="24" ht="15.75" customHeight="1">
      <c r="A24" s="3"/>
      <c r="B24" s="3"/>
      <c r="C24" s="2"/>
      <c r="D24" s="2"/>
      <c r="E24" s="2"/>
      <c r="F24" s="2"/>
      <c r="G24" s="3"/>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row>
    <row r="25" ht="15.75" customHeight="1">
      <c r="A25" s="3"/>
      <c r="B25" s="3"/>
      <c r="C25" s="2"/>
      <c r="D25" s="2"/>
      <c r="E25" s="2"/>
      <c r="F25" s="2"/>
      <c r="G25" s="3"/>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row>
    <row r="26" ht="15.75" customHeight="1">
      <c r="A26" s="3"/>
      <c r="B26" s="3"/>
      <c r="C26" s="2"/>
      <c r="D26" s="2"/>
      <c r="E26" s="2"/>
      <c r="F26" s="2"/>
      <c r="G26" s="3"/>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row>
    <row r="27" ht="15.75" customHeight="1">
      <c r="A27" s="3"/>
      <c r="B27" s="3"/>
      <c r="C27" s="2"/>
      <c r="D27" s="2"/>
      <c r="E27" s="2"/>
      <c r="F27" s="2"/>
      <c r="G27" s="3"/>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row>
    <row r="28" ht="15.75" customHeight="1">
      <c r="A28" s="3"/>
      <c r="B28" s="3"/>
      <c r="C28" s="2"/>
      <c r="D28" s="2"/>
      <c r="E28" s="2"/>
      <c r="F28" s="2"/>
      <c r="G28" s="3"/>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row>
    <row r="29" ht="15.75" customHeight="1">
      <c r="A29" s="3"/>
      <c r="B29" s="3"/>
      <c r="C29" s="2"/>
      <c r="D29" s="2"/>
      <c r="E29" s="2"/>
      <c r="F29" s="2"/>
      <c r="G29" s="3"/>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row>
    <row r="30" ht="15.75" customHeight="1">
      <c r="A30" s="3"/>
      <c r="B30" s="3"/>
      <c r="C30" s="2"/>
      <c r="D30" s="2"/>
      <c r="E30" s="2"/>
      <c r="F30" s="2"/>
      <c r="G30" s="3"/>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row>
    <row r="31" ht="15.75" customHeight="1">
      <c r="A31" s="3"/>
      <c r="B31" s="3"/>
      <c r="C31" s="2"/>
      <c r="D31" s="2"/>
      <c r="E31" s="2"/>
      <c r="F31" s="2"/>
      <c r="G31" s="3"/>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row>
    <row r="32" ht="15.75" customHeight="1">
      <c r="A32" s="3"/>
      <c r="B32" s="3"/>
      <c r="C32" s="2"/>
      <c r="D32" s="2"/>
      <c r="E32" s="2"/>
      <c r="F32" s="2"/>
      <c r="G32" s="3"/>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row>
    <row r="33" ht="15.75" customHeight="1">
      <c r="A33" s="3"/>
      <c r="B33" s="3"/>
      <c r="C33" s="2"/>
      <c r="D33" s="2"/>
      <c r="E33" s="2"/>
      <c r="F33" s="2"/>
      <c r="G33" s="3"/>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row>
    <row r="34" ht="15.75" customHeight="1">
      <c r="A34" s="3"/>
      <c r="B34" s="3"/>
      <c r="C34" s="2"/>
      <c r="D34" s="2"/>
      <c r="E34" s="2"/>
      <c r="F34" s="2"/>
      <c r="G34" s="3"/>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row>
    <row r="35" ht="15.75" customHeight="1">
      <c r="A35" s="3"/>
      <c r="B35" s="3"/>
      <c r="C35" s="2"/>
      <c r="D35" s="2"/>
      <c r="E35" s="2"/>
      <c r="F35" s="2"/>
      <c r="G35" s="3"/>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row>
    <row r="36" ht="15.75" customHeight="1">
      <c r="A36" s="3"/>
      <c r="B36" s="3"/>
      <c r="C36" s="2"/>
      <c r="D36" s="2"/>
      <c r="E36" s="2"/>
      <c r="F36" s="2"/>
      <c r="G36" s="3"/>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row>
    <row r="37" ht="15.75" customHeight="1">
      <c r="A37" s="3"/>
      <c r="B37" s="3"/>
      <c r="C37" s="2"/>
      <c r="D37" s="2"/>
      <c r="E37" s="2"/>
      <c r="F37" s="2"/>
      <c r="G37" s="3"/>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row>
    <row r="38" ht="15.75" customHeight="1">
      <c r="A38" s="3"/>
      <c r="B38" s="3"/>
      <c r="C38" s="2"/>
      <c r="D38" s="2"/>
      <c r="E38" s="2"/>
      <c r="F38" s="2"/>
      <c r="G38" s="3"/>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row>
    <row r="39" ht="15.75" customHeight="1">
      <c r="A39" s="3"/>
      <c r="B39" s="3"/>
      <c r="C39" s="2"/>
      <c r="D39" s="2"/>
      <c r="E39" s="2"/>
      <c r="F39" s="2"/>
      <c r="G39" s="3"/>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row>
    <row r="40" ht="15.75" customHeight="1">
      <c r="A40" s="3"/>
      <c r="B40" s="3"/>
      <c r="C40" s="2"/>
      <c r="D40" s="2"/>
      <c r="E40" s="2"/>
      <c r="F40" s="2"/>
      <c r="G40" s="3"/>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row>
    <row r="41" ht="15.75" customHeight="1">
      <c r="A41" s="3"/>
      <c r="B41" s="3"/>
      <c r="C41" s="2"/>
      <c r="D41" s="2"/>
      <c r="E41" s="2"/>
      <c r="F41" s="2"/>
      <c r="G41" s="3"/>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row>
    <row r="42" ht="15.75" customHeight="1">
      <c r="A42" s="3"/>
      <c r="B42" s="3"/>
      <c r="C42" s="2"/>
      <c r="D42" s="2"/>
      <c r="E42" s="2"/>
      <c r="F42" s="2"/>
      <c r="G42" s="3"/>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row>
    <row r="43" ht="15.75" customHeight="1">
      <c r="A43" s="3"/>
      <c r="B43" s="3"/>
      <c r="C43" s="2"/>
      <c r="D43" s="2"/>
      <c r="E43" s="2"/>
      <c r="F43" s="2"/>
      <c r="G43" s="3"/>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row>
    <row r="44" ht="15.75" customHeight="1">
      <c r="A44" s="3"/>
      <c r="B44" s="3"/>
      <c r="C44" s="2"/>
      <c r="D44" s="2"/>
      <c r="E44" s="2"/>
      <c r="F44" s="2"/>
      <c r="G44" s="3"/>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row>
    <row r="45" ht="15.75" customHeight="1">
      <c r="A45" s="3"/>
      <c r="B45" s="3"/>
      <c r="C45" s="2"/>
      <c r="D45" s="2"/>
      <c r="E45" s="2"/>
      <c r="F45" s="2"/>
      <c r="G45" s="3"/>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row>
    <row r="46" ht="15.75" customHeight="1">
      <c r="A46" s="3"/>
      <c r="B46" s="3"/>
      <c r="C46" s="2"/>
      <c r="D46" s="2"/>
      <c r="E46" s="2"/>
      <c r="F46" s="2"/>
      <c r="G46" s="3"/>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row>
    <row r="47" ht="15.75" customHeight="1">
      <c r="A47" s="3"/>
      <c r="B47" s="3"/>
      <c r="C47" s="2"/>
      <c r="D47" s="2"/>
      <c r="E47" s="2"/>
      <c r="F47" s="2"/>
      <c r="G47" s="3"/>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row>
    <row r="48" ht="15.75" customHeight="1">
      <c r="A48" s="3"/>
      <c r="B48" s="3"/>
      <c r="C48" s="2"/>
      <c r="D48" s="2"/>
      <c r="E48" s="2"/>
      <c r="F48" s="2"/>
      <c r="G48" s="3"/>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row>
    <row r="49" ht="15.75" customHeight="1">
      <c r="A49" s="3"/>
      <c r="B49" s="3"/>
      <c r="C49" s="2"/>
      <c r="D49" s="2"/>
      <c r="E49" s="2"/>
      <c r="F49" s="2"/>
      <c r="G49" s="3"/>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row>
    <row r="50" ht="15.75" customHeight="1">
      <c r="A50" s="3"/>
      <c r="B50" s="3"/>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row>
    <row r="51" ht="15.75" customHeight="1">
      <c r="A51" s="3"/>
      <c r="B51" s="3"/>
      <c r="C51" s="2"/>
      <c r="D51" s="2"/>
      <c r="E51" s="2"/>
      <c r="F51" s="2"/>
      <c r="G51" s="3"/>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row>
    <row r="52" ht="15.75" customHeight="1">
      <c r="A52" s="3"/>
      <c r="B52" s="3"/>
      <c r="C52" s="2"/>
      <c r="D52" s="2"/>
      <c r="E52" s="2"/>
      <c r="F52" s="2"/>
      <c r="G52" s="3"/>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row>
    <row r="53" ht="15.75" customHeight="1">
      <c r="A53" s="3"/>
      <c r="B53" s="3"/>
      <c r="C53" s="2"/>
      <c r="D53" s="2"/>
      <c r="E53" s="2"/>
      <c r="F53" s="2"/>
      <c r="G53" s="3"/>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row>
    <row r="54" ht="15.75" customHeight="1">
      <c r="A54" s="3"/>
      <c r="B54" s="3"/>
      <c r="C54" s="2"/>
      <c r="D54" s="2"/>
      <c r="E54" s="2"/>
      <c r="F54" s="2"/>
      <c r="G54" s="3"/>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row>
    <row r="55" ht="15.75" customHeight="1">
      <c r="A55" s="3"/>
      <c r="B55" s="3"/>
      <c r="C55" s="2"/>
      <c r="D55" s="2"/>
      <c r="E55" s="2"/>
      <c r="F55" s="2"/>
      <c r="G55" s="3"/>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row>
    <row r="56" ht="15.75" customHeight="1">
      <c r="A56" s="3"/>
      <c r="B56" s="3"/>
      <c r="C56" s="2"/>
      <c r="D56" s="2"/>
      <c r="E56" s="2"/>
      <c r="F56" s="2"/>
      <c r="G56" s="3"/>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row>
    <row r="57" ht="15.75" customHeight="1">
      <c r="A57" s="3"/>
      <c r="B57" s="3"/>
      <c r="C57" s="2"/>
      <c r="D57" s="2"/>
      <c r="E57" s="2"/>
      <c r="F57" s="2"/>
      <c r="G57" s="3"/>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row>
    <row r="58" ht="15.75" customHeight="1">
      <c r="A58" s="3"/>
      <c r="B58" s="3"/>
      <c r="C58" s="2"/>
      <c r="D58" s="2"/>
      <c r="E58" s="2"/>
      <c r="F58" s="2"/>
      <c r="G58" s="3"/>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row>
    <row r="59" ht="15.75" customHeight="1">
      <c r="A59" s="3"/>
      <c r="B59" s="3"/>
      <c r="C59" s="2"/>
      <c r="D59" s="2"/>
      <c r="E59" s="2"/>
      <c r="F59" s="2"/>
      <c r="G59" s="3"/>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row>
    <row r="60" ht="15.75" customHeight="1">
      <c r="A60" s="3"/>
      <c r="B60" s="3"/>
      <c r="C60" s="2"/>
      <c r="D60" s="2"/>
      <c r="E60" s="2"/>
      <c r="F60" s="2"/>
      <c r="G60" s="3"/>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row>
    <row r="61" ht="15.75" customHeight="1">
      <c r="A61" s="3"/>
      <c r="B61" s="3"/>
      <c r="C61" s="2"/>
      <c r="D61" s="2"/>
      <c r="E61" s="2"/>
      <c r="F61" s="2"/>
      <c r="G61" s="3"/>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row>
    <row r="62" ht="15.75" customHeight="1">
      <c r="A62" s="3"/>
      <c r="B62" s="3"/>
      <c r="C62" s="2"/>
      <c r="D62" s="2"/>
      <c r="E62" s="2"/>
      <c r="F62" s="2"/>
      <c r="G62" s="3"/>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row>
    <row r="63" ht="15.75" customHeight="1">
      <c r="A63" s="3"/>
      <c r="B63" s="3"/>
      <c r="C63" s="2"/>
      <c r="D63" s="2"/>
      <c r="E63" s="2"/>
      <c r="F63" s="2"/>
      <c r="G63" s="3"/>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row>
    <row r="64" ht="15.75" customHeight="1">
      <c r="A64" s="3"/>
      <c r="B64" s="3"/>
      <c r="C64" s="2"/>
      <c r="D64" s="2"/>
      <c r="E64" s="2"/>
      <c r="F64" s="2"/>
      <c r="G64" s="3"/>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row>
    <row r="65" ht="15.75" customHeight="1">
      <c r="A65" s="3"/>
      <c r="B65" s="3"/>
      <c r="C65" s="2"/>
      <c r="D65" s="2"/>
      <c r="E65" s="2"/>
      <c r="F65" s="2"/>
      <c r="G65" s="3"/>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row>
    <row r="66" ht="15.75" customHeight="1">
      <c r="A66" s="3"/>
      <c r="B66" s="3"/>
      <c r="C66" s="2"/>
      <c r="D66" s="2"/>
      <c r="E66" s="2"/>
      <c r="F66" s="2"/>
      <c r="G66" s="3"/>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row>
    <row r="67" ht="15.75" customHeight="1">
      <c r="A67" s="3"/>
      <c r="B67" s="3"/>
      <c r="C67" s="2"/>
      <c r="D67" s="2"/>
      <c r="E67" s="2"/>
      <c r="F67" s="2"/>
      <c r="G67" s="3"/>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row>
    <row r="68" ht="15.75" customHeight="1">
      <c r="A68" s="3"/>
      <c r="B68" s="3"/>
      <c r="C68" s="2"/>
      <c r="D68" s="2"/>
      <c r="E68" s="2"/>
      <c r="F68" s="2"/>
      <c r="G68" s="3"/>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row>
    <row r="69" ht="15.75" customHeight="1">
      <c r="A69" s="3"/>
      <c r="B69" s="3"/>
      <c r="C69" s="2"/>
      <c r="D69" s="2"/>
      <c r="E69" s="2"/>
      <c r="F69" s="2"/>
      <c r="G69" s="3"/>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row>
    <row r="70" ht="15.75" customHeight="1">
      <c r="A70" s="3"/>
      <c r="B70" s="3"/>
      <c r="C70" s="2"/>
      <c r="D70" s="2"/>
      <c r="E70" s="2"/>
      <c r="F70" s="2"/>
      <c r="G70" s="3"/>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row>
    <row r="71" ht="15.75" customHeight="1">
      <c r="A71" s="3"/>
      <c r="B71" s="3"/>
      <c r="C71" s="2"/>
      <c r="D71" s="2"/>
      <c r="E71" s="2"/>
      <c r="F71" s="2"/>
      <c r="G71" s="3"/>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row>
    <row r="72" ht="15.75" customHeight="1">
      <c r="A72" s="3"/>
      <c r="B72" s="3"/>
      <c r="C72" s="2"/>
      <c r="D72" s="2"/>
      <c r="E72" s="2"/>
      <c r="F72" s="2"/>
      <c r="G72" s="3"/>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row>
    <row r="73" ht="15.75" customHeight="1">
      <c r="A73" s="3"/>
      <c r="B73" s="3"/>
      <c r="C73" s="2"/>
      <c r="D73" s="2"/>
      <c r="E73" s="2"/>
      <c r="F73" s="2"/>
      <c r="G73" s="3"/>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row>
    <row r="74" ht="15.75" customHeight="1">
      <c r="A74" s="3"/>
      <c r="B74" s="3"/>
      <c r="C74" s="2"/>
      <c r="D74" s="2"/>
      <c r="E74" s="2"/>
      <c r="F74" s="2"/>
      <c r="G74" s="3"/>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row>
    <row r="75" ht="15.75" customHeight="1">
      <c r="A75" s="3"/>
      <c r="B75" s="3"/>
      <c r="C75" s="2"/>
      <c r="D75" s="2"/>
      <c r="E75" s="2"/>
      <c r="F75" s="2"/>
      <c r="G75" s="3"/>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row>
    <row r="76" ht="15.75" customHeight="1">
      <c r="A76" s="3"/>
      <c r="B76" s="3"/>
      <c r="C76" s="2"/>
      <c r="D76" s="2"/>
      <c r="E76" s="2"/>
      <c r="F76" s="2"/>
      <c r="G76" s="3"/>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row>
    <row r="77" ht="15.75" customHeight="1">
      <c r="A77" s="3"/>
      <c r="B77" s="3"/>
      <c r="C77" s="2"/>
      <c r="D77" s="2"/>
      <c r="E77" s="2"/>
      <c r="F77" s="2"/>
      <c r="G77" s="3"/>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row>
    <row r="78" ht="15.75" customHeight="1">
      <c r="A78" s="3"/>
      <c r="B78" s="3"/>
      <c r="C78" s="2"/>
      <c r="D78" s="2"/>
      <c r="E78" s="2"/>
      <c r="F78" s="2"/>
      <c r="G78" s="3"/>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row>
    <row r="79" ht="15.75" customHeight="1">
      <c r="A79" s="3"/>
      <c r="B79" s="3"/>
      <c r="C79" s="2"/>
      <c r="D79" s="2"/>
      <c r="E79" s="2"/>
      <c r="F79" s="2"/>
      <c r="G79" s="3"/>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row>
    <row r="80" ht="15.75" customHeight="1">
      <c r="A80" s="3"/>
      <c r="B80" s="3"/>
      <c r="C80" s="2"/>
      <c r="D80" s="2"/>
      <c r="E80" s="2"/>
      <c r="F80" s="2"/>
      <c r="G80" s="3"/>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row>
    <row r="81" ht="15.75" customHeight="1">
      <c r="A81" s="3"/>
      <c r="B81" s="3"/>
      <c r="C81" s="2"/>
      <c r="D81" s="2"/>
      <c r="E81" s="2"/>
      <c r="F81" s="2"/>
      <c r="G81" s="3"/>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row>
    <row r="82" ht="15.75" customHeight="1">
      <c r="A82" s="3"/>
      <c r="B82" s="3"/>
      <c r="C82" s="2"/>
      <c r="D82" s="2"/>
      <c r="E82" s="2"/>
      <c r="F82" s="2"/>
      <c r="G82" s="3"/>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row>
    <row r="83" ht="15.75" customHeight="1">
      <c r="A83" s="3"/>
      <c r="B83" s="3"/>
      <c r="C83" s="2"/>
      <c r="D83" s="2"/>
      <c r="E83" s="2"/>
      <c r="F83" s="2"/>
      <c r="G83" s="3"/>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row>
    <row r="84" ht="15.75" customHeight="1">
      <c r="A84" s="3"/>
      <c r="B84" s="3"/>
      <c r="C84" s="2"/>
      <c r="D84" s="2"/>
      <c r="E84" s="2"/>
      <c r="F84" s="2"/>
      <c r="G84" s="3"/>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row>
    <row r="85" ht="15.75" customHeight="1">
      <c r="A85" s="3"/>
      <c r="B85" s="3"/>
      <c r="C85" s="2"/>
      <c r="D85" s="2"/>
      <c r="E85" s="2"/>
      <c r="F85" s="2"/>
      <c r="G85" s="3"/>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row>
    <row r="86" ht="15.75" customHeight="1">
      <c r="A86" s="3"/>
      <c r="B86" s="3"/>
      <c r="C86" s="2"/>
      <c r="D86" s="2"/>
      <c r="E86" s="2"/>
      <c r="F86" s="2"/>
      <c r="G86" s="3"/>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row>
    <row r="87" ht="15.75" customHeight="1">
      <c r="A87" s="3"/>
      <c r="B87" s="3"/>
      <c r="C87" s="2"/>
      <c r="D87" s="2"/>
      <c r="E87" s="2"/>
      <c r="F87" s="2"/>
      <c r="G87" s="3"/>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row>
    <row r="88" ht="15.75" customHeight="1">
      <c r="A88" s="3"/>
      <c r="B88" s="3"/>
      <c r="C88" s="2"/>
      <c r="D88" s="2"/>
      <c r="E88" s="2"/>
      <c r="F88" s="2"/>
      <c r="G88" s="3"/>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row>
    <row r="89" ht="15.75" customHeight="1">
      <c r="A89" s="3"/>
      <c r="B89" s="3"/>
      <c r="C89" s="2"/>
      <c r="D89" s="2"/>
      <c r="E89" s="2"/>
      <c r="F89" s="2"/>
      <c r="G89" s="3"/>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row>
    <row r="90" ht="15.75" customHeight="1">
      <c r="A90" s="3"/>
      <c r="B90" s="3"/>
      <c r="C90" s="2"/>
      <c r="D90" s="2"/>
      <c r="E90" s="2"/>
      <c r="F90" s="2"/>
      <c r="G90" s="3"/>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row>
    <row r="91" ht="15.75" customHeight="1">
      <c r="A91" s="3"/>
      <c r="B91" s="3"/>
      <c r="C91" s="2"/>
      <c r="D91" s="2"/>
      <c r="E91" s="2"/>
      <c r="F91" s="2"/>
      <c r="G91" s="3"/>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row>
    <row r="92" ht="15.75" customHeight="1">
      <c r="A92" s="3"/>
      <c r="B92" s="3"/>
      <c r="C92" s="2"/>
      <c r="D92" s="2"/>
      <c r="E92" s="2"/>
      <c r="F92" s="2"/>
      <c r="G92" s="3"/>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row>
    <row r="93" ht="15.75" customHeight="1">
      <c r="A93" s="3"/>
      <c r="B93" s="3"/>
      <c r="C93" s="2"/>
      <c r="D93" s="2"/>
      <c r="E93" s="2"/>
      <c r="F93" s="2"/>
      <c r="G93" s="3"/>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row>
    <row r="94" ht="15.75" customHeight="1">
      <c r="A94" s="3"/>
      <c r="B94" s="3"/>
      <c r="C94" s="2"/>
      <c r="D94" s="2"/>
      <c r="E94" s="2"/>
      <c r="F94" s="2"/>
      <c r="G94" s="3"/>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row>
    <row r="95" ht="15.75" customHeight="1">
      <c r="A95" s="3"/>
      <c r="B95" s="3"/>
      <c r="C95" s="2"/>
      <c r="D95" s="2"/>
      <c r="E95" s="2"/>
      <c r="F95" s="2"/>
      <c r="G95" s="3"/>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row>
    <row r="96" ht="15.75" customHeight="1">
      <c r="A96" s="3"/>
      <c r="B96" s="3"/>
      <c r="C96" s="2"/>
      <c r="D96" s="2"/>
      <c r="E96" s="2"/>
      <c r="F96" s="2"/>
      <c r="G96" s="3"/>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row>
    <row r="97" ht="15.75" customHeight="1">
      <c r="A97" s="3"/>
      <c r="B97" s="3"/>
      <c r="C97" s="2"/>
      <c r="D97" s="2"/>
      <c r="E97" s="2"/>
      <c r="F97" s="2"/>
      <c r="G97" s="3"/>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row>
    <row r="98" ht="15.75" customHeight="1">
      <c r="A98" s="3"/>
      <c r="B98" s="3"/>
      <c r="C98" s="2"/>
      <c r="D98" s="2"/>
      <c r="E98" s="2"/>
      <c r="F98" s="2"/>
      <c r="G98" s="3"/>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row>
    <row r="99" ht="15.75" customHeight="1">
      <c r="A99" s="3"/>
      <c r="B99" s="3"/>
      <c r="C99" s="2"/>
      <c r="D99" s="2"/>
      <c r="E99" s="2"/>
      <c r="F99" s="2"/>
      <c r="G99" s="3"/>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row>
    <row r="100" ht="15.75" customHeight="1">
      <c r="A100" s="3"/>
      <c r="B100" s="3"/>
      <c r="C100" s="2"/>
      <c r="D100" s="2"/>
      <c r="E100" s="2"/>
      <c r="F100" s="2"/>
      <c r="G100" s="3"/>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row>
    <row r="101" ht="15.75" customHeight="1">
      <c r="A101" s="3"/>
      <c r="B101" s="3"/>
      <c r="C101" s="2"/>
      <c r="D101" s="2"/>
      <c r="E101" s="2"/>
      <c r="F101" s="2"/>
      <c r="G101" s="3"/>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row>
    <row r="102" ht="15.75" customHeight="1">
      <c r="A102" s="3"/>
      <c r="B102" s="3"/>
      <c r="C102" s="2"/>
      <c r="D102" s="2"/>
      <c r="E102" s="2"/>
      <c r="F102" s="2"/>
      <c r="G102" s="3"/>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row>
    <row r="103" ht="15.75" customHeight="1">
      <c r="A103" s="3"/>
      <c r="B103" s="3"/>
      <c r="C103" s="2"/>
      <c r="D103" s="2"/>
      <c r="E103" s="2"/>
      <c r="F103" s="2"/>
      <c r="G103" s="3"/>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row>
    <row r="104" ht="15.75" customHeight="1">
      <c r="A104" s="3"/>
      <c r="B104" s="3"/>
      <c r="C104" s="2"/>
      <c r="D104" s="2"/>
      <c r="E104" s="2"/>
      <c r="F104" s="2"/>
      <c r="G104" s="3"/>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row>
    <row r="105" ht="15.75" customHeight="1">
      <c r="A105" s="3"/>
      <c r="B105" s="3"/>
      <c r="C105" s="2"/>
      <c r="D105" s="2"/>
      <c r="E105" s="2"/>
      <c r="F105" s="2"/>
      <c r="G105" s="3"/>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row>
    <row r="106" ht="15.75" customHeight="1">
      <c r="A106" s="3"/>
      <c r="B106" s="3"/>
      <c r="C106" s="2"/>
      <c r="D106" s="2"/>
      <c r="E106" s="2"/>
      <c r="F106" s="2"/>
      <c r="G106" s="3"/>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row>
    <row r="107" ht="15.75" customHeight="1">
      <c r="A107" s="3"/>
      <c r="B107" s="3"/>
      <c r="C107" s="2"/>
      <c r="D107" s="2"/>
      <c r="E107" s="2"/>
      <c r="F107" s="2"/>
      <c r="G107" s="3"/>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row>
    <row r="108" ht="15.75" customHeight="1">
      <c r="A108" s="3"/>
      <c r="B108" s="3"/>
      <c r="C108" s="2"/>
      <c r="D108" s="2"/>
      <c r="E108" s="2"/>
      <c r="F108" s="2"/>
      <c r="G108" s="3"/>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row>
    <row r="109" ht="15.75" customHeight="1">
      <c r="A109" s="3"/>
      <c r="B109" s="3"/>
      <c r="C109" s="2"/>
      <c r="D109" s="2"/>
      <c r="E109" s="2"/>
      <c r="F109" s="2"/>
      <c r="G109" s="3"/>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row>
    <row r="110" ht="15.75" customHeight="1">
      <c r="A110" s="3"/>
      <c r="B110" s="3"/>
      <c r="C110" s="2"/>
      <c r="D110" s="2"/>
      <c r="E110" s="2"/>
      <c r="F110" s="2"/>
      <c r="G110" s="3"/>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row>
    <row r="111" ht="15.75" customHeight="1">
      <c r="A111" s="3"/>
      <c r="B111" s="3"/>
      <c r="C111" s="2"/>
      <c r="D111" s="2"/>
      <c r="E111" s="2"/>
      <c r="F111" s="2"/>
      <c r="G111" s="3"/>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row>
    <row r="112" ht="15.75" customHeight="1">
      <c r="A112" s="3"/>
      <c r="B112" s="3"/>
      <c r="C112" s="2"/>
      <c r="D112" s="2"/>
      <c r="E112" s="2"/>
      <c r="F112" s="2"/>
      <c r="G112" s="3"/>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row>
    <row r="113" ht="15.75" customHeight="1">
      <c r="A113" s="3"/>
      <c r="B113" s="3"/>
      <c r="C113" s="2"/>
      <c r="D113" s="2"/>
      <c r="E113" s="2"/>
      <c r="F113" s="2"/>
      <c r="G113" s="3"/>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row>
    <row r="114" ht="15.75" customHeight="1">
      <c r="A114" s="3"/>
      <c r="B114" s="3"/>
      <c r="C114" s="2"/>
      <c r="D114" s="2"/>
      <c r="E114" s="2"/>
      <c r="F114" s="2"/>
      <c r="G114" s="3"/>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row>
    <row r="115" ht="15.75" customHeight="1">
      <c r="A115" s="3"/>
      <c r="B115" s="3"/>
      <c r="C115" s="2"/>
      <c r="D115" s="2"/>
      <c r="E115" s="2"/>
      <c r="F115" s="2"/>
      <c r="G115" s="3"/>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row>
    <row r="116" ht="15.75" customHeight="1">
      <c r="A116" s="3"/>
      <c r="B116" s="3"/>
      <c r="C116" s="2"/>
      <c r="D116" s="2"/>
      <c r="E116" s="2"/>
      <c r="F116" s="2"/>
      <c r="G116" s="3"/>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row>
  </sheetData>
  <dataValidations>
    <dataValidation type="list" allowBlank="1" showErrorMessage="1" sqref="D19:K21">
      <formula1>"非表示,表示,ロック"</formula1>
    </dataValidation>
    <dataValidation type="list" allowBlank="1" showErrorMessage="1" sqref="D3:AJ15 L19:M21">
      <formula1>"非表示,表示,ロック"</formula1>
    </dataValidation>
  </dataValidations>
  <drawing r:id="rId1"/>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13"/>
    <col customWidth="1" min="2" max="2" width="10.63"/>
    <col customWidth="1" min="3" max="3" width="5.5"/>
    <col customWidth="1" min="4" max="4" width="132.88"/>
    <col customWidth="1" min="5" max="5" width="5.63"/>
    <col customWidth="1" min="6" max="6" width="12.63"/>
  </cols>
  <sheetData>
    <row r="1" ht="15.75" customHeight="1">
      <c r="A1" s="34" t="s">
        <v>136</v>
      </c>
      <c r="B1" s="34" t="s">
        <v>137</v>
      </c>
      <c r="C1" s="34" t="s">
        <v>138</v>
      </c>
      <c r="D1" s="34" t="s">
        <v>139</v>
      </c>
      <c r="E1" s="34" t="s">
        <v>140</v>
      </c>
      <c r="F1" s="34" t="s">
        <v>141</v>
      </c>
      <c r="G1" s="34" t="s">
        <v>142</v>
      </c>
      <c r="H1" s="2"/>
      <c r="I1" s="2"/>
      <c r="J1" s="2"/>
      <c r="K1" s="2"/>
      <c r="L1" s="2"/>
      <c r="M1" s="2"/>
      <c r="N1" s="2"/>
      <c r="O1" s="2"/>
      <c r="P1" s="2"/>
      <c r="Q1" s="2"/>
      <c r="R1" s="2"/>
      <c r="S1" s="2"/>
      <c r="T1" s="2"/>
      <c r="U1" s="2"/>
      <c r="V1" s="2"/>
      <c r="W1" s="2"/>
      <c r="X1" s="2"/>
      <c r="Y1" s="2"/>
      <c r="Z1" s="2"/>
    </row>
    <row r="2" ht="15.75" customHeight="1">
      <c r="A2" s="26">
        <v>1.0</v>
      </c>
      <c r="B2" s="35" t="s">
        <v>143</v>
      </c>
      <c r="C2" s="36" t="b">
        <v>0</v>
      </c>
      <c r="D2" s="37" t="s">
        <v>144</v>
      </c>
      <c r="E2" s="37" t="s">
        <v>145</v>
      </c>
      <c r="F2" s="37"/>
      <c r="G2" s="37"/>
      <c r="H2" s="2"/>
      <c r="I2" s="2"/>
      <c r="J2" s="2"/>
      <c r="K2" s="2"/>
      <c r="L2" s="2"/>
      <c r="M2" s="2"/>
      <c r="N2" s="2"/>
      <c r="O2" s="2"/>
      <c r="P2" s="2"/>
      <c r="Q2" s="2"/>
      <c r="R2" s="2"/>
      <c r="S2" s="2"/>
      <c r="T2" s="2"/>
      <c r="U2" s="2"/>
      <c r="V2" s="2"/>
      <c r="W2" s="2"/>
      <c r="X2" s="2"/>
      <c r="Y2" s="2"/>
      <c r="Z2" s="2"/>
    </row>
    <row r="3" ht="15.75" customHeight="1">
      <c r="A3" s="37">
        <f t="shared" ref="A3:A52" si="1">row()-1</f>
        <v>2</v>
      </c>
      <c r="B3" s="35" t="s">
        <v>143</v>
      </c>
      <c r="C3" s="36" t="b">
        <v>0</v>
      </c>
      <c r="D3" s="26" t="s">
        <v>146</v>
      </c>
      <c r="E3" s="37" t="s">
        <v>145</v>
      </c>
      <c r="F3" s="37"/>
      <c r="G3" s="37"/>
      <c r="H3" s="2"/>
      <c r="I3" s="2"/>
      <c r="J3" s="2"/>
      <c r="K3" s="2"/>
      <c r="L3" s="2"/>
      <c r="M3" s="2"/>
      <c r="N3" s="2"/>
      <c r="O3" s="2"/>
      <c r="P3" s="2"/>
      <c r="Q3" s="2"/>
      <c r="R3" s="2"/>
      <c r="S3" s="2"/>
      <c r="T3" s="2"/>
      <c r="U3" s="2"/>
      <c r="V3" s="2"/>
      <c r="W3" s="2"/>
      <c r="X3" s="2"/>
      <c r="Y3" s="2"/>
      <c r="Z3" s="2"/>
    </row>
    <row r="4" ht="15.75" customHeight="1">
      <c r="A4" s="37">
        <f t="shared" si="1"/>
        <v>3</v>
      </c>
      <c r="B4" s="35" t="s">
        <v>143</v>
      </c>
      <c r="C4" s="36" t="b">
        <v>0</v>
      </c>
      <c r="D4" s="26" t="s">
        <v>147</v>
      </c>
      <c r="E4" s="37" t="s">
        <v>145</v>
      </c>
      <c r="F4" s="37"/>
      <c r="G4" s="37"/>
      <c r="H4" s="2"/>
      <c r="I4" s="2"/>
      <c r="J4" s="2"/>
      <c r="K4" s="2"/>
      <c r="L4" s="2"/>
      <c r="M4" s="2"/>
      <c r="N4" s="2"/>
      <c r="O4" s="2"/>
      <c r="P4" s="2"/>
      <c r="Q4" s="2"/>
      <c r="R4" s="2"/>
      <c r="S4" s="2"/>
      <c r="T4" s="2"/>
      <c r="U4" s="2"/>
      <c r="V4" s="2"/>
      <c r="W4" s="2"/>
      <c r="X4" s="2"/>
      <c r="Y4" s="2"/>
      <c r="Z4" s="2"/>
    </row>
    <row r="5" ht="15.75" customHeight="1">
      <c r="A5" s="37">
        <f t="shared" si="1"/>
        <v>4</v>
      </c>
      <c r="B5" s="35" t="s">
        <v>143</v>
      </c>
      <c r="C5" s="36" t="b">
        <v>0</v>
      </c>
      <c r="D5" s="26" t="s">
        <v>148</v>
      </c>
      <c r="E5" s="37" t="s">
        <v>145</v>
      </c>
      <c r="F5" s="37"/>
      <c r="G5" s="37"/>
      <c r="H5" s="2"/>
      <c r="I5" s="2"/>
      <c r="J5" s="2"/>
      <c r="K5" s="2"/>
      <c r="L5" s="2"/>
      <c r="M5" s="2"/>
      <c r="N5" s="2"/>
      <c r="O5" s="2"/>
      <c r="P5" s="2"/>
      <c r="Q5" s="2"/>
      <c r="R5" s="2"/>
      <c r="S5" s="2"/>
      <c r="T5" s="2"/>
      <c r="U5" s="2"/>
      <c r="V5" s="2"/>
      <c r="W5" s="2"/>
      <c r="X5" s="2"/>
      <c r="Y5" s="2"/>
      <c r="Z5" s="2"/>
    </row>
    <row r="6" ht="15.75" customHeight="1">
      <c r="A6" s="37">
        <f t="shared" si="1"/>
        <v>5</v>
      </c>
      <c r="B6" s="35" t="s">
        <v>149</v>
      </c>
      <c r="C6" s="36" t="b">
        <v>0</v>
      </c>
      <c r="D6" s="37" t="s">
        <v>150</v>
      </c>
      <c r="E6" s="37" t="s">
        <v>145</v>
      </c>
      <c r="F6" s="37"/>
      <c r="G6" s="37"/>
      <c r="H6" s="2"/>
      <c r="I6" s="2"/>
      <c r="J6" s="2"/>
      <c r="K6" s="2"/>
      <c r="L6" s="2"/>
      <c r="M6" s="2"/>
      <c r="N6" s="2"/>
      <c r="O6" s="2"/>
      <c r="P6" s="2"/>
      <c r="Q6" s="2"/>
      <c r="R6" s="2"/>
      <c r="S6" s="2"/>
      <c r="T6" s="2"/>
      <c r="U6" s="2"/>
      <c r="V6" s="2"/>
      <c r="W6" s="2"/>
      <c r="X6" s="2"/>
      <c r="Y6" s="2"/>
      <c r="Z6" s="2"/>
    </row>
    <row r="7" ht="15.75" customHeight="1">
      <c r="A7" s="37">
        <f t="shared" si="1"/>
        <v>6</v>
      </c>
      <c r="B7" s="35" t="s">
        <v>149</v>
      </c>
      <c r="C7" s="36" t="b">
        <v>0</v>
      </c>
      <c r="D7" s="37" t="s">
        <v>151</v>
      </c>
      <c r="E7" s="37" t="s">
        <v>145</v>
      </c>
      <c r="F7" s="37"/>
      <c r="G7" s="37"/>
      <c r="H7" s="2"/>
      <c r="I7" s="2"/>
      <c r="J7" s="2"/>
      <c r="K7" s="2"/>
      <c r="L7" s="2"/>
      <c r="M7" s="2"/>
      <c r="N7" s="2"/>
      <c r="O7" s="2"/>
      <c r="P7" s="2"/>
      <c r="Q7" s="2"/>
      <c r="R7" s="2"/>
      <c r="S7" s="2"/>
      <c r="T7" s="2"/>
      <c r="U7" s="2"/>
      <c r="V7" s="2"/>
      <c r="W7" s="2"/>
      <c r="X7" s="2"/>
      <c r="Y7" s="2"/>
      <c r="Z7" s="2"/>
    </row>
    <row r="8" ht="15.75" customHeight="1">
      <c r="A8" s="37">
        <f t="shared" si="1"/>
        <v>7</v>
      </c>
      <c r="B8" s="35" t="s">
        <v>149</v>
      </c>
      <c r="C8" s="36" t="b">
        <v>0</v>
      </c>
      <c r="D8" s="37" t="s">
        <v>152</v>
      </c>
      <c r="E8" s="37" t="s">
        <v>145</v>
      </c>
      <c r="F8" s="37"/>
      <c r="G8" s="37"/>
      <c r="H8" s="2"/>
      <c r="I8" s="2"/>
      <c r="J8" s="2"/>
      <c r="K8" s="2"/>
      <c r="L8" s="2"/>
      <c r="M8" s="2"/>
      <c r="N8" s="2"/>
      <c r="O8" s="2"/>
      <c r="P8" s="2"/>
      <c r="Q8" s="2"/>
      <c r="R8" s="2"/>
      <c r="S8" s="2"/>
      <c r="T8" s="2"/>
      <c r="U8" s="2"/>
      <c r="V8" s="2"/>
      <c r="W8" s="2"/>
      <c r="X8" s="2"/>
      <c r="Y8" s="2"/>
      <c r="Z8" s="2"/>
    </row>
    <row r="9" ht="15.75" customHeight="1">
      <c r="A9" s="37">
        <f t="shared" si="1"/>
        <v>8</v>
      </c>
      <c r="B9" s="35" t="s">
        <v>149</v>
      </c>
      <c r="C9" s="36" t="b">
        <v>0</v>
      </c>
      <c r="D9" s="37" t="s">
        <v>153</v>
      </c>
      <c r="E9" s="37" t="s">
        <v>145</v>
      </c>
      <c r="F9" s="37"/>
      <c r="G9" s="37"/>
      <c r="H9" s="2"/>
      <c r="I9" s="2"/>
      <c r="J9" s="2"/>
      <c r="K9" s="2"/>
      <c r="L9" s="2"/>
      <c r="M9" s="2"/>
      <c r="N9" s="2"/>
      <c r="O9" s="2"/>
      <c r="P9" s="2"/>
      <c r="Q9" s="2"/>
      <c r="R9" s="2"/>
      <c r="S9" s="2"/>
      <c r="T9" s="2"/>
      <c r="U9" s="2"/>
      <c r="V9" s="2"/>
      <c r="W9" s="2"/>
      <c r="X9" s="2"/>
      <c r="Y9" s="2"/>
      <c r="Z9" s="2"/>
    </row>
    <row r="10" ht="15.75" customHeight="1">
      <c r="A10" s="37">
        <f t="shared" si="1"/>
        <v>9</v>
      </c>
      <c r="B10" s="35" t="s">
        <v>149</v>
      </c>
      <c r="C10" s="36" t="b">
        <v>0</v>
      </c>
      <c r="D10" s="37" t="s">
        <v>154</v>
      </c>
      <c r="E10" s="37" t="s">
        <v>145</v>
      </c>
      <c r="F10" s="37"/>
      <c r="G10" s="37"/>
      <c r="H10" s="2"/>
      <c r="I10" s="2"/>
      <c r="J10" s="2"/>
      <c r="K10" s="2"/>
      <c r="L10" s="2"/>
      <c r="M10" s="2"/>
      <c r="N10" s="2"/>
      <c r="O10" s="2"/>
      <c r="P10" s="2"/>
      <c r="Q10" s="2"/>
      <c r="R10" s="2"/>
      <c r="S10" s="2"/>
      <c r="T10" s="2"/>
      <c r="U10" s="2"/>
      <c r="V10" s="2"/>
      <c r="W10" s="2"/>
      <c r="X10" s="2"/>
      <c r="Y10" s="2"/>
      <c r="Z10" s="2"/>
    </row>
    <row r="11" ht="15.75" customHeight="1">
      <c r="A11" s="37">
        <f t="shared" si="1"/>
        <v>10</v>
      </c>
      <c r="B11" s="35" t="s">
        <v>149</v>
      </c>
      <c r="C11" s="36" t="b">
        <v>0</v>
      </c>
      <c r="D11" s="37" t="s">
        <v>155</v>
      </c>
      <c r="E11" s="37" t="s">
        <v>145</v>
      </c>
      <c r="F11" s="37"/>
      <c r="G11" s="37"/>
      <c r="H11" s="2"/>
      <c r="I11" s="2"/>
      <c r="J11" s="2"/>
      <c r="K11" s="2"/>
      <c r="L11" s="2"/>
      <c r="M11" s="2"/>
      <c r="N11" s="2"/>
      <c r="O11" s="2"/>
      <c r="P11" s="2"/>
      <c r="Q11" s="2"/>
      <c r="R11" s="2"/>
      <c r="S11" s="2"/>
      <c r="T11" s="2"/>
      <c r="U11" s="2"/>
      <c r="V11" s="2"/>
      <c r="W11" s="2"/>
      <c r="X11" s="2"/>
      <c r="Y11" s="2"/>
      <c r="Z11" s="2"/>
    </row>
    <row r="12" ht="15.75" customHeight="1">
      <c r="A12" s="37">
        <f t="shared" si="1"/>
        <v>11</v>
      </c>
      <c r="B12" s="35" t="s">
        <v>149</v>
      </c>
      <c r="C12" s="36" t="b">
        <v>0</v>
      </c>
      <c r="D12" s="26" t="s">
        <v>156</v>
      </c>
      <c r="E12" s="37" t="s">
        <v>145</v>
      </c>
      <c r="F12" s="37"/>
      <c r="G12" s="37"/>
      <c r="H12" s="2"/>
      <c r="I12" s="2"/>
      <c r="J12" s="2"/>
      <c r="K12" s="2"/>
      <c r="L12" s="2"/>
      <c r="M12" s="2"/>
      <c r="N12" s="2"/>
      <c r="O12" s="2"/>
      <c r="P12" s="2"/>
      <c r="Q12" s="2"/>
      <c r="R12" s="2"/>
      <c r="S12" s="2"/>
      <c r="T12" s="2"/>
      <c r="U12" s="2"/>
      <c r="V12" s="2"/>
      <c r="W12" s="2"/>
      <c r="X12" s="2"/>
      <c r="Y12" s="2"/>
      <c r="Z12" s="2"/>
    </row>
    <row r="13" ht="15.75" customHeight="1">
      <c r="A13" s="37">
        <f t="shared" si="1"/>
        <v>12</v>
      </c>
      <c r="B13" s="35" t="s">
        <v>149</v>
      </c>
      <c r="C13" s="36" t="b">
        <v>0</v>
      </c>
      <c r="D13" s="37" t="s">
        <v>157</v>
      </c>
      <c r="E13" s="37" t="s">
        <v>145</v>
      </c>
      <c r="F13" s="37"/>
      <c r="G13" s="37"/>
      <c r="H13" s="2"/>
      <c r="I13" s="2"/>
      <c r="J13" s="2"/>
      <c r="K13" s="2"/>
      <c r="L13" s="2"/>
      <c r="M13" s="2"/>
      <c r="N13" s="2"/>
      <c r="O13" s="2"/>
      <c r="P13" s="2"/>
      <c r="Q13" s="2"/>
      <c r="R13" s="2"/>
      <c r="S13" s="2"/>
      <c r="T13" s="2"/>
      <c r="U13" s="2"/>
      <c r="V13" s="2"/>
      <c r="W13" s="2"/>
      <c r="X13" s="2"/>
      <c r="Y13" s="2"/>
      <c r="Z13" s="2"/>
    </row>
    <row r="14" ht="15.75" customHeight="1">
      <c r="A14" s="37">
        <f t="shared" si="1"/>
        <v>13</v>
      </c>
      <c r="B14" s="35" t="s">
        <v>149</v>
      </c>
      <c r="C14" s="36" t="b">
        <v>0</v>
      </c>
      <c r="D14" s="37" t="s">
        <v>158</v>
      </c>
      <c r="E14" s="37" t="s">
        <v>145</v>
      </c>
      <c r="F14" s="37"/>
      <c r="G14" s="37"/>
      <c r="H14" s="2"/>
      <c r="I14" s="2"/>
      <c r="J14" s="2"/>
      <c r="K14" s="2"/>
      <c r="L14" s="2"/>
      <c r="M14" s="2"/>
      <c r="N14" s="2"/>
      <c r="O14" s="2"/>
      <c r="P14" s="2"/>
      <c r="Q14" s="2"/>
      <c r="R14" s="2"/>
      <c r="S14" s="2"/>
      <c r="T14" s="2"/>
      <c r="U14" s="2"/>
      <c r="V14" s="2"/>
      <c r="W14" s="2"/>
      <c r="X14" s="2"/>
      <c r="Y14" s="2"/>
      <c r="Z14" s="2"/>
    </row>
    <row r="15" ht="15.75" customHeight="1">
      <c r="A15" s="37">
        <f t="shared" si="1"/>
        <v>14</v>
      </c>
      <c r="B15" s="35" t="s">
        <v>149</v>
      </c>
      <c r="C15" s="36" t="b">
        <v>0</v>
      </c>
      <c r="D15" s="37" t="s">
        <v>159</v>
      </c>
      <c r="E15" s="37" t="s">
        <v>145</v>
      </c>
      <c r="F15" s="37"/>
      <c r="G15" s="37"/>
      <c r="H15" s="2"/>
      <c r="I15" s="2"/>
      <c r="J15" s="2"/>
      <c r="K15" s="2"/>
      <c r="L15" s="2"/>
      <c r="M15" s="2"/>
      <c r="N15" s="2"/>
      <c r="O15" s="2"/>
      <c r="P15" s="2"/>
      <c r="Q15" s="2"/>
      <c r="R15" s="2"/>
      <c r="S15" s="2"/>
      <c r="T15" s="2"/>
      <c r="U15" s="2"/>
      <c r="V15" s="2"/>
      <c r="W15" s="2"/>
      <c r="X15" s="2"/>
      <c r="Y15" s="2"/>
      <c r="Z15" s="2"/>
    </row>
    <row r="16" ht="15.75" customHeight="1">
      <c r="A16" s="37">
        <f t="shared" si="1"/>
        <v>15</v>
      </c>
      <c r="B16" s="35" t="s">
        <v>149</v>
      </c>
      <c r="C16" s="36" t="b">
        <v>0</v>
      </c>
      <c r="D16" s="37" t="s">
        <v>160</v>
      </c>
      <c r="E16" s="37" t="s">
        <v>145</v>
      </c>
      <c r="F16" s="37"/>
      <c r="G16" s="37"/>
      <c r="H16" s="2"/>
      <c r="I16" s="2"/>
      <c r="J16" s="2"/>
      <c r="K16" s="2"/>
      <c r="L16" s="2"/>
      <c r="M16" s="2"/>
      <c r="N16" s="2"/>
      <c r="O16" s="2"/>
      <c r="P16" s="2"/>
      <c r="Q16" s="2"/>
      <c r="R16" s="2"/>
      <c r="S16" s="2"/>
      <c r="T16" s="2"/>
      <c r="U16" s="2"/>
      <c r="V16" s="2"/>
      <c r="W16" s="2"/>
      <c r="X16" s="2"/>
      <c r="Y16" s="2"/>
      <c r="Z16" s="2"/>
    </row>
    <row r="17" ht="15.75" customHeight="1">
      <c r="A17" s="37">
        <f t="shared" si="1"/>
        <v>16</v>
      </c>
      <c r="B17" s="35" t="s">
        <v>149</v>
      </c>
      <c r="C17" s="36" t="b">
        <v>0</v>
      </c>
      <c r="D17" s="37" t="s">
        <v>161</v>
      </c>
      <c r="E17" s="37" t="s">
        <v>145</v>
      </c>
      <c r="F17" s="37"/>
      <c r="G17" s="37"/>
      <c r="H17" s="2"/>
      <c r="I17" s="2"/>
      <c r="J17" s="2"/>
      <c r="K17" s="2"/>
      <c r="L17" s="2"/>
      <c r="M17" s="2"/>
      <c r="N17" s="2"/>
      <c r="O17" s="2"/>
      <c r="P17" s="2"/>
      <c r="Q17" s="2"/>
      <c r="R17" s="2"/>
      <c r="S17" s="2"/>
      <c r="T17" s="2"/>
      <c r="U17" s="2"/>
      <c r="V17" s="2"/>
      <c r="W17" s="2"/>
      <c r="X17" s="2"/>
      <c r="Y17" s="2"/>
      <c r="Z17" s="2"/>
    </row>
    <row r="18" ht="15.75" customHeight="1">
      <c r="A18" s="37">
        <f t="shared" si="1"/>
        <v>17</v>
      </c>
      <c r="B18" s="35" t="s">
        <v>149</v>
      </c>
      <c r="C18" s="36" t="b">
        <v>0</v>
      </c>
      <c r="D18" s="26" t="s">
        <v>162</v>
      </c>
      <c r="E18" s="37" t="s">
        <v>145</v>
      </c>
      <c r="F18" s="37"/>
      <c r="G18" s="37"/>
      <c r="H18" s="2"/>
      <c r="I18" s="2"/>
      <c r="J18" s="2"/>
      <c r="K18" s="2"/>
      <c r="L18" s="2"/>
      <c r="M18" s="2"/>
      <c r="N18" s="2"/>
      <c r="O18" s="2"/>
      <c r="P18" s="2"/>
      <c r="Q18" s="2"/>
      <c r="R18" s="2"/>
      <c r="S18" s="2"/>
      <c r="T18" s="2"/>
      <c r="U18" s="2"/>
      <c r="V18" s="2"/>
      <c r="W18" s="2"/>
      <c r="X18" s="2"/>
      <c r="Y18" s="2"/>
      <c r="Z18" s="2"/>
    </row>
    <row r="19" ht="15.75" customHeight="1">
      <c r="A19" s="37">
        <f t="shared" si="1"/>
        <v>18</v>
      </c>
      <c r="B19" s="35" t="s">
        <v>149</v>
      </c>
      <c r="C19" s="36" t="b">
        <v>0</v>
      </c>
      <c r="D19" s="26" t="s">
        <v>163</v>
      </c>
      <c r="E19" s="37" t="s">
        <v>145</v>
      </c>
      <c r="F19" s="37"/>
      <c r="G19" s="37"/>
      <c r="H19" s="2"/>
      <c r="I19" s="2"/>
      <c r="J19" s="2"/>
      <c r="K19" s="2"/>
      <c r="L19" s="2"/>
      <c r="M19" s="2"/>
      <c r="N19" s="2"/>
      <c r="O19" s="2"/>
      <c r="P19" s="2"/>
      <c r="Q19" s="2"/>
      <c r="R19" s="2"/>
      <c r="S19" s="2"/>
      <c r="T19" s="2"/>
      <c r="U19" s="2"/>
      <c r="V19" s="2"/>
      <c r="W19" s="2"/>
      <c r="X19" s="2"/>
      <c r="Y19" s="2"/>
      <c r="Z19" s="2"/>
    </row>
    <row r="20" ht="15.75" customHeight="1">
      <c r="A20" s="37">
        <f t="shared" si="1"/>
        <v>19</v>
      </c>
      <c r="B20" s="35" t="s">
        <v>164</v>
      </c>
      <c r="C20" s="36" t="b">
        <v>0</v>
      </c>
      <c r="D20" s="37" t="s">
        <v>165</v>
      </c>
      <c r="E20" s="37" t="s">
        <v>145</v>
      </c>
      <c r="F20" s="37"/>
      <c r="G20" s="37"/>
      <c r="H20" s="2"/>
      <c r="I20" s="2"/>
      <c r="J20" s="2"/>
      <c r="K20" s="2"/>
      <c r="L20" s="2"/>
      <c r="M20" s="2"/>
      <c r="N20" s="2"/>
      <c r="O20" s="2"/>
      <c r="P20" s="2"/>
      <c r="Q20" s="2"/>
      <c r="R20" s="2"/>
      <c r="S20" s="2"/>
      <c r="T20" s="2"/>
      <c r="U20" s="2"/>
      <c r="V20" s="2"/>
      <c r="W20" s="2"/>
      <c r="X20" s="2"/>
      <c r="Y20" s="2"/>
      <c r="Z20" s="2"/>
    </row>
    <row r="21" ht="15.75" customHeight="1">
      <c r="A21" s="37">
        <f t="shared" si="1"/>
        <v>20</v>
      </c>
      <c r="B21" s="35" t="s">
        <v>164</v>
      </c>
      <c r="C21" s="36" t="b">
        <v>0</v>
      </c>
      <c r="D21" s="37" t="s">
        <v>166</v>
      </c>
      <c r="E21" s="37" t="s">
        <v>145</v>
      </c>
      <c r="F21" s="37"/>
      <c r="G21" s="37"/>
      <c r="H21" s="2"/>
      <c r="I21" s="2"/>
      <c r="J21" s="2"/>
      <c r="K21" s="2"/>
      <c r="L21" s="2"/>
      <c r="M21" s="2"/>
      <c r="N21" s="2"/>
      <c r="O21" s="2"/>
      <c r="P21" s="2"/>
      <c r="Q21" s="2"/>
      <c r="R21" s="2"/>
      <c r="S21" s="2"/>
      <c r="T21" s="2"/>
      <c r="U21" s="2"/>
      <c r="V21" s="2"/>
      <c r="W21" s="2"/>
      <c r="X21" s="2"/>
      <c r="Y21" s="2"/>
      <c r="Z21" s="2"/>
    </row>
    <row r="22" ht="15.75" customHeight="1">
      <c r="A22" s="37">
        <f t="shared" si="1"/>
        <v>21</v>
      </c>
      <c r="B22" s="35" t="s">
        <v>167</v>
      </c>
      <c r="C22" s="36" t="b">
        <v>0</v>
      </c>
      <c r="D22" s="37" t="s">
        <v>168</v>
      </c>
      <c r="E22" s="37" t="s">
        <v>145</v>
      </c>
      <c r="F22" s="37"/>
      <c r="G22" s="37"/>
      <c r="H22" s="2"/>
      <c r="I22" s="2"/>
      <c r="J22" s="2"/>
      <c r="K22" s="2"/>
      <c r="L22" s="2"/>
      <c r="M22" s="2"/>
      <c r="N22" s="2"/>
      <c r="O22" s="2"/>
      <c r="P22" s="2"/>
      <c r="Q22" s="2"/>
      <c r="R22" s="2"/>
      <c r="S22" s="2"/>
      <c r="T22" s="2"/>
      <c r="U22" s="2"/>
      <c r="V22" s="2"/>
      <c r="W22" s="2"/>
      <c r="X22" s="2"/>
      <c r="Y22" s="2"/>
      <c r="Z22" s="2"/>
    </row>
    <row r="23" ht="15.75" customHeight="1">
      <c r="A23" s="37">
        <f t="shared" si="1"/>
        <v>22</v>
      </c>
      <c r="B23" s="35" t="s">
        <v>167</v>
      </c>
      <c r="C23" s="36" t="b">
        <v>0</v>
      </c>
      <c r="D23" s="37" t="s">
        <v>169</v>
      </c>
      <c r="E23" s="37" t="s">
        <v>145</v>
      </c>
      <c r="F23" s="37"/>
      <c r="G23" s="37"/>
      <c r="H23" s="2"/>
      <c r="I23" s="2"/>
      <c r="J23" s="2"/>
      <c r="K23" s="2"/>
      <c r="L23" s="2"/>
      <c r="M23" s="2"/>
      <c r="N23" s="2"/>
      <c r="O23" s="2"/>
      <c r="P23" s="2"/>
      <c r="Q23" s="2"/>
      <c r="R23" s="2"/>
      <c r="S23" s="2"/>
      <c r="T23" s="2"/>
      <c r="U23" s="2"/>
      <c r="V23" s="2"/>
      <c r="W23" s="2"/>
      <c r="X23" s="2"/>
      <c r="Y23" s="2"/>
      <c r="Z23" s="2"/>
    </row>
    <row r="24" ht="15.75" customHeight="1">
      <c r="A24" s="37">
        <f t="shared" si="1"/>
        <v>23</v>
      </c>
      <c r="B24" s="35" t="s">
        <v>167</v>
      </c>
      <c r="C24" s="36" t="b">
        <v>0</v>
      </c>
      <c r="D24" s="37" t="s">
        <v>170</v>
      </c>
      <c r="E24" s="37" t="s">
        <v>145</v>
      </c>
      <c r="F24" s="37"/>
      <c r="G24" s="37"/>
      <c r="H24" s="2"/>
      <c r="I24" s="2"/>
      <c r="J24" s="2"/>
      <c r="K24" s="2"/>
      <c r="L24" s="2"/>
      <c r="M24" s="2"/>
      <c r="N24" s="2"/>
      <c r="O24" s="2"/>
      <c r="P24" s="2"/>
      <c r="Q24" s="2"/>
      <c r="R24" s="2"/>
      <c r="S24" s="2"/>
      <c r="T24" s="2"/>
      <c r="U24" s="2"/>
      <c r="V24" s="2"/>
      <c r="W24" s="2"/>
      <c r="X24" s="2"/>
      <c r="Y24" s="2"/>
      <c r="Z24" s="2"/>
    </row>
    <row r="25" ht="15.75" customHeight="1">
      <c r="A25" s="37">
        <f t="shared" si="1"/>
        <v>24</v>
      </c>
      <c r="B25" s="35" t="s">
        <v>167</v>
      </c>
      <c r="C25" s="36" t="b">
        <v>0</v>
      </c>
      <c r="D25" s="26" t="s">
        <v>171</v>
      </c>
      <c r="E25" s="37" t="s">
        <v>145</v>
      </c>
      <c r="F25" s="37"/>
      <c r="G25" s="37"/>
      <c r="H25" s="2"/>
      <c r="I25" s="2"/>
      <c r="J25" s="2"/>
      <c r="K25" s="2"/>
      <c r="L25" s="2"/>
      <c r="M25" s="2"/>
      <c r="N25" s="2"/>
      <c r="O25" s="2"/>
      <c r="P25" s="2"/>
      <c r="Q25" s="2"/>
      <c r="R25" s="2"/>
      <c r="S25" s="2"/>
      <c r="T25" s="2"/>
      <c r="U25" s="2"/>
      <c r="V25" s="2"/>
      <c r="W25" s="2"/>
      <c r="X25" s="2"/>
      <c r="Y25" s="2"/>
      <c r="Z25" s="2"/>
    </row>
    <row r="26" ht="15.75" customHeight="1">
      <c r="A26" s="37">
        <f t="shared" si="1"/>
        <v>25</v>
      </c>
      <c r="B26" s="35" t="s">
        <v>167</v>
      </c>
      <c r="C26" s="36" t="b">
        <v>0</v>
      </c>
      <c r="D26" s="37" t="s">
        <v>172</v>
      </c>
      <c r="E26" s="37" t="s">
        <v>145</v>
      </c>
      <c r="F26" s="37"/>
      <c r="G26" s="37"/>
      <c r="H26" s="2"/>
      <c r="I26" s="2"/>
      <c r="J26" s="2"/>
      <c r="K26" s="2"/>
      <c r="L26" s="2"/>
      <c r="M26" s="2"/>
      <c r="N26" s="2"/>
      <c r="O26" s="2"/>
      <c r="P26" s="2"/>
      <c r="Q26" s="2"/>
      <c r="R26" s="2"/>
      <c r="S26" s="2"/>
      <c r="T26" s="2"/>
      <c r="U26" s="2"/>
      <c r="V26" s="2"/>
      <c r="W26" s="2"/>
      <c r="X26" s="2"/>
      <c r="Y26" s="2"/>
      <c r="Z26" s="2"/>
    </row>
    <row r="27" ht="15.75" customHeight="1">
      <c r="A27" s="37">
        <f t="shared" si="1"/>
        <v>26</v>
      </c>
      <c r="B27" s="35" t="s">
        <v>167</v>
      </c>
      <c r="C27" s="36" t="b">
        <v>0</v>
      </c>
      <c r="D27" s="37" t="s">
        <v>173</v>
      </c>
      <c r="E27" s="37" t="s">
        <v>145</v>
      </c>
      <c r="F27" s="37"/>
      <c r="G27" s="37"/>
      <c r="H27" s="2"/>
      <c r="I27" s="2"/>
      <c r="J27" s="2"/>
      <c r="K27" s="2"/>
      <c r="L27" s="2"/>
      <c r="M27" s="2"/>
      <c r="N27" s="2"/>
      <c r="O27" s="2"/>
      <c r="P27" s="2"/>
      <c r="Q27" s="2"/>
      <c r="R27" s="2"/>
      <c r="S27" s="2"/>
      <c r="T27" s="2"/>
      <c r="U27" s="2"/>
      <c r="V27" s="2"/>
      <c r="W27" s="2"/>
      <c r="X27" s="2"/>
      <c r="Y27" s="2"/>
      <c r="Z27" s="2"/>
    </row>
    <row r="28" ht="15.75" customHeight="1">
      <c r="A28" s="37">
        <f t="shared" si="1"/>
        <v>27</v>
      </c>
      <c r="B28" s="35" t="s">
        <v>167</v>
      </c>
      <c r="C28" s="36" t="b">
        <v>0</v>
      </c>
      <c r="D28" s="37" t="s">
        <v>174</v>
      </c>
      <c r="E28" s="37" t="s">
        <v>145</v>
      </c>
      <c r="F28" s="37"/>
      <c r="G28" s="37"/>
      <c r="H28" s="2"/>
      <c r="I28" s="2"/>
      <c r="J28" s="2"/>
      <c r="K28" s="2"/>
      <c r="L28" s="2"/>
      <c r="M28" s="2"/>
      <c r="N28" s="2"/>
      <c r="O28" s="2"/>
      <c r="P28" s="2"/>
      <c r="Q28" s="2"/>
      <c r="R28" s="2"/>
      <c r="S28" s="2"/>
      <c r="T28" s="2"/>
      <c r="U28" s="2"/>
      <c r="V28" s="2"/>
      <c r="W28" s="2"/>
      <c r="X28" s="2"/>
      <c r="Y28" s="2"/>
      <c r="Z28" s="2"/>
    </row>
    <row r="29" ht="15.75" customHeight="1">
      <c r="A29" s="37">
        <f t="shared" si="1"/>
        <v>28</v>
      </c>
      <c r="B29" s="35" t="s">
        <v>167</v>
      </c>
      <c r="C29" s="36" t="b">
        <v>0</v>
      </c>
      <c r="D29" s="37" t="s">
        <v>175</v>
      </c>
      <c r="E29" s="37" t="s">
        <v>145</v>
      </c>
      <c r="F29" s="37"/>
      <c r="G29" s="37"/>
      <c r="H29" s="2"/>
      <c r="I29" s="2"/>
      <c r="J29" s="2"/>
      <c r="K29" s="2"/>
      <c r="L29" s="2"/>
      <c r="M29" s="2"/>
      <c r="N29" s="2"/>
      <c r="O29" s="2"/>
      <c r="P29" s="2"/>
      <c r="Q29" s="2"/>
      <c r="R29" s="2"/>
      <c r="S29" s="2"/>
      <c r="T29" s="2"/>
      <c r="U29" s="2"/>
      <c r="V29" s="2"/>
      <c r="W29" s="2"/>
      <c r="X29" s="2"/>
      <c r="Y29" s="2"/>
      <c r="Z29" s="2"/>
    </row>
    <row r="30" ht="15.75" customHeight="1">
      <c r="A30" s="37">
        <f t="shared" si="1"/>
        <v>29</v>
      </c>
      <c r="B30" s="35" t="s">
        <v>167</v>
      </c>
      <c r="C30" s="36" t="b">
        <v>0</v>
      </c>
      <c r="D30" s="37" t="s">
        <v>176</v>
      </c>
      <c r="E30" s="37" t="s">
        <v>145</v>
      </c>
      <c r="F30" s="37"/>
      <c r="G30" s="37"/>
      <c r="H30" s="2"/>
      <c r="I30" s="2"/>
      <c r="J30" s="2"/>
      <c r="K30" s="2"/>
      <c r="L30" s="2"/>
      <c r="M30" s="2"/>
      <c r="N30" s="2"/>
      <c r="O30" s="2"/>
      <c r="P30" s="2"/>
      <c r="Q30" s="2"/>
      <c r="R30" s="2"/>
      <c r="S30" s="2"/>
      <c r="T30" s="2"/>
      <c r="U30" s="2"/>
      <c r="V30" s="2"/>
      <c r="W30" s="2"/>
      <c r="X30" s="2"/>
      <c r="Y30" s="2"/>
      <c r="Z30" s="2"/>
    </row>
    <row r="31" ht="15.75" customHeight="1">
      <c r="A31" s="37">
        <f t="shared" si="1"/>
        <v>30</v>
      </c>
      <c r="B31" s="35" t="s">
        <v>167</v>
      </c>
      <c r="C31" s="36" t="b">
        <v>0</v>
      </c>
      <c r="D31" s="37" t="s">
        <v>177</v>
      </c>
      <c r="E31" s="37" t="s">
        <v>145</v>
      </c>
      <c r="F31" s="37"/>
      <c r="G31" s="37"/>
      <c r="H31" s="2"/>
      <c r="I31" s="2"/>
      <c r="J31" s="2"/>
      <c r="K31" s="2"/>
      <c r="L31" s="2"/>
      <c r="M31" s="2"/>
      <c r="N31" s="2"/>
      <c r="O31" s="2"/>
      <c r="P31" s="2"/>
      <c r="Q31" s="2"/>
      <c r="R31" s="2"/>
      <c r="S31" s="2"/>
      <c r="T31" s="2"/>
      <c r="U31" s="2"/>
      <c r="V31" s="2"/>
      <c r="W31" s="2"/>
      <c r="X31" s="2"/>
      <c r="Y31" s="2"/>
      <c r="Z31" s="2"/>
    </row>
    <row r="32" ht="15.75" customHeight="1">
      <c r="A32" s="37">
        <f t="shared" si="1"/>
        <v>31</v>
      </c>
      <c r="B32" s="35" t="s">
        <v>167</v>
      </c>
      <c r="C32" s="36" t="b">
        <v>0</v>
      </c>
      <c r="D32" s="37" t="s">
        <v>178</v>
      </c>
      <c r="E32" s="37" t="s">
        <v>145</v>
      </c>
      <c r="F32" s="37"/>
      <c r="G32" s="37"/>
      <c r="H32" s="2"/>
      <c r="I32" s="2"/>
      <c r="J32" s="2"/>
      <c r="K32" s="2"/>
      <c r="L32" s="2"/>
      <c r="M32" s="2"/>
      <c r="N32" s="2"/>
      <c r="O32" s="2"/>
      <c r="P32" s="2"/>
      <c r="Q32" s="2"/>
      <c r="R32" s="2"/>
      <c r="S32" s="2"/>
      <c r="T32" s="2"/>
      <c r="U32" s="2"/>
      <c r="V32" s="2"/>
      <c r="W32" s="2"/>
      <c r="X32" s="2"/>
      <c r="Y32" s="2"/>
      <c r="Z32" s="2"/>
    </row>
    <row r="33" ht="15.75" customHeight="1">
      <c r="A33" s="37">
        <f t="shared" si="1"/>
        <v>32</v>
      </c>
      <c r="B33" s="35" t="s">
        <v>167</v>
      </c>
      <c r="C33" s="36" t="b">
        <v>0</v>
      </c>
      <c r="D33" s="37" t="s">
        <v>179</v>
      </c>
      <c r="E33" s="37" t="s">
        <v>145</v>
      </c>
      <c r="F33" s="37"/>
      <c r="G33" s="37"/>
      <c r="H33" s="2"/>
      <c r="I33" s="2"/>
      <c r="J33" s="2"/>
      <c r="K33" s="2"/>
      <c r="L33" s="2"/>
      <c r="M33" s="2"/>
      <c r="N33" s="2"/>
      <c r="O33" s="2"/>
      <c r="P33" s="2"/>
      <c r="Q33" s="2"/>
      <c r="R33" s="2"/>
      <c r="S33" s="2"/>
      <c r="T33" s="2"/>
      <c r="U33" s="2"/>
      <c r="V33" s="2"/>
      <c r="W33" s="2"/>
      <c r="X33" s="2"/>
      <c r="Y33" s="2"/>
      <c r="Z33" s="2"/>
    </row>
    <row r="34" ht="15.75" customHeight="1">
      <c r="A34" s="37">
        <f t="shared" si="1"/>
        <v>33</v>
      </c>
      <c r="B34" s="35" t="s">
        <v>167</v>
      </c>
      <c r="C34" s="36" t="b">
        <v>0</v>
      </c>
      <c r="D34" s="26" t="s">
        <v>180</v>
      </c>
      <c r="E34" s="37" t="s">
        <v>145</v>
      </c>
      <c r="F34" s="37"/>
      <c r="G34" s="37"/>
      <c r="H34" s="2"/>
      <c r="I34" s="2"/>
      <c r="J34" s="2"/>
      <c r="K34" s="2"/>
      <c r="L34" s="2"/>
      <c r="M34" s="2"/>
      <c r="N34" s="2"/>
      <c r="O34" s="2"/>
      <c r="P34" s="2"/>
      <c r="Q34" s="2"/>
      <c r="R34" s="2"/>
      <c r="S34" s="2"/>
      <c r="T34" s="2"/>
      <c r="U34" s="2"/>
      <c r="V34" s="2"/>
      <c r="W34" s="2"/>
      <c r="X34" s="2"/>
      <c r="Y34" s="2"/>
      <c r="Z34" s="2"/>
    </row>
    <row r="35" ht="15.75" customHeight="1">
      <c r="A35" s="37">
        <f t="shared" si="1"/>
        <v>34</v>
      </c>
      <c r="B35" s="35" t="s">
        <v>181</v>
      </c>
      <c r="C35" s="36" t="b">
        <v>0</v>
      </c>
      <c r="D35" s="37" t="s">
        <v>182</v>
      </c>
      <c r="E35" s="37" t="s">
        <v>145</v>
      </c>
      <c r="F35" s="37"/>
      <c r="G35" s="37"/>
      <c r="H35" s="2"/>
      <c r="I35" s="2"/>
      <c r="J35" s="2"/>
      <c r="K35" s="2"/>
      <c r="L35" s="2"/>
      <c r="M35" s="2"/>
      <c r="N35" s="2"/>
      <c r="O35" s="2"/>
      <c r="P35" s="2"/>
      <c r="Q35" s="2"/>
      <c r="R35" s="2"/>
      <c r="S35" s="2"/>
      <c r="T35" s="2"/>
      <c r="U35" s="2"/>
      <c r="V35" s="2"/>
      <c r="W35" s="2"/>
      <c r="X35" s="2"/>
      <c r="Y35" s="2"/>
      <c r="Z35" s="2"/>
    </row>
    <row r="36" ht="15.75" customHeight="1">
      <c r="A36" s="37">
        <f t="shared" si="1"/>
        <v>35</v>
      </c>
      <c r="B36" s="35" t="s">
        <v>181</v>
      </c>
      <c r="C36" s="36" t="b">
        <v>0</v>
      </c>
      <c r="D36" s="37" t="s">
        <v>183</v>
      </c>
      <c r="E36" s="37" t="s">
        <v>145</v>
      </c>
      <c r="F36" s="37"/>
      <c r="G36" s="37"/>
      <c r="H36" s="2"/>
      <c r="I36" s="2"/>
      <c r="J36" s="2"/>
      <c r="K36" s="2"/>
      <c r="L36" s="2"/>
      <c r="M36" s="2"/>
      <c r="N36" s="2"/>
      <c r="O36" s="2"/>
      <c r="P36" s="2"/>
      <c r="Q36" s="2"/>
      <c r="R36" s="2"/>
      <c r="S36" s="2"/>
      <c r="T36" s="2"/>
      <c r="U36" s="2"/>
      <c r="V36" s="2"/>
      <c r="W36" s="2"/>
      <c r="X36" s="2"/>
      <c r="Y36" s="2"/>
      <c r="Z36" s="2"/>
    </row>
    <row r="37" ht="15.75" customHeight="1">
      <c r="A37" s="37">
        <f t="shared" si="1"/>
        <v>36</v>
      </c>
      <c r="B37" s="35" t="s">
        <v>184</v>
      </c>
      <c r="C37" s="36" t="b">
        <v>0</v>
      </c>
      <c r="D37" s="37" t="s">
        <v>185</v>
      </c>
      <c r="E37" s="37" t="s">
        <v>145</v>
      </c>
      <c r="F37" s="37"/>
      <c r="G37" s="37"/>
      <c r="H37" s="2"/>
      <c r="I37" s="2"/>
      <c r="J37" s="2"/>
      <c r="K37" s="2"/>
      <c r="L37" s="2"/>
      <c r="M37" s="2"/>
      <c r="N37" s="2"/>
      <c r="O37" s="2"/>
      <c r="P37" s="2"/>
      <c r="Q37" s="2"/>
      <c r="R37" s="2"/>
      <c r="S37" s="2"/>
      <c r="T37" s="2"/>
      <c r="U37" s="2"/>
      <c r="V37" s="2"/>
      <c r="W37" s="2"/>
      <c r="X37" s="2"/>
      <c r="Y37" s="2"/>
      <c r="Z37" s="2"/>
    </row>
    <row r="38" ht="15.75" customHeight="1">
      <c r="A38" s="37">
        <f t="shared" si="1"/>
        <v>37</v>
      </c>
      <c r="B38" s="35" t="s">
        <v>184</v>
      </c>
      <c r="C38" s="36" t="b">
        <v>0</v>
      </c>
      <c r="D38" s="37" t="s">
        <v>186</v>
      </c>
      <c r="E38" s="37" t="s">
        <v>145</v>
      </c>
      <c r="F38" s="37"/>
      <c r="G38" s="37"/>
      <c r="H38" s="2"/>
      <c r="I38" s="2"/>
      <c r="J38" s="2"/>
      <c r="K38" s="2"/>
      <c r="L38" s="2"/>
      <c r="M38" s="2"/>
      <c r="N38" s="2"/>
      <c r="O38" s="2"/>
      <c r="P38" s="2"/>
      <c r="Q38" s="2"/>
      <c r="R38" s="2"/>
      <c r="S38" s="2"/>
      <c r="T38" s="2"/>
      <c r="U38" s="2"/>
      <c r="V38" s="2"/>
      <c r="W38" s="2"/>
      <c r="X38" s="2"/>
      <c r="Y38" s="2"/>
      <c r="Z38" s="2"/>
    </row>
    <row r="39" ht="15.75" customHeight="1">
      <c r="A39" s="37">
        <f t="shared" si="1"/>
        <v>38</v>
      </c>
      <c r="B39" s="35" t="s">
        <v>184</v>
      </c>
      <c r="C39" s="36" t="b">
        <v>0</v>
      </c>
      <c r="D39" s="26" t="s">
        <v>187</v>
      </c>
      <c r="E39" s="37" t="s">
        <v>145</v>
      </c>
      <c r="F39" s="37"/>
      <c r="G39" s="37"/>
      <c r="H39" s="2"/>
      <c r="I39" s="2"/>
      <c r="J39" s="2"/>
      <c r="K39" s="2"/>
      <c r="L39" s="2"/>
      <c r="M39" s="2"/>
      <c r="N39" s="2"/>
      <c r="O39" s="2"/>
      <c r="P39" s="2"/>
      <c r="Q39" s="2"/>
      <c r="R39" s="2"/>
      <c r="S39" s="2"/>
      <c r="T39" s="2"/>
      <c r="U39" s="2"/>
      <c r="V39" s="2"/>
      <c r="W39" s="2"/>
      <c r="X39" s="2"/>
      <c r="Y39" s="2"/>
      <c r="Z39" s="2"/>
    </row>
    <row r="40" ht="15.75" customHeight="1">
      <c r="A40" s="37">
        <f t="shared" si="1"/>
        <v>39</v>
      </c>
      <c r="B40" s="35" t="s">
        <v>164</v>
      </c>
      <c r="C40" s="38" t="b">
        <v>1</v>
      </c>
      <c r="D40" s="37" t="s">
        <v>188</v>
      </c>
      <c r="E40" s="37" t="s">
        <v>145</v>
      </c>
      <c r="F40" s="37"/>
      <c r="G40" s="37"/>
      <c r="H40" s="2"/>
      <c r="I40" s="2"/>
      <c r="J40" s="2"/>
      <c r="K40" s="2"/>
      <c r="L40" s="2"/>
      <c r="M40" s="2"/>
      <c r="N40" s="2"/>
      <c r="O40" s="2"/>
      <c r="P40" s="2"/>
      <c r="Q40" s="2"/>
      <c r="R40" s="2"/>
      <c r="S40" s="2"/>
      <c r="T40" s="2"/>
      <c r="U40" s="2"/>
      <c r="V40" s="2"/>
      <c r="W40" s="2"/>
      <c r="X40" s="2"/>
      <c r="Y40" s="2"/>
      <c r="Z40" s="2"/>
    </row>
    <row r="41" ht="15.75" customHeight="1">
      <c r="A41" s="37">
        <f t="shared" si="1"/>
        <v>40</v>
      </c>
      <c r="B41" s="35" t="s">
        <v>143</v>
      </c>
      <c r="C41" s="38" t="b">
        <v>1</v>
      </c>
      <c r="D41" s="39" t="s">
        <v>189</v>
      </c>
      <c r="E41" s="37" t="s">
        <v>145</v>
      </c>
      <c r="F41" s="37"/>
      <c r="G41" s="37"/>
      <c r="H41" s="2"/>
      <c r="I41" s="2"/>
      <c r="J41" s="2"/>
      <c r="K41" s="2"/>
      <c r="L41" s="2"/>
      <c r="M41" s="2"/>
      <c r="N41" s="2"/>
      <c r="O41" s="2"/>
      <c r="P41" s="2"/>
      <c r="Q41" s="2"/>
      <c r="R41" s="2"/>
      <c r="S41" s="2"/>
      <c r="T41" s="2"/>
      <c r="U41" s="2"/>
      <c r="V41" s="2"/>
      <c r="W41" s="2"/>
      <c r="X41" s="2"/>
      <c r="Y41" s="2"/>
      <c r="Z41" s="2"/>
    </row>
    <row r="42" ht="15.75" customHeight="1">
      <c r="A42" s="37">
        <f t="shared" si="1"/>
        <v>41</v>
      </c>
      <c r="B42" s="35" t="s">
        <v>143</v>
      </c>
      <c r="C42" s="38" t="b">
        <v>1</v>
      </c>
      <c r="D42" s="37" t="s">
        <v>190</v>
      </c>
      <c r="E42" s="37" t="s">
        <v>145</v>
      </c>
      <c r="F42" s="37"/>
      <c r="G42" s="37"/>
      <c r="H42" s="2"/>
      <c r="I42" s="2"/>
      <c r="J42" s="2"/>
      <c r="K42" s="2"/>
      <c r="L42" s="2"/>
      <c r="M42" s="2"/>
      <c r="N42" s="2"/>
      <c r="O42" s="2"/>
      <c r="P42" s="2"/>
      <c r="Q42" s="2"/>
      <c r="R42" s="2"/>
      <c r="S42" s="2"/>
      <c r="T42" s="2"/>
      <c r="U42" s="2"/>
      <c r="V42" s="2"/>
      <c r="W42" s="2"/>
      <c r="X42" s="2"/>
      <c r="Y42" s="2"/>
      <c r="Z42" s="2"/>
    </row>
    <row r="43" ht="15.75" customHeight="1">
      <c r="A43" s="37">
        <f t="shared" si="1"/>
        <v>42</v>
      </c>
      <c r="B43" s="32" t="s">
        <v>143</v>
      </c>
      <c r="C43" s="38" t="b">
        <v>0</v>
      </c>
      <c r="D43" s="26" t="s">
        <v>191</v>
      </c>
      <c r="E43" s="37" t="s">
        <v>145</v>
      </c>
      <c r="F43" s="37"/>
      <c r="G43" s="37"/>
      <c r="H43" s="2"/>
      <c r="I43" s="2"/>
      <c r="J43" s="2"/>
      <c r="K43" s="2"/>
      <c r="L43" s="2"/>
      <c r="M43" s="2"/>
      <c r="N43" s="2"/>
      <c r="O43" s="2"/>
      <c r="P43" s="2"/>
      <c r="Q43" s="2"/>
      <c r="R43" s="2"/>
      <c r="S43" s="2"/>
      <c r="T43" s="2"/>
      <c r="U43" s="2"/>
      <c r="V43" s="2"/>
      <c r="W43" s="2"/>
      <c r="X43" s="2"/>
      <c r="Y43" s="2"/>
      <c r="Z43" s="2"/>
    </row>
    <row r="44" ht="15.75" customHeight="1">
      <c r="A44" s="37">
        <f t="shared" si="1"/>
        <v>43</v>
      </c>
      <c r="B44" s="35" t="s">
        <v>149</v>
      </c>
      <c r="C44" s="36" t="b">
        <v>1</v>
      </c>
      <c r="D44" s="37" t="s">
        <v>192</v>
      </c>
      <c r="E44" s="37" t="s">
        <v>145</v>
      </c>
      <c r="F44" s="37"/>
      <c r="G44" s="37"/>
      <c r="H44" s="2"/>
      <c r="I44" s="2"/>
      <c r="J44" s="2"/>
      <c r="K44" s="2"/>
      <c r="L44" s="2"/>
      <c r="M44" s="2"/>
      <c r="N44" s="2"/>
      <c r="O44" s="2"/>
      <c r="P44" s="2"/>
      <c r="Q44" s="2"/>
      <c r="R44" s="2"/>
      <c r="S44" s="2"/>
      <c r="T44" s="2"/>
      <c r="U44" s="2"/>
      <c r="V44" s="2"/>
      <c r="W44" s="2"/>
      <c r="X44" s="2"/>
      <c r="Y44" s="2"/>
      <c r="Z44" s="2"/>
    </row>
    <row r="45" ht="15.75" customHeight="1">
      <c r="A45" s="37">
        <f t="shared" si="1"/>
        <v>44</v>
      </c>
      <c r="B45" s="35" t="s">
        <v>143</v>
      </c>
      <c r="C45" s="38" t="b">
        <v>1</v>
      </c>
      <c r="D45" s="39" t="s">
        <v>193</v>
      </c>
      <c r="E45" s="37"/>
      <c r="F45" s="37"/>
      <c r="G45" s="37"/>
      <c r="H45" s="2"/>
      <c r="I45" s="2"/>
      <c r="J45" s="2"/>
      <c r="K45" s="2"/>
      <c r="L45" s="2"/>
      <c r="M45" s="2"/>
      <c r="N45" s="2"/>
      <c r="O45" s="2"/>
      <c r="P45" s="2"/>
      <c r="Q45" s="2"/>
      <c r="R45" s="2"/>
      <c r="S45" s="2"/>
      <c r="T45" s="2"/>
      <c r="U45" s="2"/>
      <c r="V45" s="2"/>
      <c r="W45" s="2"/>
      <c r="X45" s="2"/>
      <c r="Y45" s="2"/>
      <c r="Z45" s="2"/>
    </row>
    <row r="46" ht="15.75" customHeight="1">
      <c r="A46" s="37">
        <f t="shared" si="1"/>
        <v>45</v>
      </c>
      <c r="B46" s="32" t="s">
        <v>149</v>
      </c>
      <c r="C46" s="36" t="b">
        <v>0</v>
      </c>
      <c r="D46" s="26" t="s">
        <v>194</v>
      </c>
      <c r="E46" s="37"/>
      <c r="F46" s="37"/>
      <c r="G46" s="37"/>
      <c r="H46" s="2"/>
      <c r="I46" s="2"/>
      <c r="J46" s="2"/>
      <c r="K46" s="2"/>
      <c r="L46" s="2"/>
      <c r="M46" s="2"/>
      <c r="N46" s="2"/>
      <c r="O46" s="2"/>
      <c r="P46" s="2"/>
      <c r="Q46" s="2"/>
      <c r="R46" s="2"/>
      <c r="S46" s="2"/>
      <c r="T46" s="2"/>
      <c r="U46" s="2"/>
      <c r="V46" s="2"/>
      <c r="W46" s="2"/>
      <c r="X46" s="2"/>
      <c r="Y46" s="2"/>
      <c r="Z46" s="2"/>
    </row>
    <row r="47" ht="15.75" customHeight="1">
      <c r="A47" s="37">
        <f t="shared" si="1"/>
        <v>46</v>
      </c>
      <c r="B47" s="35"/>
      <c r="C47" s="36" t="b">
        <v>0</v>
      </c>
      <c r="D47" s="37"/>
      <c r="E47" s="37"/>
      <c r="F47" s="37"/>
      <c r="G47" s="37"/>
      <c r="H47" s="2"/>
      <c r="I47" s="2"/>
      <c r="J47" s="2"/>
      <c r="K47" s="2"/>
      <c r="L47" s="2"/>
      <c r="M47" s="2"/>
      <c r="N47" s="2"/>
      <c r="O47" s="2"/>
      <c r="P47" s="2"/>
      <c r="Q47" s="2"/>
      <c r="R47" s="2"/>
      <c r="S47" s="2"/>
      <c r="T47" s="2"/>
      <c r="U47" s="2"/>
      <c r="V47" s="2"/>
      <c r="W47" s="2"/>
      <c r="X47" s="2"/>
      <c r="Y47" s="2"/>
      <c r="Z47" s="2"/>
    </row>
    <row r="48" ht="15.75" customHeight="1">
      <c r="A48" s="37">
        <f t="shared" si="1"/>
        <v>47</v>
      </c>
      <c r="B48" s="35"/>
      <c r="C48" s="36" t="b">
        <v>0</v>
      </c>
      <c r="D48" s="37"/>
      <c r="E48" s="37"/>
      <c r="F48" s="37"/>
      <c r="G48" s="37"/>
      <c r="H48" s="2"/>
      <c r="I48" s="2"/>
      <c r="J48" s="2"/>
      <c r="K48" s="2"/>
      <c r="L48" s="2"/>
      <c r="M48" s="2"/>
      <c r="N48" s="2"/>
      <c r="O48" s="2"/>
      <c r="P48" s="2"/>
      <c r="Q48" s="2"/>
      <c r="R48" s="2"/>
      <c r="S48" s="2"/>
      <c r="T48" s="2"/>
      <c r="U48" s="2"/>
      <c r="V48" s="2"/>
      <c r="W48" s="2"/>
      <c r="X48" s="2"/>
      <c r="Y48" s="2"/>
      <c r="Z48" s="2"/>
    </row>
    <row r="49" ht="15.75" customHeight="1">
      <c r="A49" s="37">
        <f t="shared" si="1"/>
        <v>48</v>
      </c>
      <c r="B49" s="35"/>
      <c r="C49" s="36" t="b">
        <v>0</v>
      </c>
      <c r="D49" s="37"/>
      <c r="E49" s="37"/>
      <c r="F49" s="37"/>
      <c r="G49" s="37"/>
      <c r="H49" s="2"/>
      <c r="I49" s="2"/>
      <c r="J49" s="2"/>
      <c r="K49" s="2"/>
      <c r="L49" s="2"/>
      <c r="M49" s="2"/>
      <c r="N49" s="2"/>
      <c r="O49" s="2"/>
      <c r="P49" s="2"/>
      <c r="Q49" s="2"/>
      <c r="R49" s="2"/>
      <c r="S49" s="2"/>
      <c r="T49" s="2"/>
      <c r="U49" s="2"/>
      <c r="V49" s="2"/>
      <c r="W49" s="2"/>
      <c r="X49" s="2"/>
      <c r="Y49" s="2"/>
      <c r="Z49" s="2"/>
    </row>
    <row r="50" ht="15.75" customHeight="1">
      <c r="A50" s="37">
        <f t="shared" si="1"/>
        <v>49</v>
      </c>
      <c r="B50" s="35"/>
      <c r="C50" s="36" t="b">
        <v>0</v>
      </c>
      <c r="D50" s="37"/>
      <c r="E50" s="37"/>
      <c r="F50" s="37"/>
      <c r="G50" s="37"/>
      <c r="H50" s="2"/>
      <c r="I50" s="2"/>
      <c r="J50" s="2"/>
      <c r="K50" s="2"/>
      <c r="L50" s="2"/>
      <c r="M50" s="2"/>
      <c r="N50" s="2"/>
      <c r="O50" s="2"/>
      <c r="P50" s="2"/>
      <c r="Q50" s="2"/>
      <c r="R50" s="2"/>
      <c r="S50" s="2"/>
      <c r="T50" s="2"/>
      <c r="U50" s="2"/>
      <c r="V50" s="2"/>
      <c r="W50" s="2"/>
      <c r="X50" s="2"/>
      <c r="Y50" s="2"/>
      <c r="Z50" s="2"/>
    </row>
    <row r="51" ht="15.75" customHeight="1">
      <c r="A51" s="37">
        <f t="shared" si="1"/>
        <v>50</v>
      </c>
      <c r="B51" s="35"/>
      <c r="C51" s="36" t="b">
        <v>0</v>
      </c>
      <c r="D51" s="37"/>
      <c r="E51" s="37"/>
      <c r="F51" s="37"/>
      <c r="G51" s="37"/>
      <c r="H51" s="2"/>
      <c r="I51" s="2"/>
      <c r="J51" s="2"/>
      <c r="K51" s="2"/>
      <c r="L51" s="2"/>
      <c r="M51" s="2"/>
      <c r="N51" s="2"/>
      <c r="O51" s="2"/>
      <c r="P51" s="2"/>
      <c r="Q51" s="2"/>
      <c r="R51" s="2"/>
      <c r="S51" s="2"/>
      <c r="T51" s="2"/>
      <c r="U51" s="2"/>
      <c r="V51" s="2"/>
      <c r="W51" s="2"/>
      <c r="X51" s="2"/>
      <c r="Y51" s="2"/>
      <c r="Z51" s="2"/>
    </row>
    <row r="52" ht="15.75" customHeight="1">
      <c r="A52" s="37">
        <f t="shared" si="1"/>
        <v>51</v>
      </c>
      <c r="B52" s="35"/>
      <c r="C52" s="36" t="b">
        <v>0</v>
      </c>
      <c r="D52" s="37"/>
      <c r="E52" s="37"/>
      <c r="F52" s="37"/>
      <c r="G52" s="37"/>
      <c r="H52" s="2"/>
      <c r="I52" s="2"/>
      <c r="J52" s="2"/>
      <c r="K52" s="2"/>
      <c r="L52" s="2"/>
      <c r="M52" s="2"/>
      <c r="N52" s="2"/>
      <c r="O52" s="2"/>
      <c r="P52" s="2"/>
      <c r="Q52" s="2"/>
      <c r="R52" s="2"/>
      <c r="S52" s="2"/>
      <c r="T52" s="2"/>
      <c r="U52" s="2"/>
      <c r="V52" s="2"/>
      <c r="W52" s="2"/>
      <c r="X52" s="2"/>
      <c r="Y52" s="2"/>
      <c r="Z52" s="2"/>
    </row>
    <row r="53" ht="15.75" customHeight="1">
      <c r="A53" s="2"/>
      <c r="B53" s="3" t="s">
        <v>195</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3"/>
      <c r="C54" s="3" t="s">
        <v>196</v>
      </c>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5.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5.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5.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5.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5.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5.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sheetData>
  <conditionalFormatting sqref="A2:C52 D2:D33 D35 D37:D52">
    <cfRule type="expression" dxfId="5" priority="1">
      <formula>$C2=TRUE</formula>
    </cfRule>
  </conditionalFormatting>
  <dataValidations>
    <dataValidation type="list" allowBlank="1" sqref="B2:B52">
      <formula1>"機能修正,機能追加,懸念,質問,受入,提案"</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81.63"/>
    <col customWidth="1" min="3" max="6" width="7.63"/>
  </cols>
  <sheetData>
    <row r="1" ht="12.75" customHeight="1">
      <c r="A1" s="40" t="s">
        <v>197</v>
      </c>
      <c r="B1" s="40" t="s">
        <v>198</v>
      </c>
      <c r="C1" s="41"/>
      <c r="D1" s="41"/>
      <c r="E1" s="41"/>
      <c r="F1" s="41"/>
      <c r="G1" s="41"/>
      <c r="H1" s="41"/>
      <c r="I1" s="41"/>
      <c r="J1" s="41"/>
      <c r="K1" s="41"/>
      <c r="L1" s="41"/>
      <c r="M1" s="41"/>
      <c r="N1" s="41"/>
      <c r="O1" s="41"/>
      <c r="P1" s="41"/>
      <c r="Q1" s="41"/>
      <c r="R1" s="41"/>
      <c r="S1" s="41"/>
      <c r="T1" s="41"/>
      <c r="U1" s="41"/>
      <c r="V1" s="41"/>
      <c r="W1" s="41"/>
      <c r="X1" s="41"/>
      <c r="Y1" s="41"/>
      <c r="Z1" s="41"/>
    </row>
    <row r="2" ht="12.75" customHeight="1">
      <c r="A2" s="42" t="s">
        <v>199</v>
      </c>
      <c r="B2" s="42" t="s">
        <v>200</v>
      </c>
      <c r="C2" s="41"/>
      <c r="D2" s="41"/>
      <c r="E2" s="41"/>
      <c r="F2" s="41"/>
      <c r="G2" s="41"/>
      <c r="H2" s="41"/>
      <c r="I2" s="41"/>
      <c r="J2" s="41"/>
      <c r="K2" s="41"/>
      <c r="L2" s="41"/>
      <c r="M2" s="41"/>
      <c r="N2" s="41"/>
      <c r="O2" s="41"/>
      <c r="P2" s="41"/>
      <c r="Q2" s="41"/>
      <c r="R2" s="41"/>
      <c r="S2" s="41"/>
      <c r="T2" s="41"/>
      <c r="U2" s="41"/>
      <c r="V2" s="41"/>
      <c r="W2" s="41"/>
      <c r="X2" s="41"/>
      <c r="Y2" s="41"/>
      <c r="Z2" s="41"/>
    </row>
    <row r="3" ht="12.75" customHeight="1">
      <c r="A3" s="42" t="s">
        <v>201</v>
      </c>
      <c r="B3" s="43">
        <v>46154.0</v>
      </c>
      <c r="C3" s="41"/>
      <c r="D3" s="41"/>
      <c r="E3" s="41"/>
      <c r="F3" s="41"/>
      <c r="G3" s="41"/>
      <c r="H3" s="41"/>
      <c r="I3" s="41"/>
      <c r="J3" s="41"/>
      <c r="K3" s="41"/>
      <c r="L3" s="41"/>
      <c r="M3" s="41"/>
      <c r="N3" s="41"/>
      <c r="O3" s="41"/>
      <c r="P3" s="41"/>
      <c r="Q3" s="41"/>
      <c r="R3" s="41"/>
      <c r="S3" s="41"/>
      <c r="T3" s="41"/>
      <c r="U3" s="41"/>
      <c r="V3" s="41"/>
      <c r="W3" s="41"/>
      <c r="X3" s="41"/>
      <c r="Y3" s="41"/>
      <c r="Z3" s="41"/>
    </row>
    <row r="4" ht="12.75" customHeight="1">
      <c r="A4" s="42" t="s">
        <v>202</v>
      </c>
      <c r="B4" s="42" t="s">
        <v>203</v>
      </c>
      <c r="C4" s="41"/>
      <c r="D4" s="41"/>
      <c r="E4" s="41"/>
      <c r="F4" s="41"/>
      <c r="G4" s="41"/>
      <c r="H4" s="41"/>
      <c r="I4" s="41"/>
      <c r="J4" s="41"/>
      <c r="K4" s="41"/>
      <c r="L4" s="41"/>
      <c r="M4" s="41"/>
      <c r="N4" s="41"/>
      <c r="O4" s="41"/>
      <c r="P4" s="41"/>
      <c r="Q4" s="41"/>
      <c r="R4" s="41"/>
      <c r="S4" s="41"/>
      <c r="T4" s="41"/>
      <c r="U4" s="41"/>
      <c r="V4" s="41"/>
      <c r="W4" s="41"/>
      <c r="X4" s="41"/>
      <c r="Y4" s="41"/>
      <c r="Z4" s="41"/>
    </row>
    <row r="5" ht="12.75" customHeight="1">
      <c r="A5" s="42" t="s">
        <v>204</v>
      </c>
      <c r="B5" s="42" t="s">
        <v>205</v>
      </c>
      <c r="C5" s="41"/>
      <c r="D5" s="41"/>
      <c r="E5" s="41"/>
      <c r="F5" s="41"/>
      <c r="G5" s="41"/>
      <c r="H5" s="41"/>
      <c r="I5" s="41"/>
      <c r="J5" s="41"/>
      <c r="K5" s="41"/>
      <c r="L5" s="41"/>
      <c r="M5" s="41"/>
      <c r="N5" s="41"/>
      <c r="O5" s="41"/>
      <c r="P5" s="41"/>
      <c r="Q5" s="41"/>
      <c r="R5" s="41"/>
      <c r="S5" s="41"/>
      <c r="T5" s="41"/>
      <c r="U5" s="41"/>
      <c r="V5" s="41"/>
      <c r="W5" s="41"/>
      <c r="X5" s="41"/>
      <c r="Y5" s="41"/>
      <c r="Z5" s="41"/>
    </row>
    <row r="6" ht="12.75" customHeight="1">
      <c r="A6" s="42" t="s">
        <v>206</v>
      </c>
      <c r="B6" s="42" t="s">
        <v>207</v>
      </c>
      <c r="C6" s="41"/>
      <c r="D6" s="41"/>
      <c r="E6" s="41"/>
      <c r="F6" s="41"/>
      <c r="G6" s="41"/>
      <c r="H6" s="41"/>
      <c r="I6" s="41"/>
      <c r="J6" s="41"/>
      <c r="K6" s="41"/>
      <c r="L6" s="41"/>
      <c r="M6" s="41"/>
      <c r="N6" s="41"/>
      <c r="O6" s="41"/>
      <c r="P6" s="41"/>
      <c r="Q6" s="41"/>
      <c r="R6" s="41"/>
      <c r="S6" s="41"/>
      <c r="T6" s="41"/>
      <c r="U6" s="41"/>
      <c r="V6" s="41"/>
      <c r="W6" s="41"/>
      <c r="X6" s="41"/>
      <c r="Y6" s="41"/>
      <c r="Z6" s="41"/>
    </row>
    <row r="7" ht="12.75" customHeight="1">
      <c r="A7" s="42" t="s">
        <v>208</v>
      </c>
      <c r="B7" s="42" t="s">
        <v>209</v>
      </c>
      <c r="C7" s="41"/>
      <c r="D7" s="41"/>
      <c r="E7" s="41"/>
      <c r="F7" s="41"/>
      <c r="G7" s="41"/>
      <c r="H7" s="41"/>
      <c r="I7" s="41"/>
      <c r="J7" s="41"/>
      <c r="K7" s="41"/>
      <c r="L7" s="41"/>
      <c r="M7" s="41"/>
      <c r="N7" s="41"/>
      <c r="O7" s="41"/>
      <c r="P7" s="41"/>
      <c r="Q7" s="41"/>
      <c r="R7" s="41"/>
      <c r="S7" s="41"/>
      <c r="T7" s="41"/>
      <c r="U7" s="41"/>
      <c r="V7" s="41"/>
      <c r="W7" s="41"/>
      <c r="X7" s="41"/>
      <c r="Y7" s="41"/>
      <c r="Z7" s="41"/>
    </row>
    <row r="8" ht="12.75" customHeight="1">
      <c r="A8" s="42" t="s">
        <v>210</v>
      </c>
      <c r="B8" s="42" t="s">
        <v>211</v>
      </c>
      <c r="C8" s="41"/>
      <c r="D8" s="41"/>
      <c r="E8" s="41"/>
      <c r="F8" s="41"/>
      <c r="G8" s="41"/>
      <c r="H8" s="41"/>
      <c r="I8" s="41"/>
      <c r="J8" s="41"/>
      <c r="K8" s="41"/>
      <c r="L8" s="41"/>
      <c r="M8" s="41"/>
      <c r="N8" s="41"/>
      <c r="O8" s="41"/>
      <c r="P8" s="41"/>
      <c r="Q8" s="41"/>
      <c r="R8" s="41"/>
      <c r="S8" s="41"/>
      <c r="T8" s="41"/>
      <c r="U8" s="41"/>
      <c r="V8" s="41"/>
      <c r="W8" s="41"/>
      <c r="X8" s="41"/>
      <c r="Y8" s="41"/>
      <c r="Z8" s="41"/>
    </row>
    <row r="9" ht="12.75" customHeight="1">
      <c r="A9" s="42" t="s">
        <v>212</v>
      </c>
      <c r="B9" s="42" t="s">
        <v>213</v>
      </c>
      <c r="C9" s="41"/>
      <c r="D9" s="41"/>
      <c r="E9" s="41"/>
      <c r="F9" s="41"/>
      <c r="G9" s="41"/>
      <c r="H9" s="41"/>
      <c r="I9" s="41"/>
      <c r="J9" s="41"/>
      <c r="K9" s="41"/>
      <c r="L9" s="41"/>
      <c r="M9" s="41"/>
      <c r="N9" s="41"/>
      <c r="O9" s="41"/>
      <c r="P9" s="41"/>
      <c r="Q9" s="41"/>
      <c r="R9" s="41"/>
      <c r="S9" s="41"/>
      <c r="T9" s="41"/>
      <c r="U9" s="41"/>
      <c r="V9" s="41"/>
      <c r="W9" s="41"/>
      <c r="X9" s="41"/>
      <c r="Y9" s="41"/>
      <c r="Z9" s="41"/>
    </row>
    <row r="10" ht="12.75" customHeight="1">
      <c r="A10" s="42" t="s">
        <v>214</v>
      </c>
      <c r="B10" s="42" t="s">
        <v>215</v>
      </c>
      <c r="C10" s="41"/>
      <c r="D10" s="41"/>
      <c r="E10" s="41"/>
      <c r="F10" s="41"/>
      <c r="G10" s="41"/>
      <c r="H10" s="41"/>
      <c r="I10" s="41"/>
      <c r="J10" s="41"/>
      <c r="K10" s="41"/>
      <c r="L10" s="41"/>
      <c r="M10" s="41"/>
      <c r="N10" s="41"/>
      <c r="O10" s="41"/>
      <c r="P10" s="41"/>
      <c r="Q10" s="41"/>
      <c r="R10" s="41"/>
      <c r="S10" s="41"/>
      <c r="T10" s="41"/>
      <c r="U10" s="41"/>
      <c r="V10" s="41"/>
      <c r="W10" s="41"/>
      <c r="X10" s="41"/>
      <c r="Y10" s="41"/>
      <c r="Z10" s="41"/>
    </row>
    <row r="11" ht="12.75" customHeight="1">
      <c r="A11" s="41"/>
      <c r="B11" s="41"/>
      <c r="C11" s="41"/>
      <c r="D11" s="41"/>
      <c r="E11" s="41"/>
      <c r="F11" s="41"/>
      <c r="G11" s="41"/>
      <c r="H11" s="41"/>
      <c r="I11" s="41"/>
      <c r="J11" s="41"/>
      <c r="K11" s="41"/>
      <c r="L11" s="41"/>
      <c r="M11" s="41"/>
      <c r="N11" s="41"/>
      <c r="O11" s="41"/>
      <c r="P11" s="41"/>
      <c r="Q11" s="41"/>
      <c r="R11" s="41"/>
      <c r="S11" s="41"/>
      <c r="T11" s="41"/>
      <c r="U11" s="41"/>
      <c r="V11" s="41"/>
      <c r="W11" s="41"/>
      <c r="X11" s="41"/>
      <c r="Y11" s="41"/>
      <c r="Z11" s="41"/>
    </row>
    <row r="12" ht="12.75" customHeight="1">
      <c r="A12" s="41"/>
      <c r="B12" s="41"/>
      <c r="C12" s="41"/>
      <c r="D12" s="41"/>
      <c r="E12" s="41"/>
      <c r="F12" s="41"/>
      <c r="G12" s="41"/>
      <c r="H12" s="41"/>
      <c r="I12" s="41"/>
      <c r="J12" s="41"/>
      <c r="K12" s="41"/>
      <c r="L12" s="41"/>
      <c r="M12" s="41"/>
      <c r="N12" s="41"/>
      <c r="O12" s="41"/>
      <c r="P12" s="41"/>
      <c r="Q12" s="41"/>
      <c r="R12" s="41"/>
      <c r="S12" s="41"/>
      <c r="T12" s="41"/>
      <c r="U12" s="41"/>
      <c r="V12" s="41"/>
      <c r="W12" s="41"/>
      <c r="X12" s="41"/>
      <c r="Y12" s="41"/>
      <c r="Z12" s="41"/>
    </row>
    <row r="13" ht="12.75" customHeight="1">
      <c r="A13" s="41"/>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ht="12.75" customHeight="1">
      <c r="A14" s="41"/>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ht="12.75" customHeight="1">
      <c r="A15" s="41"/>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ht="12.75" customHeight="1">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ht="12.75" customHeight="1">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ht="12.75" customHeight="1">
      <c r="A18" s="41"/>
      <c r="B18" s="41"/>
      <c r="C18" s="41"/>
      <c r="D18" s="41"/>
      <c r="E18" s="41"/>
      <c r="F18" s="41"/>
      <c r="G18" s="41"/>
      <c r="H18" s="41"/>
      <c r="I18" s="41"/>
      <c r="J18" s="41"/>
      <c r="K18" s="41"/>
      <c r="L18" s="41"/>
      <c r="M18" s="41"/>
      <c r="N18" s="41"/>
      <c r="O18" s="41"/>
      <c r="P18" s="41"/>
      <c r="Q18" s="41"/>
      <c r="R18" s="41"/>
      <c r="S18" s="41"/>
      <c r="T18" s="41"/>
      <c r="U18" s="41"/>
      <c r="V18" s="41"/>
      <c r="W18" s="41"/>
      <c r="X18" s="41"/>
      <c r="Y18" s="41"/>
      <c r="Z18" s="41"/>
    </row>
    <row r="19" ht="12.75" customHeight="1">
      <c r="A19" s="41"/>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ht="12.75" customHeight="1">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ht="12.75" customHeight="1">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ht="12.75" customHeight="1">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ht="12.75" customHeight="1">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ht="12.75" customHeight="1">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ht="12.75" customHeight="1">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ht="12.75" customHeight="1">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ht="12.75" customHeight="1">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ht="12.75" customHeight="1">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ht="12.75" customHeight="1">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ht="12.75" customHeight="1">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ht="12.75" customHeight="1">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ht="12.75" customHeight="1">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ht="12.75" customHeight="1">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ht="12.75" customHeight="1">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ht="12.75" customHeight="1">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ht="12.75" customHeight="1">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ht="12.75" customHeight="1">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ht="12.75" customHeight="1">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ht="12.75" customHeight="1">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ht="12.75" customHeight="1">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ht="12.75" customHeight="1">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ht="12.75" customHeight="1">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ht="12.75" customHeight="1">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ht="12.75" customHeight="1">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ht="12.75" customHeight="1">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ht="12.75" customHeight="1">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ht="12.75" customHeight="1">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ht="12.75" customHeight="1">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ht="12.75" customHeight="1">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ht="12.75" customHeight="1">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ht="12.75" customHeight="1">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ht="12.75" customHeight="1">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ht="12.75" customHeight="1">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ht="12.75" customHeight="1">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ht="12.75" customHeight="1">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ht="12.75" customHeight="1">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ht="12.75" customHeight="1">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ht="12.75" customHeight="1">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ht="12.75" customHeight="1">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ht="12.75" customHeight="1">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ht="12.75" customHeight="1">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ht="12.75" customHeight="1">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ht="12.75" customHeight="1">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ht="12.75" customHeight="1">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ht="12.75" customHeight="1">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ht="12.75" customHeight="1">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row>
    <row r="67" ht="12.75" customHeight="1">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row>
    <row r="68" ht="12.75" customHeight="1">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row>
    <row r="69" ht="12.75" customHeight="1">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row>
    <row r="70" ht="12.75" customHeight="1">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row>
    <row r="71" ht="12.75" customHeight="1">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row>
    <row r="72" ht="12.75" customHeight="1">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row>
    <row r="73" ht="12.75" customHeight="1">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row>
    <row r="74" ht="12.75" customHeight="1">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row>
    <row r="75" ht="12.75" customHeight="1">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row>
    <row r="76" ht="12.75" customHeight="1">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row>
    <row r="77" ht="12.75" customHeight="1">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row>
    <row r="78" ht="12.75" customHeight="1">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row>
    <row r="79" ht="12.75" customHeight="1">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row>
    <row r="80" ht="12.75" customHeight="1">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row>
    <row r="81" ht="12.75" customHeight="1">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row>
    <row r="82" ht="12.75" customHeight="1">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row>
    <row r="83" ht="12.75" customHeight="1">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row>
    <row r="84" ht="12.75" customHeight="1">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row>
    <row r="85" ht="12.75" customHeight="1">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row>
    <row r="86" ht="12.75" customHeight="1">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row>
    <row r="87" ht="12.75" customHeight="1">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row>
    <row r="88" ht="12.75" customHeight="1">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row>
    <row r="89" ht="12.75" customHeight="1">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row>
    <row r="90" ht="12.75" customHeight="1">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row>
    <row r="91" ht="12.75" customHeight="1">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row>
    <row r="92" ht="12.75" customHeight="1">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row>
    <row r="93" ht="12.75" customHeight="1">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row>
    <row r="94" ht="12.75" customHeight="1">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row>
    <row r="95" ht="12.75" customHeight="1">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row>
    <row r="96" ht="12.75" customHeight="1">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row>
    <row r="97" ht="12.75" customHeight="1">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row>
    <row r="98" ht="12.75" customHeight="1">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row>
    <row r="99" ht="12.75" customHeight="1">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row>
    <row r="100" ht="12.75" customHeight="1">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row>
    <row r="101" ht="12.75" customHeight="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row>
    <row r="102" ht="12.75" customHeight="1">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row>
    <row r="103" ht="12.75" customHeight="1">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row>
    <row r="104" ht="12.75" customHeight="1">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row>
    <row r="105" ht="12.75" customHeight="1">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row>
    <row r="106" ht="12.75" customHeight="1">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row>
    <row r="107" ht="12.75" customHeight="1">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row>
    <row r="108" ht="12.75" customHeight="1">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row>
    <row r="109" ht="12.75" customHeight="1">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row>
    <row r="110" ht="12.75" customHeight="1">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row>
    <row r="111" ht="12.75" customHeight="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row>
    <row r="112" ht="12.75" customHeight="1">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row>
    <row r="113" ht="12.75" customHeight="1">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row>
    <row r="114" ht="12.75" customHeight="1">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row>
    <row r="115" ht="12.75" customHeight="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row>
    <row r="116" ht="12.75" customHeight="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row>
    <row r="117" ht="12.75" customHeight="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row>
    <row r="118" ht="12.75" customHeight="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row>
    <row r="119" ht="12.75" customHeight="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row>
    <row r="120" ht="12.75" customHeight="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row>
    <row r="121" ht="12.75" customHeight="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row>
    <row r="122" ht="12.75" customHeight="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row>
    <row r="123" ht="12.75" customHeight="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row>
    <row r="124" ht="12.75" customHeight="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row>
    <row r="125" ht="12.75" customHeight="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row>
    <row r="126" ht="12.75" customHeight="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row>
    <row r="127" ht="12.75" customHeight="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row>
    <row r="128" ht="12.75" customHeight="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row>
    <row r="129" ht="12.75"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row>
    <row r="130" ht="12.75" customHeight="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row>
    <row r="131" ht="12.75" customHeight="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row>
    <row r="132" ht="12.75" customHeight="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row>
    <row r="133" ht="12.75" customHeight="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row>
    <row r="134" ht="12.75" customHeight="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row>
    <row r="135" ht="12.75" customHeight="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row>
    <row r="136" ht="12.75" customHeight="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row>
    <row r="137" ht="12.75" customHeight="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row>
    <row r="138" ht="12.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row>
    <row r="139" ht="12.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row>
    <row r="140" ht="12.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row>
    <row r="141" ht="12.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row>
    <row r="142" ht="12.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row>
    <row r="143" ht="12.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row>
    <row r="144" ht="12.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row>
    <row r="145" ht="12.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row>
    <row r="146" ht="12.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row>
    <row r="147" ht="12.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row>
    <row r="148" ht="12.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row>
    <row r="149" ht="12.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row>
    <row r="150" ht="12.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row>
    <row r="151" ht="12.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row>
    <row r="152" ht="12.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row>
    <row r="153" ht="12.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row>
    <row r="154" ht="12.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row>
    <row r="155" ht="12.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row>
    <row r="156" ht="12.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row>
    <row r="157" ht="12.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row>
    <row r="158" ht="12.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row>
    <row r="159" ht="12.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row>
    <row r="160" ht="12.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row>
    <row r="161" ht="12.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row>
    <row r="162" ht="12.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row>
    <row r="163" ht="12.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row>
    <row r="164" ht="12.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row>
    <row r="165" ht="12.75" customHeight="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row>
    <row r="166" ht="12.75" customHeight="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row>
    <row r="167" ht="12.75" customHeight="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row>
    <row r="168" ht="12.75" customHeight="1">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row>
    <row r="169" ht="12.75" customHeight="1">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row>
    <row r="170" ht="12.75" customHeight="1">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row>
    <row r="171" ht="12.75" customHeight="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row>
    <row r="172" ht="12.75" customHeight="1">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row>
    <row r="173" ht="12.75" customHeight="1">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row>
    <row r="174" ht="12.75" customHeight="1">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row>
    <row r="175" ht="12.75" customHeight="1">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row>
    <row r="176" ht="12.75" customHeight="1">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row>
    <row r="177" ht="12.75" customHeight="1">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row>
    <row r="178" ht="12.75" customHeight="1">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row>
    <row r="179" ht="12.75" customHeight="1">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row>
    <row r="180" ht="12.75" customHeight="1">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row>
    <row r="181" ht="12.75" customHeight="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row>
    <row r="182" ht="12.75" customHeight="1">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row>
    <row r="183" ht="12.75" customHeight="1">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row>
    <row r="184" ht="12.75" customHeight="1">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row>
    <row r="185" ht="12.75" customHeight="1">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row>
    <row r="186" ht="12.75" customHeight="1">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row>
    <row r="187" ht="12.75" customHeight="1">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row>
    <row r="188" ht="12.75" customHeight="1">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row>
    <row r="189" ht="12.75" customHeight="1">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row>
    <row r="190" ht="12.75" customHeight="1">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row>
    <row r="191" ht="12.75" customHeight="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row>
    <row r="192" ht="12.75" customHeight="1">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row>
    <row r="193" ht="12.75" customHeight="1">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row>
    <row r="194" ht="12.75" customHeight="1">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row>
    <row r="195" ht="12.75" customHeight="1">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row>
    <row r="196" ht="12.75" customHeight="1">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row>
    <row r="197" ht="12.75" customHeight="1">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row>
    <row r="198" ht="12.75" customHeight="1">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row>
    <row r="199" ht="12.75" customHeight="1">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row>
    <row r="200" ht="12.75" customHeight="1">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row>
    <row r="201" ht="12.75" customHeight="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row>
    <row r="202" ht="12.75" customHeight="1">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row>
    <row r="203" ht="12.75" customHeight="1">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row>
    <row r="204" ht="12.75" customHeight="1">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row>
    <row r="205" ht="12.75" customHeight="1">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row>
    <row r="206" ht="12.75" customHeight="1">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row>
    <row r="207" ht="12.75" customHeight="1">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row>
    <row r="208" ht="12.75" customHeight="1">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row>
    <row r="209" ht="12.75" customHeight="1">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row>
    <row r="210" ht="12.75" customHeight="1">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row>
    <row r="211" ht="12.75" customHeight="1">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row>
    <row r="212" ht="12.75" customHeight="1">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row>
    <row r="213" ht="12.75" customHeight="1">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row>
    <row r="214" ht="12.75" customHeight="1">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row>
    <row r="215" ht="12.75" customHeight="1">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row>
    <row r="216" ht="12.75" customHeight="1">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row>
    <row r="217" ht="12.75" customHeight="1">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row>
    <row r="218" ht="12.75" customHeight="1">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row>
    <row r="219" ht="12.75" customHeight="1">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row>
    <row r="220" ht="12.75" customHeight="1">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row>
    <row r="221" ht="15.75" customHeight="1">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row>
    <row r="222" ht="15.75" customHeight="1">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row>
    <row r="223" ht="15.75" customHeight="1">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row>
    <row r="224" ht="15.75" customHeight="1">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row>
    <row r="225" ht="15.75" customHeight="1">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row>
    <row r="226" ht="15.75" customHeight="1">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row>
    <row r="227" ht="15.75" customHeight="1">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row>
    <row r="228" ht="15.75" customHeight="1">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row>
    <row r="229" ht="15.75" customHeight="1">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row>
    <row r="230" ht="15.75" customHeight="1">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row>
    <row r="231" ht="15.75" customHeight="1">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row>
    <row r="232" ht="15.75" customHeight="1">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row>
    <row r="233" ht="15.75" customHeight="1">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row>
    <row r="234" ht="15.75" customHeight="1">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row>
    <row r="235" ht="15.75" customHeight="1">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row>
    <row r="236" ht="15.75" customHeight="1">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row>
    <row r="237" ht="15.75" customHeight="1">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row>
    <row r="238" ht="15.75" customHeight="1">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row>
    <row r="239" ht="15.75" customHeight="1">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row>
    <row r="240" ht="15.75" customHeight="1">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row>
    <row r="241" ht="15.75" customHeight="1">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row>
    <row r="242" ht="15.75" customHeight="1">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row>
    <row r="243" ht="15.75" customHeight="1">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row>
    <row r="244" ht="15.75" customHeight="1">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row>
    <row r="245" ht="15.75" customHeight="1">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row>
    <row r="246" ht="15.75" customHeight="1">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row>
    <row r="247" ht="15.75" customHeight="1">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row>
    <row r="248" ht="15.75" customHeight="1">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row>
    <row r="249" ht="15.75" customHeight="1">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row>
    <row r="250" ht="15.75" customHeight="1">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row>
    <row r="251" ht="15.75" customHeight="1">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row>
    <row r="252" ht="15.75" customHeight="1">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row>
    <row r="253" ht="15.75" customHeight="1">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row>
    <row r="254" ht="15.75" customHeight="1">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row>
    <row r="255" ht="15.75" customHeight="1">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row>
    <row r="256" ht="15.75" customHeight="1">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row>
    <row r="257" ht="15.75" customHeight="1">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row>
    <row r="258" ht="15.75" customHeight="1">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row>
    <row r="259" ht="15.75" customHeight="1">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row>
    <row r="260" ht="15.75" customHeight="1">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row>
    <row r="261" ht="15.75" customHeight="1">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row>
    <row r="262" ht="15.75" customHeight="1">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row>
    <row r="263" ht="15.75" customHeight="1">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row>
    <row r="264" ht="15.75" customHeight="1">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row>
    <row r="265" ht="15.75" customHeight="1">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row>
    <row r="266" ht="15.75" customHeight="1">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row>
    <row r="267" ht="15.75" customHeight="1">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row>
    <row r="268" ht="15.75" customHeight="1">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row>
    <row r="269" ht="15.75" customHeight="1">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row>
    <row r="270" ht="15.75" customHeight="1">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row>
    <row r="271" ht="15.75" customHeight="1">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row>
    <row r="272" ht="15.75" customHeight="1">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row>
    <row r="273" ht="15.75" customHeight="1">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row>
    <row r="274" ht="15.75" customHeight="1">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row>
    <row r="275" ht="15.75" customHeight="1">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row>
    <row r="276" ht="15.75" customHeight="1">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row>
    <row r="277" ht="15.75" customHeight="1">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row>
    <row r="278" ht="15.75" customHeight="1">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row>
    <row r="279" ht="15.75" customHeight="1">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row>
    <row r="280" ht="15.75" customHeight="1">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row>
    <row r="281" ht="15.75" customHeight="1">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row>
    <row r="282" ht="15.75" customHeight="1">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row>
    <row r="283" ht="15.75" customHeight="1">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row>
    <row r="284" ht="15.75" customHeight="1">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row>
    <row r="285" ht="15.75" customHeight="1">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row>
    <row r="286" ht="15.75" customHeight="1">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row>
    <row r="287" ht="15.75" customHeight="1">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row>
    <row r="288" ht="15.75" customHeight="1">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row>
    <row r="289" ht="15.75" customHeight="1">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row>
    <row r="290" ht="15.75" customHeight="1">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row>
    <row r="291" ht="15.75" customHeight="1">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row>
    <row r="292" ht="15.75" customHeight="1">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row>
    <row r="293" ht="15.75" customHeight="1">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row>
    <row r="294" ht="15.75" customHeight="1">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row>
    <row r="295" ht="15.75" customHeight="1">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row>
    <row r="296" ht="15.75" customHeight="1">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row>
    <row r="297" ht="15.75" customHeight="1">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row>
    <row r="298" ht="15.75" customHeight="1">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row>
    <row r="299" ht="15.75" customHeight="1">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row>
    <row r="300" ht="15.75" customHeight="1">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row>
    <row r="301" ht="15.75" customHeight="1">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row>
    <row r="302" ht="15.75" customHeight="1">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row>
    <row r="303" ht="15.75" customHeight="1">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row>
    <row r="304" ht="15.75" customHeight="1">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row>
    <row r="305" ht="15.75" customHeight="1">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row>
    <row r="306" ht="15.75" customHeight="1">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row>
    <row r="307" ht="15.75" customHeight="1">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row>
    <row r="308" ht="15.75" customHeight="1">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row>
    <row r="309" ht="15.75" customHeight="1">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row>
    <row r="310" ht="15.75" customHeight="1">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row>
    <row r="311" ht="15.75" customHeight="1">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row>
    <row r="312" ht="15.75" customHeight="1">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row>
    <row r="313" ht="15.75" customHeight="1">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row>
    <row r="314" ht="15.75" customHeight="1">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row>
    <row r="315" ht="15.75" customHeight="1">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row>
    <row r="316" ht="15.75" customHeight="1">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row>
    <row r="317" ht="15.75" customHeight="1">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row>
    <row r="318" ht="15.75" customHeight="1">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row>
    <row r="319" ht="15.75" customHeight="1">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row>
    <row r="320" ht="15.75" customHeight="1">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row>
    <row r="321" ht="15.75" customHeight="1">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row>
    <row r="322" ht="15.75" customHeight="1">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row>
    <row r="323" ht="15.75" customHeight="1">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row>
    <row r="324" ht="15.75" customHeight="1">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row>
    <row r="325" ht="15.75" customHeight="1">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row>
    <row r="326" ht="15.75" customHeight="1">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row>
    <row r="327" ht="15.75" customHeight="1">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row>
    <row r="328" ht="15.75" customHeight="1">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row>
    <row r="329" ht="15.75" customHeight="1">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row>
    <row r="330" ht="15.75" customHeight="1">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row>
    <row r="331" ht="15.75" customHeight="1">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row>
    <row r="332" ht="15.75" customHeight="1">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row>
    <row r="333" ht="15.75" customHeight="1">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row>
    <row r="334" ht="15.75" customHeight="1">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row>
    <row r="335" ht="15.75" customHeight="1">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row>
    <row r="336" ht="15.75" customHeight="1">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row>
    <row r="337" ht="15.75" customHeight="1">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row>
    <row r="338" ht="15.75" customHeight="1">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row>
    <row r="339" ht="15.75" customHeight="1">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row>
    <row r="340" ht="15.75" customHeight="1">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row>
    <row r="341" ht="15.75" customHeight="1">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row>
    <row r="342" ht="15.75" customHeight="1">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row>
    <row r="343" ht="15.75" customHeight="1">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row>
    <row r="344" ht="15.75" customHeight="1">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row>
    <row r="345" ht="15.75" customHeight="1">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row>
    <row r="346" ht="15.75" customHeight="1">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row>
    <row r="347" ht="15.75" customHeight="1">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row>
    <row r="348" ht="15.75" customHeight="1">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row>
    <row r="349" ht="15.75" customHeight="1">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row>
    <row r="350" ht="15.75" customHeight="1">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row>
    <row r="351" ht="15.75" customHeight="1">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row>
    <row r="352" ht="15.75" customHeight="1">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row>
    <row r="353" ht="15.75" customHeight="1">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row>
    <row r="354" ht="15.75" customHeight="1">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row>
    <row r="355" ht="15.75" customHeight="1">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row>
    <row r="356" ht="15.75" customHeight="1">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row>
    <row r="357" ht="15.75" customHeight="1">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row>
    <row r="358" ht="15.75" customHeight="1">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row>
    <row r="359" ht="15.75" customHeight="1">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row>
    <row r="360" ht="15.75" customHeight="1">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row>
    <row r="361" ht="15.75" customHeight="1">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row>
    <row r="362" ht="15.75" customHeight="1">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row>
    <row r="363" ht="15.75" customHeight="1">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row>
    <row r="364" ht="15.75" customHeight="1">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row>
    <row r="365" ht="15.75" customHeight="1">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row>
    <row r="366" ht="15.75" customHeight="1">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row>
    <row r="367" ht="15.75" customHeight="1">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row>
    <row r="368" ht="15.75" customHeight="1">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row>
    <row r="369" ht="15.75" customHeight="1">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row>
    <row r="370" ht="15.75" customHeight="1">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row>
    <row r="371" ht="15.75" customHeight="1">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row>
    <row r="372" ht="15.75" customHeight="1">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row>
    <row r="373" ht="15.75" customHeight="1">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row>
    <row r="374" ht="15.75" customHeight="1">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row>
    <row r="375" ht="15.75" customHeight="1">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row>
    <row r="376" ht="15.75" customHeight="1">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row>
    <row r="377" ht="15.75" customHeight="1">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row>
    <row r="378" ht="15.75" customHeight="1">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row>
    <row r="379" ht="15.75" customHeight="1">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row>
    <row r="380" ht="15.75" customHeight="1">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row>
    <row r="381" ht="15.75" customHeight="1">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row>
    <row r="382" ht="15.75" customHeight="1">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row>
    <row r="383" ht="15.75" customHeight="1">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row>
    <row r="384" ht="15.75" customHeight="1">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row>
    <row r="385" ht="15.75" customHeight="1">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row>
    <row r="386" ht="15.75" customHeight="1">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row>
    <row r="387" ht="15.75" customHeight="1">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row>
    <row r="388" ht="15.75" customHeight="1">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row>
    <row r="389" ht="15.75" customHeight="1">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row>
    <row r="390" ht="15.75" customHeight="1">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row>
    <row r="391" ht="15.75" customHeight="1">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row>
    <row r="392" ht="15.75" customHeight="1">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row>
    <row r="393" ht="15.75" customHeight="1">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row>
    <row r="394" ht="15.75" customHeight="1">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row>
    <row r="395" ht="15.75" customHeight="1">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row>
    <row r="396" ht="15.75" customHeight="1">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row>
    <row r="397" ht="15.75" customHeight="1">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row>
    <row r="398" ht="15.75" customHeight="1">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row>
    <row r="399" ht="15.75" customHeight="1">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row>
    <row r="400" ht="15.75" customHeight="1">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row>
    <row r="401" ht="15.75" customHeight="1">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row>
    <row r="402" ht="15.75" customHeight="1">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row>
    <row r="403" ht="15.75" customHeight="1">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row>
    <row r="404" ht="15.75" customHeight="1">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row>
    <row r="405" ht="15.75" customHeight="1">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row>
    <row r="406" ht="15.75" customHeight="1">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row>
    <row r="407" ht="15.75" customHeight="1">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row>
    <row r="408" ht="15.75" customHeight="1">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row>
    <row r="409" ht="15.75" customHeight="1">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row>
    <row r="410" ht="15.75" customHeight="1">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row>
    <row r="411" ht="15.75" customHeight="1">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row>
    <row r="412" ht="15.75" customHeight="1">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row>
    <row r="413" ht="15.75" customHeight="1">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row>
    <row r="414" ht="15.75" customHeight="1">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row>
    <row r="415" ht="15.75" customHeight="1">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row>
    <row r="416" ht="15.75" customHeight="1">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row>
    <row r="417" ht="15.75" customHeight="1">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row>
    <row r="418" ht="15.75" customHeight="1">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row>
    <row r="419" ht="15.75" customHeight="1">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row>
    <row r="420" ht="15.75" customHeight="1">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row>
    <row r="421" ht="15.75" customHeight="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row>
    <row r="422" ht="15.75" customHeight="1">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row>
    <row r="423" ht="15.75" customHeight="1">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row>
    <row r="424" ht="15.75" customHeight="1">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row>
    <row r="425" ht="15.75" customHeight="1">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row>
    <row r="426" ht="15.75" customHeight="1">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row>
    <row r="427" ht="15.75" customHeight="1">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row>
    <row r="428" ht="15.75" customHeight="1">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row>
    <row r="429" ht="15.75" customHeight="1">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row>
    <row r="430" ht="15.75" customHeight="1">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row>
    <row r="431" ht="15.75" customHeight="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row>
    <row r="432" ht="15.75" customHeight="1">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row>
    <row r="433" ht="15.75" customHeight="1">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row>
    <row r="434" ht="15.75" customHeight="1">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row>
    <row r="435" ht="15.75" customHeight="1">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row>
    <row r="436" ht="15.75" customHeight="1">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row>
    <row r="437" ht="15.75" customHeight="1">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row>
    <row r="438" ht="15.75" customHeight="1">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row>
    <row r="439" ht="15.75" customHeight="1">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row>
    <row r="440" ht="15.75" customHeight="1">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row>
    <row r="441" ht="15.75" customHeight="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row>
    <row r="442" ht="15.75" customHeight="1">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row>
    <row r="443" ht="15.75" customHeight="1">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row>
    <row r="444" ht="15.75" customHeight="1">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row>
    <row r="445" ht="15.75" customHeight="1">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row>
    <row r="446" ht="15.75" customHeight="1">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row>
    <row r="447" ht="15.75" customHeight="1">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row>
    <row r="448" ht="15.75" customHeight="1">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row>
    <row r="449" ht="15.75" customHeight="1">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row>
    <row r="450" ht="15.75" customHeight="1">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row>
    <row r="451" ht="15.75" customHeight="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row>
    <row r="452" ht="15.75" customHeight="1">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row>
    <row r="453" ht="15.75" customHeight="1">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row>
    <row r="454" ht="15.75" customHeight="1">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row>
    <row r="455" ht="15.75" customHeight="1">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row>
    <row r="456" ht="15.75" customHeight="1">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row>
    <row r="457" ht="15.75" customHeight="1">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row>
    <row r="458" ht="15.75" customHeight="1">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row>
    <row r="459" ht="15.75" customHeight="1">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row>
    <row r="460" ht="15.75" customHeight="1">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row>
    <row r="461" ht="15.75" customHeight="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row>
    <row r="462" ht="15.75" customHeight="1">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row>
    <row r="463" ht="15.75" customHeight="1">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row>
    <row r="464" ht="15.75" customHeight="1">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row>
    <row r="465" ht="15.75" customHeight="1">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row>
    <row r="466" ht="15.75" customHeight="1">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row>
    <row r="467" ht="15.75" customHeight="1">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row>
    <row r="468" ht="15.75" customHeight="1">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row>
    <row r="469" ht="15.75" customHeight="1">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row>
    <row r="470" ht="15.75" customHeight="1">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row>
    <row r="471" ht="15.75" customHeight="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row>
    <row r="472" ht="15.75" customHeight="1">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row>
    <row r="473" ht="15.75" customHeight="1">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row>
    <row r="474" ht="15.75" customHeight="1">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row>
    <row r="475" ht="15.75" customHeight="1">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row>
    <row r="476" ht="15.75" customHeight="1">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row>
    <row r="477" ht="15.75" customHeight="1">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row>
    <row r="478" ht="15.75" customHeight="1">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row>
    <row r="479" ht="15.75" customHeight="1">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row>
    <row r="480" ht="15.75" customHeight="1">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row>
    <row r="481" ht="15.75" customHeight="1">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row>
    <row r="482" ht="15.75" customHeight="1">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row>
    <row r="483" ht="15.75" customHeight="1">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row>
    <row r="484" ht="15.75" customHeight="1">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row>
    <row r="485" ht="15.75" customHeight="1">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row>
    <row r="486" ht="15.75" customHeight="1">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row>
    <row r="487" ht="15.75" customHeight="1">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row>
    <row r="488" ht="15.75" customHeight="1">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row>
    <row r="489" ht="15.75" customHeight="1">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row>
    <row r="490" ht="15.75" customHeight="1">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row>
    <row r="491" ht="15.75" customHeight="1">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row>
    <row r="492" ht="15.75" customHeight="1">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row>
    <row r="493" ht="15.75" customHeight="1">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row>
    <row r="494" ht="15.75" customHeight="1">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row>
    <row r="495" ht="15.75" customHeight="1">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row>
    <row r="496" ht="15.75" customHeight="1">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row>
    <row r="497" ht="15.75" customHeight="1">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row>
    <row r="498" ht="15.75" customHeight="1">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row>
    <row r="499" ht="15.75" customHeight="1">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row>
    <row r="500" ht="15.75" customHeight="1">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row>
    <row r="501" ht="15.75" customHeight="1">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row>
    <row r="502" ht="15.75" customHeight="1">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row>
    <row r="503" ht="15.75" customHeight="1">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row>
    <row r="504" ht="15.75" customHeight="1">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row>
    <row r="505" ht="15.75" customHeight="1">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row>
    <row r="506" ht="15.75" customHeight="1">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row>
    <row r="507" ht="15.75" customHeight="1">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row>
    <row r="508" ht="15.75" customHeight="1">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row>
    <row r="509" ht="15.75" customHeight="1">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row>
    <row r="510" ht="15.75" customHeight="1">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row>
    <row r="511" ht="15.75" customHeight="1">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row>
    <row r="512" ht="15.75" customHeight="1">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row>
    <row r="513" ht="15.75" customHeight="1">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row>
    <row r="514" ht="15.75" customHeight="1">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row>
    <row r="515" ht="15.75" customHeight="1">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row>
    <row r="516" ht="15.75" customHeight="1">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row>
    <row r="517" ht="15.75" customHeight="1">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row>
    <row r="518" ht="15.75" customHeight="1">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row>
    <row r="519" ht="15.75" customHeight="1">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row>
    <row r="520" ht="15.75" customHeight="1">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row>
    <row r="521" ht="15.75" customHeight="1">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row>
    <row r="522" ht="15.75" customHeight="1">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row>
    <row r="523" ht="15.75" customHeight="1">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row>
    <row r="524" ht="15.75" customHeight="1">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row>
    <row r="525" ht="15.75" customHeight="1">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row>
    <row r="526" ht="15.75" customHeight="1">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row>
    <row r="527" ht="15.75" customHeight="1">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row>
    <row r="528" ht="15.75" customHeight="1">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row>
    <row r="529" ht="15.75" customHeight="1">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row>
    <row r="530" ht="15.75" customHeight="1">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row>
    <row r="531" ht="15.75" customHeight="1">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row>
    <row r="532" ht="15.75" customHeight="1">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row>
    <row r="533" ht="15.75" customHeight="1">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row>
    <row r="534" ht="15.75" customHeight="1">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row>
    <row r="535" ht="15.75" customHeight="1">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row>
    <row r="536" ht="15.75" customHeight="1">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row>
    <row r="537" ht="15.75" customHeight="1">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row>
    <row r="538" ht="15.75" customHeight="1">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row>
    <row r="539" ht="15.75" customHeight="1">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row>
    <row r="540" ht="15.75" customHeight="1">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row>
    <row r="541" ht="15.75" customHeight="1">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row>
    <row r="542" ht="15.75" customHeight="1">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row>
    <row r="543" ht="15.75" customHeight="1">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row>
    <row r="544" ht="15.75" customHeight="1">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row>
    <row r="545" ht="15.75" customHeight="1">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row>
    <row r="546" ht="15.75" customHeight="1">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row>
    <row r="547" ht="15.75" customHeight="1">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row>
    <row r="548" ht="15.75" customHeight="1">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row>
    <row r="549" ht="15.75" customHeight="1">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row>
    <row r="550" ht="15.75" customHeight="1">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row>
    <row r="551" ht="15.75" customHeight="1">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row>
    <row r="552" ht="15.75" customHeight="1">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row>
    <row r="553" ht="15.75" customHeight="1">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row>
    <row r="554" ht="15.75" customHeight="1">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row>
    <row r="555" ht="15.75" customHeight="1">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row>
    <row r="556" ht="15.75" customHeight="1">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row>
    <row r="557" ht="15.75" customHeight="1">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row>
    <row r="558" ht="15.75" customHeight="1">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row>
    <row r="559" ht="15.75" customHeight="1">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row>
    <row r="560" ht="15.75" customHeight="1">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row>
    <row r="561" ht="15.75" customHeight="1">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row>
    <row r="562" ht="15.75" customHeight="1">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row>
    <row r="563" ht="15.75" customHeight="1">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row>
    <row r="564" ht="15.75" customHeight="1">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row>
    <row r="565" ht="15.75" customHeight="1">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row>
    <row r="566" ht="15.75" customHeight="1">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row>
    <row r="567" ht="15.75" customHeight="1">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row>
    <row r="568" ht="15.75" customHeight="1">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row>
    <row r="569" ht="15.75" customHeight="1">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row>
    <row r="570" ht="15.75" customHeight="1">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row>
    <row r="571" ht="15.75" customHeight="1">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row>
    <row r="572" ht="15.75" customHeight="1">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row>
    <row r="573" ht="15.75" customHeight="1">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row>
    <row r="574" ht="15.75" customHeight="1">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row>
    <row r="575" ht="15.75" customHeight="1">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row>
    <row r="576" ht="15.75" customHeight="1">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row>
    <row r="577" ht="15.75" customHeight="1">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row>
    <row r="578" ht="15.75" customHeight="1">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row>
    <row r="579" ht="15.75" customHeight="1">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row>
    <row r="580" ht="15.75" customHeight="1">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row>
    <row r="581" ht="15.75" customHeight="1">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row>
    <row r="582" ht="15.75" customHeight="1">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row>
    <row r="583" ht="15.75" customHeight="1">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row>
    <row r="584" ht="15.75" customHeight="1">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row>
    <row r="585" ht="15.75" customHeight="1">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row>
    <row r="586" ht="15.75" customHeight="1">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row>
    <row r="587" ht="15.75" customHeight="1">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row>
    <row r="588" ht="15.75" customHeight="1">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row>
    <row r="589" ht="15.75" customHeight="1">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row>
    <row r="590" ht="15.75" customHeight="1">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row>
    <row r="591" ht="15.75" customHeight="1">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row>
    <row r="592" ht="15.75" customHeight="1">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row>
    <row r="593" ht="15.75" customHeight="1">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row>
    <row r="594" ht="15.75" customHeight="1">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row>
    <row r="595" ht="15.75" customHeight="1">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row>
    <row r="596" ht="15.75" customHeight="1">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row>
    <row r="597" ht="15.75" customHeight="1">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row>
    <row r="598" ht="15.75" customHeight="1">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row>
    <row r="599" ht="15.75" customHeight="1">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row>
    <row r="600" ht="15.75" customHeight="1">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row>
    <row r="601" ht="15.75" customHeight="1">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row>
    <row r="602" ht="15.75" customHeight="1">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row>
    <row r="603" ht="15.75" customHeight="1">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row>
    <row r="604" ht="15.75" customHeight="1">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row>
    <row r="605" ht="15.75" customHeight="1">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row>
    <row r="606" ht="15.75" customHeight="1">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row>
    <row r="607" ht="15.75" customHeight="1">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row>
    <row r="608" ht="15.75" customHeight="1">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row>
    <row r="609" ht="15.75" customHeight="1">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row>
    <row r="610" ht="15.75" customHeight="1">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row>
    <row r="611" ht="15.75" customHeight="1">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row>
    <row r="612" ht="15.75" customHeight="1">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row>
    <row r="613" ht="15.75" customHeight="1">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row>
    <row r="614" ht="15.75" customHeight="1">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row>
    <row r="615" ht="15.75" customHeight="1">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row>
    <row r="616" ht="15.75" customHeight="1">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row>
    <row r="617" ht="15.75" customHeight="1">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row>
    <row r="618" ht="15.75" customHeight="1">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row>
    <row r="619" ht="15.75" customHeight="1">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row>
    <row r="620" ht="15.75" customHeight="1">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row>
    <row r="621" ht="15.75" customHeight="1">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row>
    <row r="622" ht="15.75" customHeight="1">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row>
    <row r="623" ht="15.75" customHeight="1">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row>
    <row r="624" ht="15.75" customHeight="1">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row>
    <row r="625" ht="15.75" customHeight="1">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row>
    <row r="626" ht="15.75" customHeight="1">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row>
    <row r="627" ht="15.75" customHeight="1">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row>
    <row r="628" ht="15.75" customHeight="1">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row>
    <row r="629" ht="15.75" customHeight="1">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row>
    <row r="630" ht="15.75" customHeight="1">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row>
    <row r="631" ht="15.75" customHeight="1">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row>
    <row r="632" ht="15.75" customHeight="1">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row>
    <row r="633" ht="15.75" customHeight="1">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row>
    <row r="634" ht="15.75" customHeight="1">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row>
    <row r="635" ht="15.75" customHeight="1">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row>
    <row r="636" ht="15.75" customHeight="1">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row>
    <row r="637" ht="15.75" customHeight="1">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row>
    <row r="638" ht="15.75" customHeight="1">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row>
    <row r="639" ht="15.75" customHeight="1">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row>
    <row r="640" ht="15.75" customHeight="1">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row>
    <row r="641" ht="15.75" customHeight="1">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row>
    <row r="642" ht="15.75" customHeight="1">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row>
    <row r="643" ht="15.75" customHeight="1">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row>
    <row r="644" ht="15.75" customHeight="1">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row>
    <row r="645" ht="15.75" customHeight="1">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row>
    <row r="646" ht="15.75" customHeight="1">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row>
    <row r="647" ht="15.75" customHeight="1">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row>
    <row r="648" ht="15.75" customHeight="1">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row>
    <row r="649" ht="15.75" customHeight="1">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row>
    <row r="650" ht="15.75" customHeight="1">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row>
    <row r="651" ht="15.75" customHeight="1">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row>
    <row r="652" ht="15.75" customHeight="1">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row>
    <row r="653" ht="15.75" customHeight="1">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row>
    <row r="654" ht="15.75" customHeight="1">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row>
    <row r="655" ht="15.75" customHeight="1">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row>
    <row r="656" ht="15.75" customHeight="1">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row>
    <row r="657" ht="15.75" customHeight="1">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row>
    <row r="658" ht="15.75" customHeight="1">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row>
    <row r="659" ht="15.75" customHeight="1">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row>
    <row r="660" ht="15.75" customHeight="1">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row>
    <row r="661" ht="15.75" customHeight="1">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row>
    <row r="662" ht="15.75" customHeight="1">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row>
    <row r="663" ht="15.75" customHeight="1">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row>
    <row r="664" ht="15.75" customHeight="1">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row>
    <row r="665" ht="15.75" customHeight="1">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row>
    <row r="666" ht="15.75" customHeight="1">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row>
    <row r="667" ht="15.75" customHeight="1">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row>
    <row r="668" ht="15.75" customHeight="1">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row>
    <row r="669" ht="15.75" customHeight="1">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row>
    <row r="670" ht="15.75" customHeight="1">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row>
    <row r="671" ht="15.75" customHeight="1">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row>
    <row r="672" ht="15.75" customHeight="1">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row>
    <row r="673" ht="15.75" customHeight="1">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row>
    <row r="674" ht="15.75" customHeight="1">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row>
    <row r="675" ht="15.75" customHeight="1">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row>
    <row r="676" ht="15.75" customHeight="1">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row>
    <row r="677" ht="15.75" customHeight="1">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row>
    <row r="678" ht="15.75" customHeight="1">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row>
    <row r="679" ht="15.75" customHeight="1">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row>
    <row r="680" ht="15.75" customHeight="1">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row>
    <row r="681" ht="15.75" customHeight="1">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row>
    <row r="682" ht="15.75" customHeight="1">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row>
    <row r="683" ht="15.75" customHeight="1">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row>
    <row r="684" ht="15.75" customHeight="1">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row>
    <row r="685" ht="15.75" customHeight="1">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row>
    <row r="686" ht="15.75" customHeight="1">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row>
    <row r="687" ht="15.75" customHeight="1">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row>
    <row r="688" ht="15.75" customHeight="1">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row>
    <row r="689" ht="15.75" customHeight="1">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row>
    <row r="690" ht="15.75" customHeight="1">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row>
    <row r="691" ht="15.75" customHeight="1">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row>
    <row r="692" ht="15.75" customHeight="1">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row>
    <row r="693" ht="15.75" customHeight="1">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row>
    <row r="694" ht="15.75" customHeight="1">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row>
    <row r="695" ht="15.75" customHeight="1">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row>
    <row r="696" ht="15.75" customHeight="1">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row>
    <row r="697" ht="15.75" customHeight="1">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row>
    <row r="698" ht="15.75" customHeight="1">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row>
    <row r="699" ht="15.75" customHeight="1">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row>
    <row r="700" ht="15.75" customHeight="1">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row>
    <row r="701" ht="15.75" customHeight="1">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row>
    <row r="702" ht="15.75" customHeight="1">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row>
    <row r="703" ht="15.75" customHeight="1">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row>
    <row r="704" ht="15.75" customHeight="1">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row>
    <row r="705" ht="15.75" customHeight="1">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row>
    <row r="706" ht="15.75" customHeight="1">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row>
    <row r="707" ht="15.75" customHeight="1">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row>
    <row r="708" ht="15.75" customHeight="1">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row>
    <row r="709" ht="15.75" customHeight="1">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row>
    <row r="710" ht="15.75" customHeight="1">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row>
    <row r="711" ht="15.75" customHeight="1">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row>
    <row r="712" ht="15.75" customHeight="1">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row>
    <row r="713" ht="15.75" customHeight="1">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row>
    <row r="714" ht="15.75" customHeight="1">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row>
    <row r="715" ht="15.75" customHeight="1">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row>
    <row r="716" ht="15.75" customHeight="1">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row>
    <row r="717" ht="15.75" customHeight="1">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row>
    <row r="718" ht="15.75" customHeight="1">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row>
    <row r="719" ht="15.75" customHeight="1">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row>
    <row r="720" ht="15.75" customHeight="1">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row>
    <row r="721" ht="15.75" customHeight="1">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row>
    <row r="722" ht="15.75" customHeight="1">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row>
    <row r="723" ht="15.75" customHeight="1">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row>
    <row r="724" ht="15.75" customHeight="1">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row>
    <row r="725" ht="15.75" customHeight="1">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row>
    <row r="726" ht="15.75" customHeight="1">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row>
    <row r="727" ht="15.75" customHeight="1">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row>
    <row r="728" ht="15.75" customHeight="1">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row>
    <row r="729" ht="15.75" customHeight="1">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row>
    <row r="730" ht="15.75" customHeight="1">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row>
    <row r="731" ht="15.75" customHeight="1">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row>
    <row r="732" ht="15.75" customHeight="1">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row>
    <row r="733" ht="15.75" customHeight="1">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row>
    <row r="734" ht="15.75" customHeight="1">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row>
    <row r="735" ht="15.75" customHeight="1">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row>
    <row r="736" ht="15.75" customHeight="1">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row>
    <row r="737" ht="15.75" customHeight="1">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row>
    <row r="738" ht="15.75" customHeight="1">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row>
    <row r="739" ht="15.75" customHeight="1">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row>
    <row r="740" ht="15.75" customHeight="1">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row>
    <row r="741" ht="15.75" customHeight="1">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row>
    <row r="742" ht="15.75" customHeight="1">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row>
    <row r="743" ht="15.75" customHeight="1">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row>
    <row r="744" ht="15.75" customHeight="1">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row>
    <row r="745" ht="15.75" customHeight="1">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row>
    <row r="746" ht="15.75" customHeight="1">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row>
    <row r="747" ht="15.75" customHeight="1">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row>
    <row r="748" ht="15.75" customHeight="1">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row>
    <row r="749" ht="15.75" customHeight="1">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row>
    <row r="750" ht="15.75" customHeight="1">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row>
    <row r="751" ht="15.75" customHeight="1">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row>
    <row r="752" ht="15.75" customHeight="1">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row>
    <row r="753" ht="15.75" customHeight="1">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row>
    <row r="754" ht="15.75" customHeight="1">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row>
    <row r="755" ht="15.75" customHeight="1">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row>
    <row r="756" ht="15.75" customHeight="1">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row>
    <row r="757" ht="15.75" customHeight="1">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row>
    <row r="758" ht="15.75" customHeight="1">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row>
    <row r="759" ht="15.75" customHeight="1">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row>
    <row r="760" ht="15.75" customHeight="1">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row>
    <row r="761" ht="15.75" customHeight="1">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row>
    <row r="762" ht="15.75" customHeight="1">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row>
    <row r="763" ht="15.75" customHeight="1">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row>
    <row r="764" ht="15.75" customHeight="1">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row>
    <row r="765" ht="15.75" customHeight="1">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row>
    <row r="766" ht="15.75" customHeight="1">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row>
    <row r="767" ht="15.75" customHeight="1">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row>
    <row r="768" ht="15.75" customHeight="1">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row>
    <row r="769" ht="15.75" customHeight="1">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row>
    <row r="770" ht="15.75" customHeight="1">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row>
    <row r="771" ht="15.75" customHeight="1">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row>
    <row r="772" ht="15.75" customHeight="1">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row>
    <row r="773" ht="15.75" customHeight="1">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row>
    <row r="774" ht="15.75" customHeight="1">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row>
    <row r="775" ht="15.75" customHeight="1">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row>
    <row r="776" ht="15.75" customHeight="1">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row>
    <row r="777" ht="15.75" customHeight="1">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row>
    <row r="778" ht="15.75" customHeight="1">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row>
    <row r="779" ht="15.75" customHeight="1">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row>
    <row r="780" ht="15.75" customHeight="1">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row>
    <row r="781" ht="15.75" customHeight="1">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row>
    <row r="782" ht="15.75" customHeight="1">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row>
    <row r="783" ht="15.75" customHeight="1">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row>
    <row r="784" ht="15.75" customHeight="1">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row>
    <row r="785" ht="15.75" customHeight="1">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row>
    <row r="786" ht="15.75" customHeight="1">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row>
    <row r="787" ht="15.75" customHeight="1">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row>
    <row r="788" ht="15.75" customHeight="1">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row>
    <row r="789" ht="15.75" customHeight="1">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row>
    <row r="790" ht="15.75" customHeight="1">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row>
    <row r="791" ht="15.75" customHeight="1">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row>
    <row r="792" ht="15.75" customHeight="1">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row>
    <row r="793" ht="15.75" customHeight="1">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row>
    <row r="794" ht="15.75" customHeight="1">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row>
    <row r="795" ht="15.75" customHeight="1">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row>
    <row r="796" ht="15.75" customHeight="1">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row>
    <row r="797" ht="15.75" customHeight="1">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row>
    <row r="798" ht="15.75" customHeight="1">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row>
    <row r="799" ht="15.75" customHeight="1">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row>
    <row r="800" ht="15.75" customHeight="1">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row>
    <row r="801" ht="15.75" customHeight="1">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row>
    <row r="802" ht="15.75" customHeight="1">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row>
    <row r="803" ht="15.75" customHeight="1">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row>
    <row r="804" ht="15.75" customHeight="1">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row>
    <row r="805" ht="15.75" customHeight="1">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row>
    <row r="806" ht="15.75" customHeight="1">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row>
    <row r="807" ht="15.75" customHeight="1">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row>
    <row r="808" ht="15.75" customHeight="1">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row>
    <row r="809" ht="15.75" customHeight="1">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row>
    <row r="810" ht="15.75" customHeight="1">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row>
    <row r="811" ht="15.75" customHeight="1">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row>
    <row r="812" ht="15.75" customHeight="1">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row>
    <row r="813" ht="15.75" customHeight="1">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row>
    <row r="814" ht="15.75" customHeight="1">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row>
    <row r="815" ht="15.75" customHeight="1">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row>
    <row r="816" ht="15.75" customHeight="1">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row>
    <row r="817" ht="15.75" customHeight="1">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row>
    <row r="818" ht="15.75" customHeight="1">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row>
    <row r="819" ht="15.75" customHeight="1">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row>
    <row r="820" ht="15.75" customHeight="1">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row>
    <row r="821" ht="15.75" customHeight="1">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row>
    <row r="822" ht="15.75" customHeight="1">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row>
    <row r="823" ht="15.75" customHeight="1">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row>
    <row r="824" ht="15.75" customHeight="1">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row>
    <row r="825" ht="15.75" customHeight="1">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row>
    <row r="826" ht="15.75" customHeight="1">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row>
    <row r="827" ht="15.75" customHeight="1">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row>
    <row r="828" ht="15.75" customHeight="1">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row>
    <row r="829" ht="15.75" customHeight="1">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row>
    <row r="830" ht="15.75" customHeight="1">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row>
    <row r="831" ht="15.75" customHeight="1">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row>
    <row r="832" ht="15.75" customHeight="1">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row>
    <row r="833" ht="15.75" customHeight="1">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row>
    <row r="834" ht="15.75" customHeight="1">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row>
    <row r="835" ht="15.75" customHeight="1">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row>
    <row r="836" ht="15.75" customHeight="1">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row>
    <row r="837" ht="15.75" customHeight="1">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row>
    <row r="838" ht="15.75" customHeight="1">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row>
    <row r="839" ht="15.75" customHeight="1">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row>
    <row r="840" ht="15.75" customHeight="1">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row>
    <row r="841" ht="15.75" customHeight="1">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row>
    <row r="842" ht="15.75" customHeight="1">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row>
    <row r="843" ht="15.75" customHeight="1">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row>
    <row r="844" ht="15.75" customHeight="1">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row>
    <row r="845" ht="15.75" customHeight="1">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row>
    <row r="846" ht="15.75" customHeight="1">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row>
    <row r="847" ht="15.75" customHeight="1">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row>
    <row r="848" ht="15.75" customHeight="1">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row>
    <row r="849" ht="15.75" customHeight="1">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row>
    <row r="850" ht="15.75" customHeight="1">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row>
    <row r="851" ht="15.75" customHeight="1">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row>
    <row r="852" ht="15.75" customHeight="1">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row>
    <row r="853" ht="15.75" customHeight="1">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row>
    <row r="854" ht="15.75" customHeight="1">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row>
    <row r="855" ht="15.75" customHeight="1">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row>
    <row r="856" ht="15.75" customHeight="1">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row>
    <row r="857" ht="15.75" customHeight="1">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row>
    <row r="858" ht="15.75" customHeight="1">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row>
    <row r="859" ht="15.75" customHeight="1">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row>
    <row r="860" ht="15.75" customHeight="1">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row>
    <row r="861" ht="15.75" customHeight="1">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row>
    <row r="862" ht="15.75" customHeight="1">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row>
    <row r="863" ht="15.75" customHeight="1">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row>
    <row r="864" ht="15.75" customHeight="1">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row>
    <row r="865" ht="15.75" customHeight="1">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row>
    <row r="866" ht="15.75" customHeight="1">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row>
    <row r="867" ht="15.75" customHeight="1">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row>
    <row r="868" ht="15.75" customHeight="1">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row>
    <row r="869" ht="15.75" customHeight="1">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row>
    <row r="870" ht="15.75" customHeight="1">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row>
    <row r="871" ht="15.75" customHeight="1">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row>
    <row r="872" ht="15.75" customHeight="1">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row>
    <row r="873" ht="15.75" customHeight="1">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row>
    <row r="874" ht="15.75" customHeight="1">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row>
    <row r="875" ht="15.75" customHeight="1">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row>
    <row r="876" ht="15.75" customHeight="1">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row>
    <row r="877" ht="15.75" customHeight="1">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row>
    <row r="878" ht="15.75" customHeight="1">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row>
    <row r="879" ht="15.75" customHeight="1">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row>
    <row r="880" ht="15.75" customHeight="1">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row>
    <row r="881" ht="15.75" customHeight="1">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row>
    <row r="882" ht="15.75" customHeight="1">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row>
    <row r="883" ht="15.75" customHeight="1">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row>
    <row r="884" ht="15.75" customHeight="1">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row>
    <row r="885" ht="15.75" customHeight="1">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row>
    <row r="886" ht="15.75" customHeight="1">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row>
    <row r="887" ht="15.75" customHeight="1">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row>
    <row r="888" ht="15.75" customHeight="1">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row>
    <row r="889" ht="15.75" customHeight="1">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row>
    <row r="890" ht="15.75" customHeight="1">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row>
    <row r="891" ht="15.75" customHeight="1">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row>
    <row r="892" ht="15.75" customHeight="1">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row>
    <row r="893" ht="15.75" customHeight="1">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row>
    <row r="894" ht="15.75" customHeight="1">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row>
    <row r="895" ht="15.75" customHeight="1">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row>
    <row r="896" ht="15.75" customHeight="1">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row>
    <row r="897" ht="15.75" customHeight="1">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row>
    <row r="898" ht="15.75" customHeight="1">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row>
    <row r="899" ht="15.75" customHeight="1">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row>
    <row r="900" ht="15.75" customHeight="1">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row>
    <row r="901" ht="15.75" customHeight="1">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row>
    <row r="902" ht="15.75" customHeight="1">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row>
    <row r="903" ht="15.75" customHeight="1">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row>
    <row r="904" ht="15.75" customHeight="1">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row>
    <row r="905" ht="15.75" customHeight="1">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row>
    <row r="906" ht="15.75" customHeight="1">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row>
    <row r="907" ht="15.75" customHeight="1">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row>
    <row r="908" ht="15.75" customHeight="1">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row>
    <row r="909" ht="15.75" customHeight="1">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row>
    <row r="910" ht="15.75" customHeight="1">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row>
    <row r="911" ht="15.75" customHeight="1">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row>
    <row r="912" ht="15.75" customHeight="1">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row>
    <row r="913" ht="15.75" customHeight="1">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row>
    <row r="914" ht="15.75" customHeight="1">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row>
    <row r="915" ht="15.75" customHeight="1">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row>
    <row r="916" ht="15.75" customHeight="1">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row>
    <row r="917" ht="15.75" customHeight="1">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row>
    <row r="918" ht="15.75" customHeight="1">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row>
    <row r="919" ht="15.75" customHeight="1">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row>
    <row r="920" ht="15.75" customHeight="1">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row>
    <row r="921" ht="15.75" customHeight="1">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row>
    <row r="922" ht="15.75" customHeight="1">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row>
    <row r="923" ht="15.75" customHeight="1">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row>
    <row r="924" ht="15.75" customHeight="1">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row>
    <row r="925" ht="15.75" customHeight="1">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row>
    <row r="926" ht="15.75" customHeight="1">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row>
    <row r="927" ht="15.75" customHeight="1">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row>
    <row r="928" ht="15.75" customHeight="1">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row>
    <row r="929" ht="15.75" customHeight="1">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row>
    <row r="930" ht="15.75" customHeight="1">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row>
    <row r="931" ht="15.75" customHeight="1">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row>
    <row r="932" ht="15.75" customHeight="1">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row>
    <row r="933" ht="15.75" customHeight="1">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row>
    <row r="934" ht="15.75" customHeight="1">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row>
    <row r="935" ht="15.75" customHeight="1">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row>
    <row r="936" ht="15.75" customHeight="1">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row>
    <row r="937" ht="15.75" customHeight="1">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row>
    <row r="938" ht="15.75" customHeight="1">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row>
    <row r="939" ht="15.75" customHeight="1">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row>
    <row r="940" ht="15.75" customHeight="1">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row>
    <row r="941" ht="15.75" customHeight="1">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row>
    <row r="942" ht="15.75" customHeight="1">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row>
    <row r="943" ht="15.75" customHeight="1">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row>
    <row r="944" ht="15.75" customHeight="1">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row>
    <row r="945" ht="15.75" customHeight="1">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row>
    <row r="946" ht="15.75" customHeight="1">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row>
    <row r="947" ht="15.75" customHeight="1">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row>
    <row r="948" ht="15.75" customHeight="1">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row>
    <row r="949" ht="15.75" customHeight="1">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row>
    <row r="950" ht="15.75" customHeight="1">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row>
    <row r="951" ht="15.75" customHeight="1">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row>
    <row r="952" ht="15.75" customHeight="1">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row>
    <row r="953" ht="15.75" customHeight="1">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row>
    <row r="954" ht="15.75" customHeight="1">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row>
    <row r="955" ht="15.75" customHeight="1">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row>
    <row r="956" ht="15.75" customHeight="1">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row>
    <row r="957" ht="15.75" customHeight="1">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row>
    <row r="958" ht="15.75" customHeight="1">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row>
    <row r="959" ht="15.75" customHeight="1">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row>
    <row r="960" ht="15.75" customHeight="1">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row>
    <row r="961" ht="15.75" customHeight="1">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row>
    <row r="962" ht="15.75" customHeight="1">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row>
    <row r="963" ht="15.75" customHeight="1">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row>
    <row r="964" ht="15.75" customHeight="1">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row>
    <row r="965" ht="15.75" customHeight="1">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row>
    <row r="966" ht="15.75" customHeight="1">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row>
    <row r="967" ht="15.75" customHeight="1">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row>
    <row r="968" ht="15.75" customHeight="1">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row>
    <row r="969" ht="15.75" customHeight="1">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row>
    <row r="970" ht="15.75" customHeight="1">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row>
    <row r="971" ht="15.75" customHeight="1">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row>
    <row r="972" ht="15.75" customHeight="1">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row>
    <row r="973" ht="15.75" customHeight="1">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1"/>
    </row>
    <row r="974" ht="15.75" customHeight="1">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1"/>
    </row>
    <row r="975" ht="15.75" customHeight="1">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1"/>
    </row>
    <row r="976" ht="15.75" customHeight="1">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1"/>
    </row>
    <row r="977" ht="15.75" customHeight="1">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1"/>
    </row>
    <row r="978" ht="15.75" customHeight="1">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1"/>
    </row>
    <row r="979" ht="15.75" customHeight="1">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1"/>
    </row>
    <row r="980" ht="15.75" customHeight="1">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1"/>
    </row>
    <row r="981" ht="15.75" customHeight="1">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1"/>
    </row>
    <row r="982" ht="15.75" customHeight="1">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1"/>
    </row>
    <row r="983" ht="15.75" customHeight="1">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1"/>
    </row>
    <row r="984" ht="15.75" customHeight="1">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1"/>
    </row>
    <row r="985" ht="15.75" customHeight="1">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1"/>
    </row>
    <row r="986" ht="15.75" customHeight="1">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1"/>
    </row>
    <row r="987" ht="15.75" customHeight="1">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1"/>
    </row>
    <row r="988" ht="15.75" customHeight="1">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1"/>
    </row>
    <row r="989" ht="15.75" customHeight="1">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1"/>
    </row>
    <row r="990" ht="15.75" customHeight="1">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1"/>
    </row>
    <row r="991" ht="15.75" customHeight="1">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1"/>
    </row>
    <row r="992" ht="15.75" customHeight="1">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1"/>
    </row>
    <row r="993" ht="15.75" customHeight="1">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1"/>
    </row>
    <row r="994" ht="15.75" customHeight="1">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1"/>
    </row>
    <row r="995" ht="15.75" customHeight="1">
      <c r="A995" s="41"/>
      <c r="B995" s="41"/>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1"/>
    </row>
    <row r="996" ht="15.75" customHeight="1">
      <c r="A996" s="41"/>
      <c r="B996" s="41"/>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1"/>
    </row>
    <row r="997" ht="15.75" customHeight="1">
      <c r="A997" s="41"/>
      <c r="B997" s="41"/>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1"/>
    </row>
    <row r="998" ht="15.75" customHeight="1">
      <c r="A998" s="41"/>
      <c r="B998" s="41"/>
      <c r="C998" s="41"/>
      <c r="D998" s="41"/>
      <c r="E998" s="41"/>
      <c r="F998" s="41"/>
      <c r="G998" s="41"/>
      <c r="H998" s="41"/>
      <c r="I998" s="41"/>
      <c r="J998" s="41"/>
      <c r="K998" s="41"/>
      <c r="L998" s="41"/>
      <c r="M998" s="41"/>
      <c r="N998" s="41"/>
      <c r="O998" s="41"/>
      <c r="P998" s="41"/>
      <c r="Q998" s="41"/>
      <c r="R998" s="41"/>
      <c r="S998" s="41"/>
      <c r="T998" s="41"/>
      <c r="U998" s="41"/>
      <c r="V998" s="41"/>
      <c r="W998" s="41"/>
      <c r="X998" s="41"/>
      <c r="Y998" s="41"/>
      <c r="Z998" s="41"/>
    </row>
    <row r="999" ht="15.75" customHeight="1">
      <c r="A999" s="41"/>
      <c r="B999" s="41"/>
      <c r="C999" s="41"/>
      <c r="D999" s="41"/>
      <c r="E999" s="41"/>
      <c r="F999" s="41"/>
      <c r="G999" s="41"/>
      <c r="H999" s="41"/>
      <c r="I999" s="41"/>
      <c r="J999" s="41"/>
      <c r="K999" s="41"/>
      <c r="L999" s="41"/>
      <c r="M999" s="41"/>
      <c r="N999" s="41"/>
      <c r="O999" s="41"/>
      <c r="P999" s="41"/>
      <c r="Q999" s="41"/>
      <c r="R999" s="41"/>
      <c r="S999" s="41"/>
      <c r="T999" s="41"/>
      <c r="U999" s="41"/>
      <c r="V999" s="41"/>
      <c r="W999" s="41"/>
      <c r="X999" s="41"/>
      <c r="Y999" s="41"/>
      <c r="Z999" s="41"/>
    </row>
    <row r="1000" ht="15.75" customHeight="1">
      <c r="A1000" s="41"/>
      <c r="B1000" s="41"/>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1"/>
      <c r="Y1000" s="41"/>
      <c r="Z1000" s="41"/>
    </row>
  </sheetData>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13"/>
    <col customWidth="1" min="2" max="3" width="12.13"/>
    <col customWidth="1" min="4" max="5" width="13.75"/>
    <col customWidth="1" min="6" max="6" width="42.13"/>
    <col customWidth="1" min="7" max="7" width="12.13"/>
    <col customWidth="1" min="8" max="8" width="12.5"/>
    <col customWidth="1" min="9" max="9" width="15.38"/>
    <col customWidth="1" min="10" max="10" width="15.88"/>
    <col customWidth="1" min="11" max="11" width="15.38"/>
    <col customWidth="1" min="12" max="13" width="36.63"/>
    <col customWidth="1" min="14" max="14" width="37.63"/>
    <col customWidth="1" min="15" max="15" width="8.88"/>
    <col customWidth="1" min="16" max="18" width="13.75"/>
    <col customWidth="1" min="19" max="19" width="15.38"/>
    <col customWidth="1" min="20" max="20" width="18.75"/>
    <col customWidth="1" min="21" max="23" width="17.0"/>
    <col customWidth="1" min="24" max="24" width="14.38"/>
    <col customWidth="1" min="25" max="25" width="12.75"/>
    <col customWidth="1" min="26" max="26" width="19.38"/>
    <col customWidth="1" min="27" max="27" width="17.75"/>
    <col customWidth="1" min="28" max="28" width="19.25"/>
    <col customWidth="1" min="29" max="30" width="21.25"/>
    <col customWidth="1" min="31" max="31" width="13.75"/>
    <col customWidth="1" min="32" max="32" width="12.13"/>
  </cols>
  <sheetData>
    <row r="1" ht="15.75" customHeight="1">
      <c r="A1" s="44" t="s">
        <v>82</v>
      </c>
      <c r="B1" s="44" t="s">
        <v>83</v>
      </c>
      <c r="C1" s="44" t="s">
        <v>84</v>
      </c>
      <c r="D1" s="44" t="s">
        <v>85</v>
      </c>
      <c r="E1" s="45" t="s">
        <v>86</v>
      </c>
      <c r="F1" s="44" t="s">
        <v>87</v>
      </c>
      <c r="G1" s="44" t="s">
        <v>88</v>
      </c>
      <c r="H1" s="44" t="s">
        <v>89</v>
      </c>
      <c r="I1" s="45" t="s">
        <v>90</v>
      </c>
      <c r="J1" s="44" t="s">
        <v>91</v>
      </c>
      <c r="K1" s="44" t="s">
        <v>92</v>
      </c>
      <c r="L1" s="46" t="s">
        <v>93</v>
      </c>
      <c r="M1" s="47" t="s">
        <v>94</v>
      </c>
      <c r="N1" s="44" t="s">
        <v>95</v>
      </c>
      <c r="O1" s="44" t="s">
        <v>96</v>
      </c>
      <c r="P1" s="44" t="s">
        <v>97</v>
      </c>
      <c r="Q1" s="44" t="s">
        <v>98</v>
      </c>
      <c r="R1" s="44" t="s">
        <v>99</v>
      </c>
      <c r="S1" s="44" t="s">
        <v>100</v>
      </c>
      <c r="T1" s="44" t="s">
        <v>101</v>
      </c>
      <c r="U1" s="44" t="s">
        <v>102</v>
      </c>
      <c r="V1" s="44" t="s">
        <v>103</v>
      </c>
      <c r="W1" s="46" t="s">
        <v>104</v>
      </c>
      <c r="X1" s="44" t="s">
        <v>105</v>
      </c>
      <c r="Y1" s="44" t="s">
        <v>106</v>
      </c>
      <c r="Z1" s="44" t="s">
        <v>107</v>
      </c>
      <c r="AA1" s="44" t="s">
        <v>108</v>
      </c>
      <c r="AB1" s="44" t="s">
        <v>109</v>
      </c>
      <c r="AC1" s="44" t="s">
        <v>110</v>
      </c>
      <c r="AD1" s="44" t="s">
        <v>111</v>
      </c>
      <c r="AE1" s="45" t="s">
        <v>112</v>
      </c>
      <c r="AF1" s="45" t="s">
        <v>113</v>
      </c>
    </row>
    <row r="2" ht="15.75" customHeight="1">
      <c r="A2" s="48" t="s">
        <v>216</v>
      </c>
      <c r="B2" s="49" t="s">
        <v>217</v>
      </c>
      <c r="C2" s="50">
        <v>0.3333333333333333</v>
      </c>
      <c r="D2" s="51"/>
      <c r="E2" s="51"/>
      <c r="F2" s="48" t="s">
        <v>218</v>
      </c>
      <c r="G2" s="52">
        <v>0.1</v>
      </c>
      <c r="H2" s="49" t="s">
        <v>219</v>
      </c>
      <c r="I2" s="53" t="s">
        <v>220</v>
      </c>
      <c r="J2" s="49" t="s">
        <v>121</v>
      </c>
      <c r="K2" s="49"/>
      <c r="L2" s="54"/>
      <c r="M2" s="55"/>
      <c r="N2" s="55"/>
      <c r="O2" s="48"/>
      <c r="P2" s="49" t="s">
        <v>221</v>
      </c>
      <c r="Q2" s="49"/>
      <c r="R2" s="48"/>
      <c r="S2" s="48"/>
      <c r="T2" s="48"/>
      <c r="U2" s="48"/>
      <c r="V2" s="48"/>
      <c r="W2" s="56"/>
      <c r="X2" s="48"/>
      <c r="Y2" s="48"/>
      <c r="Z2" s="48"/>
      <c r="AA2" s="48"/>
      <c r="AB2" s="48"/>
      <c r="AC2" s="48"/>
      <c r="AD2" s="48"/>
      <c r="AE2" s="57" t="b">
        <v>1</v>
      </c>
      <c r="AF2" s="58" t="b">
        <v>1</v>
      </c>
    </row>
    <row r="3" ht="15.75" customHeight="1">
      <c r="A3" s="48" t="s">
        <v>222</v>
      </c>
      <c r="B3" s="49" t="s">
        <v>217</v>
      </c>
      <c r="C3" s="50">
        <v>0.3333333333333333</v>
      </c>
      <c r="D3" s="51"/>
      <c r="E3" s="51"/>
      <c r="F3" s="48" t="s">
        <v>218</v>
      </c>
      <c r="G3" s="52">
        <v>0.1</v>
      </c>
      <c r="H3" s="49" t="s">
        <v>219</v>
      </c>
      <c r="I3" s="53" t="s">
        <v>220</v>
      </c>
      <c r="J3" s="49" t="s">
        <v>121</v>
      </c>
      <c r="K3" s="49"/>
      <c r="L3" s="59"/>
      <c r="M3" s="55"/>
      <c r="N3" s="55"/>
      <c r="O3" s="48"/>
      <c r="P3" s="49" t="s">
        <v>221</v>
      </c>
      <c r="Q3" s="49"/>
      <c r="R3" s="48"/>
      <c r="S3" s="48"/>
      <c r="T3" s="48"/>
      <c r="U3" s="48"/>
      <c r="V3" s="48"/>
      <c r="W3" s="60"/>
      <c r="X3" s="48"/>
      <c r="Y3" s="48"/>
      <c r="Z3" s="48"/>
      <c r="AA3" s="48"/>
      <c r="AB3" s="48"/>
      <c r="AC3" s="48"/>
      <c r="AD3" s="48"/>
      <c r="AE3" s="57" t="b">
        <v>1</v>
      </c>
      <c r="AF3" s="48"/>
    </row>
    <row r="4" ht="15.75" customHeight="1">
      <c r="A4" s="48" t="s">
        <v>223</v>
      </c>
      <c r="B4" s="49" t="s">
        <v>217</v>
      </c>
      <c r="C4" s="50">
        <v>0.3333333333333333</v>
      </c>
      <c r="D4" s="51"/>
      <c r="E4" s="51"/>
      <c r="F4" s="48" t="s">
        <v>224</v>
      </c>
      <c r="G4" s="52">
        <v>1.2</v>
      </c>
      <c r="H4" s="49" t="s">
        <v>219</v>
      </c>
      <c r="I4" s="53" t="s">
        <v>220</v>
      </c>
      <c r="J4" s="49" t="s">
        <v>121</v>
      </c>
      <c r="K4" s="49"/>
      <c r="L4" s="54"/>
      <c r="M4" s="55"/>
      <c r="N4" s="55"/>
      <c r="O4" s="48"/>
      <c r="P4" s="49" t="s">
        <v>221</v>
      </c>
      <c r="Q4" s="49"/>
      <c r="R4" s="48"/>
      <c r="S4" s="48"/>
      <c r="T4" s="48"/>
      <c r="U4" s="48"/>
      <c r="V4" s="48"/>
      <c r="W4" s="56"/>
      <c r="X4" s="48"/>
      <c r="Y4" s="48"/>
      <c r="Z4" s="48"/>
      <c r="AA4" s="48"/>
      <c r="AB4" s="48"/>
      <c r="AC4" s="48"/>
      <c r="AD4" s="48"/>
      <c r="AE4" s="57" t="b">
        <v>1</v>
      </c>
      <c r="AF4" s="48"/>
    </row>
    <row r="5" ht="15.75" customHeight="1">
      <c r="A5" s="48" t="s">
        <v>225</v>
      </c>
      <c r="B5" s="49" t="s">
        <v>226</v>
      </c>
      <c r="C5" s="50">
        <v>0.3333333333333333</v>
      </c>
      <c r="D5" s="51"/>
      <c r="E5" s="51"/>
      <c r="F5" s="48" t="s">
        <v>227</v>
      </c>
      <c r="G5" s="52">
        <v>0.8</v>
      </c>
      <c r="H5" s="49" t="s">
        <v>219</v>
      </c>
      <c r="I5" s="53" t="s">
        <v>228</v>
      </c>
      <c r="J5" s="49" t="s">
        <v>121</v>
      </c>
      <c r="K5" s="49"/>
      <c r="L5" s="59"/>
      <c r="M5" s="55"/>
      <c r="N5" s="55"/>
      <c r="O5" s="48"/>
      <c r="P5" s="49" t="s">
        <v>229</v>
      </c>
      <c r="Q5" s="49" t="s">
        <v>230</v>
      </c>
      <c r="R5" s="48"/>
      <c r="S5" s="48"/>
      <c r="T5" s="48"/>
      <c r="U5" s="48"/>
      <c r="V5" s="48"/>
      <c r="W5" s="60"/>
      <c r="X5" s="48"/>
      <c r="Y5" s="48"/>
      <c r="Z5" s="48"/>
      <c r="AA5" s="48"/>
      <c r="AB5" s="48"/>
      <c r="AC5" s="48"/>
      <c r="AD5" s="48"/>
      <c r="AE5" s="57" t="b">
        <v>1</v>
      </c>
      <c r="AF5" s="48"/>
    </row>
    <row r="6" ht="15.75" customHeight="1">
      <c r="A6" s="48" t="s">
        <v>231</v>
      </c>
      <c r="B6" s="49" t="s">
        <v>232</v>
      </c>
      <c r="C6" s="50">
        <v>0.3333333333333333</v>
      </c>
      <c r="D6" s="51"/>
      <c r="E6" s="51"/>
      <c r="F6" s="48" t="s">
        <v>233</v>
      </c>
      <c r="G6" s="52">
        <v>2.4</v>
      </c>
      <c r="H6" s="49" t="s">
        <v>219</v>
      </c>
      <c r="I6" s="53" t="s">
        <v>234</v>
      </c>
      <c r="J6" s="49" t="s">
        <v>121</v>
      </c>
      <c r="K6" s="49"/>
      <c r="L6" s="54"/>
      <c r="M6" s="55"/>
      <c r="N6" s="55"/>
      <c r="O6" s="48"/>
      <c r="P6" s="49" t="s">
        <v>230</v>
      </c>
      <c r="Q6" s="49" t="s">
        <v>229</v>
      </c>
      <c r="R6" s="48"/>
      <c r="S6" s="48"/>
      <c r="T6" s="48"/>
      <c r="U6" s="48"/>
      <c r="V6" s="48"/>
      <c r="W6" s="56"/>
      <c r="X6" s="48"/>
      <c r="Y6" s="48"/>
      <c r="Z6" s="48"/>
      <c r="AA6" s="48"/>
      <c r="AB6" s="48"/>
      <c r="AC6" s="48"/>
      <c r="AD6" s="48"/>
      <c r="AE6" s="57" t="b">
        <v>1</v>
      </c>
      <c r="AF6" s="48"/>
    </row>
    <row r="7" ht="15.75" customHeight="1">
      <c r="A7" s="48" t="s">
        <v>235</v>
      </c>
      <c r="B7" s="49" t="s">
        <v>217</v>
      </c>
      <c r="C7" s="50">
        <v>0.3333333333333333</v>
      </c>
      <c r="D7" s="51"/>
      <c r="E7" s="51"/>
      <c r="F7" s="48" t="s">
        <v>236</v>
      </c>
      <c r="G7" s="52">
        <v>2.5</v>
      </c>
      <c r="H7" s="49" t="s">
        <v>219</v>
      </c>
      <c r="I7" s="53" t="s">
        <v>237</v>
      </c>
      <c r="J7" s="49" t="s">
        <v>117</v>
      </c>
      <c r="K7" s="49" t="s">
        <v>238</v>
      </c>
      <c r="L7" s="59"/>
      <c r="M7" s="55"/>
      <c r="N7" s="55"/>
      <c r="O7" s="48"/>
      <c r="P7" s="49" t="s">
        <v>239</v>
      </c>
      <c r="Q7" s="49" t="s">
        <v>240</v>
      </c>
      <c r="R7" s="48"/>
      <c r="S7" s="48"/>
      <c r="T7" s="48"/>
      <c r="U7" s="48"/>
      <c r="V7" s="48"/>
      <c r="W7" s="60"/>
      <c r="X7" s="48"/>
      <c r="Y7" s="48"/>
      <c r="Z7" s="48"/>
      <c r="AA7" s="48"/>
      <c r="AB7" s="48"/>
      <c r="AC7" s="48"/>
      <c r="AD7" s="48"/>
      <c r="AE7" s="57" t="b">
        <v>1</v>
      </c>
      <c r="AF7" s="48"/>
    </row>
    <row r="8" ht="15.75" customHeight="1">
      <c r="A8" s="48" t="s">
        <v>241</v>
      </c>
      <c r="B8" s="49" t="s">
        <v>217</v>
      </c>
      <c r="C8" s="50">
        <v>0.3333333333333333</v>
      </c>
      <c r="D8" s="51"/>
      <c r="E8" s="51"/>
      <c r="F8" s="48" t="s">
        <v>242</v>
      </c>
      <c r="G8" s="52">
        <v>2.5</v>
      </c>
      <c r="H8" s="49" t="s">
        <v>219</v>
      </c>
      <c r="I8" s="53" t="s">
        <v>237</v>
      </c>
      <c r="J8" s="49" t="s">
        <v>117</v>
      </c>
      <c r="K8" s="49" t="s">
        <v>238</v>
      </c>
      <c r="L8" s="54"/>
      <c r="M8" s="55"/>
      <c r="N8" s="55"/>
      <c r="O8" s="48"/>
      <c r="P8" s="49" t="s">
        <v>239</v>
      </c>
      <c r="Q8" s="49" t="s">
        <v>240</v>
      </c>
      <c r="R8" s="48"/>
      <c r="S8" s="48"/>
      <c r="T8" s="48"/>
      <c r="U8" s="48"/>
      <c r="V8" s="48"/>
      <c r="W8" s="56"/>
      <c r="X8" s="48"/>
      <c r="Y8" s="48"/>
      <c r="Z8" s="48"/>
      <c r="AA8" s="48"/>
      <c r="AB8" s="48"/>
      <c r="AC8" s="48"/>
      <c r="AD8" s="48"/>
      <c r="AE8" s="57" t="b">
        <v>1</v>
      </c>
      <c r="AF8" s="48"/>
    </row>
    <row r="9" ht="15.75" customHeight="1">
      <c r="A9" s="48" t="s">
        <v>243</v>
      </c>
      <c r="B9" s="49" t="s">
        <v>217</v>
      </c>
      <c r="C9" s="50">
        <v>0.3333333333333333</v>
      </c>
      <c r="D9" s="51"/>
      <c r="E9" s="51"/>
      <c r="F9" s="48" t="s">
        <v>244</v>
      </c>
      <c r="G9" s="52">
        <v>2.5</v>
      </c>
      <c r="H9" s="49" t="s">
        <v>219</v>
      </c>
      <c r="I9" s="53" t="s">
        <v>245</v>
      </c>
      <c r="J9" s="49" t="s">
        <v>117</v>
      </c>
      <c r="K9" s="49" t="s">
        <v>238</v>
      </c>
      <c r="L9" s="59"/>
      <c r="M9" s="55"/>
      <c r="N9" s="55"/>
      <c r="O9" s="48"/>
      <c r="P9" s="49" t="s">
        <v>239</v>
      </c>
      <c r="Q9" s="49" t="s">
        <v>240</v>
      </c>
      <c r="R9" s="48"/>
      <c r="S9" s="48"/>
      <c r="T9" s="48"/>
      <c r="U9" s="48"/>
      <c r="V9" s="48"/>
      <c r="W9" s="60"/>
      <c r="X9" s="48"/>
      <c r="Y9" s="48"/>
      <c r="Z9" s="48"/>
      <c r="AA9" s="48"/>
      <c r="AB9" s="48"/>
      <c r="AC9" s="48"/>
      <c r="AD9" s="48"/>
      <c r="AE9" s="57" t="b">
        <v>1</v>
      </c>
      <c r="AF9" s="48"/>
    </row>
    <row r="10" ht="15.75" customHeight="1">
      <c r="A10" s="48" t="s">
        <v>246</v>
      </c>
      <c r="B10" s="49" t="s">
        <v>217</v>
      </c>
      <c r="C10" s="50">
        <v>0.3333333333333333</v>
      </c>
      <c r="D10" s="51"/>
      <c r="E10" s="51"/>
      <c r="F10" s="48" t="s">
        <v>247</v>
      </c>
      <c r="G10" s="52">
        <v>0.8</v>
      </c>
      <c r="H10" s="49" t="s">
        <v>219</v>
      </c>
      <c r="I10" s="53" t="s">
        <v>245</v>
      </c>
      <c r="J10" s="49" t="s">
        <v>117</v>
      </c>
      <c r="K10" s="49" t="s">
        <v>238</v>
      </c>
      <c r="L10" s="54"/>
      <c r="M10" s="55"/>
      <c r="N10" s="55"/>
      <c r="O10" s="48"/>
      <c r="P10" s="49" t="s">
        <v>239</v>
      </c>
      <c r="Q10" s="49" t="s">
        <v>240</v>
      </c>
      <c r="R10" s="48"/>
      <c r="S10" s="48"/>
      <c r="T10" s="48"/>
      <c r="U10" s="48"/>
      <c r="V10" s="48"/>
      <c r="W10" s="56"/>
      <c r="X10" s="48"/>
      <c r="Y10" s="48"/>
      <c r="Z10" s="48"/>
      <c r="AA10" s="48"/>
      <c r="AB10" s="48"/>
      <c r="AC10" s="48"/>
      <c r="AD10" s="48"/>
      <c r="AE10" s="57" t="b">
        <v>1</v>
      </c>
      <c r="AF10" s="48"/>
    </row>
    <row r="11" ht="15.75" customHeight="1">
      <c r="A11" s="48" t="s">
        <v>248</v>
      </c>
      <c r="B11" s="49" t="s">
        <v>217</v>
      </c>
      <c r="C11" s="50">
        <v>0.3333333333333333</v>
      </c>
      <c r="D11" s="51"/>
      <c r="E11" s="51"/>
      <c r="F11" s="48" t="s">
        <v>249</v>
      </c>
      <c r="G11" s="52">
        <v>2.5</v>
      </c>
      <c r="H11" s="49" t="s">
        <v>219</v>
      </c>
      <c r="I11" s="53" t="s">
        <v>250</v>
      </c>
      <c r="J11" s="49" t="s">
        <v>117</v>
      </c>
      <c r="K11" s="49" t="s">
        <v>238</v>
      </c>
      <c r="L11" s="59"/>
      <c r="M11" s="55"/>
      <c r="N11" s="55"/>
      <c r="O11" s="48"/>
      <c r="P11" s="49" t="s">
        <v>239</v>
      </c>
      <c r="Q11" s="49" t="s">
        <v>240</v>
      </c>
      <c r="R11" s="48"/>
      <c r="S11" s="48"/>
      <c r="T11" s="48"/>
      <c r="U11" s="48"/>
      <c r="V11" s="48"/>
      <c r="W11" s="60"/>
      <c r="X11" s="48"/>
      <c r="Y11" s="48"/>
      <c r="Z11" s="48"/>
      <c r="AA11" s="48"/>
      <c r="AB11" s="48"/>
      <c r="AC11" s="48"/>
      <c r="AD11" s="48"/>
      <c r="AE11" s="57" t="b">
        <v>1</v>
      </c>
      <c r="AF11" s="48"/>
    </row>
    <row r="12" ht="15.75" customHeight="1">
      <c r="A12" s="48" t="s">
        <v>251</v>
      </c>
      <c r="B12" s="49" t="s">
        <v>217</v>
      </c>
      <c r="C12" s="50">
        <v>0.3333333333333333</v>
      </c>
      <c r="D12" s="51"/>
      <c r="E12" s="51"/>
      <c r="F12" s="48" t="s">
        <v>252</v>
      </c>
      <c r="G12" s="52">
        <v>2.5</v>
      </c>
      <c r="H12" s="49" t="s">
        <v>219</v>
      </c>
      <c r="I12" s="53" t="s">
        <v>250</v>
      </c>
      <c r="J12" s="49" t="s">
        <v>117</v>
      </c>
      <c r="K12" s="49" t="s">
        <v>238</v>
      </c>
      <c r="L12" s="54"/>
      <c r="M12" s="55"/>
      <c r="N12" s="55"/>
      <c r="O12" s="48"/>
      <c r="P12" s="49" t="s">
        <v>239</v>
      </c>
      <c r="Q12" s="49" t="s">
        <v>240</v>
      </c>
      <c r="R12" s="48"/>
      <c r="S12" s="48"/>
      <c r="T12" s="48"/>
      <c r="U12" s="48"/>
      <c r="V12" s="48"/>
      <c r="W12" s="56"/>
      <c r="X12" s="48"/>
      <c r="Y12" s="48"/>
      <c r="Z12" s="48"/>
      <c r="AA12" s="48"/>
      <c r="AB12" s="48"/>
      <c r="AC12" s="48"/>
      <c r="AD12" s="48"/>
      <c r="AE12" s="57" t="b">
        <v>1</v>
      </c>
      <c r="AF12" s="48"/>
    </row>
    <row r="13" ht="15.75" customHeight="1">
      <c r="A13" s="48" t="s">
        <v>253</v>
      </c>
      <c r="B13" s="49" t="s">
        <v>232</v>
      </c>
      <c r="C13" s="50">
        <v>0.3333333333333333</v>
      </c>
      <c r="D13" s="51"/>
      <c r="E13" s="51"/>
      <c r="F13" s="48" t="s">
        <v>254</v>
      </c>
      <c r="G13" s="52">
        <v>5.7</v>
      </c>
      <c r="H13" s="49" t="s">
        <v>219</v>
      </c>
      <c r="I13" s="53" t="s">
        <v>250</v>
      </c>
      <c r="J13" s="49" t="s">
        <v>121</v>
      </c>
      <c r="K13" s="49"/>
      <c r="L13" s="59"/>
      <c r="M13" s="55"/>
      <c r="N13" s="55"/>
      <c r="O13" s="48"/>
      <c r="P13" s="49" t="s">
        <v>229</v>
      </c>
      <c r="Q13" s="49" t="s">
        <v>230</v>
      </c>
      <c r="R13" s="48"/>
      <c r="S13" s="48"/>
      <c r="T13" s="48"/>
      <c r="U13" s="48"/>
      <c r="V13" s="48"/>
      <c r="W13" s="60"/>
      <c r="X13" s="48"/>
      <c r="Y13" s="48"/>
      <c r="Z13" s="48"/>
      <c r="AA13" s="48"/>
      <c r="AB13" s="48"/>
      <c r="AC13" s="48"/>
      <c r="AD13" s="48"/>
      <c r="AE13" s="57" t="b">
        <v>1</v>
      </c>
      <c r="AF13" s="48"/>
    </row>
    <row r="14" ht="15.75" customHeight="1">
      <c r="A14" s="48" t="s">
        <v>255</v>
      </c>
      <c r="B14" s="49" t="s">
        <v>217</v>
      </c>
      <c r="C14" s="50">
        <v>0.3333333333333333</v>
      </c>
      <c r="D14" s="51"/>
      <c r="E14" s="51"/>
      <c r="F14" s="48" t="s">
        <v>256</v>
      </c>
      <c r="G14" s="52">
        <v>0.2</v>
      </c>
      <c r="H14" s="49" t="s">
        <v>219</v>
      </c>
      <c r="I14" s="53" t="s">
        <v>220</v>
      </c>
      <c r="J14" s="49" t="s">
        <v>122</v>
      </c>
      <c r="K14" s="49"/>
      <c r="L14" s="54"/>
      <c r="M14" s="55"/>
      <c r="N14" s="55"/>
      <c r="O14" s="48"/>
      <c r="P14" s="49" t="s">
        <v>221</v>
      </c>
      <c r="Q14" s="49"/>
      <c r="R14" s="48"/>
      <c r="S14" s="48"/>
      <c r="T14" s="48"/>
      <c r="U14" s="48"/>
      <c r="V14" s="48"/>
      <c r="W14" s="56"/>
      <c r="X14" s="48"/>
      <c r="Y14" s="48"/>
      <c r="Z14" s="48"/>
      <c r="AA14" s="48">
        <v>24376.0</v>
      </c>
      <c r="AB14" s="61" t="s">
        <v>257</v>
      </c>
      <c r="AC14" s="48">
        <v>73.0</v>
      </c>
      <c r="AD14" s="48"/>
      <c r="AE14" s="57" t="b">
        <v>1</v>
      </c>
      <c r="AF14" s="48"/>
    </row>
    <row r="15" ht="15.75" customHeight="1">
      <c r="A15" s="48" t="s">
        <v>258</v>
      </c>
      <c r="B15" s="49" t="s">
        <v>259</v>
      </c>
      <c r="C15" s="50">
        <v>0.3333333333333333</v>
      </c>
      <c r="D15" s="51"/>
      <c r="E15" s="51"/>
      <c r="F15" s="48" t="s">
        <v>260</v>
      </c>
      <c r="G15" s="52">
        <v>0.6</v>
      </c>
      <c r="H15" s="49" t="s">
        <v>219</v>
      </c>
      <c r="I15" s="53" t="s">
        <v>220</v>
      </c>
      <c r="J15" s="49" t="s">
        <v>122</v>
      </c>
      <c r="K15" s="49"/>
      <c r="L15" s="59"/>
      <c r="M15" s="55"/>
      <c r="N15" s="55"/>
      <c r="O15" s="48"/>
      <c r="P15" s="49" t="s">
        <v>221</v>
      </c>
      <c r="Q15" s="49"/>
      <c r="R15" s="48"/>
      <c r="S15" s="48"/>
      <c r="T15" s="48"/>
      <c r="U15" s="48"/>
      <c r="V15" s="48"/>
      <c r="W15" s="60"/>
      <c r="X15" s="48"/>
      <c r="Y15" s="48"/>
      <c r="Z15" s="48"/>
      <c r="AA15" s="48">
        <v>12077.0</v>
      </c>
      <c r="AB15" s="61" t="s">
        <v>261</v>
      </c>
      <c r="AC15" s="48">
        <v>49.0</v>
      </c>
      <c r="AD15" s="48"/>
      <c r="AE15" s="57" t="b">
        <v>1</v>
      </c>
      <c r="AF15" s="48"/>
    </row>
    <row r="16" ht="15.75" customHeight="1">
      <c r="A16" s="48" t="s">
        <v>262</v>
      </c>
      <c r="B16" s="49" t="s">
        <v>263</v>
      </c>
      <c r="C16" s="50">
        <v>0.3333333333333333</v>
      </c>
      <c r="D16" s="51"/>
      <c r="E16" s="51"/>
      <c r="F16" s="48" t="s">
        <v>264</v>
      </c>
      <c r="G16" s="52">
        <v>2.0</v>
      </c>
      <c r="H16" s="49" t="s">
        <v>219</v>
      </c>
      <c r="I16" s="53" t="s">
        <v>220</v>
      </c>
      <c r="J16" s="49" t="s">
        <v>121</v>
      </c>
      <c r="K16" s="49" t="s">
        <v>238</v>
      </c>
      <c r="L16" s="54"/>
      <c r="M16" s="55"/>
      <c r="N16" s="55"/>
      <c r="O16" s="48"/>
      <c r="P16" s="49" t="s">
        <v>239</v>
      </c>
      <c r="Q16" s="49" t="s">
        <v>265</v>
      </c>
      <c r="R16" s="48"/>
      <c r="S16" s="48"/>
      <c r="T16" s="48"/>
      <c r="U16" s="48"/>
      <c r="V16" s="48"/>
      <c r="W16" s="56"/>
      <c r="X16" s="48"/>
      <c r="Y16" s="48"/>
      <c r="Z16" s="48"/>
      <c r="AA16" s="48"/>
      <c r="AB16" s="48"/>
      <c r="AC16" s="48"/>
      <c r="AD16" s="48"/>
      <c r="AE16" s="57" t="b">
        <v>1</v>
      </c>
      <c r="AF16" s="48"/>
    </row>
    <row r="17" ht="15.75" customHeight="1">
      <c r="A17" s="48" t="s">
        <v>266</v>
      </c>
      <c r="B17" s="49" t="s">
        <v>263</v>
      </c>
      <c r="C17" s="50">
        <v>0.3333333333333333</v>
      </c>
      <c r="D17" s="51"/>
      <c r="E17" s="51"/>
      <c r="F17" s="48" t="s">
        <v>267</v>
      </c>
      <c r="G17" s="52">
        <v>1.0</v>
      </c>
      <c r="H17" s="49" t="s">
        <v>219</v>
      </c>
      <c r="I17" s="53" t="s">
        <v>220</v>
      </c>
      <c r="J17" s="49" t="s">
        <v>121</v>
      </c>
      <c r="K17" s="49" t="s">
        <v>238</v>
      </c>
      <c r="L17" s="59"/>
      <c r="M17" s="55"/>
      <c r="N17" s="55"/>
      <c r="O17" s="48"/>
      <c r="P17" s="49" t="s">
        <v>239</v>
      </c>
      <c r="Q17" s="49" t="s">
        <v>265</v>
      </c>
      <c r="R17" s="48"/>
      <c r="S17" s="48"/>
      <c r="T17" s="48"/>
      <c r="U17" s="48"/>
      <c r="V17" s="48"/>
      <c r="W17" s="60"/>
      <c r="X17" s="48"/>
      <c r="Y17" s="48"/>
      <c r="Z17" s="48"/>
      <c r="AA17" s="48"/>
      <c r="AB17" s="48"/>
      <c r="AC17" s="48"/>
      <c r="AD17" s="48"/>
      <c r="AE17" s="57" t="b">
        <v>1</v>
      </c>
      <c r="AF17" s="48"/>
    </row>
    <row r="18" ht="15.75" customHeight="1">
      <c r="A18" s="48" t="s">
        <v>268</v>
      </c>
      <c r="B18" s="49" t="s">
        <v>263</v>
      </c>
      <c r="C18" s="50">
        <v>0.3333333333333333</v>
      </c>
      <c r="D18" s="51"/>
      <c r="E18" s="51"/>
      <c r="F18" s="48" t="s">
        <v>269</v>
      </c>
      <c r="G18" s="52">
        <v>1.0</v>
      </c>
      <c r="H18" s="49" t="s">
        <v>219</v>
      </c>
      <c r="I18" s="53" t="s">
        <v>220</v>
      </c>
      <c r="J18" s="49" t="s">
        <v>121</v>
      </c>
      <c r="K18" s="49" t="s">
        <v>238</v>
      </c>
      <c r="L18" s="54"/>
      <c r="M18" s="55"/>
      <c r="N18" s="55"/>
      <c r="O18" s="48"/>
      <c r="P18" s="49" t="s">
        <v>239</v>
      </c>
      <c r="Q18" s="49" t="s">
        <v>265</v>
      </c>
      <c r="R18" s="48"/>
      <c r="S18" s="48"/>
      <c r="T18" s="48"/>
      <c r="U18" s="48"/>
      <c r="V18" s="48"/>
      <c r="W18" s="56"/>
      <c r="X18" s="48"/>
      <c r="Y18" s="48"/>
      <c r="Z18" s="48"/>
      <c r="AA18" s="48"/>
      <c r="AB18" s="48"/>
      <c r="AC18" s="48"/>
      <c r="AD18" s="48"/>
      <c r="AE18" s="57" t="b">
        <v>1</v>
      </c>
      <c r="AF18" s="48"/>
    </row>
    <row r="19" ht="15.75" customHeight="1">
      <c r="A19" s="48" t="s">
        <v>270</v>
      </c>
      <c r="B19" s="49" t="s">
        <v>271</v>
      </c>
      <c r="C19" s="50">
        <v>0.3333333333333333</v>
      </c>
      <c r="D19" s="51"/>
      <c r="E19" s="51"/>
      <c r="F19" s="48" t="s">
        <v>272</v>
      </c>
      <c r="G19" s="52">
        <v>7.0</v>
      </c>
      <c r="H19" s="49" t="s">
        <v>219</v>
      </c>
      <c r="I19" s="53" t="s">
        <v>220</v>
      </c>
      <c r="J19" s="49" t="s">
        <v>121</v>
      </c>
      <c r="K19" s="49" t="s">
        <v>273</v>
      </c>
      <c r="L19" s="59"/>
      <c r="M19" s="55"/>
      <c r="N19" s="61" t="s">
        <v>274</v>
      </c>
      <c r="O19" s="48"/>
      <c r="P19" s="49" t="s">
        <v>240</v>
      </c>
      <c r="Q19" s="49" t="s">
        <v>265</v>
      </c>
      <c r="R19" s="48"/>
      <c r="S19" s="48"/>
      <c r="T19" s="48"/>
      <c r="U19" s="48"/>
      <c r="V19" s="48"/>
      <c r="W19" s="60"/>
      <c r="X19" s="48"/>
      <c r="Y19" s="48"/>
      <c r="Z19" s="48"/>
      <c r="AA19" s="48"/>
      <c r="AB19" s="48"/>
      <c r="AC19" s="48"/>
      <c r="AD19" s="48"/>
      <c r="AE19" s="57" t="b">
        <v>1</v>
      </c>
      <c r="AF19" s="48"/>
    </row>
    <row r="20" ht="15.75" customHeight="1">
      <c r="A20" s="48" t="s">
        <v>275</v>
      </c>
      <c r="B20" s="49" t="s">
        <v>276</v>
      </c>
      <c r="C20" s="50">
        <v>0.3333333333333333</v>
      </c>
      <c r="D20" s="51"/>
      <c r="E20" s="51"/>
      <c r="F20" s="48" t="s">
        <v>277</v>
      </c>
      <c r="G20" s="52">
        <v>7.0</v>
      </c>
      <c r="H20" s="49" t="s">
        <v>219</v>
      </c>
      <c r="I20" s="53" t="s">
        <v>220</v>
      </c>
      <c r="J20" s="49" t="s">
        <v>121</v>
      </c>
      <c r="K20" s="49" t="s">
        <v>273</v>
      </c>
      <c r="L20" s="54"/>
      <c r="M20" s="55"/>
      <c r="N20" s="61" t="s">
        <v>278</v>
      </c>
      <c r="O20" s="48"/>
      <c r="P20" s="49" t="s">
        <v>240</v>
      </c>
      <c r="Q20" s="49" t="s">
        <v>265</v>
      </c>
      <c r="R20" s="48"/>
      <c r="S20" s="48"/>
      <c r="T20" s="48"/>
      <c r="U20" s="48"/>
      <c r="V20" s="48"/>
      <c r="W20" s="56"/>
      <c r="X20" s="48"/>
      <c r="Y20" s="48"/>
      <c r="Z20" s="48"/>
      <c r="AA20" s="48"/>
      <c r="AB20" s="48"/>
      <c r="AC20" s="48"/>
      <c r="AD20" s="48"/>
      <c r="AE20" s="57" t="b">
        <v>1</v>
      </c>
      <c r="AF20" s="48"/>
    </row>
    <row r="21" ht="15.75" customHeight="1">
      <c r="A21" s="48" t="s">
        <v>279</v>
      </c>
      <c r="B21" s="49" t="s">
        <v>226</v>
      </c>
      <c r="C21" s="50">
        <v>0.3333333333333333</v>
      </c>
      <c r="D21" s="51"/>
      <c r="E21" s="51"/>
      <c r="F21" s="48" t="s">
        <v>280</v>
      </c>
      <c r="G21" s="52">
        <v>0.9</v>
      </c>
      <c r="H21" s="49" t="s">
        <v>219</v>
      </c>
      <c r="I21" s="53" t="s">
        <v>220</v>
      </c>
      <c r="J21" s="49" t="s">
        <v>121</v>
      </c>
      <c r="K21" s="49"/>
      <c r="L21" s="59"/>
      <c r="M21" s="55"/>
      <c r="N21" s="55"/>
      <c r="O21" s="48"/>
      <c r="P21" s="49" t="s">
        <v>221</v>
      </c>
      <c r="Q21" s="49"/>
      <c r="R21" s="48"/>
      <c r="S21" s="48"/>
      <c r="T21" s="48"/>
      <c r="U21" s="48"/>
      <c r="V21" s="48"/>
      <c r="W21" s="60"/>
      <c r="X21" s="48"/>
      <c r="Y21" s="48"/>
      <c r="Z21" s="48"/>
      <c r="AA21" s="48"/>
      <c r="AB21" s="48"/>
      <c r="AC21" s="48"/>
      <c r="AD21" s="48"/>
      <c r="AE21" s="57" t="b">
        <v>1</v>
      </c>
      <c r="AF21" s="48"/>
    </row>
    <row r="22" ht="15.75" customHeight="1">
      <c r="A22" s="48" t="s">
        <v>281</v>
      </c>
      <c r="B22" s="49" t="s">
        <v>226</v>
      </c>
      <c r="C22" s="50">
        <v>0.3333333333333333</v>
      </c>
      <c r="D22" s="51"/>
      <c r="E22" s="51"/>
      <c r="F22" s="48" t="s">
        <v>282</v>
      </c>
      <c r="G22" s="52">
        <v>0.4</v>
      </c>
      <c r="H22" s="49" t="s">
        <v>219</v>
      </c>
      <c r="I22" s="53" t="s">
        <v>220</v>
      </c>
      <c r="J22" s="49" t="s">
        <v>121</v>
      </c>
      <c r="K22" s="49"/>
      <c r="L22" s="54"/>
      <c r="M22" s="55"/>
      <c r="N22" s="55"/>
      <c r="O22" s="48"/>
      <c r="P22" s="49" t="s">
        <v>221</v>
      </c>
      <c r="Q22" s="49"/>
      <c r="R22" s="48"/>
      <c r="S22" s="48"/>
      <c r="T22" s="48"/>
      <c r="U22" s="48"/>
      <c r="V22" s="48"/>
      <c r="W22" s="56"/>
      <c r="X22" s="48"/>
      <c r="Y22" s="48"/>
      <c r="Z22" s="48"/>
      <c r="AA22" s="48"/>
      <c r="AB22" s="48"/>
      <c r="AC22" s="48"/>
      <c r="AD22" s="48"/>
      <c r="AE22" s="57" t="b">
        <v>1</v>
      </c>
      <c r="AF22" s="48"/>
    </row>
    <row r="23" ht="15.75" customHeight="1">
      <c r="A23" s="48" t="s">
        <v>283</v>
      </c>
      <c r="B23" s="49" t="s">
        <v>271</v>
      </c>
      <c r="C23" s="50">
        <v>0.3333333333333333</v>
      </c>
      <c r="D23" s="51"/>
      <c r="E23" s="51"/>
      <c r="F23" s="48" t="s">
        <v>284</v>
      </c>
      <c r="G23" s="52">
        <v>0.4</v>
      </c>
      <c r="H23" s="49" t="s">
        <v>219</v>
      </c>
      <c r="I23" s="53" t="s">
        <v>220</v>
      </c>
      <c r="J23" s="49" t="s">
        <v>121</v>
      </c>
      <c r="K23" s="49"/>
      <c r="L23" s="59"/>
      <c r="M23" s="55"/>
      <c r="N23" s="55"/>
      <c r="O23" s="48"/>
      <c r="P23" s="49" t="s">
        <v>229</v>
      </c>
      <c r="Q23" s="49" t="s">
        <v>230</v>
      </c>
      <c r="R23" s="48"/>
      <c r="S23" s="48"/>
      <c r="T23" s="48"/>
      <c r="U23" s="48"/>
      <c r="V23" s="48"/>
      <c r="W23" s="60"/>
      <c r="X23" s="48"/>
      <c r="Y23" s="48"/>
      <c r="Z23" s="48"/>
      <c r="AA23" s="48"/>
      <c r="AB23" s="48"/>
      <c r="AC23" s="48"/>
      <c r="AD23" s="48"/>
      <c r="AE23" s="57" t="b">
        <v>1</v>
      </c>
      <c r="AF23" s="48"/>
    </row>
    <row r="24" ht="15.75" customHeight="1">
      <c r="A24" s="48" t="s">
        <v>285</v>
      </c>
      <c r="B24" s="49" t="s">
        <v>263</v>
      </c>
      <c r="C24" s="50">
        <v>0.3333333333333333</v>
      </c>
      <c r="D24" s="51"/>
      <c r="E24" s="51"/>
      <c r="F24" s="48" t="s">
        <v>286</v>
      </c>
      <c r="G24" s="52">
        <v>0.6</v>
      </c>
      <c r="H24" s="49" t="s">
        <v>219</v>
      </c>
      <c r="I24" s="53" t="s">
        <v>220</v>
      </c>
      <c r="J24" s="49" t="s">
        <v>121</v>
      </c>
      <c r="K24" s="49"/>
      <c r="L24" s="54"/>
      <c r="M24" s="55"/>
      <c r="N24" s="55"/>
      <c r="O24" s="48"/>
      <c r="P24" s="49" t="s">
        <v>221</v>
      </c>
      <c r="Q24" s="49"/>
      <c r="R24" s="48"/>
      <c r="S24" s="48"/>
      <c r="T24" s="48"/>
      <c r="U24" s="48"/>
      <c r="V24" s="48"/>
      <c r="W24" s="56"/>
      <c r="X24" s="48"/>
      <c r="Y24" s="48"/>
      <c r="Z24" s="48"/>
      <c r="AA24" s="48"/>
      <c r="AB24" s="48"/>
      <c r="AC24" s="48"/>
      <c r="AD24" s="48"/>
      <c r="AE24" s="57" t="b">
        <v>1</v>
      </c>
      <c r="AF24" s="48"/>
    </row>
    <row r="25" ht="15.75" customHeight="1">
      <c r="A25" s="48" t="s">
        <v>287</v>
      </c>
      <c r="B25" s="49" t="s">
        <v>232</v>
      </c>
      <c r="C25" s="50">
        <v>0.3333333333333333</v>
      </c>
      <c r="D25" s="51"/>
      <c r="E25" s="51"/>
      <c r="F25" s="48" t="s">
        <v>288</v>
      </c>
      <c r="G25" s="52">
        <v>1.8</v>
      </c>
      <c r="H25" s="49" t="s">
        <v>219</v>
      </c>
      <c r="I25" s="53" t="s">
        <v>220</v>
      </c>
      <c r="J25" s="49" t="s">
        <v>121</v>
      </c>
      <c r="K25" s="49"/>
      <c r="L25" s="59"/>
      <c r="M25" s="55"/>
      <c r="N25" s="55"/>
      <c r="O25" s="48"/>
      <c r="P25" s="49" t="s">
        <v>221</v>
      </c>
      <c r="Q25" s="49"/>
      <c r="R25" s="48"/>
      <c r="S25" s="48"/>
      <c r="T25" s="48"/>
      <c r="U25" s="48"/>
      <c r="V25" s="48"/>
      <c r="W25" s="60"/>
      <c r="X25" s="48"/>
      <c r="Y25" s="48"/>
      <c r="Z25" s="48"/>
      <c r="AA25" s="48"/>
      <c r="AB25" s="48"/>
      <c r="AC25" s="48"/>
      <c r="AD25" s="48"/>
      <c r="AE25" s="57" t="b">
        <v>1</v>
      </c>
      <c r="AF25" s="48"/>
    </row>
    <row r="26" ht="15.75" customHeight="1">
      <c r="A26" s="48" t="s">
        <v>289</v>
      </c>
      <c r="B26" s="49" t="s">
        <v>232</v>
      </c>
      <c r="C26" s="50">
        <v>0.3333333333333333</v>
      </c>
      <c r="D26" s="51"/>
      <c r="E26" s="51"/>
      <c r="F26" s="48" t="s">
        <v>218</v>
      </c>
      <c r="G26" s="52">
        <v>0.1</v>
      </c>
      <c r="H26" s="49" t="s">
        <v>219</v>
      </c>
      <c r="I26" s="53" t="s">
        <v>220</v>
      </c>
      <c r="J26" s="49" t="s">
        <v>121</v>
      </c>
      <c r="K26" s="49"/>
      <c r="L26" s="54"/>
      <c r="M26" s="55"/>
      <c r="N26" s="55"/>
      <c r="O26" s="48"/>
      <c r="P26" s="49" t="s">
        <v>221</v>
      </c>
      <c r="Q26" s="49"/>
      <c r="R26" s="48"/>
      <c r="S26" s="48"/>
      <c r="T26" s="48"/>
      <c r="U26" s="48"/>
      <c r="V26" s="48"/>
      <c r="W26" s="56"/>
      <c r="X26" s="48"/>
      <c r="Y26" s="48"/>
      <c r="Z26" s="48"/>
      <c r="AA26" s="48"/>
      <c r="AB26" s="48"/>
      <c r="AC26" s="48"/>
      <c r="AD26" s="48"/>
      <c r="AE26" s="57" t="b">
        <v>1</v>
      </c>
      <c r="AF26" s="48"/>
    </row>
    <row r="27" ht="15.75" customHeight="1">
      <c r="A27" s="48" t="s">
        <v>290</v>
      </c>
      <c r="B27" s="49" t="s">
        <v>263</v>
      </c>
      <c r="C27" s="50">
        <v>0.3333333333333333</v>
      </c>
      <c r="D27" s="51"/>
      <c r="E27" s="51"/>
      <c r="F27" s="48" t="s">
        <v>218</v>
      </c>
      <c r="G27" s="52">
        <v>0.1</v>
      </c>
      <c r="H27" s="49" t="s">
        <v>219</v>
      </c>
      <c r="I27" s="53" t="s">
        <v>220</v>
      </c>
      <c r="J27" s="49" t="s">
        <v>121</v>
      </c>
      <c r="K27" s="49"/>
      <c r="L27" s="59"/>
      <c r="M27" s="55"/>
      <c r="N27" s="55"/>
      <c r="O27" s="48"/>
      <c r="P27" s="49" t="s">
        <v>221</v>
      </c>
      <c r="Q27" s="49"/>
      <c r="R27" s="48"/>
      <c r="S27" s="48"/>
      <c r="T27" s="48"/>
      <c r="U27" s="48"/>
      <c r="V27" s="48"/>
      <c r="W27" s="60"/>
      <c r="X27" s="48"/>
      <c r="Y27" s="48"/>
      <c r="Z27" s="48"/>
      <c r="AA27" s="48"/>
      <c r="AB27" s="48"/>
      <c r="AC27" s="48"/>
      <c r="AD27" s="48"/>
      <c r="AE27" s="57" t="b">
        <v>1</v>
      </c>
      <c r="AF27" s="48"/>
    </row>
    <row r="28" ht="15.75" customHeight="1">
      <c r="A28" s="48" t="s">
        <v>291</v>
      </c>
      <c r="B28" s="49" t="s">
        <v>276</v>
      </c>
      <c r="C28" s="50">
        <v>0.3333333333333333</v>
      </c>
      <c r="D28" s="51"/>
      <c r="E28" s="51"/>
      <c r="F28" s="48" t="s">
        <v>218</v>
      </c>
      <c r="G28" s="52">
        <v>0.1</v>
      </c>
      <c r="H28" s="49" t="s">
        <v>219</v>
      </c>
      <c r="I28" s="53" t="s">
        <v>220</v>
      </c>
      <c r="J28" s="49" t="s">
        <v>121</v>
      </c>
      <c r="K28" s="49"/>
      <c r="L28" s="54"/>
      <c r="M28" s="55"/>
      <c r="N28" s="55"/>
      <c r="O28" s="48"/>
      <c r="P28" s="49" t="s">
        <v>221</v>
      </c>
      <c r="Q28" s="49"/>
      <c r="R28" s="48"/>
      <c r="S28" s="48"/>
      <c r="T28" s="48"/>
      <c r="U28" s="48"/>
      <c r="V28" s="48"/>
      <c r="W28" s="56"/>
      <c r="X28" s="48"/>
      <c r="Y28" s="48"/>
      <c r="Z28" s="48"/>
      <c r="AA28" s="48"/>
      <c r="AB28" s="48"/>
      <c r="AC28" s="48"/>
      <c r="AD28" s="48"/>
      <c r="AE28" s="57" t="b">
        <v>1</v>
      </c>
      <c r="AF28" s="48"/>
    </row>
    <row r="29" ht="15.75" customHeight="1">
      <c r="A29" s="48" t="s">
        <v>292</v>
      </c>
      <c r="B29" s="49" t="s">
        <v>226</v>
      </c>
      <c r="C29" s="50">
        <v>0.3333333333333333</v>
      </c>
      <c r="D29" s="51"/>
      <c r="E29" s="51"/>
      <c r="F29" s="48" t="s">
        <v>218</v>
      </c>
      <c r="G29" s="52">
        <v>0.1</v>
      </c>
      <c r="H29" s="49" t="s">
        <v>219</v>
      </c>
      <c r="I29" s="53" t="s">
        <v>220</v>
      </c>
      <c r="J29" s="49" t="s">
        <v>121</v>
      </c>
      <c r="K29" s="49"/>
      <c r="L29" s="59"/>
      <c r="M29" s="55"/>
      <c r="N29" s="55"/>
      <c r="O29" s="48"/>
      <c r="P29" s="49" t="s">
        <v>221</v>
      </c>
      <c r="Q29" s="49"/>
      <c r="R29" s="48"/>
      <c r="S29" s="48"/>
      <c r="T29" s="48"/>
      <c r="U29" s="48"/>
      <c r="V29" s="48"/>
      <c r="W29" s="60"/>
      <c r="X29" s="48"/>
      <c r="Y29" s="48"/>
      <c r="Z29" s="48"/>
      <c r="AA29" s="48"/>
      <c r="AB29" s="48"/>
      <c r="AC29" s="48"/>
      <c r="AD29" s="48"/>
      <c r="AE29" s="57" t="b">
        <v>1</v>
      </c>
      <c r="AF29" s="48"/>
    </row>
    <row r="30" ht="15.75" customHeight="1">
      <c r="A30" s="48" t="s">
        <v>293</v>
      </c>
      <c r="B30" s="49" t="s">
        <v>259</v>
      </c>
      <c r="C30" s="50">
        <v>0.3333333333333333</v>
      </c>
      <c r="D30" s="51"/>
      <c r="E30" s="51"/>
      <c r="F30" s="48" t="s">
        <v>218</v>
      </c>
      <c r="G30" s="52">
        <v>0.1</v>
      </c>
      <c r="H30" s="49" t="s">
        <v>219</v>
      </c>
      <c r="I30" s="53" t="s">
        <v>220</v>
      </c>
      <c r="J30" s="49" t="s">
        <v>121</v>
      </c>
      <c r="K30" s="49"/>
      <c r="L30" s="54"/>
      <c r="M30" s="55"/>
      <c r="N30" s="55"/>
      <c r="O30" s="48"/>
      <c r="P30" s="49" t="s">
        <v>221</v>
      </c>
      <c r="Q30" s="49"/>
      <c r="R30" s="48"/>
      <c r="S30" s="48"/>
      <c r="T30" s="48"/>
      <c r="U30" s="48"/>
      <c r="V30" s="48"/>
      <c r="W30" s="56"/>
      <c r="X30" s="48"/>
      <c r="Y30" s="48"/>
      <c r="Z30" s="48"/>
      <c r="AA30" s="48"/>
      <c r="AB30" s="48"/>
      <c r="AC30" s="48"/>
      <c r="AD30" s="48"/>
      <c r="AE30" s="57" t="b">
        <v>1</v>
      </c>
      <c r="AF30" s="48"/>
    </row>
    <row r="31" ht="15.75" customHeight="1">
      <c r="A31" s="48" t="s">
        <v>294</v>
      </c>
      <c r="B31" s="49" t="s">
        <v>217</v>
      </c>
      <c r="C31" s="50">
        <v>0.3333333333333333</v>
      </c>
      <c r="D31" s="51"/>
      <c r="E31" s="51"/>
      <c r="F31" s="48" t="s">
        <v>295</v>
      </c>
      <c r="G31" s="52">
        <v>3.7</v>
      </c>
      <c r="H31" s="49" t="s">
        <v>219</v>
      </c>
      <c r="I31" s="53" t="s">
        <v>220</v>
      </c>
      <c r="J31" s="49" t="s">
        <v>121</v>
      </c>
      <c r="K31" s="49"/>
      <c r="L31" s="59"/>
      <c r="M31" s="55"/>
      <c r="N31" s="55"/>
      <c r="O31" s="48"/>
      <c r="P31" s="49" t="s">
        <v>230</v>
      </c>
      <c r="Q31" s="49" t="s">
        <v>229</v>
      </c>
      <c r="R31" s="48"/>
      <c r="S31" s="48"/>
      <c r="T31" s="48"/>
      <c r="U31" s="48"/>
      <c r="V31" s="48"/>
      <c r="W31" s="60"/>
      <c r="X31" s="48"/>
      <c r="Y31" s="48"/>
      <c r="Z31" s="48"/>
      <c r="AA31" s="48"/>
      <c r="AB31" s="48"/>
      <c r="AC31" s="48"/>
      <c r="AD31" s="48"/>
      <c r="AE31" s="57" t="b">
        <v>1</v>
      </c>
      <c r="AF31" s="48"/>
    </row>
    <row r="32" ht="15.75" customHeight="1">
      <c r="A32" s="48" t="s">
        <v>296</v>
      </c>
      <c r="B32" s="49" t="s">
        <v>232</v>
      </c>
      <c r="C32" s="50">
        <v>0.3333333333333333</v>
      </c>
      <c r="D32" s="51"/>
      <c r="E32" s="51"/>
      <c r="F32" s="48" t="s">
        <v>297</v>
      </c>
      <c r="G32" s="52">
        <v>0.4</v>
      </c>
      <c r="H32" s="49" t="s">
        <v>219</v>
      </c>
      <c r="I32" s="53" t="s">
        <v>220</v>
      </c>
      <c r="J32" s="49" t="s">
        <v>121</v>
      </c>
      <c r="K32" s="49"/>
      <c r="L32" s="54"/>
      <c r="M32" s="55"/>
      <c r="N32" s="55"/>
      <c r="O32" s="48"/>
      <c r="P32" s="49" t="s">
        <v>221</v>
      </c>
      <c r="Q32" s="49"/>
      <c r="R32" s="48"/>
      <c r="S32" s="48"/>
      <c r="T32" s="48"/>
      <c r="U32" s="48"/>
      <c r="V32" s="48"/>
      <c r="W32" s="56"/>
      <c r="X32" s="48"/>
      <c r="Y32" s="48"/>
      <c r="Z32" s="48"/>
      <c r="AA32" s="48"/>
      <c r="AB32" s="48"/>
      <c r="AC32" s="48"/>
      <c r="AD32" s="48"/>
      <c r="AE32" s="57" t="b">
        <v>1</v>
      </c>
      <c r="AF32" s="48"/>
    </row>
    <row r="33" ht="15.75" customHeight="1">
      <c r="A33" s="48" t="s">
        <v>298</v>
      </c>
      <c r="B33" s="49" t="s">
        <v>263</v>
      </c>
      <c r="C33" s="50">
        <v>0.3333333333333333</v>
      </c>
      <c r="D33" s="51"/>
      <c r="E33" s="51"/>
      <c r="F33" s="48" t="s">
        <v>299</v>
      </c>
      <c r="G33" s="52">
        <v>1.2</v>
      </c>
      <c r="H33" s="49" t="s">
        <v>219</v>
      </c>
      <c r="I33" s="53" t="s">
        <v>220</v>
      </c>
      <c r="J33" s="49" t="s">
        <v>121</v>
      </c>
      <c r="K33" s="49"/>
      <c r="L33" s="59"/>
      <c r="M33" s="55"/>
      <c r="N33" s="55"/>
      <c r="O33" s="48"/>
      <c r="P33" s="49" t="s">
        <v>221</v>
      </c>
      <c r="Q33" s="49"/>
      <c r="R33" s="48"/>
      <c r="S33" s="48"/>
      <c r="T33" s="48"/>
      <c r="U33" s="48"/>
      <c r="V33" s="48"/>
      <c r="W33" s="60"/>
      <c r="X33" s="48"/>
      <c r="Y33" s="48"/>
      <c r="Z33" s="48"/>
      <c r="AA33" s="48"/>
      <c r="AB33" s="48"/>
      <c r="AC33" s="48"/>
      <c r="AD33" s="48"/>
      <c r="AE33" s="57" t="b">
        <v>1</v>
      </c>
      <c r="AF33" s="48"/>
    </row>
    <row r="34" ht="15.75" customHeight="1">
      <c r="A34" s="48" t="s">
        <v>300</v>
      </c>
      <c r="B34" s="49" t="s">
        <v>263</v>
      </c>
      <c r="C34" s="50">
        <v>0.3333333333333333</v>
      </c>
      <c r="D34" s="51"/>
      <c r="E34" s="51"/>
      <c r="F34" s="48" t="s">
        <v>301</v>
      </c>
      <c r="G34" s="52">
        <v>3.0</v>
      </c>
      <c r="H34" s="49" t="s">
        <v>219</v>
      </c>
      <c r="I34" s="53" t="s">
        <v>220</v>
      </c>
      <c r="J34" s="49" t="s">
        <v>121</v>
      </c>
      <c r="K34" s="49"/>
      <c r="L34" s="54"/>
      <c r="M34" s="55"/>
      <c r="N34" s="55"/>
      <c r="O34" s="48"/>
      <c r="P34" s="49" t="s">
        <v>221</v>
      </c>
      <c r="Q34" s="49"/>
      <c r="R34" s="48"/>
      <c r="S34" s="48"/>
      <c r="T34" s="48"/>
      <c r="U34" s="48"/>
      <c r="V34" s="48"/>
      <c r="W34" s="56"/>
      <c r="X34" s="48"/>
      <c r="Y34" s="48"/>
      <c r="Z34" s="48"/>
      <c r="AA34" s="48"/>
      <c r="AB34" s="48"/>
      <c r="AC34" s="48"/>
      <c r="AD34" s="48"/>
      <c r="AE34" s="57" t="b">
        <v>1</v>
      </c>
      <c r="AF34" s="48"/>
    </row>
    <row r="35" ht="15.75" customHeight="1">
      <c r="A35" s="48" t="s">
        <v>302</v>
      </c>
      <c r="B35" s="49" t="s">
        <v>259</v>
      </c>
      <c r="C35" s="50">
        <v>0.3333333333333333</v>
      </c>
      <c r="D35" s="51"/>
      <c r="E35" s="51"/>
      <c r="F35" s="48" t="s">
        <v>303</v>
      </c>
      <c r="G35" s="52">
        <v>0.4</v>
      </c>
      <c r="H35" s="49" t="s">
        <v>219</v>
      </c>
      <c r="I35" s="53" t="s">
        <v>220</v>
      </c>
      <c r="J35" s="49" t="s">
        <v>121</v>
      </c>
      <c r="K35" s="49"/>
      <c r="L35" s="59"/>
      <c r="M35" s="55"/>
      <c r="N35" s="55"/>
      <c r="O35" s="48"/>
      <c r="P35" s="49" t="s">
        <v>221</v>
      </c>
      <c r="Q35" s="49"/>
      <c r="R35" s="48"/>
      <c r="S35" s="48"/>
      <c r="T35" s="48"/>
      <c r="U35" s="48"/>
      <c r="V35" s="48"/>
      <c r="W35" s="60"/>
      <c r="X35" s="48"/>
      <c r="Y35" s="48"/>
      <c r="Z35" s="48"/>
      <c r="AA35" s="48"/>
      <c r="AB35" s="48"/>
      <c r="AC35" s="48"/>
      <c r="AD35" s="48"/>
      <c r="AE35" s="57" t="b">
        <v>1</v>
      </c>
      <c r="AF35" s="48"/>
    </row>
    <row r="36" ht="15.75" customHeight="1">
      <c r="A36" s="48" t="s">
        <v>304</v>
      </c>
      <c r="B36" s="49" t="s">
        <v>259</v>
      </c>
      <c r="C36" s="50">
        <v>0.3333333333333333</v>
      </c>
      <c r="D36" s="51"/>
      <c r="E36" s="51"/>
      <c r="F36" s="48" t="s">
        <v>305</v>
      </c>
      <c r="G36" s="52">
        <v>0.9</v>
      </c>
      <c r="H36" s="49" t="s">
        <v>219</v>
      </c>
      <c r="I36" s="53" t="s">
        <v>220</v>
      </c>
      <c r="J36" s="49" t="s">
        <v>121</v>
      </c>
      <c r="K36" s="49"/>
      <c r="L36" s="54"/>
      <c r="M36" s="55"/>
      <c r="N36" s="55"/>
      <c r="O36" s="48"/>
      <c r="P36" s="49" t="s">
        <v>221</v>
      </c>
      <c r="Q36" s="49"/>
      <c r="R36" s="48"/>
      <c r="S36" s="48"/>
      <c r="T36" s="48"/>
      <c r="U36" s="48"/>
      <c r="V36" s="48"/>
      <c r="W36" s="56"/>
      <c r="X36" s="48"/>
      <c r="Y36" s="48"/>
      <c r="Z36" s="48"/>
      <c r="AA36" s="48"/>
      <c r="AB36" s="48"/>
      <c r="AC36" s="48"/>
      <c r="AD36" s="48"/>
      <c r="AE36" s="57" t="b">
        <v>1</v>
      </c>
      <c r="AF36" s="48"/>
    </row>
    <row r="37" ht="15.75" customHeight="1">
      <c r="A37" s="48" t="s">
        <v>306</v>
      </c>
      <c r="B37" s="49" t="s">
        <v>259</v>
      </c>
      <c r="C37" s="50">
        <v>0.3333333333333333</v>
      </c>
      <c r="D37" s="51"/>
      <c r="E37" s="51"/>
      <c r="F37" s="48" t="s">
        <v>307</v>
      </c>
      <c r="G37" s="52">
        <v>0.5</v>
      </c>
      <c r="H37" s="49" t="s">
        <v>219</v>
      </c>
      <c r="I37" s="53" t="s">
        <v>220</v>
      </c>
      <c r="J37" s="49" t="s">
        <v>121</v>
      </c>
      <c r="K37" s="49"/>
      <c r="L37" s="59"/>
      <c r="M37" s="55"/>
      <c r="N37" s="55"/>
      <c r="O37" s="48"/>
      <c r="P37" s="49" t="s">
        <v>221</v>
      </c>
      <c r="Q37" s="49"/>
      <c r="R37" s="48"/>
      <c r="S37" s="48"/>
      <c r="T37" s="48"/>
      <c r="U37" s="48"/>
      <c r="V37" s="48"/>
      <c r="W37" s="60"/>
      <c r="X37" s="48"/>
      <c r="Y37" s="48"/>
      <c r="Z37" s="48"/>
      <c r="AA37" s="48"/>
      <c r="AB37" s="48"/>
      <c r="AC37" s="48"/>
      <c r="AD37" s="48"/>
      <c r="AE37" s="57" t="b">
        <v>1</v>
      </c>
      <c r="AF37" s="48"/>
    </row>
    <row r="38" ht="15.75" customHeight="1">
      <c r="A38" s="48" t="s">
        <v>308</v>
      </c>
      <c r="B38" s="49" t="s">
        <v>259</v>
      </c>
      <c r="C38" s="50">
        <v>0.3333333333333333</v>
      </c>
      <c r="D38" s="51"/>
      <c r="E38" s="51"/>
      <c r="F38" s="48" t="s">
        <v>309</v>
      </c>
      <c r="G38" s="52">
        <v>2.5</v>
      </c>
      <c r="H38" s="49" t="s">
        <v>219</v>
      </c>
      <c r="I38" s="53" t="s">
        <v>220</v>
      </c>
      <c r="J38" s="49" t="s">
        <v>121</v>
      </c>
      <c r="K38" s="49"/>
      <c r="L38" s="54"/>
      <c r="M38" s="55"/>
      <c r="N38" s="55"/>
      <c r="O38" s="48"/>
      <c r="P38" s="49" t="s">
        <v>221</v>
      </c>
      <c r="Q38" s="49"/>
      <c r="R38" s="48"/>
      <c r="S38" s="48"/>
      <c r="T38" s="48"/>
      <c r="U38" s="48"/>
      <c r="V38" s="48"/>
      <c r="W38" s="56"/>
      <c r="X38" s="48"/>
      <c r="Y38" s="48"/>
      <c r="Z38" s="48"/>
      <c r="AA38" s="48"/>
      <c r="AB38" s="48"/>
      <c r="AC38" s="48"/>
      <c r="AD38" s="48"/>
      <c r="AE38" s="57" t="b">
        <v>1</v>
      </c>
      <c r="AF38" s="48"/>
    </row>
    <row r="39" ht="15.75" customHeight="1">
      <c r="A39" s="48" t="s">
        <v>310</v>
      </c>
      <c r="B39" s="49" t="s">
        <v>259</v>
      </c>
      <c r="C39" s="50">
        <v>0.3333333333333333</v>
      </c>
      <c r="D39" s="51"/>
      <c r="E39" s="51"/>
      <c r="F39" s="48" t="s">
        <v>311</v>
      </c>
      <c r="G39" s="52">
        <v>0.6</v>
      </c>
      <c r="H39" s="49" t="s">
        <v>219</v>
      </c>
      <c r="I39" s="53" t="s">
        <v>220</v>
      </c>
      <c r="J39" s="49" t="s">
        <v>121</v>
      </c>
      <c r="K39" s="49"/>
      <c r="L39" s="59"/>
      <c r="M39" s="55"/>
      <c r="N39" s="55"/>
      <c r="O39" s="48"/>
      <c r="P39" s="49" t="s">
        <v>221</v>
      </c>
      <c r="Q39" s="49"/>
      <c r="R39" s="48"/>
      <c r="S39" s="48"/>
      <c r="T39" s="48"/>
      <c r="U39" s="48"/>
      <c r="V39" s="48"/>
      <c r="W39" s="60"/>
      <c r="X39" s="48"/>
      <c r="Y39" s="48"/>
      <c r="Z39" s="48"/>
      <c r="AA39" s="48"/>
      <c r="AB39" s="48"/>
      <c r="AC39" s="48"/>
      <c r="AD39" s="48"/>
      <c r="AE39" s="57" t="b">
        <v>1</v>
      </c>
      <c r="AF39" s="48"/>
    </row>
    <row r="40" ht="15.75" customHeight="1">
      <c r="A40" s="48" t="s">
        <v>312</v>
      </c>
      <c r="B40" s="49" t="s">
        <v>226</v>
      </c>
      <c r="C40" s="50">
        <v>0.3333333333333333</v>
      </c>
      <c r="D40" s="51"/>
      <c r="E40" s="51"/>
      <c r="F40" s="48" t="s">
        <v>313</v>
      </c>
      <c r="G40" s="52">
        <v>0.6</v>
      </c>
      <c r="H40" s="49" t="s">
        <v>219</v>
      </c>
      <c r="I40" s="53" t="s">
        <v>220</v>
      </c>
      <c r="J40" s="49" t="s">
        <v>121</v>
      </c>
      <c r="K40" s="49"/>
      <c r="L40" s="54"/>
      <c r="M40" s="55"/>
      <c r="N40" s="55"/>
      <c r="O40" s="48"/>
      <c r="P40" s="49" t="s">
        <v>221</v>
      </c>
      <c r="Q40" s="49"/>
      <c r="R40" s="48"/>
      <c r="S40" s="48"/>
      <c r="T40" s="48"/>
      <c r="U40" s="48"/>
      <c r="V40" s="48"/>
      <c r="W40" s="56"/>
      <c r="X40" s="48"/>
      <c r="Y40" s="48"/>
      <c r="Z40" s="48"/>
      <c r="AA40" s="48"/>
      <c r="AB40" s="48"/>
      <c r="AC40" s="48"/>
      <c r="AD40" s="48"/>
      <c r="AE40" s="57" t="b">
        <v>1</v>
      </c>
      <c r="AF40" s="48"/>
    </row>
    <row r="41" ht="15.75" customHeight="1">
      <c r="A41" s="48" t="s">
        <v>314</v>
      </c>
      <c r="B41" s="49" t="s">
        <v>232</v>
      </c>
      <c r="C41" s="50">
        <v>0.3333333333333333</v>
      </c>
      <c r="D41" s="51"/>
      <c r="E41" s="51"/>
      <c r="F41" s="48" t="s">
        <v>315</v>
      </c>
      <c r="G41" s="52">
        <v>0.8</v>
      </c>
      <c r="H41" s="49" t="s">
        <v>219</v>
      </c>
      <c r="I41" s="53" t="s">
        <v>220</v>
      </c>
      <c r="J41" s="49" t="s">
        <v>121</v>
      </c>
      <c r="K41" s="49"/>
      <c r="L41" s="59"/>
      <c r="M41" s="55"/>
      <c r="N41" s="55"/>
      <c r="O41" s="48"/>
      <c r="P41" s="49" t="s">
        <v>221</v>
      </c>
      <c r="Q41" s="49"/>
      <c r="R41" s="48"/>
      <c r="S41" s="48"/>
      <c r="T41" s="48"/>
      <c r="U41" s="48"/>
      <c r="V41" s="48"/>
      <c r="W41" s="60"/>
      <c r="X41" s="48"/>
      <c r="Y41" s="48"/>
      <c r="Z41" s="48"/>
      <c r="AA41" s="48"/>
      <c r="AB41" s="48"/>
      <c r="AC41" s="48"/>
      <c r="AD41" s="48"/>
      <c r="AE41" s="57" t="b">
        <v>1</v>
      </c>
      <c r="AF41" s="48"/>
    </row>
    <row r="42" ht="15.75" customHeight="1">
      <c r="A42" s="48" t="s">
        <v>316</v>
      </c>
      <c r="B42" s="49" t="s">
        <v>232</v>
      </c>
      <c r="C42" s="50">
        <v>0.3333333333333333</v>
      </c>
      <c r="D42" s="51"/>
      <c r="E42" s="51"/>
      <c r="F42" s="48" t="s">
        <v>317</v>
      </c>
      <c r="G42" s="52">
        <v>0.4</v>
      </c>
      <c r="H42" s="49" t="s">
        <v>219</v>
      </c>
      <c r="I42" s="53" t="s">
        <v>220</v>
      </c>
      <c r="J42" s="49" t="s">
        <v>121</v>
      </c>
      <c r="K42" s="49"/>
      <c r="L42" s="54"/>
      <c r="M42" s="55"/>
      <c r="N42" s="55"/>
      <c r="O42" s="48"/>
      <c r="P42" s="49" t="s">
        <v>221</v>
      </c>
      <c r="Q42" s="49"/>
      <c r="R42" s="48"/>
      <c r="S42" s="48"/>
      <c r="T42" s="48"/>
      <c r="U42" s="48"/>
      <c r="V42" s="48"/>
      <c r="W42" s="56"/>
      <c r="X42" s="48"/>
      <c r="Y42" s="48"/>
      <c r="Z42" s="48"/>
      <c r="AA42" s="48"/>
      <c r="AB42" s="48"/>
      <c r="AC42" s="48"/>
      <c r="AD42" s="48"/>
      <c r="AE42" s="57" t="b">
        <v>1</v>
      </c>
      <c r="AF42" s="48"/>
    </row>
    <row r="43" ht="15.75" customHeight="1">
      <c r="A43" s="48" t="s">
        <v>318</v>
      </c>
      <c r="B43" s="49" t="s">
        <v>217</v>
      </c>
      <c r="C43" s="50">
        <v>0.375</v>
      </c>
      <c r="D43" s="51"/>
      <c r="E43" s="51"/>
      <c r="F43" s="48" t="s">
        <v>319</v>
      </c>
      <c r="G43" s="52">
        <v>0.4</v>
      </c>
      <c r="H43" s="49" t="s">
        <v>219</v>
      </c>
      <c r="I43" s="53" t="s">
        <v>320</v>
      </c>
      <c r="J43" s="49" t="s">
        <v>121</v>
      </c>
      <c r="K43" s="49"/>
      <c r="L43" s="59"/>
      <c r="M43" s="55"/>
      <c r="N43" s="55"/>
      <c r="O43" s="48"/>
      <c r="P43" s="49" t="s">
        <v>229</v>
      </c>
      <c r="Q43" s="49" t="s">
        <v>230</v>
      </c>
      <c r="R43" s="48"/>
      <c r="S43" s="48"/>
      <c r="T43" s="48"/>
      <c r="U43" s="48"/>
      <c r="V43" s="48"/>
      <c r="W43" s="60"/>
      <c r="X43" s="48"/>
      <c r="Y43" s="48"/>
      <c r="Z43" s="48"/>
      <c r="AA43" s="48"/>
      <c r="AB43" s="48"/>
      <c r="AC43" s="48"/>
      <c r="AD43" s="48"/>
      <c r="AE43" s="57" t="b">
        <v>1</v>
      </c>
      <c r="AF43" s="48"/>
    </row>
    <row r="44" ht="15.75" customHeight="1">
      <c r="A44" s="48" t="s">
        <v>321</v>
      </c>
      <c r="B44" s="49" t="s">
        <v>271</v>
      </c>
      <c r="C44" s="50">
        <v>0.375</v>
      </c>
      <c r="D44" s="51"/>
      <c r="E44" s="51"/>
      <c r="F44" s="48" t="s">
        <v>322</v>
      </c>
      <c r="G44" s="52">
        <v>0.2</v>
      </c>
      <c r="H44" s="49" t="s">
        <v>219</v>
      </c>
      <c r="I44" s="53" t="s">
        <v>234</v>
      </c>
      <c r="J44" s="49" t="s">
        <v>121</v>
      </c>
      <c r="K44" s="49"/>
      <c r="L44" s="54"/>
      <c r="M44" s="55"/>
      <c r="N44" s="55"/>
      <c r="O44" s="48"/>
      <c r="P44" s="49" t="s">
        <v>230</v>
      </c>
      <c r="Q44" s="49" t="s">
        <v>229</v>
      </c>
      <c r="R44" s="48"/>
      <c r="S44" s="48"/>
      <c r="T44" s="48"/>
      <c r="U44" s="48"/>
      <c r="V44" s="48"/>
      <c r="W44" s="56"/>
      <c r="X44" s="48"/>
      <c r="Y44" s="48"/>
      <c r="Z44" s="48"/>
      <c r="AA44" s="48"/>
      <c r="AB44" s="48"/>
      <c r="AC44" s="48"/>
      <c r="AD44" s="48"/>
      <c r="AE44" s="57" t="b">
        <v>1</v>
      </c>
      <c r="AF44" s="48"/>
    </row>
    <row r="45" ht="15.75" customHeight="1">
      <c r="A45" s="48" t="s">
        <v>323</v>
      </c>
      <c r="B45" s="49" t="s">
        <v>259</v>
      </c>
      <c r="C45" s="50">
        <v>0.375</v>
      </c>
      <c r="D45" s="51">
        <v>46156.0</v>
      </c>
      <c r="E45" s="51">
        <v>46156.0</v>
      </c>
      <c r="F45" s="48" t="s">
        <v>324</v>
      </c>
      <c r="G45" s="52">
        <v>10.0</v>
      </c>
      <c r="H45" s="49" t="s">
        <v>219</v>
      </c>
      <c r="I45" s="53" t="s">
        <v>220</v>
      </c>
      <c r="J45" s="49" t="s">
        <v>117</v>
      </c>
      <c r="K45" s="49" t="s">
        <v>325</v>
      </c>
      <c r="L45" s="59"/>
      <c r="M45" s="55"/>
      <c r="N45" s="48" t="s">
        <v>326</v>
      </c>
      <c r="O45" s="48"/>
      <c r="P45" s="49"/>
      <c r="Q45" s="49"/>
      <c r="R45" s="48"/>
      <c r="S45" s="48"/>
      <c r="T45" s="48"/>
      <c r="U45" s="48"/>
      <c r="V45" s="48"/>
      <c r="W45" s="60"/>
      <c r="X45" s="48"/>
      <c r="Y45" s="48"/>
      <c r="Z45" s="48"/>
      <c r="AA45" s="48"/>
      <c r="AB45" s="48"/>
      <c r="AC45" s="48"/>
      <c r="AD45" s="48"/>
      <c r="AE45" s="62" t="b">
        <v>0</v>
      </c>
      <c r="AF45" s="48"/>
    </row>
    <row r="46" ht="15.75" customHeight="1">
      <c r="A46" s="48" t="s">
        <v>327</v>
      </c>
      <c r="B46" s="49" t="s">
        <v>259</v>
      </c>
      <c r="C46" s="50">
        <v>0.375</v>
      </c>
      <c r="D46" s="51">
        <v>46163.0</v>
      </c>
      <c r="E46" s="51">
        <v>46163.0</v>
      </c>
      <c r="F46" s="48" t="s">
        <v>324</v>
      </c>
      <c r="G46" s="52">
        <v>10.0</v>
      </c>
      <c r="H46" s="49" t="s">
        <v>219</v>
      </c>
      <c r="I46" s="53" t="s">
        <v>220</v>
      </c>
      <c r="J46" s="49" t="s">
        <v>117</v>
      </c>
      <c r="K46" s="49" t="s">
        <v>325</v>
      </c>
      <c r="L46" s="54"/>
      <c r="M46" s="55"/>
      <c r="N46" s="48" t="s">
        <v>326</v>
      </c>
      <c r="O46" s="48"/>
      <c r="P46" s="49"/>
      <c r="Q46" s="49"/>
      <c r="R46" s="48"/>
      <c r="S46" s="48"/>
      <c r="T46" s="48"/>
      <c r="U46" s="48"/>
      <c r="V46" s="48"/>
      <c r="W46" s="56"/>
      <c r="X46" s="48"/>
      <c r="Y46" s="48"/>
      <c r="Z46" s="48"/>
      <c r="AA46" s="48"/>
      <c r="AB46" s="48"/>
      <c r="AC46" s="48"/>
      <c r="AD46" s="48"/>
      <c r="AE46" s="62" t="b">
        <v>0</v>
      </c>
      <c r="AF46" s="48"/>
    </row>
    <row r="47" ht="15.75" customHeight="1">
      <c r="A47" s="48" t="s">
        <v>328</v>
      </c>
      <c r="B47" s="49" t="s">
        <v>276</v>
      </c>
      <c r="C47" s="50">
        <v>0.375</v>
      </c>
      <c r="D47" s="51"/>
      <c r="E47" s="51"/>
      <c r="F47" s="48" t="s">
        <v>329</v>
      </c>
      <c r="G47" s="52">
        <v>0.3</v>
      </c>
      <c r="H47" s="49" t="s">
        <v>219</v>
      </c>
      <c r="I47" s="53" t="s">
        <v>220</v>
      </c>
      <c r="J47" s="49" t="s">
        <v>117</v>
      </c>
      <c r="K47" s="49"/>
      <c r="L47" s="59"/>
      <c r="M47" s="55"/>
      <c r="N47" s="55"/>
      <c r="O47" s="48"/>
      <c r="P47" s="49" t="s">
        <v>221</v>
      </c>
      <c r="Q47" s="49"/>
      <c r="R47" s="48"/>
      <c r="S47" s="48"/>
      <c r="T47" s="48"/>
      <c r="U47" s="48"/>
      <c r="V47" s="48"/>
      <c r="W47" s="60"/>
      <c r="X47" s="48"/>
      <c r="Y47" s="48"/>
      <c r="Z47" s="48"/>
      <c r="AA47" s="48"/>
      <c r="AB47" s="48"/>
      <c r="AC47" s="48"/>
      <c r="AD47" s="48"/>
      <c r="AE47" s="57" t="b">
        <v>1</v>
      </c>
      <c r="AF47" s="48"/>
    </row>
    <row r="48" ht="15.75" customHeight="1">
      <c r="A48" s="48" t="s">
        <v>330</v>
      </c>
      <c r="B48" s="49" t="s">
        <v>276</v>
      </c>
      <c r="C48" s="50">
        <v>0.375</v>
      </c>
      <c r="D48" s="51"/>
      <c r="E48" s="51"/>
      <c r="F48" s="48" t="s">
        <v>331</v>
      </c>
      <c r="G48" s="52">
        <v>2.1</v>
      </c>
      <c r="H48" s="49" t="s">
        <v>219</v>
      </c>
      <c r="I48" s="53" t="s">
        <v>220</v>
      </c>
      <c r="J48" s="49" t="s">
        <v>117</v>
      </c>
      <c r="K48" s="49"/>
      <c r="L48" s="54"/>
      <c r="M48" s="55"/>
      <c r="N48" s="55"/>
      <c r="O48" s="48"/>
      <c r="P48" s="49" t="s">
        <v>332</v>
      </c>
      <c r="Q48" s="49" t="s">
        <v>229</v>
      </c>
      <c r="R48" s="48"/>
      <c r="S48" s="48"/>
      <c r="T48" s="48"/>
      <c r="U48" s="48"/>
      <c r="V48" s="48"/>
      <c r="W48" s="56"/>
      <c r="X48" s="48"/>
      <c r="Y48" s="48"/>
      <c r="Z48" s="48"/>
      <c r="AA48" s="48"/>
      <c r="AB48" s="48"/>
      <c r="AC48" s="48"/>
      <c r="AD48" s="48"/>
      <c r="AE48" s="57" t="b">
        <v>1</v>
      </c>
      <c r="AF48" s="48"/>
    </row>
    <row r="49" ht="15.75" customHeight="1">
      <c r="A49" s="48" t="s">
        <v>333</v>
      </c>
      <c r="B49" s="49" t="s">
        <v>263</v>
      </c>
      <c r="C49" s="50">
        <v>0.375</v>
      </c>
      <c r="D49" s="51"/>
      <c r="E49" s="51"/>
      <c r="F49" s="48" t="s">
        <v>334</v>
      </c>
      <c r="G49" s="52">
        <v>0.3</v>
      </c>
      <c r="H49" s="49" t="s">
        <v>219</v>
      </c>
      <c r="I49" s="53" t="s">
        <v>220</v>
      </c>
      <c r="J49" s="49" t="s">
        <v>122</v>
      </c>
      <c r="K49" s="49"/>
      <c r="L49" s="59"/>
      <c r="M49" s="55"/>
      <c r="N49" s="55"/>
      <c r="O49" s="48"/>
      <c r="P49" s="49" t="s">
        <v>221</v>
      </c>
      <c r="Q49" s="49"/>
      <c r="R49" s="48"/>
      <c r="S49" s="48"/>
      <c r="T49" s="48"/>
      <c r="U49" s="48"/>
      <c r="V49" s="48"/>
      <c r="W49" s="60"/>
      <c r="X49" s="48"/>
      <c r="Y49" s="48"/>
      <c r="Z49" s="48"/>
      <c r="AA49" s="48">
        <v>3317.0</v>
      </c>
      <c r="AB49" s="61" t="s">
        <v>335</v>
      </c>
      <c r="AC49" s="48">
        <v>47.0</v>
      </c>
      <c r="AD49" s="48"/>
      <c r="AE49" s="57" t="b">
        <v>1</v>
      </c>
      <c r="AF49" s="48"/>
    </row>
    <row r="50" ht="15.75" customHeight="1">
      <c r="A50" s="48" t="s">
        <v>336</v>
      </c>
      <c r="B50" s="49" t="s">
        <v>232</v>
      </c>
      <c r="C50" s="50">
        <v>0.375</v>
      </c>
      <c r="D50" s="51"/>
      <c r="E50" s="51"/>
      <c r="F50" s="48" t="s">
        <v>337</v>
      </c>
      <c r="G50" s="52">
        <v>1.5</v>
      </c>
      <c r="H50" s="49" t="s">
        <v>219</v>
      </c>
      <c r="I50" s="53" t="s">
        <v>220</v>
      </c>
      <c r="J50" s="49" t="s">
        <v>121</v>
      </c>
      <c r="K50" s="49"/>
      <c r="L50" s="54"/>
      <c r="M50" s="55"/>
      <c r="N50" s="55"/>
      <c r="O50" s="48"/>
      <c r="P50" s="49" t="s">
        <v>230</v>
      </c>
      <c r="Q50" s="49" t="s">
        <v>332</v>
      </c>
      <c r="R50" s="48"/>
      <c r="S50" s="48"/>
      <c r="T50" s="48"/>
      <c r="U50" s="48"/>
      <c r="V50" s="48"/>
      <c r="W50" s="56"/>
      <c r="X50" s="48"/>
      <c r="Y50" s="48"/>
      <c r="Z50" s="48"/>
      <c r="AA50" s="48"/>
      <c r="AB50" s="48"/>
      <c r="AC50" s="48"/>
      <c r="AD50" s="48"/>
      <c r="AE50" s="57" t="b">
        <v>1</v>
      </c>
      <c r="AF50" s="48"/>
    </row>
    <row r="51" ht="15.75" customHeight="1">
      <c r="A51" s="48" t="s">
        <v>338</v>
      </c>
      <c r="B51" s="49" t="s">
        <v>226</v>
      </c>
      <c r="C51" s="50">
        <v>0.375</v>
      </c>
      <c r="D51" s="51"/>
      <c r="E51" s="51"/>
      <c r="F51" s="48" t="s">
        <v>339</v>
      </c>
      <c r="G51" s="52">
        <v>0.2</v>
      </c>
      <c r="H51" s="49" t="s">
        <v>219</v>
      </c>
      <c r="I51" s="53" t="s">
        <v>220</v>
      </c>
      <c r="J51" s="49" t="s">
        <v>121</v>
      </c>
      <c r="K51" s="49"/>
      <c r="L51" s="59"/>
      <c r="M51" s="55"/>
      <c r="N51" s="55"/>
      <c r="O51" s="48"/>
      <c r="P51" s="49" t="s">
        <v>221</v>
      </c>
      <c r="Q51" s="49"/>
      <c r="R51" s="48"/>
      <c r="S51" s="48"/>
      <c r="T51" s="48"/>
      <c r="U51" s="48"/>
      <c r="V51" s="48"/>
      <c r="W51" s="60"/>
      <c r="X51" s="48"/>
      <c r="Y51" s="48"/>
      <c r="Z51" s="48"/>
      <c r="AA51" s="48"/>
      <c r="AB51" s="48"/>
      <c r="AC51" s="48"/>
      <c r="AD51" s="48"/>
      <c r="AE51" s="57" t="b">
        <v>1</v>
      </c>
      <c r="AF51" s="48"/>
    </row>
    <row r="52" ht="15.75" customHeight="1">
      <c r="A52" s="48" t="s">
        <v>340</v>
      </c>
      <c r="B52" s="49" t="s">
        <v>226</v>
      </c>
      <c r="C52" s="50">
        <v>0.375</v>
      </c>
      <c r="D52" s="51"/>
      <c r="E52" s="51"/>
      <c r="F52" s="48" t="s">
        <v>341</v>
      </c>
      <c r="G52" s="52">
        <v>0.6</v>
      </c>
      <c r="H52" s="49" t="s">
        <v>219</v>
      </c>
      <c r="I52" s="53" t="s">
        <v>220</v>
      </c>
      <c r="J52" s="49" t="s">
        <v>121</v>
      </c>
      <c r="K52" s="49"/>
      <c r="L52" s="54"/>
      <c r="M52" s="55"/>
      <c r="N52" s="55"/>
      <c r="O52" s="48"/>
      <c r="P52" s="49" t="s">
        <v>221</v>
      </c>
      <c r="Q52" s="49"/>
      <c r="R52" s="48"/>
      <c r="S52" s="48"/>
      <c r="T52" s="48"/>
      <c r="U52" s="48"/>
      <c r="V52" s="48"/>
      <c r="W52" s="56"/>
      <c r="X52" s="48"/>
      <c r="Y52" s="48"/>
      <c r="Z52" s="48"/>
      <c r="AA52" s="48"/>
      <c r="AB52" s="48"/>
      <c r="AC52" s="48"/>
      <c r="AD52" s="48"/>
      <c r="AE52" s="57" t="b">
        <v>1</v>
      </c>
      <c r="AF52" s="48"/>
    </row>
    <row r="53" ht="15.75" customHeight="1">
      <c r="A53" s="48" t="s">
        <v>342</v>
      </c>
      <c r="B53" s="49" t="s">
        <v>226</v>
      </c>
      <c r="C53" s="50">
        <v>0.375</v>
      </c>
      <c r="D53" s="51"/>
      <c r="E53" s="51"/>
      <c r="F53" s="48" t="s">
        <v>343</v>
      </c>
      <c r="G53" s="52">
        <v>0.3</v>
      </c>
      <c r="H53" s="49" t="s">
        <v>219</v>
      </c>
      <c r="I53" s="53" t="s">
        <v>220</v>
      </c>
      <c r="J53" s="49" t="s">
        <v>121</v>
      </c>
      <c r="K53" s="49"/>
      <c r="L53" s="59"/>
      <c r="M53" s="55"/>
      <c r="N53" s="55"/>
      <c r="O53" s="48"/>
      <c r="P53" s="49" t="s">
        <v>221</v>
      </c>
      <c r="Q53" s="49"/>
      <c r="R53" s="48"/>
      <c r="S53" s="48"/>
      <c r="T53" s="48"/>
      <c r="U53" s="48"/>
      <c r="V53" s="48"/>
      <c r="W53" s="60"/>
      <c r="X53" s="48"/>
      <c r="Y53" s="48"/>
      <c r="Z53" s="48"/>
      <c r="AA53" s="48"/>
      <c r="AB53" s="48"/>
      <c r="AC53" s="48"/>
      <c r="AD53" s="48"/>
      <c r="AE53" s="57" t="b">
        <v>1</v>
      </c>
      <c r="AF53" s="48"/>
    </row>
    <row r="54" ht="15.75" customHeight="1">
      <c r="A54" s="48" t="s">
        <v>344</v>
      </c>
      <c r="B54" s="49" t="s">
        <v>226</v>
      </c>
      <c r="C54" s="50">
        <v>0.375</v>
      </c>
      <c r="D54" s="51"/>
      <c r="E54" s="51"/>
      <c r="F54" s="48" t="s">
        <v>345</v>
      </c>
      <c r="G54" s="52">
        <v>0.2</v>
      </c>
      <c r="H54" s="49" t="s">
        <v>219</v>
      </c>
      <c r="I54" s="53" t="s">
        <v>220</v>
      </c>
      <c r="J54" s="49" t="s">
        <v>121</v>
      </c>
      <c r="K54" s="49"/>
      <c r="L54" s="54"/>
      <c r="M54" s="55"/>
      <c r="N54" s="55"/>
      <c r="O54" s="48"/>
      <c r="P54" s="49" t="s">
        <v>221</v>
      </c>
      <c r="Q54" s="49"/>
      <c r="R54" s="48"/>
      <c r="S54" s="48"/>
      <c r="T54" s="48"/>
      <c r="U54" s="48"/>
      <c r="V54" s="48"/>
      <c r="W54" s="56"/>
      <c r="X54" s="48"/>
      <c r="Y54" s="48"/>
      <c r="Z54" s="48"/>
      <c r="AA54" s="48"/>
      <c r="AB54" s="48"/>
      <c r="AC54" s="48"/>
      <c r="AD54" s="48"/>
      <c r="AE54" s="57" t="b">
        <v>1</v>
      </c>
      <c r="AF54" s="48"/>
    </row>
    <row r="55" ht="15.75" customHeight="1">
      <c r="A55" s="48" t="s">
        <v>346</v>
      </c>
      <c r="B55" s="49" t="s">
        <v>271</v>
      </c>
      <c r="C55" s="50">
        <v>0.375</v>
      </c>
      <c r="D55" s="51"/>
      <c r="E55" s="51"/>
      <c r="F55" s="48" t="s">
        <v>347</v>
      </c>
      <c r="G55" s="52">
        <v>0.3</v>
      </c>
      <c r="H55" s="49" t="s">
        <v>219</v>
      </c>
      <c r="I55" s="53" t="s">
        <v>220</v>
      </c>
      <c r="J55" s="49" t="s">
        <v>121</v>
      </c>
      <c r="K55" s="49"/>
      <c r="L55" s="59"/>
      <c r="M55" s="55"/>
      <c r="N55" s="55"/>
      <c r="O55" s="48"/>
      <c r="P55" s="49" t="s">
        <v>221</v>
      </c>
      <c r="Q55" s="49"/>
      <c r="R55" s="48"/>
      <c r="S55" s="48"/>
      <c r="T55" s="48"/>
      <c r="U55" s="48"/>
      <c r="V55" s="48"/>
      <c r="W55" s="60"/>
      <c r="X55" s="48"/>
      <c r="Y55" s="48"/>
      <c r="Z55" s="48"/>
      <c r="AA55" s="48"/>
      <c r="AB55" s="48"/>
      <c r="AC55" s="48"/>
      <c r="AD55" s="48"/>
      <c r="AE55" s="57" t="b">
        <v>1</v>
      </c>
      <c r="AF55" s="48"/>
    </row>
    <row r="56" ht="15.75" customHeight="1">
      <c r="A56" s="48" t="s">
        <v>348</v>
      </c>
      <c r="B56" s="49" t="s">
        <v>217</v>
      </c>
      <c r="C56" s="50">
        <v>0.375</v>
      </c>
      <c r="D56" s="51"/>
      <c r="E56" s="51"/>
      <c r="F56" s="48" t="s">
        <v>349</v>
      </c>
      <c r="G56" s="52">
        <v>0.5</v>
      </c>
      <c r="H56" s="49" t="s">
        <v>219</v>
      </c>
      <c r="I56" s="53" t="s">
        <v>220</v>
      </c>
      <c r="J56" s="49" t="s">
        <v>121</v>
      </c>
      <c r="K56" s="49"/>
      <c r="L56" s="54"/>
      <c r="M56" s="55"/>
      <c r="N56" s="55"/>
      <c r="O56" s="48"/>
      <c r="P56" s="49" t="s">
        <v>221</v>
      </c>
      <c r="Q56" s="49"/>
      <c r="R56" s="48"/>
      <c r="S56" s="48"/>
      <c r="T56" s="48"/>
      <c r="U56" s="48"/>
      <c r="V56" s="48"/>
      <c r="W56" s="56"/>
      <c r="X56" s="48"/>
      <c r="Y56" s="48"/>
      <c r="Z56" s="48"/>
      <c r="AA56" s="48"/>
      <c r="AB56" s="48"/>
      <c r="AC56" s="48"/>
      <c r="AD56" s="48"/>
      <c r="AE56" s="57" t="b">
        <v>1</v>
      </c>
      <c r="AF56" s="48"/>
    </row>
    <row r="57" ht="15.75" customHeight="1">
      <c r="A57" s="48" t="s">
        <v>350</v>
      </c>
      <c r="B57" s="49" t="s">
        <v>271</v>
      </c>
      <c r="C57" s="50">
        <v>0.375</v>
      </c>
      <c r="D57" s="51"/>
      <c r="E57" s="51"/>
      <c r="F57" s="48" t="s">
        <v>351</v>
      </c>
      <c r="G57" s="52">
        <v>0.4</v>
      </c>
      <c r="H57" s="49" t="s">
        <v>219</v>
      </c>
      <c r="I57" s="53" t="s">
        <v>220</v>
      </c>
      <c r="J57" s="49" t="s">
        <v>121</v>
      </c>
      <c r="K57" s="49"/>
      <c r="L57" s="59"/>
      <c r="M57" s="55"/>
      <c r="N57" s="55"/>
      <c r="O57" s="48"/>
      <c r="P57" s="49" t="s">
        <v>221</v>
      </c>
      <c r="Q57" s="49"/>
      <c r="R57" s="48"/>
      <c r="S57" s="48"/>
      <c r="T57" s="48"/>
      <c r="U57" s="48"/>
      <c r="V57" s="48"/>
      <c r="W57" s="60"/>
      <c r="X57" s="48"/>
      <c r="Y57" s="48"/>
      <c r="Z57" s="48"/>
      <c r="AA57" s="48"/>
      <c r="AB57" s="48"/>
      <c r="AC57" s="48"/>
      <c r="AD57" s="48"/>
      <c r="AE57" s="57" t="b">
        <v>1</v>
      </c>
      <c r="AF57" s="48"/>
    </row>
    <row r="58" ht="15.75" customHeight="1">
      <c r="A58" s="48" t="s">
        <v>352</v>
      </c>
      <c r="B58" s="49" t="s">
        <v>259</v>
      </c>
      <c r="C58" s="50">
        <v>0.375</v>
      </c>
      <c r="D58" s="51"/>
      <c r="E58" s="51"/>
      <c r="F58" s="48" t="s">
        <v>353</v>
      </c>
      <c r="G58" s="52">
        <v>0.3</v>
      </c>
      <c r="H58" s="49" t="s">
        <v>219</v>
      </c>
      <c r="I58" s="53" t="s">
        <v>220</v>
      </c>
      <c r="J58" s="49" t="s">
        <v>121</v>
      </c>
      <c r="K58" s="49"/>
      <c r="L58" s="54"/>
      <c r="M58" s="55"/>
      <c r="N58" s="55"/>
      <c r="O58" s="48"/>
      <c r="P58" s="49" t="s">
        <v>221</v>
      </c>
      <c r="Q58" s="49"/>
      <c r="R58" s="48"/>
      <c r="S58" s="48"/>
      <c r="T58" s="48"/>
      <c r="U58" s="48"/>
      <c r="V58" s="48"/>
      <c r="W58" s="56"/>
      <c r="X58" s="48"/>
      <c r="Y58" s="48"/>
      <c r="Z58" s="48"/>
      <c r="AA58" s="48"/>
      <c r="AB58" s="48"/>
      <c r="AC58" s="48"/>
      <c r="AD58" s="48"/>
      <c r="AE58" s="57" t="b">
        <v>1</v>
      </c>
      <c r="AF58" s="48"/>
    </row>
    <row r="59" ht="15.75" customHeight="1">
      <c r="A59" s="48" t="s">
        <v>354</v>
      </c>
      <c r="B59" s="49" t="s">
        <v>271</v>
      </c>
      <c r="C59" s="50">
        <v>0.375</v>
      </c>
      <c r="D59" s="51"/>
      <c r="E59" s="51"/>
      <c r="F59" s="48" t="s">
        <v>355</v>
      </c>
      <c r="G59" s="52">
        <v>0.4</v>
      </c>
      <c r="H59" s="49" t="s">
        <v>219</v>
      </c>
      <c r="I59" s="53" t="s">
        <v>220</v>
      </c>
      <c r="J59" s="49" t="s">
        <v>121</v>
      </c>
      <c r="K59" s="49"/>
      <c r="L59" s="59"/>
      <c r="M59" s="55"/>
      <c r="N59" s="55"/>
      <c r="O59" s="48"/>
      <c r="P59" s="49" t="s">
        <v>221</v>
      </c>
      <c r="Q59" s="49"/>
      <c r="R59" s="48"/>
      <c r="S59" s="48"/>
      <c r="T59" s="48"/>
      <c r="U59" s="48"/>
      <c r="V59" s="48"/>
      <c r="W59" s="60"/>
      <c r="X59" s="48"/>
      <c r="Y59" s="48"/>
      <c r="Z59" s="48"/>
      <c r="AA59" s="48"/>
      <c r="AB59" s="48"/>
      <c r="AC59" s="48"/>
      <c r="AD59" s="48"/>
      <c r="AE59" s="57" t="b">
        <v>1</v>
      </c>
      <c r="AF59" s="48"/>
    </row>
    <row r="60" ht="15.75" customHeight="1">
      <c r="A60" s="48" t="s">
        <v>356</v>
      </c>
      <c r="B60" s="49" t="s">
        <v>217</v>
      </c>
      <c r="C60" s="50">
        <v>0.375</v>
      </c>
      <c r="D60" s="51"/>
      <c r="E60" s="51"/>
      <c r="F60" s="48" t="s">
        <v>357</v>
      </c>
      <c r="G60" s="52">
        <v>0.5</v>
      </c>
      <c r="H60" s="49" t="s">
        <v>219</v>
      </c>
      <c r="I60" s="53" t="s">
        <v>220</v>
      </c>
      <c r="J60" s="49" t="s">
        <v>121</v>
      </c>
      <c r="K60" s="49"/>
      <c r="L60" s="54"/>
      <c r="M60" s="55"/>
      <c r="N60" s="55"/>
      <c r="O60" s="48"/>
      <c r="P60" s="49" t="s">
        <v>221</v>
      </c>
      <c r="Q60" s="49"/>
      <c r="R60" s="48"/>
      <c r="S60" s="48"/>
      <c r="T60" s="48"/>
      <c r="U60" s="48"/>
      <c r="V60" s="48"/>
      <c r="W60" s="56"/>
      <c r="X60" s="48"/>
      <c r="Y60" s="48"/>
      <c r="Z60" s="48"/>
      <c r="AA60" s="48"/>
      <c r="AB60" s="48"/>
      <c r="AC60" s="48"/>
      <c r="AD60" s="48"/>
      <c r="AE60" s="57" t="b">
        <v>1</v>
      </c>
      <c r="AF60" s="48"/>
    </row>
    <row r="61" ht="15.75" customHeight="1">
      <c r="A61" s="48" t="s">
        <v>358</v>
      </c>
      <c r="B61" s="49" t="s">
        <v>217</v>
      </c>
      <c r="C61" s="50">
        <v>0.375</v>
      </c>
      <c r="D61" s="51"/>
      <c r="E61" s="51"/>
      <c r="F61" s="48" t="s">
        <v>359</v>
      </c>
      <c r="G61" s="52">
        <v>1.5</v>
      </c>
      <c r="H61" s="49" t="s">
        <v>219</v>
      </c>
      <c r="I61" s="53" t="s">
        <v>220</v>
      </c>
      <c r="J61" s="49" t="s">
        <v>121</v>
      </c>
      <c r="K61" s="49"/>
      <c r="L61" s="59"/>
      <c r="M61" s="55"/>
      <c r="N61" s="55"/>
      <c r="O61" s="48"/>
      <c r="P61" s="49" t="s">
        <v>221</v>
      </c>
      <c r="Q61" s="49"/>
      <c r="R61" s="48"/>
      <c r="S61" s="48"/>
      <c r="T61" s="48"/>
      <c r="U61" s="48"/>
      <c r="V61" s="48"/>
      <c r="W61" s="60"/>
      <c r="X61" s="48"/>
      <c r="Y61" s="48"/>
      <c r="Z61" s="48"/>
      <c r="AA61" s="48"/>
      <c r="AB61" s="48"/>
      <c r="AC61" s="48"/>
      <c r="AD61" s="48"/>
      <c r="AE61" s="57" t="b">
        <v>1</v>
      </c>
      <c r="AF61" s="48"/>
    </row>
    <row r="62" ht="15.75" customHeight="1">
      <c r="A62" s="48" t="s">
        <v>360</v>
      </c>
      <c r="B62" s="49" t="s">
        <v>271</v>
      </c>
      <c r="C62" s="50">
        <v>0.375</v>
      </c>
      <c r="D62" s="51"/>
      <c r="E62" s="51"/>
      <c r="F62" s="48" t="s">
        <v>361</v>
      </c>
      <c r="G62" s="52">
        <v>1.0</v>
      </c>
      <c r="H62" s="49" t="s">
        <v>219</v>
      </c>
      <c r="I62" s="53" t="s">
        <v>220</v>
      </c>
      <c r="J62" s="49" t="s">
        <v>121</v>
      </c>
      <c r="K62" s="49"/>
      <c r="L62" s="54"/>
      <c r="M62" s="55"/>
      <c r="N62" s="55"/>
      <c r="O62" s="48"/>
      <c r="P62" s="49" t="s">
        <v>221</v>
      </c>
      <c r="Q62" s="49"/>
      <c r="R62" s="48"/>
      <c r="S62" s="48"/>
      <c r="T62" s="48"/>
      <c r="U62" s="48"/>
      <c r="V62" s="48"/>
      <c r="W62" s="56"/>
      <c r="X62" s="48"/>
      <c r="Y62" s="48"/>
      <c r="Z62" s="48"/>
      <c r="AA62" s="48"/>
      <c r="AB62" s="48"/>
      <c r="AC62" s="48"/>
      <c r="AD62" s="48"/>
      <c r="AE62" s="57" t="b">
        <v>1</v>
      </c>
      <c r="AF62" s="48"/>
    </row>
    <row r="63" ht="15.75" customHeight="1">
      <c r="A63" s="48" t="s">
        <v>362</v>
      </c>
      <c r="B63" s="49" t="s">
        <v>232</v>
      </c>
      <c r="C63" s="50">
        <v>0.375</v>
      </c>
      <c r="D63" s="51"/>
      <c r="E63" s="51"/>
      <c r="F63" s="48" t="s">
        <v>363</v>
      </c>
      <c r="G63" s="52">
        <v>0.4</v>
      </c>
      <c r="H63" s="49" t="s">
        <v>219</v>
      </c>
      <c r="I63" s="53" t="s">
        <v>220</v>
      </c>
      <c r="J63" s="49" t="s">
        <v>121</v>
      </c>
      <c r="K63" s="49"/>
      <c r="L63" s="59"/>
      <c r="M63" s="55"/>
      <c r="N63" s="55"/>
      <c r="O63" s="48"/>
      <c r="P63" s="49" t="s">
        <v>221</v>
      </c>
      <c r="Q63" s="49"/>
      <c r="R63" s="48"/>
      <c r="S63" s="48"/>
      <c r="T63" s="48"/>
      <c r="U63" s="48"/>
      <c r="V63" s="48"/>
      <c r="W63" s="60"/>
      <c r="X63" s="48"/>
      <c r="Y63" s="48"/>
      <c r="Z63" s="48"/>
      <c r="AA63" s="48"/>
      <c r="AB63" s="48"/>
      <c r="AC63" s="48"/>
      <c r="AD63" s="48"/>
      <c r="AE63" s="57" t="b">
        <v>1</v>
      </c>
      <c r="AF63" s="48"/>
    </row>
    <row r="64" ht="15.75" customHeight="1">
      <c r="A64" s="48" t="s">
        <v>364</v>
      </c>
      <c r="B64" s="49" t="s">
        <v>263</v>
      </c>
      <c r="C64" s="50">
        <v>0.375</v>
      </c>
      <c r="D64" s="51"/>
      <c r="E64" s="51"/>
      <c r="F64" s="48" t="s">
        <v>365</v>
      </c>
      <c r="G64" s="52">
        <v>0.3</v>
      </c>
      <c r="H64" s="49" t="s">
        <v>219</v>
      </c>
      <c r="I64" s="53" t="s">
        <v>220</v>
      </c>
      <c r="J64" s="49" t="s">
        <v>121</v>
      </c>
      <c r="K64" s="49"/>
      <c r="L64" s="54"/>
      <c r="M64" s="55"/>
      <c r="N64" s="55"/>
      <c r="O64" s="48"/>
      <c r="P64" s="49" t="s">
        <v>221</v>
      </c>
      <c r="Q64" s="49"/>
      <c r="R64" s="48"/>
      <c r="S64" s="48"/>
      <c r="T64" s="48"/>
      <c r="U64" s="48"/>
      <c r="V64" s="48"/>
      <c r="W64" s="56"/>
      <c r="X64" s="48"/>
      <c r="Y64" s="48"/>
      <c r="Z64" s="48"/>
      <c r="AA64" s="48"/>
      <c r="AB64" s="48"/>
      <c r="AC64" s="48"/>
      <c r="AD64" s="48"/>
      <c r="AE64" s="57" t="b">
        <v>1</v>
      </c>
      <c r="AF64" s="48"/>
    </row>
    <row r="65" ht="15.75" customHeight="1">
      <c r="A65" s="48" t="s">
        <v>366</v>
      </c>
      <c r="B65" s="49" t="s">
        <v>259</v>
      </c>
      <c r="C65" s="50">
        <v>0.375</v>
      </c>
      <c r="D65" s="51"/>
      <c r="E65" s="51"/>
      <c r="F65" s="48" t="s">
        <v>367</v>
      </c>
      <c r="G65" s="52">
        <v>0.9</v>
      </c>
      <c r="H65" s="49" t="s">
        <v>219</v>
      </c>
      <c r="I65" s="53" t="s">
        <v>220</v>
      </c>
      <c r="J65" s="49" t="s">
        <v>121</v>
      </c>
      <c r="K65" s="49"/>
      <c r="L65" s="59"/>
      <c r="M65" s="55"/>
      <c r="N65" s="55"/>
      <c r="O65" s="48"/>
      <c r="P65" s="49" t="s">
        <v>221</v>
      </c>
      <c r="Q65" s="49"/>
      <c r="R65" s="48"/>
      <c r="S65" s="48"/>
      <c r="T65" s="48"/>
      <c r="U65" s="48"/>
      <c r="V65" s="48"/>
      <c r="W65" s="60"/>
      <c r="X65" s="48"/>
      <c r="Y65" s="48"/>
      <c r="Z65" s="48"/>
      <c r="AA65" s="48"/>
      <c r="AB65" s="48"/>
      <c r="AC65" s="48"/>
      <c r="AD65" s="48"/>
      <c r="AE65" s="57" t="b">
        <v>1</v>
      </c>
      <c r="AF65" s="48"/>
    </row>
    <row r="66" ht="15.75" customHeight="1">
      <c r="A66" s="48" t="s">
        <v>368</v>
      </c>
      <c r="B66" s="49" t="s">
        <v>226</v>
      </c>
      <c r="C66" s="50">
        <v>0.375</v>
      </c>
      <c r="D66" s="51"/>
      <c r="E66" s="51"/>
      <c r="F66" s="48" t="s">
        <v>369</v>
      </c>
      <c r="G66" s="52">
        <v>4.5</v>
      </c>
      <c r="H66" s="49" t="s">
        <v>219</v>
      </c>
      <c r="I66" s="53" t="s">
        <v>220</v>
      </c>
      <c r="J66" s="49" t="s">
        <v>121</v>
      </c>
      <c r="K66" s="49"/>
      <c r="L66" s="54"/>
      <c r="M66" s="55"/>
      <c r="N66" s="55"/>
      <c r="O66" s="48"/>
      <c r="P66" s="49" t="s">
        <v>221</v>
      </c>
      <c r="Q66" s="49"/>
      <c r="R66" s="48"/>
      <c r="S66" s="48"/>
      <c r="T66" s="48"/>
      <c r="U66" s="48"/>
      <c r="V66" s="48"/>
      <c r="W66" s="56"/>
      <c r="X66" s="48"/>
      <c r="Y66" s="48"/>
      <c r="Z66" s="48"/>
      <c r="AA66" s="48"/>
      <c r="AB66" s="48"/>
      <c r="AC66" s="48"/>
      <c r="AD66" s="48"/>
      <c r="AE66" s="57" t="b">
        <v>1</v>
      </c>
      <c r="AF66" s="48"/>
    </row>
    <row r="67" ht="15.75" customHeight="1">
      <c r="A67" s="48" t="s">
        <v>370</v>
      </c>
      <c r="B67" s="49" t="s">
        <v>259</v>
      </c>
      <c r="C67" s="50">
        <v>0.375</v>
      </c>
      <c r="D67" s="51"/>
      <c r="E67" s="51"/>
      <c r="F67" s="48" t="s">
        <v>371</v>
      </c>
      <c r="G67" s="52">
        <v>1.1</v>
      </c>
      <c r="H67" s="49" t="s">
        <v>219</v>
      </c>
      <c r="I67" s="53" t="s">
        <v>220</v>
      </c>
      <c r="J67" s="49" t="s">
        <v>121</v>
      </c>
      <c r="K67" s="49"/>
      <c r="L67" s="59"/>
      <c r="M67" s="55"/>
      <c r="N67" s="55"/>
      <c r="O67" s="48"/>
      <c r="P67" s="49" t="s">
        <v>221</v>
      </c>
      <c r="Q67" s="49"/>
      <c r="R67" s="48"/>
      <c r="S67" s="48"/>
      <c r="T67" s="48"/>
      <c r="U67" s="48"/>
      <c r="V67" s="48"/>
      <c r="W67" s="60"/>
      <c r="X67" s="48"/>
      <c r="Y67" s="48"/>
      <c r="Z67" s="48"/>
      <c r="AA67" s="48"/>
      <c r="AB67" s="48"/>
      <c r="AC67" s="48"/>
      <c r="AD67" s="48"/>
      <c r="AE67" s="57" t="b">
        <v>1</v>
      </c>
      <c r="AF67" s="48"/>
    </row>
    <row r="68" ht="15.75" customHeight="1">
      <c r="A68" s="48" t="s">
        <v>372</v>
      </c>
      <c r="B68" s="49" t="s">
        <v>271</v>
      </c>
      <c r="C68" s="50">
        <v>0.375</v>
      </c>
      <c r="D68" s="51"/>
      <c r="E68" s="51"/>
      <c r="F68" s="48" t="s">
        <v>373</v>
      </c>
      <c r="G68" s="52">
        <v>1.1</v>
      </c>
      <c r="H68" s="49" t="s">
        <v>219</v>
      </c>
      <c r="I68" s="53" t="s">
        <v>220</v>
      </c>
      <c r="J68" s="49" t="s">
        <v>121</v>
      </c>
      <c r="K68" s="49"/>
      <c r="L68" s="54"/>
      <c r="M68" s="55"/>
      <c r="N68" s="55"/>
      <c r="O68" s="48"/>
      <c r="P68" s="49" t="s">
        <v>221</v>
      </c>
      <c r="Q68" s="49"/>
      <c r="R68" s="48"/>
      <c r="S68" s="48"/>
      <c r="T68" s="48"/>
      <c r="U68" s="48"/>
      <c r="V68" s="48"/>
      <c r="W68" s="56"/>
      <c r="X68" s="48"/>
      <c r="Y68" s="48"/>
      <c r="Z68" s="48"/>
      <c r="AA68" s="48"/>
      <c r="AB68" s="48"/>
      <c r="AC68" s="48"/>
      <c r="AD68" s="48"/>
      <c r="AE68" s="57" t="b">
        <v>1</v>
      </c>
      <c r="AF68" s="48"/>
    </row>
    <row r="69" ht="15.75" customHeight="1">
      <c r="A69" s="48" t="s">
        <v>374</v>
      </c>
      <c r="B69" s="49" t="s">
        <v>271</v>
      </c>
      <c r="C69" s="50">
        <v>0.375</v>
      </c>
      <c r="D69" s="51"/>
      <c r="E69" s="51"/>
      <c r="F69" s="48" t="s">
        <v>375</v>
      </c>
      <c r="G69" s="52">
        <v>0.6</v>
      </c>
      <c r="H69" s="49" t="s">
        <v>219</v>
      </c>
      <c r="I69" s="53" t="s">
        <v>220</v>
      </c>
      <c r="J69" s="49" t="s">
        <v>121</v>
      </c>
      <c r="K69" s="49"/>
      <c r="L69" s="59"/>
      <c r="M69" s="55"/>
      <c r="N69" s="55"/>
      <c r="O69" s="48"/>
      <c r="P69" s="49" t="s">
        <v>221</v>
      </c>
      <c r="Q69" s="49"/>
      <c r="R69" s="48"/>
      <c r="S69" s="48"/>
      <c r="T69" s="48"/>
      <c r="U69" s="48"/>
      <c r="V69" s="48"/>
      <c r="W69" s="60"/>
      <c r="X69" s="48"/>
      <c r="Y69" s="48"/>
      <c r="Z69" s="48"/>
      <c r="AA69" s="48"/>
      <c r="AB69" s="48"/>
      <c r="AC69" s="48"/>
      <c r="AD69" s="48"/>
      <c r="AE69" s="57" t="b">
        <v>1</v>
      </c>
      <c r="AF69" s="48"/>
    </row>
    <row r="70" ht="15.75" customHeight="1">
      <c r="A70" s="48" t="s">
        <v>376</v>
      </c>
      <c r="B70" s="49" t="s">
        <v>263</v>
      </c>
      <c r="C70" s="50">
        <v>0.375</v>
      </c>
      <c r="D70" s="51"/>
      <c r="E70" s="51"/>
      <c r="F70" s="48" t="s">
        <v>377</v>
      </c>
      <c r="G70" s="52">
        <v>1.3</v>
      </c>
      <c r="H70" s="49" t="s">
        <v>219</v>
      </c>
      <c r="I70" s="53" t="s">
        <v>220</v>
      </c>
      <c r="J70" s="49" t="s">
        <v>121</v>
      </c>
      <c r="K70" s="49"/>
      <c r="L70" s="54"/>
      <c r="M70" s="55"/>
      <c r="N70" s="55"/>
      <c r="O70" s="48"/>
      <c r="P70" s="49" t="s">
        <v>221</v>
      </c>
      <c r="Q70" s="49"/>
      <c r="R70" s="48"/>
      <c r="S70" s="48"/>
      <c r="T70" s="48"/>
      <c r="U70" s="48"/>
      <c r="V70" s="48"/>
      <c r="W70" s="56"/>
      <c r="X70" s="48"/>
      <c r="Y70" s="48"/>
      <c r="Z70" s="48"/>
      <c r="AA70" s="48"/>
      <c r="AB70" s="48"/>
      <c r="AC70" s="48"/>
      <c r="AD70" s="48"/>
      <c r="AE70" s="57" t="b">
        <v>1</v>
      </c>
      <c r="AF70" s="48"/>
    </row>
    <row r="71" ht="15.75" customHeight="1">
      <c r="A71" s="48" t="s">
        <v>378</v>
      </c>
      <c r="B71" s="49" t="s">
        <v>226</v>
      </c>
      <c r="C71" s="50">
        <v>0.4166666666666667</v>
      </c>
      <c r="D71" s="51"/>
      <c r="E71" s="51"/>
      <c r="F71" s="48" t="s">
        <v>379</v>
      </c>
      <c r="G71" s="52">
        <v>0.7</v>
      </c>
      <c r="H71" s="49" t="s">
        <v>219</v>
      </c>
      <c r="I71" s="53" t="s">
        <v>228</v>
      </c>
      <c r="J71" s="49" t="s">
        <v>121</v>
      </c>
      <c r="K71" s="49"/>
      <c r="L71" s="59"/>
      <c r="M71" s="55"/>
      <c r="N71" s="55"/>
      <c r="O71" s="48"/>
      <c r="P71" s="49" t="s">
        <v>229</v>
      </c>
      <c r="Q71" s="49" t="s">
        <v>230</v>
      </c>
      <c r="R71" s="48"/>
      <c r="S71" s="48"/>
      <c r="T71" s="48"/>
      <c r="U71" s="48"/>
      <c r="V71" s="48"/>
      <c r="W71" s="60"/>
      <c r="X71" s="48"/>
      <c r="Y71" s="48"/>
      <c r="Z71" s="48"/>
      <c r="AA71" s="48"/>
      <c r="AB71" s="48"/>
      <c r="AC71" s="48"/>
      <c r="AD71" s="48"/>
      <c r="AE71" s="57" t="b">
        <v>1</v>
      </c>
      <c r="AF71" s="48"/>
    </row>
    <row r="72" ht="15.75" customHeight="1">
      <c r="A72" s="48" t="s">
        <v>380</v>
      </c>
      <c r="B72" s="49" t="s">
        <v>232</v>
      </c>
      <c r="C72" s="50">
        <v>0.4166666666666667</v>
      </c>
      <c r="D72" s="51"/>
      <c r="E72" s="51"/>
      <c r="F72" s="48" t="s">
        <v>381</v>
      </c>
      <c r="G72" s="52">
        <v>1.3</v>
      </c>
      <c r="H72" s="49" t="s">
        <v>219</v>
      </c>
      <c r="I72" s="53" t="s">
        <v>228</v>
      </c>
      <c r="J72" s="49" t="s">
        <v>121</v>
      </c>
      <c r="K72" s="49"/>
      <c r="L72" s="54"/>
      <c r="M72" s="55"/>
      <c r="N72" s="55"/>
      <c r="O72" s="48"/>
      <c r="P72" s="49" t="s">
        <v>229</v>
      </c>
      <c r="Q72" s="49" t="s">
        <v>230</v>
      </c>
      <c r="R72" s="48"/>
      <c r="S72" s="48"/>
      <c r="T72" s="48"/>
      <c r="U72" s="48"/>
      <c r="V72" s="48"/>
      <c r="W72" s="56"/>
      <c r="X72" s="48"/>
      <c r="Y72" s="48"/>
      <c r="Z72" s="48"/>
      <c r="AA72" s="48"/>
      <c r="AB72" s="48"/>
      <c r="AC72" s="48"/>
      <c r="AD72" s="48"/>
      <c r="AE72" s="57" t="b">
        <v>1</v>
      </c>
      <c r="AF72" s="48"/>
    </row>
    <row r="73" ht="15.75" customHeight="1">
      <c r="A73" s="48" t="s">
        <v>382</v>
      </c>
      <c r="B73" s="49" t="s">
        <v>217</v>
      </c>
      <c r="C73" s="50">
        <v>0.4166666666666667</v>
      </c>
      <c r="D73" s="51"/>
      <c r="E73" s="51"/>
      <c r="F73" s="48" t="s">
        <v>383</v>
      </c>
      <c r="G73" s="52">
        <v>0.9</v>
      </c>
      <c r="H73" s="49" t="s">
        <v>219</v>
      </c>
      <c r="I73" s="53" t="s">
        <v>234</v>
      </c>
      <c r="J73" s="49" t="s">
        <v>121</v>
      </c>
      <c r="K73" s="49"/>
      <c r="L73" s="59"/>
      <c r="M73" s="55"/>
      <c r="N73" s="55"/>
      <c r="O73" s="48"/>
      <c r="P73" s="49" t="s">
        <v>332</v>
      </c>
      <c r="Q73" s="49" t="s">
        <v>229</v>
      </c>
      <c r="R73" s="48"/>
      <c r="S73" s="48"/>
      <c r="T73" s="48"/>
      <c r="U73" s="48"/>
      <c r="V73" s="48"/>
      <c r="W73" s="60"/>
      <c r="X73" s="48"/>
      <c r="Y73" s="48"/>
      <c r="Z73" s="48"/>
      <c r="AA73" s="48"/>
      <c r="AB73" s="48"/>
      <c r="AC73" s="48"/>
      <c r="AD73" s="48"/>
      <c r="AE73" s="57" t="b">
        <v>1</v>
      </c>
      <c r="AF73" s="48"/>
    </row>
    <row r="74" ht="15.75" customHeight="1">
      <c r="A74" s="48" t="s">
        <v>384</v>
      </c>
      <c r="B74" s="49" t="s">
        <v>259</v>
      </c>
      <c r="C74" s="50">
        <v>0.4166666666666667</v>
      </c>
      <c r="D74" s="51"/>
      <c r="E74" s="51"/>
      <c r="F74" s="48" t="s">
        <v>385</v>
      </c>
      <c r="G74" s="52">
        <v>0.8</v>
      </c>
      <c r="H74" s="49" t="s">
        <v>219</v>
      </c>
      <c r="I74" s="53" t="s">
        <v>234</v>
      </c>
      <c r="J74" s="49" t="s">
        <v>121</v>
      </c>
      <c r="K74" s="49"/>
      <c r="L74" s="54"/>
      <c r="M74" s="55"/>
      <c r="N74" s="55"/>
      <c r="O74" s="48"/>
      <c r="P74" s="49" t="s">
        <v>230</v>
      </c>
      <c r="Q74" s="49" t="s">
        <v>229</v>
      </c>
      <c r="R74" s="48"/>
      <c r="S74" s="48"/>
      <c r="T74" s="48"/>
      <c r="U74" s="48"/>
      <c r="V74" s="48"/>
      <c r="W74" s="56"/>
      <c r="X74" s="48"/>
      <c r="Y74" s="48"/>
      <c r="Z74" s="48"/>
      <c r="AA74" s="48"/>
      <c r="AB74" s="48"/>
      <c r="AC74" s="48"/>
      <c r="AD74" s="48"/>
      <c r="AE74" s="57" t="b">
        <v>1</v>
      </c>
      <c r="AF74" s="48"/>
    </row>
    <row r="75" ht="15.75" customHeight="1">
      <c r="A75" s="48" t="s">
        <v>386</v>
      </c>
      <c r="B75" s="49" t="s">
        <v>271</v>
      </c>
      <c r="C75" s="50">
        <v>0.4166666666666667</v>
      </c>
      <c r="D75" s="51"/>
      <c r="E75" s="51"/>
      <c r="F75" s="48" t="s">
        <v>387</v>
      </c>
      <c r="G75" s="52">
        <v>2.8</v>
      </c>
      <c r="H75" s="49" t="s">
        <v>219</v>
      </c>
      <c r="I75" s="53" t="s">
        <v>234</v>
      </c>
      <c r="J75" s="49" t="s">
        <v>121</v>
      </c>
      <c r="K75" s="49"/>
      <c r="L75" s="59"/>
      <c r="M75" s="55"/>
      <c r="N75" s="55"/>
      <c r="O75" s="48"/>
      <c r="P75" s="49" t="s">
        <v>230</v>
      </c>
      <c r="Q75" s="49" t="s">
        <v>229</v>
      </c>
      <c r="R75" s="48"/>
      <c r="S75" s="48"/>
      <c r="T75" s="48"/>
      <c r="U75" s="48"/>
      <c r="V75" s="48"/>
      <c r="W75" s="60"/>
      <c r="X75" s="48"/>
      <c r="Y75" s="48"/>
      <c r="Z75" s="48"/>
      <c r="AA75" s="48"/>
      <c r="AB75" s="48"/>
      <c r="AC75" s="48"/>
      <c r="AD75" s="48"/>
      <c r="AE75" s="57" t="b">
        <v>1</v>
      </c>
      <c r="AF75" s="48"/>
    </row>
    <row r="76" ht="15.75" customHeight="1">
      <c r="A76" s="48" t="s">
        <v>388</v>
      </c>
      <c r="B76" s="49" t="s">
        <v>271</v>
      </c>
      <c r="C76" s="50">
        <v>0.4166666666666667</v>
      </c>
      <c r="D76" s="51"/>
      <c r="E76" s="51"/>
      <c r="F76" s="48" t="s">
        <v>389</v>
      </c>
      <c r="G76" s="52">
        <v>2.8</v>
      </c>
      <c r="H76" s="49" t="s">
        <v>219</v>
      </c>
      <c r="I76" s="53" t="s">
        <v>234</v>
      </c>
      <c r="J76" s="49" t="s">
        <v>121</v>
      </c>
      <c r="K76" s="49"/>
      <c r="L76" s="54"/>
      <c r="M76" s="55"/>
      <c r="N76" s="55"/>
      <c r="O76" s="48"/>
      <c r="P76" s="49" t="s">
        <v>230</v>
      </c>
      <c r="Q76" s="49" t="s">
        <v>229</v>
      </c>
      <c r="R76" s="48"/>
      <c r="S76" s="48"/>
      <c r="T76" s="48"/>
      <c r="U76" s="48"/>
      <c r="V76" s="48"/>
      <c r="W76" s="56"/>
      <c r="X76" s="48"/>
      <c r="Y76" s="48"/>
      <c r="Z76" s="48"/>
      <c r="AA76" s="48"/>
      <c r="AB76" s="48"/>
      <c r="AC76" s="48"/>
      <c r="AD76" s="48"/>
      <c r="AE76" s="57" t="b">
        <v>1</v>
      </c>
      <c r="AF76" s="48"/>
    </row>
    <row r="77" ht="15.75" customHeight="1">
      <c r="A77" s="48" t="s">
        <v>390</v>
      </c>
      <c r="B77" s="49" t="s">
        <v>276</v>
      </c>
      <c r="C77" s="50">
        <v>0.4166666666666667</v>
      </c>
      <c r="D77" s="51">
        <v>46151.0</v>
      </c>
      <c r="E77" s="51">
        <v>46158.0</v>
      </c>
      <c r="F77" s="48" t="s">
        <v>391</v>
      </c>
      <c r="G77" s="52">
        <v>2.0</v>
      </c>
      <c r="H77" s="49" t="s">
        <v>219</v>
      </c>
      <c r="I77" s="53" t="s">
        <v>220</v>
      </c>
      <c r="J77" s="49" t="s">
        <v>117</v>
      </c>
      <c r="K77" s="49" t="s">
        <v>325</v>
      </c>
      <c r="L77" s="59"/>
      <c r="M77" s="55"/>
      <c r="N77" s="48" t="s">
        <v>392</v>
      </c>
      <c r="O77" s="48"/>
      <c r="P77" s="49"/>
      <c r="Q77" s="49"/>
      <c r="R77" s="48"/>
      <c r="S77" s="48"/>
      <c r="T77" s="48"/>
      <c r="U77" s="48"/>
      <c r="V77" s="48"/>
      <c r="W77" s="60"/>
      <c r="X77" s="48"/>
      <c r="Y77" s="48"/>
      <c r="Z77" s="48"/>
      <c r="AA77" s="48"/>
      <c r="AB77" s="48"/>
      <c r="AC77" s="48"/>
      <c r="AD77" s="48"/>
      <c r="AE77" s="62" t="b">
        <v>0</v>
      </c>
      <c r="AF77" s="48"/>
    </row>
    <row r="78" ht="15.75" customHeight="1">
      <c r="A78" s="48" t="s">
        <v>393</v>
      </c>
      <c r="B78" s="49" t="s">
        <v>232</v>
      </c>
      <c r="C78" s="50">
        <v>0.4166666666666667</v>
      </c>
      <c r="D78" s="51">
        <v>46171.0</v>
      </c>
      <c r="E78" s="51">
        <v>46171.0</v>
      </c>
      <c r="F78" s="48" t="s">
        <v>394</v>
      </c>
      <c r="G78" s="52">
        <v>8.5</v>
      </c>
      <c r="H78" s="49" t="s">
        <v>219</v>
      </c>
      <c r="I78" s="53" t="s">
        <v>220</v>
      </c>
      <c r="J78" s="49" t="s">
        <v>117</v>
      </c>
      <c r="K78" s="49" t="s">
        <v>395</v>
      </c>
      <c r="L78" s="54"/>
      <c r="M78" s="55"/>
      <c r="N78" s="48" t="s">
        <v>396</v>
      </c>
      <c r="O78" s="48"/>
      <c r="P78" s="49"/>
      <c r="Q78" s="49"/>
      <c r="R78" s="48"/>
      <c r="S78" s="48"/>
      <c r="T78" s="48"/>
      <c r="U78" s="48"/>
      <c r="V78" s="48"/>
      <c r="W78" s="56"/>
      <c r="X78" s="48"/>
      <c r="Y78" s="48"/>
      <c r="Z78" s="48"/>
      <c r="AA78" s="48"/>
      <c r="AB78" s="48"/>
      <c r="AC78" s="48"/>
      <c r="AD78" s="48"/>
      <c r="AE78" s="62" t="b">
        <v>0</v>
      </c>
      <c r="AF78" s="48"/>
    </row>
    <row r="79" ht="15.75" customHeight="1">
      <c r="A79" s="48" t="s">
        <v>397</v>
      </c>
      <c r="B79" s="49" t="s">
        <v>271</v>
      </c>
      <c r="C79" s="50">
        <v>0.4166666666666667</v>
      </c>
      <c r="D79" s="51"/>
      <c r="E79" s="51"/>
      <c r="F79" s="48" t="s">
        <v>398</v>
      </c>
      <c r="G79" s="52">
        <v>2.3</v>
      </c>
      <c r="H79" s="49" t="s">
        <v>219</v>
      </c>
      <c r="I79" s="53" t="s">
        <v>220</v>
      </c>
      <c r="J79" s="49" t="s">
        <v>122</v>
      </c>
      <c r="K79" s="49"/>
      <c r="L79" s="59"/>
      <c r="M79" s="55"/>
      <c r="N79" s="55"/>
      <c r="O79" s="48"/>
      <c r="P79" s="49" t="s">
        <v>221</v>
      </c>
      <c r="Q79" s="49"/>
      <c r="R79" s="48"/>
      <c r="S79" s="48"/>
      <c r="T79" s="48"/>
      <c r="U79" s="48"/>
      <c r="V79" s="48"/>
      <c r="W79" s="60"/>
      <c r="X79" s="48"/>
      <c r="Y79" s="48"/>
      <c r="Z79" s="48"/>
      <c r="AA79" s="48">
        <v>24298.0</v>
      </c>
      <c r="AB79" s="61" t="s">
        <v>399</v>
      </c>
      <c r="AC79" s="48">
        <v>226.0</v>
      </c>
      <c r="AD79" s="48"/>
      <c r="AE79" s="57" t="b">
        <v>1</v>
      </c>
      <c r="AF79" s="48"/>
    </row>
    <row r="80" ht="15.75" customHeight="1">
      <c r="A80" s="48" t="s">
        <v>400</v>
      </c>
      <c r="B80" s="49" t="s">
        <v>263</v>
      </c>
      <c r="C80" s="50">
        <v>0.4166666666666667</v>
      </c>
      <c r="D80" s="51"/>
      <c r="E80" s="51"/>
      <c r="F80" s="48" t="s">
        <v>401</v>
      </c>
      <c r="G80" s="52">
        <v>3.6</v>
      </c>
      <c r="H80" s="49" t="s">
        <v>219</v>
      </c>
      <c r="I80" s="53" t="s">
        <v>220</v>
      </c>
      <c r="J80" s="49" t="s">
        <v>121</v>
      </c>
      <c r="K80" s="49" t="s">
        <v>402</v>
      </c>
      <c r="L80" s="54"/>
      <c r="M80" s="55"/>
      <c r="N80" s="55"/>
      <c r="O80" s="48"/>
      <c r="P80" s="49" t="s">
        <v>229</v>
      </c>
      <c r="Q80" s="49" t="s">
        <v>230</v>
      </c>
      <c r="R80" s="48"/>
      <c r="S80" s="48"/>
      <c r="T80" s="48"/>
      <c r="U80" s="48"/>
      <c r="V80" s="48"/>
      <c r="W80" s="56"/>
      <c r="X80" s="48"/>
      <c r="Y80" s="48"/>
      <c r="Z80" s="48"/>
      <c r="AA80" s="48"/>
      <c r="AB80" s="48"/>
      <c r="AC80" s="48"/>
      <c r="AD80" s="48"/>
      <c r="AE80" s="57" t="b">
        <v>1</v>
      </c>
      <c r="AF80" s="48"/>
    </row>
    <row r="81" ht="15.75" customHeight="1">
      <c r="A81" s="48" t="s">
        <v>403</v>
      </c>
      <c r="B81" s="49" t="s">
        <v>259</v>
      </c>
      <c r="C81" s="50">
        <v>0.4166666666666667</v>
      </c>
      <c r="D81" s="51"/>
      <c r="E81" s="51"/>
      <c r="F81" s="48" t="s">
        <v>404</v>
      </c>
      <c r="G81" s="52">
        <v>0.5</v>
      </c>
      <c r="H81" s="49" t="s">
        <v>219</v>
      </c>
      <c r="I81" s="53" t="s">
        <v>220</v>
      </c>
      <c r="J81" s="49" t="s">
        <v>121</v>
      </c>
      <c r="K81" s="49"/>
      <c r="L81" s="59"/>
      <c r="M81" s="55"/>
      <c r="N81" s="55"/>
      <c r="O81" s="48"/>
      <c r="P81" s="49" t="s">
        <v>221</v>
      </c>
      <c r="Q81" s="49"/>
      <c r="R81" s="48"/>
      <c r="S81" s="48"/>
      <c r="T81" s="48"/>
      <c r="U81" s="48"/>
      <c r="V81" s="48"/>
      <c r="W81" s="60"/>
      <c r="X81" s="48"/>
      <c r="Y81" s="48"/>
      <c r="Z81" s="48"/>
      <c r="AA81" s="48"/>
      <c r="AB81" s="48"/>
      <c r="AC81" s="48"/>
      <c r="AD81" s="48"/>
      <c r="AE81" s="57" t="b">
        <v>1</v>
      </c>
      <c r="AF81" s="48"/>
    </row>
    <row r="82" ht="15.75" customHeight="1">
      <c r="A82" s="48" t="s">
        <v>405</v>
      </c>
      <c r="B82" s="49" t="s">
        <v>259</v>
      </c>
      <c r="C82" s="50">
        <v>0.4166666666666667</v>
      </c>
      <c r="D82" s="51"/>
      <c r="E82" s="51"/>
      <c r="F82" s="48" t="s">
        <v>406</v>
      </c>
      <c r="G82" s="52">
        <v>0.6</v>
      </c>
      <c r="H82" s="49" t="s">
        <v>219</v>
      </c>
      <c r="I82" s="53" t="s">
        <v>220</v>
      </c>
      <c r="J82" s="49" t="s">
        <v>121</v>
      </c>
      <c r="K82" s="49"/>
      <c r="L82" s="54"/>
      <c r="M82" s="55"/>
      <c r="N82" s="55"/>
      <c r="O82" s="48"/>
      <c r="P82" s="49" t="s">
        <v>221</v>
      </c>
      <c r="Q82" s="49"/>
      <c r="R82" s="48"/>
      <c r="S82" s="48"/>
      <c r="T82" s="48"/>
      <c r="U82" s="48"/>
      <c r="V82" s="48"/>
      <c r="W82" s="56"/>
      <c r="X82" s="48"/>
      <c r="Y82" s="48"/>
      <c r="Z82" s="48"/>
      <c r="AA82" s="48"/>
      <c r="AB82" s="48"/>
      <c r="AC82" s="48"/>
      <c r="AD82" s="48"/>
      <c r="AE82" s="57" t="b">
        <v>1</v>
      </c>
      <c r="AF82" s="48"/>
    </row>
    <row r="83" ht="15.75" customHeight="1">
      <c r="A83" s="48" t="s">
        <v>407</v>
      </c>
      <c r="B83" s="49" t="s">
        <v>259</v>
      </c>
      <c r="C83" s="50">
        <v>0.4166666666666667</v>
      </c>
      <c r="D83" s="51"/>
      <c r="E83" s="51"/>
      <c r="F83" s="48" t="s">
        <v>408</v>
      </c>
      <c r="G83" s="52">
        <v>1.4</v>
      </c>
      <c r="H83" s="49" t="s">
        <v>219</v>
      </c>
      <c r="I83" s="53" t="s">
        <v>220</v>
      </c>
      <c r="J83" s="49" t="s">
        <v>121</v>
      </c>
      <c r="K83" s="49"/>
      <c r="L83" s="59"/>
      <c r="M83" s="55"/>
      <c r="N83" s="55"/>
      <c r="O83" s="48"/>
      <c r="P83" s="49" t="s">
        <v>221</v>
      </c>
      <c r="Q83" s="49"/>
      <c r="R83" s="48"/>
      <c r="S83" s="48"/>
      <c r="T83" s="48"/>
      <c r="U83" s="48"/>
      <c r="V83" s="48"/>
      <c r="W83" s="60"/>
      <c r="X83" s="48"/>
      <c r="Y83" s="48"/>
      <c r="Z83" s="48"/>
      <c r="AA83" s="48"/>
      <c r="AB83" s="48"/>
      <c r="AC83" s="48"/>
      <c r="AD83" s="48"/>
      <c r="AE83" s="57" t="b">
        <v>1</v>
      </c>
      <c r="AF83" s="48"/>
    </row>
    <row r="84" ht="15.75" customHeight="1">
      <c r="A84" s="48" t="s">
        <v>409</v>
      </c>
      <c r="B84" s="49" t="s">
        <v>276</v>
      </c>
      <c r="C84" s="50">
        <v>0.4166666666666667</v>
      </c>
      <c r="D84" s="51"/>
      <c r="E84" s="51"/>
      <c r="F84" s="48" t="s">
        <v>410</v>
      </c>
      <c r="G84" s="52">
        <v>0.9</v>
      </c>
      <c r="H84" s="49" t="s">
        <v>219</v>
      </c>
      <c r="I84" s="53" t="s">
        <v>220</v>
      </c>
      <c r="J84" s="49" t="s">
        <v>121</v>
      </c>
      <c r="K84" s="49"/>
      <c r="L84" s="54"/>
      <c r="M84" s="55"/>
      <c r="N84" s="55"/>
      <c r="O84" s="48"/>
      <c r="P84" s="49" t="s">
        <v>221</v>
      </c>
      <c r="Q84" s="49"/>
      <c r="R84" s="48"/>
      <c r="S84" s="48"/>
      <c r="T84" s="48"/>
      <c r="U84" s="48"/>
      <c r="V84" s="48"/>
      <c r="W84" s="56"/>
      <c r="X84" s="48"/>
      <c r="Y84" s="48"/>
      <c r="Z84" s="48"/>
      <c r="AA84" s="48"/>
      <c r="AB84" s="48"/>
      <c r="AC84" s="48"/>
      <c r="AD84" s="48"/>
      <c r="AE84" s="57" t="b">
        <v>1</v>
      </c>
      <c r="AF84" s="48"/>
    </row>
    <row r="85" ht="15.75" customHeight="1">
      <c r="A85" s="48" t="s">
        <v>411</v>
      </c>
      <c r="B85" s="49" t="s">
        <v>226</v>
      </c>
      <c r="C85" s="50">
        <v>0.4166666666666667</v>
      </c>
      <c r="D85" s="51"/>
      <c r="E85" s="51"/>
      <c r="F85" s="48" t="s">
        <v>412</v>
      </c>
      <c r="G85" s="52">
        <v>0.4</v>
      </c>
      <c r="H85" s="49" t="s">
        <v>219</v>
      </c>
      <c r="I85" s="53" t="s">
        <v>220</v>
      </c>
      <c r="J85" s="49" t="s">
        <v>121</v>
      </c>
      <c r="K85" s="49"/>
      <c r="L85" s="59"/>
      <c r="M85" s="55"/>
      <c r="N85" s="55"/>
      <c r="O85" s="48"/>
      <c r="P85" s="49" t="s">
        <v>221</v>
      </c>
      <c r="Q85" s="49"/>
      <c r="R85" s="48"/>
      <c r="S85" s="48"/>
      <c r="T85" s="48"/>
      <c r="U85" s="48"/>
      <c r="V85" s="48"/>
      <c r="W85" s="60"/>
      <c r="X85" s="48"/>
      <c r="Y85" s="48"/>
      <c r="Z85" s="48"/>
      <c r="AA85" s="48"/>
      <c r="AB85" s="48"/>
      <c r="AC85" s="48"/>
      <c r="AD85" s="48"/>
      <c r="AE85" s="57" t="b">
        <v>1</v>
      </c>
      <c r="AF85" s="48"/>
    </row>
    <row r="86" ht="15.75" customHeight="1">
      <c r="A86" s="48" t="s">
        <v>413</v>
      </c>
      <c r="B86" s="49" t="s">
        <v>271</v>
      </c>
      <c r="C86" s="50">
        <v>0.4166666666666667</v>
      </c>
      <c r="D86" s="51"/>
      <c r="E86" s="51"/>
      <c r="F86" s="48" t="s">
        <v>414</v>
      </c>
      <c r="G86" s="52">
        <v>0.6</v>
      </c>
      <c r="H86" s="49" t="s">
        <v>219</v>
      </c>
      <c r="I86" s="53" t="s">
        <v>220</v>
      </c>
      <c r="J86" s="49" t="s">
        <v>121</v>
      </c>
      <c r="K86" s="49"/>
      <c r="L86" s="54"/>
      <c r="M86" s="55"/>
      <c r="N86" s="55"/>
      <c r="O86" s="48"/>
      <c r="P86" s="49" t="s">
        <v>221</v>
      </c>
      <c r="Q86" s="49"/>
      <c r="R86" s="48"/>
      <c r="S86" s="48"/>
      <c r="T86" s="48"/>
      <c r="U86" s="48"/>
      <c r="V86" s="48"/>
      <c r="W86" s="56"/>
      <c r="X86" s="48"/>
      <c r="Y86" s="48"/>
      <c r="Z86" s="48"/>
      <c r="AA86" s="48"/>
      <c r="AB86" s="48"/>
      <c r="AC86" s="48"/>
      <c r="AD86" s="48"/>
      <c r="AE86" s="57" t="b">
        <v>1</v>
      </c>
      <c r="AF86" s="48"/>
    </row>
    <row r="87" ht="15.75" customHeight="1">
      <c r="A87" s="48" t="s">
        <v>415</v>
      </c>
      <c r="B87" s="49" t="s">
        <v>232</v>
      </c>
      <c r="C87" s="50">
        <v>0.4166666666666667</v>
      </c>
      <c r="D87" s="51"/>
      <c r="E87" s="51"/>
      <c r="F87" s="48" t="s">
        <v>416</v>
      </c>
      <c r="G87" s="52">
        <v>0.6</v>
      </c>
      <c r="H87" s="49" t="s">
        <v>219</v>
      </c>
      <c r="I87" s="53" t="s">
        <v>220</v>
      </c>
      <c r="J87" s="49" t="s">
        <v>121</v>
      </c>
      <c r="K87" s="49"/>
      <c r="L87" s="59"/>
      <c r="M87" s="55"/>
      <c r="N87" s="55"/>
      <c r="O87" s="48"/>
      <c r="P87" s="49" t="s">
        <v>221</v>
      </c>
      <c r="Q87" s="49"/>
      <c r="R87" s="48"/>
      <c r="S87" s="48"/>
      <c r="T87" s="48"/>
      <c r="U87" s="48"/>
      <c r="V87" s="48"/>
      <c r="W87" s="60"/>
      <c r="X87" s="48"/>
      <c r="Y87" s="48"/>
      <c r="Z87" s="48"/>
      <c r="AA87" s="48"/>
      <c r="AB87" s="48"/>
      <c r="AC87" s="48"/>
      <c r="AD87" s="48"/>
      <c r="AE87" s="57" t="b">
        <v>1</v>
      </c>
      <c r="AF87" s="48"/>
    </row>
    <row r="88" ht="15.75" customHeight="1">
      <c r="A88" s="48" t="s">
        <v>417</v>
      </c>
      <c r="B88" s="49" t="s">
        <v>217</v>
      </c>
      <c r="C88" s="50">
        <v>0.4166666666666667</v>
      </c>
      <c r="D88" s="51"/>
      <c r="E88" s="51"/>
      <c r="F88" s="48" t="s">
        <v>418</v>
      </c>
      <c r="G88" s="52">
        <v>0.4</v>
      </c>
      <c r="H88" s="49" t="s">
        <v>219</v>
      </c>
      <c r="I88" s="53" t="s">
        <v>220</v>
      </c>
      <c r="J88" s="49" t="s">
        <v>121</v>
      </c>
      <c r="K88" s="49"/>
      <c r="L88" s="54"/>
      <c r="M88" s="55"/>
      <c r="N88" s="55"/>
      <c r="O88" s="48"/>
      <c r="P88" s="49" t="s">
        <v>221</v>
      </c>
      <c r="Q88" s="49"/>
      <c r="R88" s="48"/>
      <c r="S88" s="48"/>
      <c r="T88" s="48"/>
      <c r="U88" s="48"/>
      <c r="V88" s="48"/>
      <c r="W88" s="56"/>
      <c r="X88" s="48"/>
      <c r="Y88" s="48"/>
      <c r="Z88" s="48"/>
      <c r="AA88" s="48"/>
      <c r="AB88" s="48"/>
      <c r="AC88" s="48"/>
      <c r="AD88" s="48"/>
      <c r="AE88" s="57" t="b">
        <v>1</v>
      </c>
      <c r="AF88" s="48"/>
    </row>
    <row r="89" ht="15.75" customHeight="1">
      <c r="A89" s="48" t="s">
        <v>419</v>
      </c>
      <c r="B89" s="49" t="s">
        <v>271</v>
      </c>
      <c r="C89" s="50">
        <v>0.4166666666666667</v>
      </c>
      <c r="D89" s="51"/>
      <c r="E89" s="51"/>
      <c r="F89" s="48" t="s">
        <v>420</v>
      </c>
      <c r="G89" s="52">
        <v>1.0</v>
      </c>
      <c r="H89" s="49" t="s">
        <v>219</v>
      </c>
      <c r="I89" s="53" t="s">
        <v>220</v>
      </c>
      <c r="J89" s="49" t="s">
        <v>121</v>
      </c>
      <c r="K89" s="49"/>
      <c r="L89" s="59"/>
      <c r="M89" s="55"/>
      <c r="N89" s="55"/>
      <c r="O89" s="48"/>
      <c r="P89" s="49" t="s">
        <v>221</v>
      </c>
      <c r="Q89" s="49"/>
      <c r="R89" s="48"/>
      <c r="S89" s="48"/>
      <c r="T89" s="48"/>
      <c r="U89" s="48"/>
      <c r="V89" s="48"/>
      <c r="W89" s="60"/>
      <c r="X89" s="48"/>
      <c r="Y89" s="48"/>
      <c r="Z89" s="48"/>
      <c r="AA89" s="48"/>
      <c r="AB89" s="48"/>
      <c r="AC89" s="48"/>
      <c r="AD89" s="48"/>
      <c r="AE89" s="57" t="b">
        <v>1</v>
      </c>
      <c r="AF89" s="48"/>
    </row>
    <row r="90" ht="15.75" customHeight="1">
      <c r="A90" s="48" t="s">
        <v>421</v>
      </c>
      <c r="B90" s="49" t="s">
        <v>259</v>
      </c>
      <c r="C90" s="50">
        <v>0.4166666666666667</v>
      </c>
      <c r="D90" s="51"/>
      <c r="E90" s="51"/>
      <c r="F90" s="48" t="s">
        <v>422</v>
      </c>
      <c r="G90" s="52">
        <v>4.4</v>
      </c>
      <c r="H90" s="49" t="s">
        <v>219</v>
      </c>
      <c r="I90" s="53" t="s">
        <v>220</v>
      </c>
      <c r="J90" s="49" t="s">
        <v>121</v>
      </c>
      <c r="K90" s="49"/>
      <c r="L90" s="54"/>
      <c r="M90" s="55"/>
      <c r="N90" s="55"/>
      <c r="O90" s="48"/>
      <c r="P90" s="49" t="s">
        <v>221</v>
      </c>
      <c r="Q90" s="49"/>
      <c r="R90" s="48"/>
      <c r="S90" s="48"/>
      <c r="T90" s="48"/>
      <c r="U90" s="48"/>
      <c r="V90" s="48"/>
      <c r="W90" s="56"/>
      <c r="X90" s="48"/>
      <c r="Y90" s="48"/>
      <c r="Z90" s="48"/>
      <c r="AA90" s="48"/>
      <c r="AB90" s="48"/>
      <c r="AC90" s="48"/>
      <c r="AD90" s="48"/>
      <c r="AE90" s="57" t="b">
        <v>1</v>
      </c>
      <c r="AF90" s="48"/>
    </row>
    <row r="91" ht="15.75" customHeight="1">
      <c r="A91" s="48" t="s">
        <v>423</v>
      </c>
      <c r="B91" s="49" t="s">
        <v>217</v>
      </c>
      <c r="C91" s="50">
        <v>0.4166666666666667</v>
      </c>
      <c r="D91" s="51"/>
      <c r="E91" s="51"/>
      <c r="F91" s="48" t="s">
        <v>424</v>
      </c>
      <c r="G91" s="52">
        <v>1.5</v>
      </c>
      <c r="H91" s="49" t="s">
        <v>219</v>
      </c>
      <c r="I91" s="53" t="s">
        <v>220</v>
      </c>
      <c r="J91" s="49" t="s">
        <v>121</v>
      </c>
      <c r="K91" s="49"/>
      <c r="L91" s="59"/>
      <c r="M91" s="55"/>
      <c r="N91" s="55"/>
      <c r="O91" s="48"/>
      <c r="P91" s="49" t="s">
        <v>221</v>
      </c>
      <c r="Q91" s="49"/>
      <c r="R91" s="48"/>
      <c r="S91" s="48"/>
      <c r="T91" s="48"/>
      <c r="U91" s="48"/>
      <c r="V91" s="48"/>
      <c r="W91" s="60"/>
      <c r="X91" s="48"/>
      <c r="Y91" s="48"/>
      <c r="Z91" s="48"/>
      <c r="AA91" s="48"/>
      <c r="AB91" s="48"/>
      <c r="AC91" s="48"/>
      <c r="AD91" s="48"/>
      <c r="AE91" s="57" t="b">
        <v>1</v>
      </c>
      <c r="AF91" s="48"/>
    </row>
    <row r="92" ht="15.75" customHeight="1">
      <c r="A92" s="48" t="s">
        <v>425</v>
      </c>
      <c r="B92" s="49" t="s">
        <v>217</v>
      </c>
      <c r="C92" s="50">
        <v>0.4166666666666667</v>
      </c>
      <c r="D92" s="51"/>
      <c r="E92" s="51"/>
      <c r="F92" s="48" t="s">
        <v>426</v>
      </c>
      <c r="G92" s="52">
        <v>1.0</v>
      </c>
      <c r="H92" s="49" t="s">
        <v>219</v>
      </c>
      <c r="I92" s="53" t="s">
        <v>220</v>
      </c>
      <c r="J92" s="49" t="s">
        <v>121</v>
      </c>
      <c r="K92" s="49"/>
      <c r="L92" s="54"/>
      <c r="M92" s="55"/>
      <c r="N92" s="55"/>
      <c r="O92" s="48"/>
      <c r="P92" s="49" t="s">
        <v>221</v>
      </c>
      <c r="Q92" s="49"/>
      <c r="R92" s="48"/>
      <c r="S92" s="48"/>
      <c r="T92" s="48"/>
      <c r="U92" s="48"/>
      <c r="V92" s="48"/>
      <c r="W92" s="56"/>
      <c r="X92" s="48"/>
      <c r="Y92" s="48"/>
      <c r="Z92" s="48"/>
      <c r="AA92" s="48"/>
      <c r="AB92" s="48"/>
      <c r="AC92" s="48"/>
      <c r="AD92" s="48"/>
      <c r="AE92" s="57" t="b">
        <v>1</v>
      </c>
      <c r="AF92" s="48"/>
    </row>
    <row r="93" ht="15.75" customHeight="1">
      <c r="A93" s="48" t="s">
        <v>427</v>
      </c>
      <c r="B93" s="49" t="s">
        <v>276</v>
      </c>
      <c r="C93" s="50">
        <v>0.4583333333333333</v>
      </c>
      <c r="D93" s="51"/>
      <c r="E93" s="51"/>
      <c r="F93" s="48" t="s">
        <v>428</v>
      </c>
      <c r="G93" s="52">
        <v>2.0</v>
      </c>
      <c r="H93" s="49" t="s">
        <v>219</v>
      </c>
      <c r="I93" s="53" t="s">
        <v>320</v>
      </c>
      <c r="J93" s="49" t="s">
        <v>121</v>
      </c>
      <c r="K93" s="49"/>
      <c r="L93" s="59"/>
      <c r="M93" s="55"/>
      <c r="N93" s="55"/>
      <c r="O93" s="48"/>
      <c r="P93" s="49" t="s">
        <v>230</v>
      </c>
      <c r="Q93" s="49" t="s">
        <v>429</v>
      </c>
      <c r="R93" s="48"/>
      <c r="S93" s="48"/>
      <c r="T93" s="48"/>
      <c r="U93" s="48"/>
      <c r="V93" s="48"/>
      <c r="W93" s="60"/>
      <c r="X93" s="48"/>
      <c r="Y93" s="48"/>
      <c r="Z93" s="48"/>
      <c r="AA93" s="48"/>
      <c r="AB93" s="48"/>
      <c r="AC93" s="48"/>
      <c r="AD93" s="48"/>
      <c r="AE93" s="57" t="b">
        <v>1</v>
      </c>
      <c r="AF93" s="48"/>
    </row>
    <row r="94" ht="15.75" customHeight="1">
      <c r="A94" s="48" t="s">
        <v>430</v>
      </c>
      <c r="B94" s="49" t="s">
        <v>271</v>
      </c>
      <c r="C94" s="50">
        <v>0.4583333333333333</v>
      </c>
      <c r="D94" s="51"/>
      <c r="E94" s="51"/>
      <c r="F94" s="48" t="s">
        <v>431</v>
      </c>
      <c r="G94" s="52">
        <v>2.5</v>
      </c>
      <c r="H94" s="49" t="s">
        <v>219</v>
      </c>
      <c r="I94" s="53" t="s">
        <v>228</v>
      </c>
      <c r="J94" s="49" t="s">
        <v>121</v>
      </c>
      <c r="K94" s="49"/>
      <c r="L94" s="54"/>
      <c r="M94" s="55"/>
      <c r="N94" s="55"/>
      <c r="O94" s="48"/>
      <c r="P94" s="49" t="s">
        <v>429</v>
      </c>
      <c r="Q94" s="49" t="s">
        <v>229</v>
      </c>
      <c r="R94" s="48"/>
      <c r="S94" s="48"/>
      <c r="T94" s="48"/>
      <c r="U94" s="48"/>
      <c r="V94" s="48"/>
      <c r="W94" s="56"/>
      <c r="X94" s="48"/>
      <c r="Y94" s="48"/>
      <c r="Z94" s="48"/>
      <c r="AA94" s="48"/>
      <c r="AB94" s="48"/>
      <c r="AC94" s="48"/>
      <c r="AD94" s="48"/>
      <c r="AE94" s="57" t="b">
        <v>1</v>
      </c>
      <c r="AF94" s="48"/>
    </row>
    <row r="95" ht="15.75" customHeight="1">
      <c r="A95" s="48" t="s">
        <v>432</v>
      </c>
      <c r="B95" s="49" t="s">
        <v>271</v>
      </c>
      <c r="C95" s="50">
        <v>0.4583333333333333</v>
      </c>
      <c r="D95" s="51">
        <v>46141.0</v>
      </c>
      <c r="E95" s="51">
        <v>46155.0</v>
      </c>
      <c r="F95" s="48" t="s">
        <v>433</v>
      </c>
      <c r="G95" s="52">
        <v>2.0</v>
      </c>
      <c r="H95" s="49" t="s">
        <v>219</v>
      </c>
      <c r="I95" s="53" t="s">
        <v>220</v>
      </c>
      <c r="J95" s="49" t="s">
        <v>117</v>
      </c>
      <c r="K95" s="49" t="s">
        <v>434</v>
      </c>
      <c r="L95" s="59"/>
      <c r="M95" s="55"/>
      <c r="N95" s="48" t="s">
        <v>435</v>
      </c>
      <c r="O95" s="48"/>
      <c r="P95" s="49"/>
      <c r="Q95" s="49"/>
      <c r="R95" s="48"/>
      <c r="S95" s="48"/>
      <c r="T95" s="48"/>
      <c r="U95" s="48"/>
      <c r="V95" s="48"/>
      <c r="W95" s="60"/>
      <c r="X95" s="48"/>
      <c r="Y95" s="48"/>
      <c r="Z95" s="48"/>
      <c r="AA95" s="48"/>
      <c r="AB95" s="48"/>
      <c r="AC95" s="48"/>
      <c r="AD95" s="48"/>
      <c r="AE95" s="57" t="b">
        <v>1</v>
      </c>
      <c r="AF95" s="48"/>
    </row>
    <row r="96" ht="15.75" customHeight="1">
      <c r="A96" s="48" t="s">
        <v>436</v>
      </c>
      <c r="B96" s="49" t="s">
        <v>217</v>
      </c>
      <c r="C96" s="50">
        <v>0.4583333333333333</v>
      </c>
      <c r="D96" s="51">
        <v>46133.0</v>
      </c>
      <c r="E96" s="51">
        <v>46168.0</v>
      </c>
      <c r="F96" s="48" t="s">
        <v>437</v>
      </c>
      <c r="G96" s="52">
        <v>8.5</v>
      </c>
      <c r="H96" s="49" t="s">
        <v>219</v>
      </c>
      <c r="I96" s="53" t="s">
        <v>220</v>
      </c>
      <c r="J96" s="49" t="s">
        <v>117</v>
      </c>
      <c r="K96" s="49" t="s">
        <v>395</v>
      </c>
      <c r="L96" s="54"/>
      <c r="M96" s="55"/>
      <c r="N96" s="48" t="s">
        <v>396</v>
      </c>
      <c r="O96" s="48"/>
      <c r="P96" s="49"/>
      <c r="Q96" s="49"/>
      <c r="R96" s="48"/>
      <c r="S96" s="48"/>
      <c r="T96" s="48"/>
      <c r="U96" s="48"/>
      <c r="V96" s="48"/>
      <c r="W96" s="56"/>
      <c r="X96" s="48"/>
      <c r="Y96" s="48"/>
      <c r="Z96" s="48"/>
      <c r="AA96" s="48"/>
      <c r="AB96" s="48"/>
      <c r="AC96" s="48"/>
      <c r="AD96" s="48"/>
      <c r="AE96" s="57" t="b">
        <v>1</v>
      </c>
      <c r="AF96" s="48"/>
    </row>
    <row r="97" ht="15.75" customHeight="1">
      <c r="A97" s="48" t="s">
        <v>438</v>
      </c>
      <c r="B97" s="49" t="s">
        <v>232</v>
      </c>
      <c r="C97" s="50">
        <v>0.4583333333333333</v>
      </c>
      <c r="D97" s="51">
        <v>46150.0</v>
      </c>
      <c r="E97" s="51">
        <v>46150.0</v>
      </c>
      <c r="F97" s="48" t="s">
        <v>439</v>
      </c>
      <c r="G97" s="52">
        <v>10.0</v>
      </c>
      <c r="H97" s="49" t="s">
        <v>219</v>
      </c>
      <c r="I97" s="53" t="s">
        <v>220</v>
      </c>
      <c r="J97" s="49" t="s">
        <v>117</v>
      </c>
      <c r="K97" s="49" t="s">
        <v>325</v>
      </c>
      <c r="L97" s="59"/>
      <c r="M97" s="55"/>
      <c r="N97" s="48" t="s">
        <v>440</v>
      </c>
      <c r="O97" s="48"/>
      <c r="P97" s="49"/>
      <c r="Q97" s="49"/>
      <c r="R97" s="48"/>
      <c r="S97" s="48"/>
      <c r="T97" s="48"/>
      <c r="U97" s="48"/>
      <c r="V97" s="48"/>
      <c r="W97" s="60"/>
      <c r="X97" s="48"/>
      <c r="Y97" s="48"/>
      <c r="Z97" s="48"/>
      <c r="AA97" s="48"/>
      <c r="AB97" s="48"/>
      <c r="AC97" s="48"/>
      <c r="AD97" s="48"/>
      <c r="AE97" s="62" t="b">
        <v>0</v>
      </c>
      <c r="AF97" s="48"/>
    </row>
    <row r="98" ht="15.75" customHeight="1">
      <c r="A98" s="48" t="s">
        <v>441</v>
      </c>
      <c r="B98" s="49" t="s">
        <v>226</v>
      </c>
      <c r="C98" s="50">
        <v>0.4583333333333333</v>
      </c>
      <c r="D98" s="51"/>
      <c r="E98" s="51"/>
      <c r="F98" s="48" t="s">
        <v>442</v>
      </c>
      <c r="G98" s="52">
        <v>0.7</v>
      </c>
      <c r="H98" s="49" t="s">
        <v>219</v>
      </c>
      <c r="I98" s="53" t="s">
        <v>220</v>
      </c>
      <c r="J98" s="49" t="s">
        <v>117</v>
      </c>
      <c r="K98" s="49"/>
      <c r="L98" s="54"/>
      <c r="M98" s="55"/>
      <c r="N98" s="55"/>
      <c r="O98" s="48"/>
      <c r="P98" s="49" t="s">
        <v>332</v>
      </c>
      <c r="Q98" s="49" t="s">
        <v>229</v>
      </c>
      <c r="R98" s="48"/>
      <c r="S98" s="48"/>
      <c r="T98" s="48"/>
      <c r="U98" s="48"/>
      <c r="V98" s="48"/>
      <c r="W98" s="56"/>
      <c r="X98" s="48"/>
      <c r="Y98" s="48"/>
      <c r="Z98" s="48"/>
      <c r="AA98" s="48"/>
      <c r="AB98" s="48"/>
      <c r="AC98" s="48"/>
      <c r="AD98" s="48"/>
      <c r="AE98" s="57" t="b">
        <v>1</v>
      </c>
      <c r="AF98" s="48"/>
    </row>
    <row r="99" ht="15.75" customHeight="1">
      <c r="A99" s="48" t="s">
        <v>443</v>
      </c>
      <c r="B99" s="49" t="s">
        <v>259</v>
      </c>
      <c r="C99" s="50">
        <v>0.4583333333333333</v>
      </c>
      <c r="D99" s="51"/>
      <c r="E99" s="51"/>
      <c r="F99" s="48" t="s">
        <v>444</v>
      </c>
      <c r="G99" s="52">
        <v>0.4</v>
      </c>
      <c r="H99" s="49" t="s">
        <v>219</v>
      </c>
      <c r="I99" s="53" t="s">
        <v>220</v>
      </c>
      <c r="J99" s="49" t="s">
        <v>121</v>
      </c>
      <c r="K99" s="49"/>
      <c r="L99" s="59"/>
      <c r="M99" s="55"/>
      <c r="N99" s="55"/>
      <c r="O99" s="48"/>
      <c r="P99" s="49" t="s">
        <v>221</v>
      </c>
      <c r="Q99" s="49"/>
      <c r="R99" s="48"/>
      <c r="S99" s="48"/>
      <c r="T99" s="48"/>
      <c r="U99" s="48"/>
      <c r="V99" s="48"/>
      <c r="W99" s="60"/>
      <c r="X99" s="48"/>
      <c r="Y99" s="48"/>
      <c r="Z99" s="48"/>
      <c r="AA99" s="48"/>
      <c r="AB99" s="48"/>
      <c r="AC99" s="48"/>
      <c r="AD99" s="48"/>
      <c r="AE99" s="57" t="b">
        <v>1</v>
      </c>
      <c r="AF99" s="48"/>
    </row>
    <row r="100" ht="15.75" customHeight="1">
      <c r="A100" s="48" t="s">
        <v>445</v>
      </c>
      <c r="B100" s="49" t="s">
        <v>232</v>
      </c>
      <c r="C100" s="50">
        <v>0.4583333333333333</v>
      </c>
      <c r="D100" s="51"/>
      <c r="E100" s="51"/>
      <c r="F100" s="48" t="s">
        <v>446</v>
      </c>
      <c r="G100" s="52">
        <v>0.3</v>
      </c>
      <c r="H100" s="49" t="s">
        <v>219</v>
      </c>
      <c r="I100" s="53" t="s">
        <v>220</v>
      </c>
      <c r="J100" s="49" t="s">
        <v>121</v>
      </c>
      <c r="K100" s="49"/>
      <c r="L100" s="54"/>
      <c r="M100" s="55"/>
      <c r="N100" s="55"/>
      <c r="O100" s="48"/>
      <c r="P100" s="49" t="s">
        <v>221</v>
      </c>
      <c r="Q100" s="49"/>
      <c r="R100" s="48"/>
      <c r="S100" s="48"/>
      <c r="T100" s="48"/>
      <c r="U100" s="48"/>
      <c r="V100" s="48"/>
      <c r="W100" s="56"/>
      <c r="X100" s="48"/>
      <c r="Y100" s="48"/>
      <c r="Z100" s="48"/>
      <c r="AA100" s="48"/>
      <c r="AB100" s="48"/>
      <c r="AC100" s="48"/>
      <c r="AD100" s="48"/>
      <c r="AE100" s="57" t="b">
        <v>1</v>
      </c>
      <c r="AF100" s="48"/>
    </row>
    <row r="101" ht="15.75" customHeight="1">
      <c r="A101" s="48" t="s">
        <v>447</v>
      </c>
      <c r="B101" s="49" t="s">
        <v>263</v>
      </c>
      <c r="C101" s="50">
        <v>0.4583333333333333</v>
      </c>
      <c r="D101" s="51"/>
      <c r="E101" s="51"/>
      <c r="F101" s="48" t="s">
        <v>448</v>
      </c>
      <c r="G101" s="52">
        <v>0.8</v>
      </c>
      <c r="H101" s="49" t="s">
        <v>219</v>
      </c>
      <c r="I101" s="53" t="s">
        <v>220</v>
      </c>
      <c r="J101" s="49" t="s">
        <v>121</v>
      </c>
      <c r="K101" s="49"/>
      <c r="L101" s="59"/>
      <c r="M101" s="55"/>
      <c r="N101" s="55"/>
      <c r="O101" s="48"/>
      <c r="P101" s="49" t="s">
        <v>221</v>
      </c>
      <c r="Q101" s="49"/>
      <c r="R101" s="48"/>
      <c r="S101" s="48"/>
      <c r="T101" s="48"/>
      <c r="U101" s="48"/>
      <c r="V101" s="48"/>
      <c r="W101" s="60"/>
      <c r="X101" s="48"/>
      <c r="Y101" s="48"/>
      <c r="Z101" s="48"/>
      <c r="AA101" s="48"/>
      <c r="AB101" s="48"/>
      <c r="AC101" s="48"/>
      <c r="AD101" s="48"/>
      <c r="AE101" s="57" t="b">
        <v>1</v>
      </c>
      <c r="AF101" s="48"/>
    </row>
    <row r="102" ht="15.75" customHeight="1">
      <c r="A102" s="48" t="s">
        <v>449</v>
      </c>
      <c r="B102" s="49" t="s">
        <v>259</v>
      </c>
      <c r="C102" s="50">
        <v>0.4583333333333333</v>
      </c>
      <c r="D102" s="51"/>
      <c r="E102" s="51"/>
      <c r="F102" s="48" t="s">
        <v>450</v>
      </c>
      <c r="G102" s="52">
        <v>2.5</v>
      </c>
      <c r="H102" s="49" t="s">
        <v>219</v>
      </c>
      <c r="I102" s="53" t="s">
        <v>220</v>
      </c>
      <c r="J102" s="49" t="s">
        <v>121</v>
      </c>
      <c r="K102" s="49"/>
      <c r="L102" s="54"/>
      <c r="M102" s="55"/>
      <c r="N102" s="55"/>
      <c r="O102" s="48"/>
      <c r="P102" s="49" t="s">
        <v>221</v>
      </c>
      <c r="Q102" s="49"/>
      <c r="R102" s="48"/>
      <c r="S102" s="48"/>
      <c r="T102" s="48"/>
      <c r="U102" s="48"/>
      <c r="V102" s="48"/>
      <c r="W102" s="56"/>
      <c r="X102" s="48"/>
      <c r="Y102" s="48"/>
      <c r="Z102" s="48"/>
      <c r="AA102" s="48"/>
      <c r="AB102" s="48"/>
      <c r="AC102" s="48"/>
      <c r="AD102" s="48"/>
      <c r="AE102" s="57" t="b">
        <v>1</v>
      </c>
      <c r="AF102" s="48"/>
    </row>
    <row r="103" ht="15.75" customHeight="1">
      <c r="A103" s="48" t="s">
        <v>451</v>
      </c>
      <c r="B103" s="49" t="s">
        <v>263</v>
      </c>
      <c r="C103" s="50">
        <v>0.4583333333333333</v>
      </c>
      <c r="D103" s="51"/>
      <c r="E103" s="51"/>
      <c r="F103" s="48" t="s">
        <v>452</v>
      </c>
      <c r="G103" s="52">
        <v>0.7</v>
      </c>
      <c r="H103" s="49" t="s">
        <v>219</v>
      </c>
      <c r="I103" s="53" t="s">
        <v>220</v>
      </c>
      <c r="J103" s="49" t="s">
        <v>121</v>
      </c>
      <c r="K103" s="49"/>
      <c r="L103" s="59"/>
      <c r="M103" s="55"/>
      <c r="N103" s="55"/>
      <c r="O103" s="48"/>
      <c r="P103" s="49" t="s">
        <v>221</v>
      </c>
      <c r="Q103" s="49"/>
      <c r="R103" s="48"/>
      <c r="S103" s="48"/>
      <c r="T103" s="48"/>
      <c r="U103" s="48"/>
      <c r="V103" s="48"/>
      <c r="W103" s="60"/>
      <c r="X103" s="48"/>
      <c r="Y103" s="48"/>
      <c r="Z103" s="48"/>
      <c r="AA103" s="48"/>
      <c r="AB103" s="48"/>
      <c r="AC103" s="48"/>
      <c r="AD103" s="48"/>
      <c r="AE103" s="57" t="b">
        <v>1</v>
      </c>
      <c r="AF103" s="48"/>
    </row>
    <row r="104" ht="15.75" customHeight="1">
      <c r="A104" s="48" t="s">
        <v>453</v>
      </c>
      <c r="B104" s="49" t="s">
        <v>232</v>
      </c>
      <c r="C104" s="50">
        <v>0.4583333333333333</v>
      </c>
      <c r="D104" s="51"/>
      <c r="E104" s="51"/>
      <c r="F104" s="48" t="s">
        <v>454</v>
      </c>
      <c r="G104" s="52">
        <v>5.7</v>
      </c>
      <c r="H104" s="49" t="s">
        <v>219</v>
      </c>
      <c r="I104" s="53" t="s">
        <v>220</v>
      </c>
      <c r="J104" s="49" t="s">
        <v>121</v>
      </c>
      <c r="K104" s="49"/>
      <c r="L104" s="54"/>
      <c r="M104" s="55"/>
      <c r="N104" s="55"/>
      <c r="O104" s="48"/>
      <c r="P104" s="49" t="s">
        <v>221</v>
      </c>
      <c r="Q104" s="49"/>
      <c r="R104" s="48"/>
      <c r="S104" s="48"/>
      <c r="T104" s="48"/>
      <c r="U104" s="48"/>
      <c r="V104" s="48"/>
      <c r="W104" s="56"/>
      <c r="X104" s="48"/>
      <c r="Y104" s="48"/>
      <c r="Z104" s="48"/>
      <c r="AA104" s="48"/>
      <c r="AB104" s="48"/>
      <c r="AC104" s="48"/>
      <c r="AD104" s="48"/>
      <c r="AE104" s="57" t="b">
        <v>1</v>
      </c>
      <c r="AF104" s="48"/>
    </row>
    <row r="105" ht="15.75" customHeight="1">
      <c r="A105" s="48" t="s">
        <v>455</v>
      </c>
      <c r="B105" s="49" t="s">
        <v>226</v>
      </c>
      <c r="C105" s="50">
        <v>0.4583333333333333</v>
      </c>
      <c r="D105" s="51"/>
      <c r="E105" s="51"/>
      <c r="F105" s="48" t="s">
        <v>456</v>
      </c>
      <c r="G105" s="52">
        <v>1.0</v>
      </c>
      <c r="H105" s="49" t="s">
        <v>219</v>
      </c>
      <c r="I105" s="53" t="s">
        <v>220</v>
      </c>
      <c r="J105" s="49" t="s">
        <v>121</v>
      </c>
      <c r="K105" s="49"/>
      <c r="L105" s="59"/>
      <c r="M105" s="55"/>
      <c r="N105" s="55"/>
      <c r="O105" s="48"/>
      <c r="P105" s="49" t="s">
        <v>221</v>
      </c>
      <c r="Q105" s="49"/>
      <c r="R105" s="48"/>
      <c r="S105" s="48"/>
      <c r="T105" s="48"/>
      <c r="U105" s="48"/>
      <c r="V105" s="48"/>
      <c r="W105" s="60"/>
      <c r="X105" s="48"/>
      <c r="Y105" s="48"/>
      <c r="Z105" s="48"/>
      <c r="AA105" s="48"/>
      <c r="AB105" s="48"/>
      <c r="AC105" s="48"/>
      <c r="AD105" s="48"/>
      <c r="AE105" s="57" t="b">
        <v>1</v>
      </c>
      <c r="AF105" s="48"/>
    </row>
    <row r="106" ht="15.75" customHeight="1">
      <c r="A106" s="48" t="s">
        <v>457</v>
      </c>
      <c r="B106" s="49" t="s">
        <v>217</v>
      </c>
      <c r="C106" s="50">
        <v>0.4583333333333333</v>
      </c>
      <c r="D106" s="51"/>
      <c r="E106" s="51"/>
      <c r="F106" s="48" t="s">
        <v>458</v>
      </c>
      <c r="G106" s="52">
        <v>0.5</v>
      </c>
      <c r="H106" s="49" t="s">
        <v>219</v>
      </c>
      <c r="I106" s="53" t="s">
        <v>220</v>
      </c>
      <c r="J106" s="49" t="s">
        <v>121</v>
      </c>
      <c r="K106" s="49"/>
      <c r="L106" s="54"/>
      <c r="M106" s="55"/>
      <c r="N106" s="55"/>
      <c r="O106" s="48"/>
      <c r="P106" s="49" t="s">
        <v>221</v>
      </c>
      <c r="Q106" s="49"/>
      <c r="R106" s="48"/>
      <c r="S106" s="48"/>
      <c r="T106" s="48"/>
      <c r="U106" s="48"/>
      <c r="V106" s="48"/>
      <c r="W106" s="56"/>
      <c r="X106" s="48"/>
      <c r="Y106" s="48"/>
      <c r="Z106" s="48"/>
      <c r="AA106" s="48"/>
      <c r="AB106" s="48"/>
      <c r="AC106" s="48"/>
      <c r="AD106" s="48"/>
      <c r="AE106" s="57" t="b">
        <v>1</v>
      </c>
      <c r="AF106" s="48"/>
    </row>
    <row r="107" ht="15.75" customHeight="1">
      <c r="A107" s="48" t="s">
        <v>459</v>
      </c>
      <c r="B107" s="49" t="s">
        <v>232</v>
      </c>
      <c r="C107" s="50">
        <v>0.4583333333333333</v>
      </c>
      <c r="D107" s="51"/>
      <c r="E107" s="51"/>
      <c r="F107" s="48" t="s">
        <v>460</v>
      </c>
      <c r="G107" s="52">
        <v>0.5</v>
      </c>
      <c r="H107" s="49" t="s">
        <v>219</v>
      </c>
      <c r="I107" s="53" t="s">
        <v>220</v>
      </c>
      <c r="J107" s="49" t="s">
        <v>121</v>
      </c>
      <c r="K107" s="49"/>
      <c r="L107" s="59"/>
      <c r="M107" s="55"/>
      <c r="N107" s="55"/>
      <c r="O107" s="48"/>
      <c r="P107" s="49" t="s">
        <v>221</v>
      </c>
      <c r="Q107" s="49"/>
      <c r="R107" s="48"/>
      <c r="S107" s="48"/>
      <c r="T107" s="48"/>
      <c r="U107" s="48"/>
      <c r="V107" s="48"/>
      <c r="W107" s="60"/>
      <c r="X107" s="48"/>
      <c r="Y107" s="48"/>
      <c r="Z107" s="48"/>
      <c r="AA107" s="48"/>
      <c r="AB107" s="48"/>
      <c r="AC107" s="48"/>
      <c r="AD107" s="48"/>
      <c r="AE107" s="57" t="b">
        <v>1</v>
      </c>
      <c r="AF107" s="48"/>
    </row>
    <row r="108" ht="15.75" customHeight="1">
      <c r="A108" s="48" t="s">
        <v>461</v>
      </c>
      <c r="B108" s="49" t="s">
        <v>271</v>
      </c>
      <c r="C108" s="50">
        <v>0.4583333333333333</v>
      </c>
      <c r="D108" s="51"/>
      <c r="E108" s="51"/>
      <c r="F108" s="48" t="s">
        <v>462</v>
      </c>
      <c r="G108" s="52">
        <v>1.1</v>
      </c>
      <c r="H108" s="49" t="s">
        <v>219</v>
      </c>
      <c r="I108" s="53" t="s">
        <v>220</v>
      </c>
      <c r="J108" s="49" t="s">
        <v>121</v>
      </c>
      <c r="K108" s="49"/>
      <c r="L108" s="54"/>
      <c r="M108" s="55"/>
      <c r="N108" s="55"/>
      <c r="O108" s="48"/>
      <c r="P108" s="49" t="s">
        <v>221</v>
      </c>
      <c r="Q108" s="49"/>
      <c r="R108" s="48"/>
      <c r="S108" s="48"/>
      <c r="T108" s="48"/>
      <c r="U108" s="48"/>
      <c r="V108" s="48"/>
      <c r="W108" s="56"/>
      <c r="X108" s="48"/>
      <c r="Y108" s="48"/>
      <c r="Z108" s="48"/>
      <c r="AA108" s="48"/>
      <c r="AB108" s="48"/>
      <c r="AC108" s="48"/>
      <c r="AD108" s="48"/>
      <c r="AE108" s="57" t="b">
        <v>1</v>
      </c>
      <c r="AF108" s="48"/>
    </row>
    <row r="109" ht="15.75" customHeight="1">
      <c r="A109" s="48" t="s">
        <v>463</v>
      </c>
      <c r="B109" s="49" t="s">
        <v>276</v>
      </c>
      <c r="C109" s="50">
        <v>0.5</v>
      </c>
      <c r="D109" s="51"/>
      <c r="E109" s="51"/>
      <c r="F109" s="48" t="s">
        <v>464</v>
      </c>
      <c r="G109" s="52">
        <v>1.6</v>
      </c>
      <c r="H109" s="49" t="s">
        <v>219</v>
      </c>
      <c r="I109" s="53" t="s">
        <v>320</v>
      </c>
      <c r="J109" s="49" t="s">
        <v>121</v>
      </c>
      <c r="K109" s="49"/>
      <c r="L109" s="59"/>
      <c r="M109" s="55"/>
      <c r="N109" s="55"/>
      <c r="O109" s="48"/>
      <c r="P109" s="49" t="s">
        <v>229</v>
      </c>
      <c r="Q109" s="49" t="s">
        <v>230</v>
      </c>
      <c r="R109" s="48"/>
      <c r="S109" s="48"/>
      <c r="T109" s="48"/>
      <c r="U109" s="48"/>
      <c r="V109" s="48"/>
      <c r="W109" s="60"/>
      <c r="X109" s="48"/>
      <c r="Y109" s="48"/>
      <c r="Z109" s="48"/>
      <c r="AA109" s="48"/>
      <c r="AB109" s="48"/>
      <c r="AC109" s="48"/>
      <c r="AD109" s="48"/>
      <c r="AE109" s="57" t="b">
        <v>1</v>
      </c>
      <c r="AF109" s="48"/>
    </row>
    <row r="110" ht="15.75" customHeight="1">
      <c r="A110" s="48" t="s">
        <v>465</v>
      </c>
      <c r="B110" s="49" t="s">
        <v>276</v>
      </c>
      <c r="C110" s="50">
        <v>0.5</v>
      </c>
      <c r="D110" s="51"/>
      <c r="E110" s="51"/>
      <c r="F110" s="48" t="s">
        <v>466</v>
      </c>
      <c r="G110" s="52">
        <v>0.5</v>
      </c>
      <c r="H110" s="49" t="s">
        <v>219</v>
      </c>
      <c r="I110" s="53" t="s">
        <v>320</v>
      </c>
      <c r="J110" s="49" t="s">
        <v>121</v>
      </c>
      <c r="K110" s="49"/>
      <c r="L110" s="54"/>
      <c r="M110" s="55"/>
      <c r="N110" s="55"/>
      <c r="O110" s="48"/>
      <c r="P110" s="49" t="s">
        <v>229</v>
      </c>
      <c r="Q110" s="49" t="s">
        <v>230</v>
      </c>
      <c r="R110" s="48"/>
      <c r="S110" s="48"/>
      <c r="T110" s="48"/>
      <c r="U110" s="48"/>
      <c r="V110" s="48"/>
      <c r="W110" s="56"/>
      <c r="X110" s="48"/>
      <c r="Y110" s="48"/>
      <c r="Z110" s="48"/>
      <c r="AA110" s="48"/>
      <c r="AB110" s="48"/>
      <c r="AC110" s="48"/>
      <c r="AD110" s="48"/>
      <c r="AE110" s="57" t="b">
        <v>1</v>
      </c>
      <c r="AF110" s="48"/>
    </row>
    <row r="111" ht="15.75" customHeight="1">
      <c r="A111" s="48" t="s">
        <v>467</v>
      </c>
      <c r="B111" s="49" t="s">
        <v>263</v>
      </c>
      <c r="C111" s="50">
        <v>0.5</v>
      </c>
      <c r="D111" s="51"/>
      <c r="E111" s="51"/>
      <c r="F111" s="48" t="s">
        <v>468</v>
      </c>
      <c r="G111" s="52">
        <v>1.4</v>
      </c>
      <c r="H111" s="49" t="s">
        <v>219</v>
      </c>
      <c r="I111" s="53" t="s">
        <v>320</v>
      </c>
      <c r="J111" s="49" t="s">
        <v>121</v>
      </c>
      <c r="K111" s="49"/>
      <c r="L111" s="59"/>
      <c r="M111" s="55"/>
      <c r="N111" s="55"/>
      <c r="O111" s="48"/>
      <c r="P111" s="49" t="s">
        <v>229</v>
      </c>
      <c r="Q111" s="49" t="s">
        <v>230</v>
      </c>
      <c r="R111" s="48"/>
      <c r="S111" s="48"/>
      <c r="T111" s="48"/>
      <c r="U111" s="48"/>
      <c r="V111" s="48"/>
      <c r="W111" s="60"/>
      <c r="X111" s="48"/>
      <c r="Y111" s="48"/>
      <c r="Z111" s="48"/>
      <c r="AA111" s="48"/>
      <c r="AB111" s="48"/>
      <c r="AC111" s="48"/>
      <c r="AD111" s="48"/>
      <c r="AE111" s="57" t="b">
        <v>1</v>
      </c>
      <c r="AF111" s="48"/>
    </row>
    <row r="112" ht="15.75" customHeight="1">
      <c r="A112" s="48" t="s">
        <v>469</v>
      </c>
      <c r="B112" s="49" t="s">
        <v>259</v>
      </c>
      <c r="C112" s="50">
        <v>0.5</v>
      </c>
      <c r="D112" s="51"/>
      <c r="E112" s="51"/>
      <c r="F112" s="48" t="s">
        <v>470</v>
      </c>
      <c r="G112" s="52">
        <v>0.5</v>
      </c>
      <c r="H112" s="49" t="s">
        <v>219</v>
      </c>
      <c r="I112" s="53" t="s">
        <v>228</v>
      </c>
      <c r="J112" s="49" t="s">
        <v>121</v>
      </c>
      <c r="K112" s="49"/>
      <c r="L112" s="54"/>
      <c r="M112" s="55"/>
      <c r="N112" s="55"/>
      <c r="O112" s="48"/>
      <c r="P112" s="49" t="s">
        <v>229</v>
      </c>
      <c r="Q112" s="49" t="s">
        <v>230</v>
      </c>
      <c r="R112" s="48"/>
      <c r="S112" s="48"/>
      <c r="T112" s="48"/>
      <c r="U112" s="48"/>
      <c r="V112" s="48"/>
      <c r="W112" s="56"/>
      <c r="X112" s="48"/>
      <c r="Y112" s="48"/>
      <c r="Z112" s="48"/>
      <c r="AA112" s="48"/>
      <c r="AB112" s="48"/>
      <c r="AC112" s="48"/>
      <c r="AD112" s="48"/>
      <c r="AE112" s="57" t="b">
        <v>1</v>
      </c>
      <c r="AF112" s="48"/>
    </row>
    <row r="113" ht="15.75" customHeight="1">
      <c r="A113" s="48" t="s">
        <v>471</v>
      </c>
      <c r="B113" s="49" t="s">
        <v>271</v>
      </c>
      <c r="C113" s="50">
        <v>0.5</v>
      </c>
      <c r="D113" s="51"/>
      <c r="E113" s="51"/>
      <c r="F113" s="48" t="s">
        <v>472</v>
      </c>
      <c r="G113" s="52">
        <v>0.3</v>
      </c>
      <c r="H113" s="49" t="s">
        <v>219</v>
      </c>
      <c r="I113" s="53" t="s">
        <v>228</v>
      </c>
      <c r="J113" s="49" t="s">
        <v>121</v>
      </c>
      <c r="K113" s="49"/>
      <c r="L113" s="59"/>
      <c r="M113" s="55"/>
      <c r="N113" s="55"/>
      <c r="O113" s="48"/>
      <c r="P113" s="49" t="s">
        <v>229</v>
      </c>
      <c r="Q113" s="49" t="s">
        <v>230</v>
      </c>
      <c r="R113" s="48"/>
      <c r="S113" s="48"/>
      <c r="T113" s="48"/>
      <c r="U113" s="48"/>
      <c r="V113" s="48"/>
      <c r="W113" s="60"/>
      <c r="X113" s="48"/>
      <c r="Y113" s="48"/>
      <c r="Z113" s="48"/>
      <c r="AA113" s="48"/>
      <c r="AB113" s="48"/>
      <c r="AC113" s="48"/>
      <c r="AD113" s="48"/>
      <c r="AE113" s="57" t="b">
        <v>1</v>
      </c>
      <c r="AF113" s="48"/>
    </row>
    <row r="114" ht="15.75" customHeight="1">
      <c r="A114" s="48" t="s">
        <v>473</v>
      </c>
      <c r="B114" s="49" t="s">
        <v>263</v>
      </c>
      <c r="C114" s="50">
        <v>0.5</v>
      </c>
      <c r="D114" s="51"/>
      <c r="E114" s="51"/>
      <c r="F114" s="48" t="s">
        <v>474</v>
      </c>
      <c r="G114" s="52">
        <v>2.3</v>
      </c>
      <c r="H114" s="49" t="s">
        <v>219</v>
      </c>
      <c r="I114" s="53" t="s">
        <v>234</v>
      </c>
      <c r="J114" s="49" t="s">
        <v>121</v>
      </c>
      <c r="K114" s="49"/>
      <c r="L114" s="54"/>
      <c r="M114" s="55"/>
      <c r="N114" s="55"/>
      <c r="O114" s="48"/>
      <c r="P114" s="49" t="s">
        <v>230</v>
      </c>
      <c r="Q114" s="49" t="s">
        <v>229</v>
      </c>
      <c r="R114" s="48"/>
      <c r="S114" s="48"/>
      <c r="T114" s="48"/>
      <c r="U114" s="48"/>
      <c r="V114" s="48"/>
      <c r="W114" s="56"/>
      <c r="X114" s="48"/>
      <c r="Y114" s="48"/>
      <c r="Z114" s="48"/>
      <c r="AA114" s="48"/>
      <c r="AB114" s="48"/>
      <c r="AC114" s="48"/>
      <c r="AD114" s="48"/>
      <c r="AE114" s="57" t="b">
        <v>1</v>
      </c>
      <c r="AF114" s="48"/>
    </row>
    <row r="115" ht="15.75" customHeight="1">
      <c r="A115" s="48" t="s">
        <v>475</v>
      </c>
      <c r="B115" s="49" t="s">
        <v>217</v>
      </c>
      <c r="C115" s="50">
        <v>0.5</v>
      </c>
      <c r="D115" s="51">
        <v>46129.0</v>
      </c>
      <c r="E115" s="51"/>
      <c r="F115" s="48" t="s">
        <v>476</v>
      </c>
      <c r="G115" s="52"/>
      <c r="H115" s="49" t="s">
        <v>477</v>
      </c>
      <c r="I115" s="53" t="s">
        <v>220</v>
      </c>
      <c r="J115" s="49" t="s">
        <v>123</v>
      </c>
      <c r="K115" s="49" t="s">
        <v>478</v>
      </c>
      <c r="L115" s="59"/>
      <c r="M115" s="55"/>
      <c r="N115" s="55"/>
      <c r="O115" s="48"/>
      <c r="P115" s="49"/>
      <c r="Q115" s="49"/>
      <c r="R115" s="48"/>
      <c r="S115" s="48"/>
      <c r="T115" s="48"/>
      <c r="U115" s="48"/>
      <c r="V115" s="48"/>
      <c r="W115" s="60"/>
      <c r="X115" s="48"/>
      <c r="Y115" s="48"/>
      <c r="Z115" s="48"/>
      <c r="AA115" s="48"/>
      <c r="AB115" s="48"/>
      <c r="AC115" s="48"/>
      <c r="AD115" s="48"/>
      <c r="AE115" s="62" t="b">
        <v>0</v>
      </c>
      <c r="AF115" s="48"/>
    </row>
    <row r="116" ht="15.75" customHeight="1">
      <c r="A116" s="48" t="s">
        <v>479</v>
      </c>
      <c r="B116" s="49" t="s">
        <v>232</v>
      </c>
      <c r="C116" s="50">
        <v>0.5</v>
      </c>
      <c r="D116" s="51">
        <v>46129.0</v>
      </c>
      <c r="E116" s="51"/>
      <c r="F116" s="48" t="s">
        <v>476</v>
      </c>
      <c r="G116" s="52"/>
      <c r="H116" s="49" t="s">
        <v>477</v>
      </c>
      <c r="I116" s="53" t="s">
        <v>220</v>
      </c>
      <c r="J116" s="49" t="s">
        <v>123</v>
      </c>
      <c r="K116" s="49" t="s">
        <v>478</v>
      </c>
      <c r="L116" s="54"/>
      <c r="M116" s="55"/>
      <c r="N116" s="55"/>
      <c r="O116" s="48"/>
      <c r="P116" s="49"/>
      <c r="Q116" s="49"/>
      <c r="R116" s="48"/>
      <c r="S116" s="48"/>
      <c r="T116" s="48"/>
      <c r="U116" s="48"/>
      <c r="V116" s="48"/>
      <c r="W116" s="56"/>
      <c r="X116" s="48"/>
      <c r="Y116" s="48"/>
      <c r="Z116" s="48"/>
      <c r="AA116" s="48"/>
      <c r="AB116" s="48"/>
      <c r="AC116" s="48"/>
      <c r="AD116" s="48"/>
      <c r="AE116" s="62" t="b">
        <v>0</v>
      </c>
      <c r="AF116" s="48"/>
    </row>
    <row r="117" ht="15.75" customHeight="1">
      <c r="A117" s="48" t="s">
        <v>480</v>
      </c>
      <c r="B117" s="49" t="s">
        <v>259</v>
      </c>
      <c r="C117" s="50">
        <v>0.5</v>
      </c>
      <c r="D117" s="51"/>
      <c r="E117" s="51"/>
      <c r="F117" s="48" t="s">
        <v>481</v>
      </c>
      <c r="G117" s="52">
        <v>0.2</v>
      </c>
      <c r="H117" s="49" t="s">
        <v>219</v>
      </c>
      <c r="I117" s="53" t="s">
        <v>220</v>
      </c>
      <c r="J117" s="49" t="s">
        <v>117</v>
      </c>
      <c r="K117" s="49"/>
      <c r="L117" s="59"/>
      <c r="M117" s="55"/>
      <c r="N117" s="55"/>
      <c r="O117" s="48"/>
      <c r="P117" s="49" t="s">
        <v>221</v>
      </c>
      <c r="Q117" s="49"/>
      <c r="R117" s="48"/>
      <c r="S117" s="48"/>
      <c r="T117" s="48"/>
      <c r="U117" s="48"/>
      <c r="V117" s="48"/>
      <c r="W117" s="60"/>
      <c r="X117" s="48"/>
      <c r="Y117" s="48"/>
      <c r="Z117" s="48"/>
      <c r="AA117" s="48"/>
      <c r="AB117" s="48"/>
      <c r="AC117" s="48"/>
      <c r="AD117" s="48"/>
      <c r="AE117" s="57" t="b">
        <v>1</v>
      </c>
      <c r="AF117" s="48"/>
    </row>
    <row r="118" ht="15.75" customHeight="1">
      <c r="A118" s="48" t="s">
        <v>482</v>
      </c>
      <c r="B118" s="49" t="s">
        <v>271</v>
      </c>
      <c r="C118" s="50">
        <v>0.5</v>
      </c>
      <c r="D118" s="51"/>
      <c r="E118" s="51"/>
      <c r="F118" s="48" t="s">
        <v>483</v>
      </c>
      <c r="G118" s="52">
        <v>0.2</v>
      </c>
      <c r="H118" s="49" t="s">
        <v>219</v>
      </c>
      <c r="I118" s="53" t="s">
        <v>220</v>
      </c>
      <c r="J118" s="49" t="s">
        <v>122</v>
      </c>
      <c r="K118" s="49"/>
      <c r="L118" s="54"/>
      <c r="M118" s="55"/>
      <c r="N118" s="55"/>
      <c r="O118" s="48"/>
      <c r="P118" s="49" t="s">
        <v>221</v>
      </c>
      <c r="Q118" s="49"/>
      <c r="R118" s="48"/>
      <c r="S118" s="48"/>
      <c r="T118" s="48"/>
      <c r="U118" s="48"/>
      <c r="V118" s="48"/>
      <c r="W118" s="56"/>
      <c r="X118" s="48"/>
      <c r="Y118" s="48"/>
      <c r="Z118" s="48"/>
      <c r="AA118" s="48">
        <v>24876.0</v>
      </c>
      <c r="AB118" s="61" t="s">
        <v>484</v>
      </c>
      <c r="AC118" s="48">
        <v>92.0</v>
      </c>
      <c r="AD118" s="48"/>
      <c r="AE118" s="57" t="b">
        <v>1</v>
      </c>
      <c r="AF118" s="48"/>
    </row>
    <row r="119" ht="15.75" customHeight="1">
      <c r="A119" s="48" t="s">
        <v>485</v>
      </c>
      <c r="B119" s="49" t="s">
        <v>271</v>
      </c>
      <c r="C119" s="50">
        <v>0.5</v>
      </c>
      <c r="D119" s="51"/>
      <c r="E119" s="51"/>
      <c r="F119" s="48" t="s">
        <v>486</v>
      </c>
      <c r="G119" s="52">
        <v>0.3</v>
      </c>
      <c r="H119" s="49" t="s">
        <v>219</v>
      </c>
      <c r="I119" s="53" t="s">
        <v>220</v>
      </c>
      <c r="J119" s="49" t="s">
        <v>122</v>
      </c>
      <c r="K119" s="49"/>
      <c r="L119" s="59"/>
      <c r="M119" s="55"/>
      <c r="N119" s="55"/>
      <c r="O119" s="48"/>
      <c r="P119" s="49" t="s">
        <v>221</v>
      </c>
      <c r="Q119" s="49"/>
      <c r="R119" s="48"/>
      <c r="S119" s="48"/>
      <c r="T119" s="48"/>
      <c r="U119" s="48"/>
      <c r="V119" s="48"/>
      <c r="W119" s="60"/>
      <c r="X119" s="48"/>
      <c r="Y119" s="48"/>
      <c r="Z119" s="48"/>
      <c r="AA119" s="48">
        <v>24356.0</v>
      </c>
      <c r="AB119" s="61" t="s">
        <v>487</v>
      </c>
      <c r="AC119" s="48">
        <v>101.0</v>
      </c>
      <c r="AD119" s="48"/>
      <c r="AE119" s="57" t="b">
        <v>1</v>
      </c>
      <c r="AF119" s="48"/>
    </row>
    <row r="120" ht="15.75" customHeight="1">
      <c r="A120" s="48" t="s">
        <v>488</v>
      </c>
      <c r="B120" s="49" t="s">
        <v>271</v>
      </c>
      <c r="C120" s="50">
        <v>0.5</v>
      </c>
      <c r="D120" s="51"/>
      <c r="E120" s="51"/>
      <c r="F120" s="48" t="s">
        <v>489</v>
      </c>
      <c r="G120" s="52">
        <v>2.5</v>
      </c>
      <c r="H120" s="49" t="s">
        <v>219</v>
      </c>
      <c r="I120" s="53" t="s">
        <v>220</v>
      </c>
      <c r="J120" s="49" t="s">
        <v>122</v>
      </c>
      <c r="K120" s="49"/>
      <c r="L120" s="54"/>
      <c r="M120" s="55"/>
      <c r="N120" s="55"/>
      <c r="O120" s="48"/>
      <c r="P120" s="49" t="s">
        <v>221</v>
      </c>
      <c r="Q120" s="49"/>
      <c r="R120" s="48"/>
      <c r="S120" s="48"/>
      <c r="T120" s="48"/>
      <c r="U120" s="48"/>
      <c r="V120" s="48"/>
      <c r="W120" s="56"/>
      <c r="X120" s="48"/>
      <c r="Y120" s="48"/>
      <c r="Z120" s="48"/>
      <c r="AA120" s="48">
        <v>24336.0</v>
      </c>
      <c r="AB120" s="61" t="s">
        <v>490</v>
      </c>
      <c r="AC120" s="48">
        <v>177.0</v>
      </c>
      <c r="AD120" s="48"/>
      <c r="AE120" s="57" t="b">
        <v>1</v>
      </c>
      <c r="AF120" s="48"/>
    </row>
    <row r="121" ht="15.75" customHeight="1">
      <c r="A121" s="48" t="s">
        <v>491</v>
      </c>
      <c r="B121" s="49" t="s">
        <v>271</v>
      </c>
      <c r="C121" s="50">
        <v>0.5</v>
      </c>
      <c r="D121" s="51"/>
      <c r="E121" s="51"/>
      <c r="F121" s="48" t="s">
        <v>492</v>
      </c>
      <c r="G121" s="52">
        <v>0.3</v>
      </c>
      <c r="H121" s="49" t="s">
        <v>219</v>
      </c>
      <c r="I121" s="53" t="s">
        <v>220</v>
      </c>
      <c r="J121" s="49" t="s">
        <v>122</v>
      </c>
      <c r="K121" s="49"/>
      <c r="L121" s="59"/>
      <c r="M121" s="55"/>
      <c r="N121" s="55"/>
      <c r="O121" s="48"/>
      <c r="P121" s="49" t="s">
        <v>221</v>
      </c>
      <c r="Q121" s="49"/>
      <c r="R121" s="48"/>
      <c r="S121" s="48"/>
      <c r="T121" s="48"/>
      <c r="U121" s="48"/>
      <c r="V121" s="48"/>
      <c r="W121" s="60"/>
      <c r="X121" s="48"/>
      <c r="Y121" s="48"/>
      <c r="Z121" s="48"/>
      <c r="AA121" s="48">
        <v>24358.0</v>
      </c>
      <c r="AB121" s="61" t="s">
        <v>493</v>
      </c>
      <c r="AC121" s="48">
        <v>109.0</v>
      </c>
      <c r="AD121" s="48"/>
      <c r="AE121" s="57" t="b">
        <v>1</v>
      </c>
      <c r="AF121" s="48"/>
    </row>
    <row r="122" ht="15.75" customHeight="1">
      <c r="A122" s="48" t="s">
        <v>494</v>
      </c>
      <c r="B122" s="49" t="s">
        <v>226</v>
      </c>
      <c r="C122" s="50">
        <v>0.5</v>
      </c>
      <c r="D122" s="51"/>
      <c r="E122" s="51"/>
      <c r="F122" s="48" t="s">
        <v>495</v>
      </c>
      <c r="G122" s="52">
        <v>10.0</v>
      </c>
      <c r="H122" s="49" t="s">
        <v>219</v>
      </c>
      <c r="I122" s="53" t="s">
        <v>220</v>
      </c>
      <c r="J122" s="49" t="s">
        <v>121</v>
      </c>
      <c r="K122" s="49" t="s">
        <v>273</v>
      </c>
      <c r="L122" s="54"/>
      <c r="M122" s="55"/>
      <c r="N122" s="61" t="s">
        <v>496</v>
      </c>
      <c r="O122" s="48"/>
      <c r="P122" s="49" t="s">
        <v>240</v>
      </c>
      <c r="Q122" s="49" t="s">
        <v>265</v>
      </c>
      <c r="R122" s="48"/>
      <c r="S122" s="48"/>
      <c r="T122" s="48"/>
      <c r="U122" s="48"/>
      <c r="V122" s="48"/>
      <c r="W122" s="56"/>
      <c r="X122" s="48"/>
      <c r="Y122" s="48"/>
      <c r="Z122" s="48"/>
      <c r="AA122" s="48"/>
      <c r="AB122" s="48"/>
      <c r="AC122" s="48"/>
      <c r="AD122" s="48"/>
      <c r="AE122" s="57" t="b">
        <v>1</v>
      </c>
      <c r="AF122" s="48"/>
    </row>
    <row r="123" ht="15.75" customHeight="1">
      <c r="A123" s="48" t="s">
        <v>497</v>
      </c>
      <c r="B123" s="49" t="s">
        <v>217</v>
      </c>
      <c r="C123" s="50">
        <v>0.5</v>
      </c>
      <c r="D123" s="51"/>
      <c r="E123" s="51"/>
      <c r="F123" s="48" t="s">
        <v>498</v>
      </c>
      <c r="G123" s="52">
        <v>5.0</v>
      </c>
      <c r="H123" s="49" t="s">
        <v>219</v>
      </c>
      <c r="I123" s="53" t="s">
        <v>220</v>
      </c>
      <c r="J123" s="49" t="s">
        <v>121</v>
      </c>
      <c r="K123" s="49" t="s">
        <v>273</v>
      </c>
      <c r="L123" s="59"/>
      <c r="M123" s="55"/>
      <c r="N123" s="61" t="s">
        <v>499</v>
      </c>
      <c r="O123" s="48"/>
      <c r="P123" s="49" t="s">
        <v>265</v>
      </c>
      <c r="Q123" s="49" t="s">
        <v>240</v>
      </c>
      <c r="R123" s="48"/>
      <c r="S123" s="48"/>
      <c r="T123" s="48"/>
      <c r="U123" s="48"/>
      <c r="V123" s="48"/>
      <c r="W123" s="60"/>
      <c r="X123" s="48"/>
      <c r="Y123" s="48"/>
      <c r="Z123" s="48"/>
      <c r="AA123" s="48"/>
      <c r="AB123" s="48"/>
      <c r="AC123" s="48"/>
      <c r="AD123" s="48"/>
      <c r="AE123" s="57" t="b">
        <v>1</v>
      </c>
      <c r="AF123" s="48"/>
    </row>
    <row r="124" ht="15.75" customHeight="1">
      <c r="A124" s="48" t="s">
        <v>500</v>
      </c>
      <c r="B124" s="49" t="s">
        <v>232</v>
      </c>
      <c r="C124" s="50">
        <v>0.5</v>
      </c>
      <c r="D124" s="51"/>
      <c r="E124" s="51"/>
      <c r="F124" s="48" t="s">
        <v>501</v>
      </c>
      <c r="G124" s="52">
        <v>5.0</v>
      </c>
      <c r="H124" s="49" t="s">
        <v>219</v>
      </c>
      <c r="I124" s="53" t="s">
        <v>220</v>
      </c>
      <c r="J124" s="49" t="s">
        <v>121</v>
      </c>
      <c r="K124" s="49" t="s">
        <v>273</v>
      </c>
      <c r="L124" s="54"/>
      <c r="M124" s="55"/>
      <c r="N124" s="61" t="s">
        <v>502</v>
      </c>
      <c r="O124" s="48"/>
      <c r="P124" s="49" t="s">
        <v>265</v>
      </c>
      <c r="Q124" s="49" t="s">
        <v>240</v>
      </c>
      <c r="R124" s="48"/>
      <c r="S124" s="48"/>
      <c r="T124" s="48"/>
      <c r="U124" s="48"/>
      <c r="V124" s="48"/>
      <c r="W124" s="56"/>
      <c r="X124" s="48"/>
      <c r="Y124" s="48"/>
      <c r="Z124" s="48"/>
      <c r="AA124" s="48"/>
      <c r="AB124" s="48"/>
      <c r="AC124" s="48"/>
      <c r="AD124" s="48"/>
      <c r="AE124" s="57" t="b">
        <v>1</v>
      </c>
      <c r="AF124" s="48"/>
    </row>
    <row r="125" ht="15.75" customHeight="1">
      <c r="A125" s="48" t="s">
        <v>503</v>
      </c>
      <c r="B125" s="49" t="s">
        <v>217</v>
      </c>
      <c r="C125" s="50">
        <v>0.5</v>
      </c>
      <c r="D125" s="51"/>
      <c r="E125" s="51"/>
      <c r="F125" s="48" t="s">
        <v>504</v>
      </c>
      <c r="G125" s="52">
        <v>2.9</v>
      </c>
      <c r="H125" s="49" t="s">
        <v>219</v>
      </c>
      <c r="I125" s="53" t="s">
        <v>220</v>
      </c>
      <c r="J125" s="49" t="s">
        <v>121</v>
      </c>
      <c r="K125" s="49" t="s">
        <v>273</v>
      </c>
      <c r="L125" s="59"/>
      <c r="M125" s="55"/>
      <c r="N125" s="55"/>
      <c r="O125" s="48"/>
      <c r="P125" s="49" t="s">
        <v>265</v>
      </c>
      <c r="Q125" s="49" t="s">
        <v>240</v>
      </c>
      <c r="R125" s="48"/>
      <c r="S125" s="48"/>
      <c r="T125" s="48"/>
      <c r="U125" s="48"/>
      <c r="V125" s="48"/>
      <c r="W125" s="60"/>
      <c r="X125" s="48"/>
      <c r="Y125" s="48"/>
      <c r="Z125" s="48"/>
      <c r="AA125" s="48"/>
      <c r="AB125" s="48"/>
      <c r="AC125" s="48"/>
      <c r="AD125" s="48"/>
      <c r="AE125" s="57" t="b">
        <v>1</v>
      </c>
      <c r="AF125" s="48"/>
    </row>
    <row r="126" ht="15.75" customHeight="1">
      <c r="A126" s="48" t="s">
        <v>505</v>
      </c>
      <c r="B126" s="49" t="s">
        <v>232</v>
      </c>
      <c r="C126" s="50">
        <v>0.5</v>
      </c>
      <c r="D126" s="51"/>
      <c r="E126" s="51"/>
      <c r="F126" s="48" t="s">
        <v>506</v>
      </c>
      <c r="G126" s="52">
        <v>2.9</v>
      </c>
      <c r="H126" s="49" t="s">
        <v>219</v>
      </c>
      <c r="I126" s="53" t="s">
        <v>220</v>
      </c>
      <c r="J126" s="49" t="s">
        <v>121</v>
      </c>
      <c r="K126" s="49" t="s">
        <v>273</v>
      </c>
      <c r="L126" s="54"/>
      <c r="M126" s="55"/>
      <c r="N126" s="55"/>
      <c r="O126" s="48"/>
      <c r="P126" s="49" t="s">
        <v>265</v>
      </c>
      <c r="Q126" s="49" t="s">
        <v>240</v>
      </c>
      <c r="R126" s="48"/>
      <c r="S126" s="48"/>
      <c r="T126" s="48"/>
      <c r="U126" s="48"/>
      <c r="V126" s="48"/>
      <c r="W126" s="56"/>
      <c r="X126" s="48"/>
      <c r="Y126" s="48"/>
      <c r="Z126" s="48"/>
      <c r="AA126" s="48"/>
      <c r="AB126" s="48"/>
      <c r="AC126" s="48"/>
      <c r="AD126" s="48"/>
      <c r="AE126" s="57" t="b">
        <v>1</v>
      </c>
      <c r="AF126" s="48"/>
    </row>
    <row r="127" ht="15.75" customHeight="1">
      <c r="A127" s="48" t="s">
        <v>507</v>
      </c>
      <c r="B127" s="49" t="s">
        <v>217</v>
      </c>
      <c r="C127" s="50">
        <v>0.5</v>
      </c>
      <c r="D127" s="51"/>
      <c r="E127" s="51"/>
      <c r="F127" s="48" t="s">
        <v>508</v>
      </c>
      <c r="G127" s="52">
        <v>1.0</v>
      </c>
      <c r="H127" s="49" t="s">
        <v>219</v>
      </c>
      <c r="I127" s="53" t="s">
        <v>220</v>
      </c>
      <c r="J127" s="49" t="s">
        <v>121</v>
      </c>
      <c r="K127" s="49" t="s">
        <v>273</v>
      </c>
      <c r="L127" s="59"/>
      <c r="M127" s="55"/>
      <c r="N127" s="55"/>
      <c r="O127" s="48"/>
      <c r="P127" s="49" t="s">
        <v>265</v>
      </c>
      <c r="Q127" s="49" t="s">
        <v>240</v>
      </c>
      <c r="R127" s="48"/>
      <c r="S127" s="48"/>
      <c r="T127" s="48"/>
      <c r="U127" s="48"/>
      <c r="V127" s="48"/>
      <c r="W127" s="60"/>
      <c r="X127" s="48"/>
      <c r="Y127" s="48"/>
      <c r="Z127" s="48"/>
      <c r="AA127" s="48"/>
      <c r="AB127" s="48"/>
      <c r="AC127" s="48"/>
      <c r="AD127" s="48"/>
      <c r="AE127" s="57" t="b">
        <v>1</v>
      </c>
      <c r="AF127" s="48"/>
    </row>
    <row r="128" ht="15.75" customHeight="1">
      <c r="A128" s="48" t="s">
        <v>509</v>
      </c>
      <c r="B128" s="49" t="s">
        <v>232</v>
      </c>
      <c r="C128" s="50">
        <v>0.5</v>
      </c>
      <c r="D128" s="51"/>
      <c r="E128" s="51"/>
      <c r="F128" s="48" t="s">
        <v>510</v>
      </c>
      <c r="G128" s="52">
        <v>1.0</v>
      </c>
      <c r="H128" s="49" t="s">
        <v>219</v>
      </c>
      <c r="I128" s="53" t="s">
        <v>220</v>
      </c>
      <c r="J128" s="49" t="s">
        <v>121</v>
      </c>
      <c r="K128" s="49" t="s">
        <v>273</v>
      </c>
      <c r="L128" s="54"/>
      <c r="M128" s="55"/>
      <c r="N128" s="55"/>
      <c r="O128" s="48"/>
      <c r="P128" s="49" t="s">
        <v>265</v>
      </c>
      <c r="Q128" s="49" t="s">
        <v>240</v>
      </c>
      <c r="R128" s="48"/>
      <c r="S128" s="48"/>
      <c r="T128" s="48"/>
      <c r="U128" s="48"/>
      <c r="V128" s="48"/>
      <c r="W128" s="56"/>
      <c r="X128" s="48"/>
      <c r="Y128" s="48"/>
      <c r="Z128" s="48"/>
      <c r="AA128" s="48"/>
      <c r="AB128" s="48"/>
      <c r="AC128" s="48"/>
      <c r="AD128" s="48"/>
      <c r="AE128" s="57" t="b">
        <v>1</v>
      </c>
      <c r="AF128" s="48"/>
    </row>
    <row r="129" ht="15.75" customHeight="1">
      <c r="A129" s="48" t="s">
        <v>511</v>
      </c>
      <c r="B129" s="49" t="s">
        <v>217</v>
      </c>
      <c r="C129" s="50">
        <v>0.5</v>
      </c>
      <c r="D129" s="51"/>
      <c r="E129" s="51"/>
      <c r="F129" s="48" t="s">
        <v>512</v>
      </c>
      <c r="G129" s="52">
        <v>0.8</v>
      </c>
      <c r="H129" s="49" t="s">
        <v>219</v>
      </c>
      <c r="I129" s="53" t="s">
        <v>220</v>
      </c>
      <c r="J129" s="49" t="s">
        <v>121</v>
      </c>
      <c r="K129" s="49" t="s">
        <v>273</v>
      </c>
      <c r="L129" s="59"/>
      <c r="M129" s="55"/>
      <c r="N129" s="55"/>
      <c r="O129" s="48"/>
      <c r="P129" s="49" t="s">
        <v>265</v>
      </c>
      <c r="Q129" s="49" t="s">
        <v>240</v>
      </c>
      <c r="R129" s="48"/>
      <c r="S129" s="48"/>
      <c r="T129" s="48"/>
      <c r="U129" s="48"/>
      <c r="V129" s="48"/>
      <c r="W129" s="60"/>
      <c r="X129" s="48"/>
      <c r="Y129" s="48"/>
      <c r="Z129" s="48"/>
      <c r="AA129" s="48"/>
      <c r="AB129" s="48"/>
      <c r="AC129" s="48"/>
      <c r="AD129" s="48"/>
      <c r="AE129" s="57" t="b">
        <v>1</v>
      </c>
      <c r="AF129" s="48"/>
    </row>
    <row r="130" ht="15.75" customHeight="1">
      <c r="A130" s="48" t="s">
        <v>513</v>
      </c>
      <c r="B130" s="49" t="s">
        <v>232</v>
      </c>
      <c r="C130" s="50">
        <v>0.5</v>
      </c>
      <c r="D130" s="51"/>
      <c r="E130" s="51"/>
      <c r="F130" s="48" t="s">
        <v>514</v>
      </c>
      <c r="G130" s="52">
        <v>0.8</v>
      </c>
      <c r="H130" s="49" t="s">
        <v>219</v>
      </c>
      <c r="I130" s="53" t="s">
        <v>220</v>
      </c>
      <c r="J130" s="49" t="s">
        <v>121</v>
      </c>
      <c r="K130" s="49" t="s">
        <v>273</v>
      </c>
      <c r="L130" s="54"/>
      <c r="M130" s="55"/>
      <c r="N130" s="55"/>
      <c r="O130" s="48"/>
      <c r="P130" s="49" t="s">
        <v>265</v>
      </c>
      <c r="Q130" s="49" t="s">
        <v>240</v>
      </c>
      <c r="R130" s="48"/>
      <c r="S130" s="48"/>
      <c r="T130" s="48"/>
      <c r="U130" s="48"/>
      <c r="V130" s="48"/>
      <c r="W130" s="56"/>
      <c r="X130" s="48"/>
      <c r="Y130" s="48"/>
      <c r="Z130" s="48"/>
      <c r="AA130" s="48"/>
      <c r="AB130" s="48"/>
      <c r="AC130" s="48"/>
      <c r="AD130" s="48"/>
      <c r="AE130" s="57" t="b">
        <v>1</v>
      </c>
      <c r="AF130" s="48"/>
    </row>
    <row r="131" ht="15.75" customHeight="1">
      <c r="A131" s="48" t="s">
        <v>515</v>
      </c>
      <c r="B131" s="49" t="s">
        <v>217</v>
      </c>
      <c r="C131" s="50">
        <v>0.5</v>
      </c>
      <c r="D131" s="51"/>
      <c r="E131" s="51"/>
      <c r="F131" s="48" t="s">
        <v>516</v>
      </c>
      <c r="G131" s="52">
        <v>0.7</v>
      </c>
      <c r="H131" s="49" t="s">
        <v>219</v>
      </c>
      <c r="I131" s="53" t="s">
        <v>220</v>
      </c>
      <c r="J131" s="49" t="s">
        <v>121</v>
      </c>
      <c r="K131" s="49" t="s">
        <v>273</v>
      </c>
      <c r="L131" s="59"/>
      <c r="M131" s="55"/>
      <c r="N131" s="55"/>
      <c r="O131" s="48"/>
      <c r="P131" s="49" t="s">
        <v>265</v>
      </c>
      <c r="Q131" s="49" t="s">
        <v>240</v>
      </c>
      <c r="R131" s="48"/>
      <c r="S131" s="48"/>
      <c r="T131" s="48"/>
      <c r="U131" s="48"/>
      <c r="V131" s="48"/>
      <c r="W131" s="60"/>
      <c r="X131" s="48"/>
      <c r="Y131" s="48"/>
      <c r="Z131" s="48"/>
      <c r="AA131" s="48"/>
      <c r="AB131" s="48"/>
      <c r="AC131" s="48"/>
      <c r="AD131" s="48"/>
      <c r="AE131" s="57" t="b">
        <v>1</v>
      </c>
      <c r="AF131" s="48"/>
    </row>
    <row r="132" ht="15.75" customHeight="1">
      <c r="A132" s="48" t="s">
        <v>517</v>
      </c>
      <c r="B132" s="49" t="s">
        <v>232</v>
      </c>
      <c r="C132" s="50">
        <v>0.5</v>
      </c>
      <c r="D132" s="51"/>
      <c r="E132" s="51"/>
      <c r="F132" s="48" t="s">
        <v>518</v>
      </c>
      <c r="G132" s="52">
        <v>0.7</v>
      </c>
      <c r="H132" s="49" t="s">
        <v>219</v>
      </c>
      <c r="I132" s="53" t="s">
        <v>220</v>
      </c>
      <c r="J132" s="49" t="s">
        <v>121</v>
      </c>
      <c r="K132" s="49" t="s">
        <v>273</v>
      </c>
      <c r="L132" s="54"/>
      <c r="M132" s="55"/>
      <c r="N132" s="55"/>
      <c r="O132" s="48"/>
      <c r="P132" s="49" t="s">
        <v>265</v>
      </c>
      <c r="Q132" s="49" t="s">
        <v>240</v>
      </c>
      <c r="R132" s="48"/>
      <c r="S132" s="48"/>
      <c r="T132" s="48"/>
      <c r="U132" s="48"/>
      <c r="V132" s="48"/>
      <c r="W132" s="56"/>
      <c r="X132" s="48"/>
      <c r="Y132" s="48"/>
      <c r="Z132" s="48"/>
      <c r="AA132" s="48"/>
      <c r="AB132" s="48"/>
      <c r="AC132" s="48"/>
      <c r="AD132" s="48"/>
      <c r="AE132" s="57" t="b">
        <v>1</v>
      </c>
      <c r="AF132" s="48"/>
    </row>
    <row r="133" ht="15.75" customHeight="1">
      <c r="A133" s="48" t="s">
        <v>519</v>
      </c>
      <c r="B133" s="49" t="s">
        <v>263</v>
      </c>
      <c r="C133" s="50">
        <v>0.5</v>
      </c>
      <c r="D133" s="51"/>
      <c r="E133" s="51"/>
      <c r="F133" s="48" t="s">
        <v>520</v>
      </c>
      <c r="G133" s="52">
        <v>7.0</v>
      </c>
      <c r="H133" s="49" t="s">
        <v>219</v>
      </c>
      <c r="I133" s="53" t="s">
        <v>220</v>
      </c>
      <c r="J133" s="49" t="s">
        <v>121</v>
      </c>
      <c r="K133" s="49" t="s">
        <v>273</v>
      </c>
      <c r="L133" s="59"/>
      <c r="M133" s="55"/>
      <c r="N133" s="61" t="s">
        <v>521</v>
      </c>
      <c r="O133" s="48"/>
      <c r="P133" s="49" t="s">
        <v>240</v>
      </c>
      <c r="Q133" s="49" t="s">
        <v>265</v>
      </c>
      <c r="R133" s="48"/>
      <c r="S133" s="48"/>
      <c r="T133" s="48"/>
      <c r="U133" s="48"/>
      <c r="V133" s="48"/>
      <c r="W133" s="60"/>
      <c r="X133" s="48"/>
      <c r="Y133" s="48"/>
      <c r="Z133" s="48"/>
      <c r="AA133" s="48"/>
      <c r="AB133" s="48"/>
      <c r="AC133" s="48"/>
      <c r="AD133" s="48"/>
      <c r="AE133" s="57" t="b">
        <v>1</v>
      </c>
      <c r="AF133" s="48"/>
    </row>
    <row r="134" ht="15.75" customHeight="1">
      <c r="A134" s="48" t="s">
        <v>522</v>
      </c>
      <c r="B134" s="49" t="s">
        <v>259</v>
      </c>
      <c r="C134" s="50">
        <v>0.5</v>
      </c>
      <c r="D134" s="51"/>
      <c r="E134" s="51"/>
      <c r="F134" s="48" t="s">
        <v>523</v>
      </c>
      <c r="G134" s="52">
        <v>3.5</v>
      </c>
      <c r="H134" s="49" t="s">
        <v>219</v>
      </c>
      <c r="I134" s="53" t="s">
        <v>220</v>
      </c>
      <c r="J134" s="49" t="s">
        <v>121</v>
      </c>
      <c r="K134" s="49"/>
      <c r="L134" s="54"/>
      <c r="M134" s="55"/>
      <c r="N134" s="55"/>
      <c r="O134" s="48"/>
      <c r="P134" s="49" t="s">
        <v>221</v>
      </c>
      <c r="Q134" s="49"/>
      <c r="R134" s="48"/>
      <c r="S134" s="48"/>
      <c r="T134" s="48"/>
      <c r="U134" s="48"/>
      <c r="V134" s="48"/>
      <c r="W134" s="56"/>
      <c r="X134" s="48"/>
      <c r="Y134" s="48"/>
      <c r="Z134" s="48"/>
      <c r="AA134" s="48"/>
      <c r="AB134" s="48"/>
      <c r="AC134" s="48"/>
      <c r="AD134" s="48"/>
      <c r="AE134" s="57" t="b">
        <v>1</v>
      </c>
      <c r="AF134" s="48"/>
    </row>
    <row r="135" ht="15.75" customHeight="1">
      <c r="A135" s="48" t="s">
        <v>524</v>
      </c>
      <c r="B135" s="49" t="s">
        <v>259</v>
      </c>
      <c r="C135" s="50">
        <v>0.5</v>
      </c>
      <c r="D135" s="51"/>
      <c r="E135" s="51"/>
      <c r="F135" s="48" t="s">
        <v>525</v>
      </c>
      <c r="G135" s="52">
        <v>3.4</v>
      </c>
      <c r="H135" s="49" t="s">
        <v>219</v>
      </c>
      <c r="I135" s="53" t="s">
        <v>220</v>
      </c>
      <c r="J135" s="49" t="s">
        <v>121</v>
      </c>
      <c r="K135" s="49"/>
      <c r="L135" s="59"/>
      <c r="M135" s="55"/>
      <c r="N135" s="55"/>
      <c r="O135" s="48"/>
      <c r="P135" s="49" t="s">
        <v>221</v>
      </c>
      <c r="Q135" s="49"/>
      <c r="R135" s="48"/>
      <c r="S135" s="48"/>
      <c r="T135" s="48"/>
      <c r="U135" s="48"/>
      <c r="V135" s="48"/>
      <c r="W135" s="60"/>
      <c r="X135" s="48"/>
      <c r="Y135" s="48"/>
      <c r="Z135" s="48"/>
      <c r="AA135" s="48"/>
      <c r="AB135" s="48"/>
      <c r="AC135" s="48"/>
      <c r="AD135" s="48"/>
      <c r="AE135" s="57" t="b">
        <v>1</v>
      </c>
      <c r="AF135" s="48"/>
    </row>
    <row r="136" ht="15.75" customHeight="1">
      <c r="A136" s="48" t="s">
        <v>526</v>
      </c>
      <c r="B136" s="49" t="s">
        <v>259</v>
      </c>
      <c r="C136" s="50">
        <v>0.5</v>
      </c>
      <c r="D136" s="51"/>
      <c r="E136" s="51"/>
      <c r="F136" s="48" t="s">
        <v>527</v>
      </c>
      <c r="G136" s="52">
        <v>0.9</v>
      </c>
      <c r="H136" s="49" t="s">
        <v>219</v>
      </c>
      <c r="I136" s="53" t="s">
        <v>220</v>
      </c>
      <c r="J136" s="49" t="s">
        <v>121</v>
      </c>
      <c r="K136" s="49"/>
      <c r="L136" s="54"/>
      <c r="M136" s="55"/>
      <c r="N136" s="55"/>
      <c r="O136" s="48"/>
      <c r="P136" s="49" t="s">
        <v>221</v>
      </c>
      <c r="Q136" s="49"/>
      <c r="R136" s="48"/>
      <c r="S136" s="48"/>
      <c r="T136" s="48"/>
      <c r="U136" s="48"/>
      <c r="V136" s="48"/>
      <c r="W136" s="56"/>
      <c r="X136" s="48"/>
      <c r="Y136" s="48"/>
      <c r="Z136" s="48"/>
      <c r="AA136" s="48"/>
      <c r="AB136" s="48"/>
      <c r="AC136" s="48"/>
      <c r="AD136" s="48"/>
      <c r="AE136" s="57" t="b">
        <v>1</v>
      </c>
      <c r="AF136" s="48"/>
    </row>
    <row r="137" ht="15.75" customHeight="1">
      <c r="A137" s="48" t="s">
        <v>528</v>
      </c>
      <c r="B137" s="49" t="s">
        <v>271</v>
      </c>
      <c r="C137" s="50">
        <v>0.5</v>
      </c>
      <c r="D137" s="51"/>
      <c r="E137" s="51"/>
      <c r="F137" s="48" t="s">
        <v>529</v>
      </c>
      <c r="G137" s="52">
        <v>0.7</v>
      </c>
      <c r="H137" s="49" t="s">
        <v>219</v>
      </c>
      <c r="I137" s="53" t="s">
        <v>220</v>
      </c>
      <c r="J137" s="49" t="s">
        <v>121</v>
      </c>
      <c r="K137" s="49"/>
      <c r="L137" s="59"/>
      <c r="M137" s="55"/>
      <c r="N137" s="55"/>
      <c r="O137" s="48"/>
      <c r="P137" s="49" t="s">
        <v>221</v>
      </c>
      <c r="Q137" s="49"/>
      <c r="R137" s="48"/>
      <c r="S137" s="48"/>
      <c r="T137" s="48"/>
      <c r="U137" s="48"/>
      <c r="V137" s="48"/>
      <c r="W137" s="60"/>
      <c r="X137" s="48"/>
      <c r="Y137" s="48"/>
      <c r="Z137" s="48"/>
      <c r="AA137" s="48"/>
      <c r="AB137" s="48"/>
      <c r="AC137" s="48"/>
      <c r="AD137" s="48"/>
      <c r="AE137" s="57" t="b">
        <v>1</v>
      </c>
      <c r="AF137" s="48"/>
    </row>
    <row r="138" ht="15.75" customHeight="1">
      <c r="A138" s="48" t="s">
        <v>530</v>
      </c>
      <c r="B138" s="49" t="s">
        <v>271</v>
      </c>
      <c r="C138" s="50">
        <v>0.5</v>
      </c>
      <c r="D138" s="51"/>
      <c r="E138" s="51"/>
      <c r="F138" s="48" t="s">
        <v>531</v>
      </c>
      <c r="G138" s="52">
        <v>0.7</v>
      </c>
      <c r="H138" s="49" t="s">
        <v>219</v>
      </c>
      <c r="I138" s="53" t="s">
        <v>220</v>
      </c>
      <c r="J138" s="49" t="s">
        <v>121</v>
      </c>
      <c r="K138" s="49"/>
      <c r="L138" s="54"/>
      <c r="M138" s="55"/>
      <c r="N138" s="55"/>
      <c r="O138" s="48"/>
      <c r="P138" s="49" t="s">
        <v>221</v>
      </c>
      <c r="Q138" s="49"/>
      <c r="R138" s="48"/>
      <c r="S138" s="48"/>
      <c r="T138" s="48"/>
      <c r="U138" s="48"/>
      <c r="V138" s="48"/>
      <c r="W138" s="56"/>
      <c r="X138" s="48"/>
      <c r="Y138" s="48"/>
      <c r="Z138" s="48"/>
      <c r="AA138" s="48"/>
      <c r="AB138" s="48"/>
      <c r="AC138" s="48"/>
      <c r="AD138" s="48"/>
      <c r="AE138" s="57" t="b">
        <v>1</v>
      </c>
      <c r="AF138" s="48"/>
    </row>
    <row r="139" ht="15.75" customHeight="1">
      <c r="A139" s="48" t="s">
        <v>532</v>
      </c>
      <c r="B139" s="49" t="s">
        <v>259</v>
      </c>
      <c r="C139" s="50">
        <v>0.5</v>
      </c>
      <c r="D139" s="51"/>
      <c r="E139" s="51"/>
      <c r="F139" s="48" t="s">
        <v>533</v>
      </c>
      <c r="G139" s="52">
        <v>0.3</v>
      </c>
      <c r="H139" s="49" t="s">
        <v>219</v>
      </c>
      <c r="I139" s="53" t="s">
        <v>220</v>
      </c>
      <c r="J139" s="49" t="s">
        <v>121</v>
      </c>
      <c r="K139" s="49"/>
      <c r="L139" s="59"/>
      <c r="M139" s="55"/>
      <c r="N139" s="55"/>
      <c r="O139" s="48"/>
      <c r="P139" s="49" t="s">
        <v>221</v>
      </c>
      <c r="Q139" s="49"/>
      <c r="R139" s="48"/>
      <c r="S139" s="48"/>
      <c r="T139" s="48"/>
      <c r="U139" s="48"/>
      <c r="V139" s="48"/>
      <c r="W139" s="60"/>
      <c r="X139" s="48"/>
      <c r="Y139" s="48"/>
      <c r="Z139" s="48"/>
      <c r="AA139" s="48"/>
      <c r="AB139" s="48"/>
      <c r="AC139" s="48"/>
      <c r="AD139" s="48"/>
      <c r="AE139" s="57" t="b">
        <v>1</v>
      </c>
      <c r="AF139" s="48"/>
    </row>
    <row r="140" ht="15.75" customHeight="1">
      <c r="A140" s="48" t="s">
        <v>534</v>
      </c>
      <c r="B140" s="49" t="s">
        <v>276</v>
      </c>
      <c r="C140" s="50">
        <v>0.5</v>
      </c>
      <c r="D140" s="51"/>
      <c r="E140" s="51"/>
      <c r="F140" s="48" t="s">
        <v>535</v>
      </c>
      <c r="G140" s="52">
        <v>1.0</v>
      </c>
      <c r="H140" s="49" t="s">
        <v>219</v>
      </c>
      <c r="I140" s="53" t="s">
        <v>220</v>
      </c>
      <c r="J140" s="49" t="s">
        <v>121</v>
      </c>
      <c r="K140" s="49"/>
      <c r="L140" s="54"/>
      <c r="M140" s="55"/>
      <c r="N140" s="55"/>
      <c r="O140" s="48"/>
      <c r="P140" s="49" t="s">
        <v>221</v>
      </c>
      <c r="Q140" s="49"/>
      <c r="R140" s="48"/>
      <c r="S140" s="48"/>
      <c r="T140" s="48"/>
      <c r="U140" s="48"/>
      <c r="V140" s="48"/>
      <c r="W140" s="56"/>
      <c r="X140" s="48"/>
      <c r="Y140" s="48"/>
      <c r="Z140" s="48"/>
      <c r="AA140" s="48"/>
      <c r="AB140" s="48"/>
      <c r="AC140" s="48"/>
      <c r="AD140" s="48"/>
      <c r="AE140" s="57" t="b">
        <v>1</v>
      </c>
      <c r="AF140" s="48"/>
    </row>
    <row r="141" ht="15.75" customHeight="1">
      <c r="A141" s="48" t="s">
        <v>536</v>
      </c>
      <c r="B141" s="49" t="s">
        <v>226</v>
      </c>
      <c r="C141" s="50">
        <v>0.5416666666666666</v>
      </c>
      <c r="D141" s="51"/>
      <c r="E141" s="51"/>
      <c r="F141" s="48" t="s">
        <v>537</v>
      </c>
      <c r="G141" s="52">
        <v>1.6</v>
      </c>
      <c r="H141" s="49" t="s">
        <v>219</v>
      </c>
      <c r="I141" s="53" t="s">
        <v>320</v>
      </c>
      <c r="J141" s="49" t="s">
        <v>117</v>
      </c>
      <c r="K141" s="49"/>
      <c r="L141" s="59"/>
      <c r="M141" s="55"/>
      <c r="N141" s="55"/>
      <c r="O141" s="48"/>
      <c r="P141" s="49" t="s">
        <v>229</v>
      </c>
      <c r="Q141" s="49" t="s">
        <v>230</v>
      </c>
      <c r="R141" s="48"/>
      <c r="S141" s="48"/>
      <c r="T141" s="48"/>
      <c r="U141" s="48"/>
      <c r="V141" s="48"/>
      <c r="W141" s="60"/>
      <c r="X141" s="48"/>
      <c r="Y141" s="48"/>
      <c r="Z141" s="48"/>
      <c r="AA141" s="48"/>
      <c r="AB141" s="48"/>
      <c r="AC141" s="48"/>
      <c r="AD141" s="48"/>
      <c r="AE141" s="57" t="b">
        <v>1</v>
      </c>
      <c r="AF141" s="48"/>
    </row>
    <row r="142" ht="15.75" customHeight="1">
      <c r="A142" s="48" t="s">
        <v>538</v>
      </c>
      <c r="B142" s="49" t="s">
        <v>232</v>
      </c>
      <c r="C142" s="50">
        <v>0.5416666666666666</v>
      </c>
      <c r="D142" s="51"/>
      <c r="E142" s="51"/>
      <c r="F142" s="48" t="s">
        <v>539</v>
      </c>
      <c r="G142" s="52">
        <v>1.4</v>
      </c>
      <c r="H142" s="49" t="s">
        <v>219</v>
      </c>
      <c r="I142" s="53" t="s">
        <v>320</v>
      </c>
      <c r="J142" s="49" t="s">
        <v>121</v>
      </c>
      <c r="K142" s="49"/>
      <c r="L142" s="54"/>
      <c r="M142" s="55"/>
      <c r="N142" s="55"/>
      <c r="O142" s="48"/>
      <c r="P142" s="49" t="s">
        <v>230</v>
      </c>
      <c r="Q142" s="49" t="s">
        <v>229</v>
      </c>
      <c r="R142" s="48"/>
      <c r="S142" s="48"/>
      <c r="T142" s="48"/>
      <c r="U142" s="48"/>
      <c r="V142" s="48"/>
      <c r="W142" s="56"/>
      <c r="X142" s="48"/>
      <c r="Y142" s="48"/>
      <c r="Z142" s="48"/>
      <c r="AA142" s="48"/>
      <c r="AB142" s="48"/>
      <c r="AC142" s="48"/>
      <c r="AD142" s="48"/>
      <c r="AE142" s="57" t="b">
        <v>1</v>
      </c>
      <c r="AF142" s="48"/>
    </row>
    <row r="143" ht="15.75" customHeight="1">
      <c r="A143" s="48" t="s">
        <v>540</v>
      </c>
      <c r="B143" s="49" t="s">
        <v>217</v>
      </c>
      <c r="C143" s="50">
        <v>0.5416666666666666</v>
      </c>
      <c r="D143" s="51">
        <v>46154.0</v>
      </c>
      <c r="E143" s="51">
        <v>46154.0</v>
      </c>
      <c r="F143" s="48" t="s">
        <v>439</v>
      </c>
      <c r="G143" s="52">
        <v>10.0</v>
      </c>
      <c r="H143" s="49" t="s">
        <v>219</v>
      </c>
      <c r="I143" s="53" t="s">
        <v>220</v>
      </c>
      <c r="J143" s="49" t="s">
        <v>117</v>
      </c>
      <c r="K143" s="49" t="s">
        <v>325</v>
      </c>
      <c r="L143" s="59"/>
      <c r="M143" s="55"/>
      <c r="N143" s="48" t="s">
        <v>440</v>
      </c>
      <c r="O143" s="48"/>
      <c r="P143" s="49"/>
      <c r="Q143" s="49"/>
      <c r="R143" s="48"/>
      <c r="S143" s="48"/>
      <c r="T143" s="48"/>
      <c r="U143" s="48"/>
      <c r="V143" s="48"/>
      <c r="W143" s="60"/>
      <c r="X143" s="48"/>
      <c r="Y143" s="48"/>
      <c r="Z143" s="48"/>
      <c r="AA143" s="48"/>
      <c r="AB143" s="48"/>
      <c r="AC143" s="48"/>
      <c r="AD143" s="48"/>
      <c r="AE143" s="62" t="b">
        <v>0</v>
      </c>
      <c r="AF143" s="48"/>
    </row>
    <row r="144" ht="15.75" customHeight="1">
      <c r="A144" s="48" t="s">
        <v>541</v>
      </c>
      <c r="B144" s="49" t="s">
        <v>276</v>
      </c>
      <c r="C144" s="50">
        <v>0.5416666666666666</v>
      </c>
      <c r="D144" s="51">
        <v>46179.0</v>
      </c>
      <c r="E144" s="51">
        <v>46179.0</v>
      </c>
      <c r="F144" s="48" t="s">
        <v>542</v>
      </c>
      <c r="G144" s="52">
        <v>4.5</v>
      </c>
      <c r="H144" s="49" t="s">
        <v>219</v>
      </c>
      <c r="I144" s="53" t="s">
        <v>220</v>
      </c>
      <c r="J144" s="49" t="s">
        <v>117</v>
      </c>
      <c r="K144" s="49" t="s">
        <v>543</v>
      </c>
      <c r="L144" s="54"/>
      <c r="M144" s="55"/>
      <c r="N144" s="48" t="s">
        <v>544</v>
      </c>
      <c r="O144" s="48"/>
      <c r="P144" s="49"/>
      <c r="Q144" s="49"/>
      <c r="R144" s="48"/>
      <c r="S144" s="48"/>
      <c r="T144" s="48"/>
      <c r="U144" s="48"/>
      <c r="V144" s="48"/>
      <c r="W144" s="56"/>
      <c r="X144" s="48"/>
      <c r="Y144" s="48"/>
      <c r="Z144" s="48"/>
      <c r="AA144" s="48"/>
      <c r="AB144" s="48"/>
      <c r="AC144" s="48"/>
      <c r="AD144" s="48"/>
      <c r="AE144" s="62" t="b">
        <v>0</v>
      </c>
      <c r="AF144" s="48"/>
    </row>
    <row r="145" ht="15.75" customHeight="1">
      <c r="A145" s="48" t="s">
        <v>545</v>
      </c>
      <c r="B145" s="49" t="s">
        <v>276</v>
      </c>
      <c r="C145" s="50">
        <v>0.5416666666666666</v>
      </c>
      <c r="D145" s="51">
        <v>46214.0</v>
      </c>
      <c r="E145" s="51">
        <v>46214.0</v>
      </c>
      <c r="F145" s="48" t="s">
        <v>542</v>
      </c>
      <c r="G145" s="52">
        <v>4.5</v>
      </c>
      <c r="H145" s="49" t="s">
        <v>219</v>
      </c>
      <c r="I145" s="53" t="s">
        <v>220</v>
      </c>
      <c r="J145" s="49" t="s">
        <v>117</v>
      </c>
      <c r="K145" s="49" t="s">
        <v>543</v>
      </c>
      <c r="L145" s="59"/>
      <c r="M145" s="55"/>
      <c r="N145" s="48" t="s">
        <v>544</v>
      </c>
      <c r="O145" s="48"/>
      <c r="P145" s="49"/>
      <c r="Q145" s="49"/>
      <c r="R145" s="48"/>
      <c r="S145" s="48"/>
      <c r="T145" s="48"/>
      <c r="U145" s="48"/>
      <c r="V145" s="48"/>
      <c r="W145" s="60"/>
      <c r="X145" s="48"/>
      <c r="Y145" s="48"/>
      <c r="Z145" s="48"/>
      <c r="AA145" s="48"/>
      <c r="AB145" s="48"/>
      <c r="AC145" s="48"/>
      <c r="AD145" s="48"/>
      <c r="AE145" s="62" t="b">
        <v>0</v>
      </c>
      <c r="AF145" s="48"/>
    </row>
    <row r="146" ht="15.75" customHeight="1">
      <c r="A146" s="48" t="s">
        <v>546</v>
      </c>
      <c r="B146" s="49" t="s">
        <v>276</v>
      </c>
      <c r="C146" s="50">
        <v>0.5416666666666666</v>
      </c>
      <c r="D146" s="51">
        <v>46235.0</v>
      </c>
      <c r="E146" s="51">
        <v>46235.0</v>
      </c>
      <c r="F146" s="48" t="s">
        <v>542</v>
      </c>
      <c r="G146" s="52">
        <v>4.5</v>
      </c>
      <c r="H146" s="49" t="s">
        <v>219</v>
      </c>
      <c r="I146" s="53" t="s">
        <v>220</v>
      </c>
      <c r="J146" s="49" t="s">
        <v>117</v>
      </c>
      <c r="K146" s="49" t="s">
        <v>543</v>
      </c>
      <c r="L146" s="54"/>
      <c r="M146" s="55"/>
      <c r="N146" s="48" t="s">
        <v>544</v>
      </c>
      <c r="O146" s="48"/>
      <c r="P146" s="49"/>
      <c r="Q146" s="49"/>
      <c r="R146" s="48"/>
      <c r="S146" s="48"/>
      <c r="T146" s="48"/>
      <c r="U146" s="48"/>
      <c r="V146" s="48"/>
      <c r="W146" s="56"/>
      <c r="X146" s="48"/>
      <c r="Y146" s="48"/>
      <c r="Z146" s="48"/>
      <c r="AA146" s="48"/>
      <c r="AB146" s="48"/>
      <c r="AC146" s="48"/>
      <c r="AD146" s="48"/>
      <c r="AE146" s="62" t="b">
        <v>0</v>
      </c>
      <c r="AF146" s="48"/>
    </row>
    <row r="147" ht="15.75" customHeight="1">
      <c r="A147" s="48" t="s">
        <v>547</v>
      </c>
      <c r="B147" s="49" t="s">
        <v>276</v>
      </c>
      <c r="C147" s="50">
        <v>0.5416666666666666</v>
      </c>
      <c r="D147" s="51">
        <v>46256.0</v>
      </c>
      <c r="E147" s="51">
        <v>46256.0</v>
      </c>
      <c r="F147" s="48" t="s">
        <v>542</v>
      </c>
      <c r="G147" s="52">
        <v>4.5</v>
      </c>
      <c r="H147" s="49" t="s">
        <v>219</v>
      </c>
      <c r="I147" s="53" t="s">
        <v>220</v>
      </c>
      <c r="J147" s="49" t="s">
        <v>117</v>
      </c>
      <c r="K147" s="49" t="s">
        <v>543</v>
      </c>
      <c r="L147" s="59"/>
      <c r="M147" s="55"/>
      <c r="N147" s="48" t="s">
        <v>544</v>
      </c>
      <c r="O147" s="48"/>
      <c r="P147" s="49"/>
      <c r="Q147" s="49"/>
      <c r="R147" s="48"/>
      <c r="S147" s="48"/>
      <c r="T147" s="48"/>
      <c r="U147" s="48"/>
      <c r="V147" s="48"/>
      <c r="W147" s="60"/>
      <c r="X147" s="48"/>
      <c r="Y147" s="48"/>
      <c r="Z147" s="48"/>
      <c r="AA147" s="48"/>
      <c r="AB147" s="48"/>
      <c r="AC147" s="48"/>
      <c r="AD147" s="48"/>
      <c r="AE147" s="62" t="b">
        <v>0</v>
      </c>
      <c r="AF147" s="48"/>
    </row>
    <row r="148" ht="15.75" customHeight="1">
      <c r="A148" s="48" t="s">
        <v>548</v>
      </c>
      <c r="B148" s="49" t="s">
        <v>232</v>
      </c>
      <c r="C148" s="50">
        <v>0.5416666666666666</v>
      </c>
      <c r="D148" s="51">
        <v>46157.0</v>
      </c>
      <c r="E148" s="51"/>
      <c r="F148" s="48" t="s">
        <v>549</v>
      </c>
      <c r="G148" s="52">
        <v>2.2</v>
      </c>
      <c r="H148" s="49" t="s">
        <v>219</v>
      </c>
      <c r="I148" s="53" t="s">
        <v>220</v>
      </c>
      <c r="J148" s="49" t="s">
        <v>121</v>
      </c>
      <c r="K148" s="49"/>
      <c r="L148" s="54"/>
      <c r="M148" s="55"/>
      <c r="N148" s="61" t="s">
        <v>550</v>
      </c>
      <c r="O148" s="48" t="b">
        <v>1</v>
      </c>
      <c r="P148" s="49" t="s">
        <v>230</v>
      </c>
      <c r="Q148" s="49" t="s">
        <v>332</v>
      </c>
      <c r="R148" s="48"/>
      <c r="S148" s="48"/>
      <c r="T148" s="48"/>
      <c r="U148" s="48"/>
      <c r="V148" s="48"/>
      <c r="W148" s="56"/>
      <c r="X148" s="48"/>
      <c r="Y148" s="48"/>
      <c r="Z148" s="48"/>
      <c r="AA148" s="48"/>
      <c r="AB148" s="48"/>
      <c r="AC148" s="48"/>
      <c r="AD148" s="48"/>
      <c r="AE148" s="62" t="b">
        <v>0</v>
      </c>
      <c r="AF148" s="48"/>
    </row>
    <row r="149" ht="15.75" customHeight="1">
      <c r="A149" s="48" t="s">
        <v>551</v>
      </c>
      <c r="B149" s="49" t="s">
        <v>232</v>
      </c>
      <c r="C149" s="50">
        <v>0.5416666666666666</v>
      </c>
      <c r="D149" s="51">
        <v>46171.0</v>
      </c>
      <c r="E149" s="51"/>
      <c r="F149" s="48" t="s">
        <v>549</v>
      </c>
      <c r="G149" s="52"/>
      <c r="H149" s="49" t="s">
        <v>219</v>
      </c>
      <c r="I149" s="53" t="s">
        <v>220</v>
      </c>
      <c r="J149" s="49" t="s">
        <v>121</v>
      </c>
      <c r="K149" s="49"/>
      <c r="L149" s="59"/>
      <c r="M149" s="55"/>
      <c r="N149" s="48" t="s">
        <v>550</v>
      </c>
      <c r="O149" s="48"/>
      <c r="P149" s="49"/>
      <c r="Q149" s="49"/>
      <c r="R149" s="48"/>
      <c r="S149" s="48"/>
      <c r="T149" s="48"/>
      <c r="U149" s="48"/>
      <c r="V149" s="48"/>
      <c r="W149" s="60"/>
      <c r="X149" s="48"/>
      <c r="Y149" s="48"/>
      <c r="Z149" s="48"/>
      <c r="AA149" s="48"/>
      <c r="AB149" s="48"/>
      <c r="AC149" s="48"/>
      <c r="AD149" s="48"/>
      <c r="AE149" s="62" t="b">
        <v>0</v>
      </c>
      <c r="AF149" s="48"/>
    </row>
    <row r="150" ht="15.75" customHeight="1">
      <c r="A150" s="48" t="s">
        <v>552</v>
      </c>
      <c r="B150" s="49" t="s">
        <v>232</v>
      </c>
      <c r="C150" s="50">
        <v>0.5416666666666666</v>
      </c>
      <c r="D150" s="51">
        <v>46164.0</v>
      </c>
      <c r="E150" s="51"/>
      <c r="F150" s="48" t="s">
        <v>549</v>
      </c>
      <c r="G150" s="52"/>
      <c r="H150" s="49" t="s">
        <v>219</v>
      </c>
      <c r="I150" s="53" t="s">
        <v>220</v>
      </c>
      <c r="J150" s="49" t="s">
        <v>121</v>
      </c>
      <c r="K150" s="49"/>
      <c r="L150" s="54"/>
      <c r="M150" s="55"/>
      <c r="N150" s="48" t="s">
        <v>550</v>
      </c>
      <c r="O150" s="48"/>
      <c r="P150" s="49"/>
      <c r="Q150" s="49"/>
      <c r="R150" s="48"/>
      <c r="S150" s="48"/>
      <c r="T150" s="48"/>
      <c r="U150" s="48"/>
      <c r="V150" s="48"/>
      <c r="W150" s="56"/>
      <c r="X150" s="48"/>
      <c r="Y150" s="48"/>
      <c r="Z150" s="48"/>
      <c r="AA150" s="48"/>
      <c r="AB150" s="48"/>
      <c r="AC150" s="48"/>
      <c r="AD150" s="48"/>
      <c r="AE150" s="62" t="b">
        <v>0</v>
      </c>
      <c r="AF150" s="48"/>
    </row>
    <row r="151" ht="15.75" customHeight="1">
      <c r="A151" s="48" t="s">
        <v>553</v>
      </c>
      <c r="B151" s="49" t="s">
        <v>263</v>
      </c>
      <c r="C151" s="50">
        <v>0.5416666666666666</v>
      </c>
      <c r="D151" s="51">
        <v>46153.0</v>
      </c>
      <c r="E151" s="51"/>
      <c r="F151" s="48" t="s">
        <v>554</v>
      </c>
      <c r="G151" s="52">
        <v>2.0</v>
      </c>
      <c r="H151" s="49" t="s">
        <v>219</v>
      </c>
      <c r="I151" s="53" t="s">
        <v>220</v>
      </c>
      <c r="J151" s="49" t="s">
        <v>121</v>
      </c>
      <c r="K151" s="49"/>
      <c r="L151" s="59"/>
      <c r="M151" s="55"/>
      <c r="N151" s="48" t="s">
        <v>550</v>
      </c>
      <c r="O151" s="48"/>
      <c r="P151" s="49" t="s">
        <v>230</v>
      </c>
      <c r="Q151" s="49" t="s">
        <v>229</v>
      </c>
      <c r="R151" s="48"/>
      <c r="S151" s="48"/>
      <c r="T151" s="48"/>
      <c r="U151" s="48"/>
      <c r="V151" s="48"/>
      <c r="W151" s="60"/>
      <c r="X151" s="48"/>
      <c r="Y151" s="48"/>
      <c r="Z151" s="48"/>
      <c r="AA151" s="48"/>
      <c r="AB151" s="48"/>
      <c r="AC151" s="48"/>
      <c r="AD151" s="48"/>
      <c r="AE151" s="62" t="b">
        <v>0</v>
      </c>
      <c r="AF151" s="48"/>
    </row>
    <row r="152" ht="15.75" customHeight="1">
      <c r="A152" s="48" t="s">
        <v>555</v>
      </c>
      <c r="B152" s="49" t="s">
        <v>263</v>
      </c>
      <c r="C152" s="50">
        <v>0.5416666666666666</v>
      </c>
      <c r="D152" s="51">
        <v>46167.0</v>
      </c>
      <c r="E152" s="51"/>
      <c r="F152" s="48" t="s">
        <v>554</v>
      </c>
      <c r="G152" s="52">
        <v>0.1</v>
      </c>
      <c r="H152" s="49" t="s">
        <v>219</v>
      </c>
      <c r="I152" s="53" t="s">
        <v>220</v>
      </c>
      <c r="J152" s="49" t="s">
        <v>121</v>
      </c>
      <c r="K152" s="49"/>
      <c r="L152" s="54"/>
      <c r="M152" s="55"/>
      <c r="N152" s="48" t="s">
        <v>550</v>
      </c>
      <c r="O152" s="48"/>
      <c r="P152" s="49" t="s">
        <v>230</v>
      </c>
      <c r="Q152" s="49" t="s">
        <v>229</v>
      </c>
      <c r="R152" s="48"/>
      <c r="S152" s="48"/>
      <c r="T152" s="48"/>
      <c r="U152" s="48"/>
      <c r="V152" s="48"/>
      <c r="W152" s="56"/>
      <c r="X152" s="48"/>
      <c r="Y152" s="48"/>
      <c r="Z152" s="48"/>
      <c r="AA152" s="48"/>
      <c r="AB152" s="48"/>
      <c r="AC152" s="48"/>
      <c r="AD152" s="48"/>
      <c r="AE152" s="62" t="b">
        <v>0</v>
      </c>
      <c r="AF152" s="48"/>
    </row>
    <row r="153" ht="15.75" customHeight="1">
      <c r="A153" s="48" t="s">
        <v>556</v>
      </c>
      <c r="B153" s="49" t="s">
        <v>263</v>
      </c>
      <c r="C153" s="50">
        <v>0.5416666666666666</v>
      </c>
      <c r="D153" s="51">
        <v>46160.0</v>
      </c>
      <c r="E153" s="51"/>
      <c r="F153" s="48" t="s">
        <v>554</v>
      </c>
      <c r="G153" s="52"/>
      <c r="H153" s="49" t="s">
        <v>219</v>
      </c>
      <c r="I153" s="53" t="s">
        <v>220</v>
      </c>
      <c r="J153" s="49" t="s">
        <v>121</v>
      </c>
      <c r="K153" s="49"/>
      <c r="L153" s="59"/>
      <c r="M153" s="55"/>
      <c r="N153" s="48" t="s">
        <v>550</v>
      </c>
      <c r="O153" s="48"/>
      <c r="P153" s="49"/>
      <c r="Q153" s="49"/>
      <c r="R153" s="48"/>
      <c r="S153" s="48"/>
      <c r="T153" s="48"/>
      <c r="U153" s="48"/>
      <c r="V153" s="48"/>
      <c r="W153" s="60"/>
      <c r="X153" s="48"/>
      <c r="Y153" s="48"/>
      <c r="Z153" s="48"/>
      <c r="AA153" s="48"/>
      <c r="AB153" s="48"/>
      <c r="AC153" s="48"/>
      <c r="AD153" s="48"/>
      <c r="AE153" s="62" t="b">
        <v>0</v>
      </c>
      <c r="AF153" s="48"/>
    </row>
    <row r="154" ht="15.75" customHeight="1">
      <c r="A154" s="48" t="s">
        <v>557</v>
      </c>
      <c r="B154" s="49" t="s">
        <v>271</v>
      </c>
      <c r="C154" s="50">
        <v>0.5416666666666666</v>
      </c>
      <c r="D154" s="51"/>
      <c r="E154" s="51"/>
      <c r="F154" s="48" t="s">
        <v>558</v>
      </c>
      <c r="G154" s="52">
        <v>0.4</v>
      </c>
      <c r="H154" s="49" t="s">
        <v>219</v>
      </c>
      <c r="I154" s="53" t="s">
        <v>220</v>
      </c>
      <c r="J154" s="49" t="s">
        <v>117</v>
      </c>
      <c r="K154" s="49"/>
      <c r="L154" s="54"/>
      <c r="M154" s="55"/>
      <c r="N154" s="55"/>
      <c r="O154" s="48"/>
      <c r="P154" s="49" t="s">
        <v>332</v>
      </c>
      <c r="Q154" s="49" t="s">
        <v>229</v>
      </c>
      <c r="R154" s="48"/>
      <c r="S154" s="48"/>
      <c r="T154" s="48"/>
      <c r="U154" s="48"/>
      <c r="V154" s="48"/>
      <c r="W154" s="56"/>
      <c r="X154" s="48"/>
      <c r="Y154" s="48"/>
      <c r="Z154" s="48"/>
      <c r="AA154" s="48"/>
      <c r="AB154" s="48"/>
      <c r="AC154" s="48"/>
      <c r="AD154" s="48"/>
      <c r="AE154" s="57" t="b">
        <v>1</v>
      </c>
      <c r="AF154" s="48"/>
    </row>
    <row r="155" ht="15.75" customHeight="1">
      <c r="A155" s="48" t="s">
        <v>559</v>
      </c>
      <c r="B155" s="49" t="s">
        <v>271</v>
      </c>
      <c r="C155" s="50">
        <v>0.5416666666666666</v>
      </c>
      <c r="D155" s="51"/>
      <c r="E155" s="51"/>
      <c r="F155" s="48" t="s">
        <v>560</v>
      </c>
      <c r="G155" s="52">
        <v>2.5</v>
      </c>
      <c r="H155" s="49" t="s">
        <v>219</v>
      </c>
      <c r="I155" s="53" t="s">
        <v>220</v>
      </c>
      <c r="J155" s="49" t="s">
        <v>121</v>
      </c>
      <c r="K155" s="49" t="s">
        <v>238</v>
      </c>
      <c r="L155" s="59"/>
      <c r="M155" s="55"/>
      <c r="N155" s="55"/>
      <c r="O155" s="48"/>
      <c r="P155" s="49" t="s">
        <v>240</v>
      </c>
      <c r="Q155" s="49" t="s">
        <v>239</v>
      </c>
      <c r="R155" s="48"/>
      <c r="S155" s="48"/>
      <c r="T155" s="48"/>
      <c r="U155" s="48"/>
      <c r="V155" s="48"/>
      <c r="W155" s="60"/>
      <c r="X155" s="48"/>
      <c r="Y155" s="48"/>
      <c r="Z155" s="48"/>
      <c r="AA155" s="48"/>
      <c r="AB155" s="48"/>
      <c r="AC155" s="48"/>
      <c r="AD155" s="48"/>
      <c r="AE155" s="57" t="b">
        <v>1</v>
      </c>
      <c r="AF155" s="48"/>
    </row>
    <row r="156" ht="15.75" customHeight="1">
      <c r="A156" s="48" t="s">
        <v>561</v>
      </c>
      <c r="B156" s="49" t="s">
        <v>271</v>
      </c>
      <c r="C156" s="50">
        <v>0.5416666666666666</v>
      </c>
      <c r="D156" s="51"/>
      <c r="E156" s="51"/>
      <c r="F156" s="48" t="s">
        <v>562</v>
      </c>
      <c r="G156" s="52">
        <v>1.0</v>
      </c>
      <c r="H156" s="49" t="s">
        <v>219</v>
      </c>
      <c r="I156" s="53" t="s">
        <v>220</v>
      </c>
      <c r="J156" s="49" t="s">
        <v>121</v>
      </c>
      <c r="K156" s="49" t="s">
        <v>238</v>
      </c>
      <c r="L156" s="54"/>
      <c r="M156" s="55"/>
      <c r="N156" s="55"/>
      <c r="O156" s="48"/>
      <c r="P156" s="49" t="s">
        <v>240</v>
      </c>
      <c r="Q156" s="49" t="s">
        <v>239</v>
      </c>
      <c r="R156" s="48"/>
      <c r="S156" s="48"/>
      <c r="T156" s="48"/>
      <c r="U156" s="48"/>
      <c r="V156" s="48"/>
      <c r="W156" s="56"/>
      <c r="X156" s="48"/>
      <c r="Y156" s="48"/>
      <c r="Z156" s="48"/>
      <c r="AA156" s="48"/>
      <c r="AB156" s="48"/>
      <c r="AC156" s="48"/>
      <c r="AD156" s="48"/>
      <c r="AE156" s="57" t="b">
        <v>1</v>
      </c>
      <c r="AF156" s="48"/>
    </row>
    <row r="157" ht="15.75" customHeight="1">
      <c r="A157" s="48" t="s">
        <v>563</v>
      </c>
      <c r="B157" s="49" t="s">
        <v>271</v>
      </c>
      <c r="C157" s="50">
        <v>0.5416666666666666</v>
      </c>
      <c r="D157" s="51"/>
      <c r="E157" s="51"/>
      <c r="F157" s="48" t="s">
        <v>564</v>
      </c>
      <c r="G157" s="52">
        <v>1.0</v>
      </c>
      <c r="H157" s="49" t="s">
        <v>219</v>
      </c>
      <c r="I157" s="53" t="s">
        <v>220</v>
      </c>
      <c r="J157" s="49" t="s">
        <v>121</v>
      </c>
      <c r="K157" s="49" t="s">
        <v>238</v>
      </c>
      <c r="L157" s="59"/>
      <c r="M157" s="55"/>
      <c r="N157" s="55"/>
      <c r="O157" s="48"/>
      <c r="P157" s="49" t="s">
        <v>240</v>
      </c>
      <c r="Q157" s="49" t="s">
        <v>239</v>
      </c>
      <c r="R157" s="48"/>
      <c r="S157" s="48"/>
      <c r="T157" s="48"/>
      <c r="U157" s="48"/>
      <c r="V157" s="48"/>
      <c r="W157" s="60"/>
      <c r="X157" s="48"/>
      <c r="Y157" s="48"/>
      <c r="Z157" s="48"/>
      <c r="AA157" s="48"/>
      <c r="AB157" s="48"/>
      <c r="AC157" s="48"/>
      <c r="AD157" s="48"/>
      <c r="AE157" s="57" t="b">
        <v>1</v>
      </c>
      <c r="AF157" s="48"/>
    </row>
    <row r="158" ht="15.75" customHeight="1">
      <c r="A158" s="48" t="s">
        <v>565</v>
      </c>
      <c r="B158" s="49" t="s">
        <v>259</v>
      </c>
      <c r="C158" s="50">
        <v>0.5416666666666666</v>
      </c>
      <c r="D158" s="51"/>
      <c r="E158" s="51"/>
      <c r="F158" s="48" t="s">
        <v>566</v>
      </c>
      <c r="G158" s="52">
        <v>2.4</v>
      </c>
      <c r="H158" s="49" t="s">
        <v>219</v>
      </c>
      <c r="I158" s="53" t="s">
        <v>220</v>
      </c>
      <c r="J158" s="49" t="s">
        <v>121</v>
      </c>
      <c r="K158" s="49" t="s">
        <v>402</v>
      </c>
      <c r="L158" s="54"/>
      <c r="M158" s="55"/>
      <c r="N158" s="55"/>
      <c r="O158" s="48"/>
      <c r="P158" s="49" t="s">
        <v>229</v>
      </c>
      <c r="Q158" s="49" t="s">
        <v>230</v>
      </c>
      <c r="R158" s="48"/>
      <c r="S158" s="48"/>
      <c r="T158" s="48"/>
      <c r="U158" s="48"/>
      <c r="V158" s="48"/>
      <c r="W158" s="56"/>
      <c r="X158" s="48"/>
      <c r="Y158" s="48"/>
      <c r="Z158" s="48"/>
      <c r="AA158" s="48"/>
      <c r="AB158" s="48"/>
      <c r="AC158" s="48"/>
      <c r="AD158" s="48"/>
      <c r="AE158" s="57" t="b">
        <v>1</v>
      </c>
      <c r="AF158" s="48"/>
    </row>
    <row r="159" ht="15.75" customHeight="1">
      <c r="A159" s="48" t="s">
        <v>567</v>
      </c>
      <c r="B159" s="49" t="s">
        <v>226</v>
      </c>
      <c r="C159" s="50">
        <v>0.5416666666666666</v>
      </c>
      <c r="D159" s="51"/>
      <c r="E159" s="51"/>
      <c r="F159" s="48" t="s">
        <v>568</v>
      </c>
      <c r="G159" s="52">
        <v>2.1</v>
      </c>
      <c r="H159" s="49" t="s">
        <v>219</v>
      </c>
      <c r="I159" s="53" t="s">
        <v>220</v>
      </c>
      <c r="J159" s="49" t="s">
        <v>121</v>
      </c>
      <c r="K159" s="49"/>
      <c r="L159" s="59"/>
      <c r="M159" s="55"/>
      <c r="N159" s="55"/>
      <c r="O159" s="48"/>
      <c r="P159" s="49" t="s">
        <v>221</v>
      </c>
      <c r="Q159" s="49"/>
      <c r="R159" s="48"/>
      <c r="S159" s="48"/>
      <c r="T159" s="48"/>
      <c r="U159" s="48"/>
      <c r="V159" s="48"/>
      <c r="W159" s="60"/>
      <c r="X159" s="48"/>
      <c r="Y159" s="48"/>
      <c r="Z159" s="48"/>
      <c r="AA159" s="48"/>
      <c r="AB159" s="48"/>
      <c r="AC159" s="48"/>
      <c r="AD159" s="48"/>
      <c r="AE159" s="57" t="b">
        <v>1</v>
      </c>
      <c r="AF159" s="48"/>
    </row>
    <row r="160" ht="15.75" customHeight="1">
      <c r="A160" s="48" t="s">
        <v>569</v>
      </c>
      <c r="B160" s="49" t="s">
        <v>276</v>
      </c>
      <c r="C160" s="50">
        <v>0.5416666666666666</v>
      </c>
      <c r="D160" s="51"/>
      <c r="E160" s="51"/>
      <c r="F160" s="48" t="s">
        <v>570</v>
      </c>
      <c r="G160" s="52">
        <v>0.3</v>
      </c>
      <c r="H160" s="49" t="s">
        <v>219</v>
      </c>
      <c r="I160" s="53" t="s">
        <v>220</v>
      </c>
      <c r="J160" s="49" t="s">
        <v>121</v>
      </c>
      <c r="K160" s="49"/>
      <c r="L160" s="54"/>
      <c r="M160" s="55"/>
      <c r="N160" s="55"/>
      <c r="O160" s="48"/>
      <c r="P160" s="49" t="s">
        <v>221</v>
      </c>
      <c r="Q160" s="49"/>
      <c r="R160" s="48"/>
      <c r="S160" s="48"/>
      <c r="T160" s="48"/>
      <c r="U160" s="48"/>
      <c r="V160" s="48"/>
      <c r="W160" s="56"/>
      <c r="X160" s="48"/>
      <c r="Y160" s="48"/>
      <c r="Z160" s="48"/>
      <c r="AA160" s="48"/>
      <c r="AB160" s="48"/>
      <c r="AC160" s="48"/>
      <c r="AD160" s="48"/>
      <c r="AE160" s="57" t="b">
        <v>1</v>
      </c>
      <c r="AF160" s="48"/>
    </row>
    <row r="161" ht="15.75" customHeight="1">
      <c r="A161" s="48" t="s">
        <v>571</v>
      </c>
      <c r="B161" s="49" t="s">
        <v>276</v>
      </c>
      <c r="C161" s="50">
        <v>0.5416666666666666</v>
      </c>
      <c r="D161" s="51"/>
      <c r="E161" s="51"/>
      <c r="F161" s="48" t="s">
        <v>572</v>
      </c>
      <c r="G161" s="52">
        <v>0.9</v>
      </c>
      <c r="H161" s="49" t="s">
        <v>219</v>
      </c>
      <c r="I161" s="53" t="s">
        <v>220</v>
      </c>
      <c r="J161" s="49" t="s">
        <v>121</v>
      </c>
      <c r="K161" s="49"/>
      <c r="L161" s="59"/>
      <c r="M161" s="55"/>
      <c r="N161" s="55"/>
      <c r="O161" s="48"/>
      <c r="P161" s="49" t="s">
        <v>221</v>
      </c>
      <c r="Q161" s="49"/>
      <c r="R161" s="48"/>
      <c r="S161" s="48"/>
      <c r="T161" s="48"/>
      <c r="U161" s="48"/>
      <c r="V161" s="48"/>
      <c r="W161" s="60"/>
      <c r="X161" s="48"/>
      <c r="Y161" s="48"/>
      <c r="Z161" s="48"/>
      <c r="AA161" s="48"/>
      <c r="AB161" s="48"/>
      <c r="AC161" s="48"/>
      <c r="AD161" s="48"/>
      <c r="AE161" s="57" t="b">
        <v>1</v>
      </c>
      <c r="AF161" s="48"/>
    </row>
    <row r="162" ht="15.75" customHeight="1">
      <c r="A162" s="48" t="s">
        <v>573</v>
      </c>
      <c r="B162" s="49" t="s">
        <v>263</v>
      </c>
      <c r="C162" s="50">
        <v>0.5416666666666666</v>
      </c>
      <c r="D162" s="51"/>
      <c r="E162" s="51"/>
      <c r="F162" s="48" t="s">
        <v>574</v>
      </c>
      <c r="G162" s="52">
        <v>2.4</v>
      </c>
      <c r="H162" s="49" t="s">
        <v>219</v>
      </c>
      <c r="I162" s="53" t="s">
        <v>220</v>
      </c>
      <c r="J162" s="49" t="s">
        <v>121</v>
      </c>
      <c r="K162" s="49"/>
      <c r="L162" s="54"/>
      <c r="M162" s="55"/>
      <c r="N162" s="55"/>
      <c r="O162" s="48"/>
      <c r="P162" s="49" t="s">
        <v>221</v>
      </c>
      <c r="Q162" s="49"/>
      <c r="R162" s="48"/>
      <c r="S162" s="48"/>
      <c r="T162" s="48"/>
      <c r="U162" s="48"/>
      <c r="V162" s="48"/>
      <c r="W162" s="56"/>
      <c r="X162" s="48"/>
      <c r="Y162" s="48"/>
      <c r="Z162" s="48"/>
      <c r="AA162" s="48"/>
      <c r="AB162" s="48"/>
      <c r="AC162" s="48"/>
      <c r="AD162" s="48"/>
      <c r="AE162" s="57" t="b">
        <v>1</v>
      </c>
      <c r="AF162" s="48"/>
    </row>
    <row r="163" ht="15.75" customHeight="1">
      <c r="A163" s="48" t="s">
        <v>575</v>
      </c>
      <c r="B163" s="49" t="s">
        <v>263</v>
      </c>
      <c r="C163" s="50">
        <v>0.5416666666666666</v>
      </c>
      <c r="D163" s="51"/>
      <c r="E163" s="51"/>
      <c r="F163" s="48" t="s">
        <v>554</v>
      </c>
      <c r="G163" s="52">
        <v>0.3</v>
      </c>
      <c r="H163" s="49" t="s">
        <v>219</v>
      </c>
      <c r="I163" s="53" t="s">
        <v>220</v>
      </c>
      <c r="J163" s="49" t="s">
        <v>121</v>
      </c>
      <c r="K163" s="49"/>
      <c r="L163" s="59"/>
      <c r="M163" s="55"/>
      <c r="N163" s="55"/>
      <c r="O163" s="48"/>
      <c r="P163" s="49" t="s">
        <v>221</v>
      </c>
      <c r="Q163" s="49"/>
      <c r="R163" s="48"/>
      <c r="S163" s="48"/>
      <c r="T163" s="48"/>
      <c r="U163" s="48"/>
      <c r="V163" s="48"/>
      <c r="W163" s="60"/>
      <c r="X163" s="48"/>
      <c r="Y163" s="48"/>
      <c r="Z163" s="48"/>
      <c r="AA163" s="48"/>
      <c r="AB163" s="48"/>
      <c r="AC163" s="48"/>
      <c r="AD163" s="48"/>
      <c r="AE163" s="57" t="b">
        <v>1</v>
      </c>
      <c r="AF163" s="48"/>
    </row>
    <row r="164" ht="15.75" customHeight="1">
      <c r="A164" s="48" t="s">
        <v>576</v>
      </c>
      <c r="B164" s="49" t="s">
        <v>276</v>
      </c>
      <c r="C164" s="50">
        <v>0.5833333333333334</v>
      </c>
      <c r="D164" s="51"/>
      <c r="E164" s="51"/>
      <c r="F164" s="48" t="s">
        <v>577</v>
      </c>
      <c r="G164" s="52">
        <v>4.0</v>
      </c>
      <c r="H164" s="49" t="s">
        <v>219</v>
      </c>
      <c r="I164" s="53" t="s">
        <v>220</v>
      </c>
      <c r="J164" s="49" t="s">
        <v>121</v>
      </c>
      <c r="K164" s="49" t="s">
        <v>402</v>
      </c>
      <c r="L164" s="54"/>
      <c r="M164" s="55"/>
      <c r="N164" s="55"/>
      <c r="O164" s="48"/>
      <c r="P164" s="49" t="s">
        <v>240</v>
      </c>
      <c r="Q164" s="49" t="s">
        <v>265</v>
      </c>
      <c r="R164" s="48"/>
      <c r="S164" s="48"/>
      <c r="T164" s="48"/>
      <c r="U164" s="48"/>
      <c r="V164" s="48"/>
      <c r="W164" s="56"/>
      <c r="X164" s="48"/>
      <c r="Y164" s="48"/>
      <c r="Z164" s="48"/>
      <c r="AA164" s="48"/>
      <c r="AB164" s="48"/>
      <c r="AC164" s="48"/>
      <c r="AD164" s="48"/>
      <c r="AE164" s="57" t="b">
        <v>1</v>
      </c>
      <c r="AF164" s="48"/>
    </row>
    <row r="165" ht="15.75" customHeight="1">
      <c r="A165" s="48" t="s">
        <v>578</v>
      </c>
      <c r="B165" s="49" t="s">
        <v>263</v>
      </c>
      <c r="C165" s="50">
        <v>0.5833333333333334</v>
      </c>
      <c r="D165" s="51"/>
      <c r="E165" s="51"/>
      <c r="F165" s="48" t="s">
        <v>579</v>
      </c>
      <c r="G165" s="52">
        <v>1.4</v>
      </c>
      <c r="H165" s="49" t="s">
        <v>219</v>
      </c>
      <c r="I165" s="53" t="s">
        <v>220</v>
      </c>
      <c r="J165" s="49" t="s">
        <v>121</v>
      </c>
      <c r="K165" s="49" t="s">
        <v>402</v>
      </c>
      <c r="L165" s="59"/>
      <c r="M165" s="55"/>
      <c r="N165" s="55"/>
      <c r="O165" s="48"/>
      <c r="P165" s="49" t="s">
        <v>240</v>
      </c>
      <c r="Q165" s="49" t="s">
        <v>265</v>
      </c>
      <c r="R165" s="48"/>
      <c r="S165" s="48"/>
      <c r="T165" s="48"/>
      <c r="U165" s="48"/>
      <c r="V165" s="48"/>
      <c r="W165" s="60"/>
      <c r="X165" s="48"/>
      <c r="Y165" s="48"/>
      <c r="Z165" s="48"/>
      <c r="AA165" s="48"/>
      <c r="AB165" s="48"/>
      <c r="AC165" s="48"/>
      <c r="AD165" s="48"/>
      <c r="AE165" s="57" t="b">
        <v>1</v>
      </c>
      <c r="AF165" s="48"/>
    </row>
    <row r="166" ht="15.75" customHeight="1">
      <c r="A166" s="48" t="s">
        <v>580</v>
      </c>
      <c r="B166" s="49" t="s">
        <v>263</v>
      </c>
      <c r="C166" s="50">
        <v>0.5833333333333334</v>
      </c>
      <c r="D166" s="51"/>
      <c r="E166" s="51"/>
      <c r="F166" s="48" t="s">
        <v>581</v>
      </c>
      <c r="G166" s="52">
        <v>0.5</v>
      </c>
      <c r="H166" s="49" t="s">
        <v>219</v>
      </c>
      <c r="I166" s="53" t="s">
        <v>220</v>
      </c>
      <c r="J166" s="49" t="s">
        <v>121</v>
      </c>
      <c r="K166" s="49" t="s">
        <v>402</v>
      </c>
      <c r="L166" s="54"/>
      <c r="M166" s="55"/>
      <c r="N166" s="55"/>
      <c r="O166" s="48"/>
      <c r="P166" s="49" t="s">
        <v>240</v>
      </c>
      <c r="Q166" s="49" t="s">
        <v>265</v>
      </c>
      <c r="R166" s="48"/>
      <c r="S166" s="48"/>
      <c r="T166" s="48"/>
      <c r="U166" s="48"/>
      <c r="V166" s="48"/>
      <c r="W166" s="56"/>
      <c r="X166" s="48"/>
      <c r="Y166" s="48"/>
      <c r="Z166" s="48"/>
      <c r="AA166" s="48"/>
      <c r="AB166" s="48"/>
      <c r="AC166" s="48"/>
      <c r="AD166" s="48"/>
      <c r="AE166" s="57" t="b">
        <v>1</v>
      </c>
      <c r="AF166" s="48"/>
    </row>
    <row r="167" ht="15.75" customHeight="1">
      <c r="A167" s="48" t="s">
        <v>582</v>
      </c>
      <c r="B167" s="49" t="s">
        <v>232</v>
      </c>
      <c r="C167" s="50">
        <v>0.5833333333333334</v>
      </c>
      <c r="D167" s="51"/>
      <c r="E167" s="51"/>
      <c r="F167" s="48" t="s">
        <v>583</v>
      </c>
      <c r="G167" s="52">
        <v>3.7</v>
      </c>
      <c r="H167" s="49" t="s">
        <v>219</v>
      </c>
      <c r="I167" s="53" t="s">
        <v>220</v>
      </c>
      <c r="J167" s="49" t="s">
        <v>121</v>
      </c>
      <c r="K167" s="49"/>
      <c r="L167" s="59"/>
      <c r="M167" s="55"/>
      <c r="N167" s="55"/>
      <c r="O167" s="48"/>
      <c r="P167" s="49" t="s">
        <v>221</v>
      </c>
      <c r="Q167" s="49"/>
      <c r="R167" s="48"/>
      <c r="S167" s="48"/>
      <c r="T167" s="48"/>
      <c r="U167" s="48"/>
      <c r="V167" s="48"/>
      <c r="W167" s="60"/>
      <c r="X167" s="48"/>
      <c r="Y167" s="48"/>
      <c r="Z167" s="48"/>
      <c r="AA167" s="48"/>
      <c r="AB167" s="48"/>
      <c r="AC167" s="48"/>
      <c r="AD167" s="48"/>
      <c r="AE167" s="57" t="b">
        <v>1</v>
      </c>
      <c r="AF167" s="48"/>
    </row>
    <row r="168" ht="15.75" customHeight="1">
      <c r="A168" s="48" t="s">
        <v>584</v>
      </c>
      <c r="B168" s="49" t="s">
        <v>259</v>
      </c>
      <c r="C168" s="50">
        <v>0.5833333333333334</v>
      </c>
      <c r="D168" s="51"/>
      <c r="E168" s="51"/>
      <c r="F168" s="48" t="s">
        <v>585</v>
      </c>
      <c r="G168" s="52">
        <v>1.1</v>
      </c>
      <c r="H168" s="49" t="s">
        <v>219</v>
      </c>
      <c r="I168" s="53" t="s">
        <v>220</v>
      </c>
      <c r="J168" s="49" t="s">
        <v>121</v>
      </c>
      <c r="K168" s="49"/>
      <c r="L168" s="54"/>
      <c r="M168" s="55"/>
      <c r="N168" s="55"/>
      <c r="O168" s="48"/>
      <c r="P168" s="49" t="s">
        <v>221</v>
      </c>
      <c r="Q168" s="49"/>
      <c r="R168" s="48"/>
      <c r="S168" s="48"/>
      <c r="T168" s="48"/>
      <c r="U168" s="48"/>
      <c r="V168" s="48"/>
      <c r="W168" s="56"/>
      <c r="X168" s="48"/>
      <c r="Y168" s="48"/>
      <c r="Z168" s="48"/>
      <c r="AA168" s="48"/>
      <c r="AB168" s="48"/>
      <c r="AC168" s="48"/>
      <c r="AD168" s="48"/>
      <c r="AE168" s="57" t="b">
        <v>1</v>
      </c>
      <c r="AF168" s="48"/>
    </row>
    <row r="169" ht="15.75" customHeight="1">
      <c r="A169" s="48" t="s">
        <v>586</v>
      </c>
      <c r="B169" s="49" t="s">
        <v>259</v>
      </c>
      <c r="C169" s="50">
        <v>0.5833333333333334</v>
      </c>
      <c r="D169" s="51"/>
      <c r="E169" s="51"/>
      <c r="F169" s="48" t="s">
        <v>587</v>
      </c>
      <c r="G169" s="52">
        <v>1.2</v>
      </c>
      <c r="H169" s="49" t="s">
        <v>219</v>
      </c>
      <c r="I169" s="53" t="s">
        <v>220</v>
      </c>
      <c r="J169" s="49" t="s">
        <v>121</v>
      </c>
      <c r="K169" s="49"/>
      <c r="L169" s="59"/>
      <c r="M169" s="55"/>
      <c r="N169" s="55"/>
      <c r="O169" s="48"/>
      <c r="P169" s="49" t="s">
        <v>229</v>
      </c>
      <c r="Q169" s="49" t="s">
        <v>332</v>
      </c>
      <c r="R169" s="48"/>
      <c r="S169" s="48"/>
      <c r="T169" s="48"/>
      <c r="U169" s="48"/>
      <c r="V169" s="48"/>
      <c r="W169" s="60"/>
      <c r="X169" s="48"/>
      <c r="Y169" s="48"/>
      <c r="Z169" s="48"/>
      <c r="AA169" s="48"/>
      <c r="AB169" s="48"/>
      <c r="AC169" s="48"/>
      <c r="AD169" s="48"/>
      <c r="AE169" s="57" t="b">
        <v>1</v>
      </c>
      <c r="AF169" s="48"/>
    </row>
    <row r="170" ht="15.75" customHeight="1">
      <c r="A170" s="48" t="s">
        <v>588</v>
      </c>
      <c r="B170" s="49" t="s">
        <v>263</v>
      </c>
      <c r="C170" s="50">
        <v>0.5833333333333334</v>
      </c>
      <c r="D170" s="51"/>
      <c r="E170" s="51"/>
      <c r="F170" s="48" t="s">
        <v>589</v>
      </c>
      <c r="G170" s="52">
        <v>0.7</v>
      </c>
      <c r="H170" s="49" t="s">
        <v>219</v>
      </c>
      <c r="I170" s="53" t="s">
        <v>220</v>
      </c>
      <c r="J170" s="49" t="s">
        <v>121</v>
      </c>
      <c r="K170" s="49"/>
      <c r="L170" s="54"/>
      <c r="M170" s="55"/>
      <c r="N170" s="55"/>
      <c r="O170" s="48"/>
      <c r="P170" s="49" t="s">
        <v>221</v>
      </c>
      <c r="Q170" s="49"/>
      <c r="R170" s="48"/>
      <c r="S170" s="48"/>
      <c r="T170" s="48"/>
      <c r="U170" s="48"/>
      <c r="V170" s="48"/>
      <c r="W170" s="56"/>
      <c r="X170" s="48"/>
      <c r="Y170" s="48"/>
      <c r="Z170" s="48"/>
      <c r="AA170" s="48"/>
      <c r="AB170" s="48"/>
      <c r="AC170" s="48"/>
      <c r="AD170" s="48"/>
      <c r="AE170" s="57" t="b">
        <v>1</v>
      </c>
      <c r="AF170" s="48"/>
    </row>
    <row r="171" ht="15.75" customHeight="1">
      <c r="A171" s="48" t="s">
        <v>590</v>
      </c>
      <c r="B171" s="49" t="s">
        <v>263</v>
      </c>
      <c r="C171" s="50">
        <v>0.5833333333333334</v>
      </c>
      <c r="D171" s="51"/>
      <c r="E171" s="51"/>
      <c r="F171" s="48" t="s">
        <v>591</v>
      </c>
      <c r="G171" s="52">
        <v>0.7</v>
      </c>
      <c r="H171" s="49" t="s">
        <v>219</v>
      </c>
      <c r="I171" s="53" t="s">
        <v>220</v>
      </c>
      <c r="J171" s="49" t="s">
        <v>121</v>
      </c>
      <c r="K171" s="49"/>
      <c r="L171" s="59"/>
      <c r="M171" s="55"/>
      <c r="N171" s="55"/>
      <c r="O171" s="48"/>
      <c r="P171" s="49" t="s">
        <v>221</v>
      </c>
      <c r="Q171" s="49"/>
      <c r="R171" s="48"/>
      <c r="S171" s="48"/>
      <c r="T171" s="48"/>
      <c r="U171" s="48"/>
      <c r="V171" s="48"/>
      <c r="W171" s="60"/>
      <c r="X171" s="48"/>
      <c r="Y171" s="48"/>
      <c r="Z171" s="48"/>
      <c r="AA171" s="48"/>
      <c r="AB171" s="48"/>
      <c r="AC171" s="48"/>
      <c r="AD171" s="48"/>
      <c r="AE171" s="57" t="b">
        <v>1</v>
      </c>
      <c r="AF171" s="48"/>
    </row>
    <row r="172" ht="15.75" customHeight="1">
      <c r="A172" s="48" t="s">
        <v>592</v>
      </c>
      <c r="B172" s="49" t="s">
        <v>263</v>
      </c>
      <c r="C172" s="50">
        <v>0.5833333333333334</v>
      </c>
      <c r="D172" s="51"/>
      <c r="E172" s="51"/>
      <c r="F172" s="48" t="s">
        <v>593</v>
      </c>
      <c r="G172" s="52">
        <v>1.9</v>
      </c>
      <c r="H172" s="49" t="s">
        <v>219</v>
      </c>
      <c r="I172" s="53" t="s">
        <v>220</v>
      </c>
      <c r="J172" s="49" t="s">
        <v>121</v>
      </c>
      <c r="K172" s="49"/>
      <c r="L172" s="54"/>
      <c r="M172" s="55"/>
      <c r="N172" s="55"/>
      <c r="O172" s="48"/>
      <c r="P172" s="49" t="s">
        <v>221</v>
      </c>
      <c r="Q172" s="49"/>
      <c r="R172" s="48"/>
      <c r="S172" s="48"/>
      <c r="T172" s="48"/>
      <c r="U172" s="48"/>
      <c r="V172" s="48"/>
      <c r="W172" s="56"/>
      <c r="X172" s="48"/>
      <c r="Y172" s="48"/>
      <c r="Z172" s="48"/>
      <c r="AA172" s="48"/>
      <c r="AB172" s="48"/>
      <c r="AC172" s="48"/>
      <c r="AD172" s="48"/>
      <c r="AE172" s="57" t="b">
        <v>1</v>
      </c>
      <c r="AF172" s="48"/>
    </row>
    <row r="173" ht="15.75" customHeight="1">
      <c r="A173" s="48" t="s">
        <v>594</v>
      </c>
      <c r="B173" s="49" t="s">
        <v>263</v>
      </c>
      <c r="C173" s="50">
        <v>0.5833333333333334</v>
      </c>
      <c r="D173" s="51"/>
      <c r="E173" s="51"/>
      <c r="F173" s="48" t="s">
        <v>595</v>
      </c>
      <c r="G173" s="52">
        <v>1.0</v>
      </c>
      <c r="H173" s="49" t="s">
        <v>219</v>
      </c>
      <c r="I173" s="53" t="s">
        <v>220</v>
      </c>
      <c r="J173" s="49" t="s">
        <v>121</v>
      </c>
      <c r="K173" s="49"/>
      <c r="L173" s="59"/>
      <c r="M173" s="55"/>
      <c r="N173" s="55"/>
      <c r="O173" s="48"/>
      <c r="P173" s="49" t="s">
        <v>221</v>
      </c>
      <c r="Q173" s="49"/>
      <c r="R173" s="48"/>
      <c r="S173" s="48"/>
      <c r="T173" s="48"/>
      <c r="U173" s="48"/>
      <c r="V173" s="48"/>
      <c r="W173" s="60"/>
      <c r="X173" s="48"/>
      <c r="Y173" s="48"/>
      <c r="Z173" s="48"/>
      <c r="AA173" s="48"/>
      <c r="AB173" s="48"/>
      <c r="AC173" s="48"/>
      <c r="AD173" s="48"/>
      <c r="AE173" s="57" t="b">
        <v>1</v>
      </c>
      <c r="AF173" s="48"/>
    </row>
    <row r="174" ht="15.75" customHeight="1">
      <c r="A174" s="48" t="s">
        <v>596</v>
      </c>
      <c r="B174" s="49" t="s">
        <v>217</v>
      </c>
      <c r="C174" s="50">
        <v>0.5833333333333334</v>
      </c>
      <c r="D174" s="51"/>
      <c r="E174" s="51"/>
      <c r="F174" s="48" t="s">
        <v>597</v>
      </c>
      <c r="G174" s="52">
        <v>0.8</v>
      </c>
      <c r="H174" s="49" t="s">
        <v>219</v>
      </c>
      <c r="I174" s="53" t="s">
        <v>220</v>
      </c>
      <c r="J174" s="49" t="s">
        <v>121</v>
      </c>
      <c r="K174" s="49"/>
      <c r="L174" s="54"/>
      <c r="M174" s="55"/>
      <c r="N174" s="55"/>
      <c r="O174" s="48"/>
      <c r="P174" s="49" t="s">
        <v>221</v>
      </c>
      <c r="Q174" s="49"/>
      <c r="R174" s="48"/>
      <c r="S174" s="48"/>
      <c r="T174" s="48"/>
      <c r="U174" s="48"/>
      <c r="V174" s="48"/>
      <c r="W174" s="56"/>
      <c r="X174" s="48"/>
      <c r="Y174" s="48"/>
      <c r="Z174" s="48"/>
      <c r="AA174" s="48"/>
      <c r="AB174" s="48"/>
      <c r="AC174" s="48"/>
      <c r="AD174" s="48"/>
      <c r="AE174" s="57" t="b">
        <v>1</v>
      </c>
      <c r="AF174" s="48"/>
    </row>
    <row r="175" ht="15.75" customHeight="1">
      <c r="A175" s="48" t="s">
        <v>598</v>
      </c>
      <c r="B175" s="49" t="s">
        <v>217</v>
      </c>
      <c r="C175" s="50">
        <v>0.5833333333333334</v>
      </c>
      <c r="D175" s="51"/>
      <c r="E175" s="51"/>
      <c r="F175" s="48" t="s">
        <v>599</v>
      </c>
      <c r="G175" s="52">
        <v>1.0</v>
      </c>
      <c r="H175" s="49" t="s">
        <v>219</v>
      </c>
      <c r="I175" s="53" t="s">
        <v>220</v>
      </c>
      <c r="J175" s="49" t="s">
        <v>121</v>
      </c>
      <c r="K175" s="49"/>
      <c r="L175" s="59"/>
      <c r="M175" s="55"/>
      <c r="N175" s="55"/>
      <c r="O175" s="48"/>
      <c r="P175" s="49" t="s">
        <v>221</v>
      </c>
      <c r="Q175" s="49"/>
      <c r="R175" s="48"/>
      <c r="S175" s="48"/>
      <c r="T175" s="48"/>
      <c r="U175" s="48"/>
      <c r="V175" s="48"/>
      <c r="W175" s="60"/>
      <c r="X175" s="48"/>
      <c r="Y175" s="48"/>
      <c r="Z175" s="48"/>
      <c r="AA175" s="48"/>
      <c r="AB175" s="48"/>
      <c r="AC175" s="48"/>
      <c r="AD175" s="48"/>
      <c r="AE175" s="57" t="b">
        <v>1</v>
      </c>
      <c r="AF175" s="48"/>
    </row>
    <row r="176" ht="15.75" customHeight="1">
      <c r="A176" s="48" t="s">
        <v>600</v>
      </c>
      <c r="B176" s="49" t="s">
        <v>217</v>
      </c>
      <c r="C176" s="50">
        <v>0.5833333333333334</v>
      </c>
      <c r="D176" s="51"/>
      <c r="E176" s="51"/>
      <c r="F176" s="48" t="s">
        <v>601</v>
      </c>
      <c r="G176" s="52">
        <v>0.5</v>
      </c>
      <c r="H176" s="49" t="s">
        <v>219</v>
      </c>
      <c r="I176" s="53" t="s">
        <v>220</v>
      </c>
      <c r="J176" s="49" t="s">
        <v>121</v>
      </c>
      <c r="K176" s="49"/>
      <c r="L176" s="54"/>
      <c r="M176" s="55"/>
      <c r="N176" s="55"/>
      <c r="O176" s="48"/>
      <c r="P176" s="49" t="s">
        <v>221</v>
      </c>
      <c r="Q176" s="49"/>
      <c r="R176" s="48"/>
      <c r="S176" s="48"/>
      <c r="T176" s="48"/>
      <c r="U176" s="48"/>
      <c r="V176" s="48"/>
      <c r="W176" s="56"/>
      <c r="X176" s="48"/>
      <c r="Y176" s="48"/>
      <c r="Z176" s="48"/>
      <c r="AA176" s="48"/>
      <c r="AB176" s="48"/>
      <c r="AC176" s="48"/>
      <c r="AD176" s="48"/>
      <c r="AE176" s="57" t="b">
        <v>1</v>
      </c>
      <c r="AF176" s="48"/>
    </row>
    <row r="177" ht="15.75" customHeight="1">
      <c r="A177" s="48" t="s">
        <v>602</v>
      </c>
      <c r="B177" s="49" t="s">
        <v>217</v>
      </c>
      <c r="C177" s="50">
        <v>0.5833333333333334</v>
      </c>
      <c r="D177" s="51"/>
      <c r="E177" s="51"/>
      <c r="F177" s="48" t="s">
        <v>603</v>
      </c>
      <c r="G177" s="52">
        <v>0.5</v>
      </c>
      <c r="H177" s="49" t="s">
        <v>219</v>
      </c>
      <c r="I177" s="53" t="s">
        <v>220</v>
      </c>
      <c r="J177" s="49" t="s">
        <v>121</v>
      </c>
      <c r="K177" s="49"/>
      <c r="L177" s="59"/>
      <c r="M177" s="55"/>
      <c r="N177" s="55"/>
      <c r="O177" s="48"/>
      <c r="P177" s="49" t="s">
        <v>221</v>
      </c>
      <c r="Q177" s="49"/>
      <c r="R177" s="48"/>
      <c r="S177" s="48"/>
      <c r="T177" s="48"/>
      <c r="U177" s="48"/>
      <c r="V177" s="48"/>
      <c r="W177" s="60"/>
      <c r="X177" s="48"/>
      <c r="Y177" s="48"/>
      <c r="Z177" s="48"/>
      <c r="AA177" s="48"/>
      <c r="AB177" s="48"/>
      <c r="AC177" s="48"/>
      <c r="AD177" s="48"/>
      <c r="AE177" s="57" t="b">
        <v>1</v>
      </c>
      <c r="AF177" s="48"/>
    </row>
    <row r="178" ht="15.75" customHeight="1">
      <c r="A178" s="48" t="s">
        <v>604</v>
      </c>
      <c r="B178" s="49" t="s">
        <v>217</v>
      </c>
      <c r="C178" s="50">
        <v>0.5833333333333334</v>
      </c>
      <c r="D178" s="51"/>
      <c r="E178" s="51"/>
      <c r="F178" s="48" t="s">
        <v>605</v>
      </c>
      <c r="G178" s="52">
        <v>1.0</v>
      </c>
      <c r="H178" s="49" t="s">
        <v>219</v>
      </c>
      <c r="I178" s="53" t="s">
        <v>220</v>
      </c>
      <c r="J178" s="49" t="s">
        <v>121</v>
      </c>
      <c r="K178" s="49"/>
      <c r="L178" s="54"/>
      <c r="M178" s="55"/>
      <c r="N178" s="55"/>
      <c r="O178" s="48"/>
      <c r="P178" s="49" t="s">
        <v>221</v>
      </c>
      <c r="Q178" s="49"/>
      <c r="R178" s="48"/>
      <c r="S178" s="48"/>
      <c r="T178" s="48"/>
      <c r="U178" s="48"/>
      <c r="V178" s="48"/>
      <c r="W178" s="56"/>
      <c r="X178" s="48"/>
      <c r="Y178" s="48"/>
      <c r="Z178" s="48"/>
      <c r="AA178" s="48"/>
      <c r="AB178" s="48"/>
      <c r="AC178" s="48"/>
      <c r="AD178" s="48"/>
      <c r="AE178" s="57" t="b">
        <v>1</v>
      </c>
      <c r="AF178" s="48"/>
    </row>
    <row r="179" ht="15.75" customHeight="1">
      <c r="A179" s="48" t="s">
        <v>606</v>
      </c>
      <c r="B179" s="49" t="s">
        <v>217</v>
      </c>
      <c r="C179" s="50">
        <v>0.625</v>
      </c>
      <c r="D179" s="51"/>
      <c r="E179" s="51"/>
      <c r="F179" s="48" t="s">
        <v>607</v>
      </c>
      <c r="G179" s="52">
        <v>0.6</v>
      </c>
      <c r="H179" s="49" t="s">
        <v>219</v>
      </c>
      <c r="I179" s="53" t="s">
        <v>320</v>
      </c>
      <c r="J179" s="49" t="s">
        <v>121</v>
      </c>
      <c r="K179" s="49"/>
      <c r="L179" s="59"/>
      <c r="M179" s="55"/>
      <c r="N179" s="55"/>
      <c r="O179" s="48"/>
      <c r="P179" s="49" t="s">
        <v>429</v>
      </c>
      <c r="Q179" s="49" t="s">
        <v>229</v>
      </c>
      <c r="R179" s="48"/>
      <c r="S179" s="48"/>
      <c r="T179" s="48"/>
      <c r="U179" s="48"/>
      <c r="V179" s="48"/>
      <c r="W179" s="60"/>
      <c r="X179" s="48"/>
      <c r="Y179" s="48"/>
      <c r="Z179" s="48"/>
      <c r="AA179" s="48"/>
      <c r="AB179" s="48"/>
      <c r="AC179" s="48"/>
      <c r="AD179" s="48"/>
      <c r="AE179" s="57" t="b">
        <v>1</v>
      </c>
      <c r="AF179" s="48"/>
    </row>
    <row r="180" ht="15.75" customHeight="1">
      <c r="A180" s="48" t="s">
        <v>608</v>
      </c>
      <c r="B180" s="49" t="s">
        <v>259</v>
      </c>
      <c r="C180" s="50">
        <v>0.625</v>
      </c>
      <c r="D180" s="51"/>
      <c r="E180" s="51"/>
      <c r="F180" s="48" t="s">
        <v>609</v>
      </c>
      <c r="G180" s="52">
        <v>6.8</v>
      </c>
      <c r="H180" s="49" t="s">
        <v>219</v>
      </c>
      <c r="I180" s="53" t="s">
        <v>234</v>
      </c>
      <c r="J180" s="49" t="s">
        <v>117</v>
      </c>
      <c r="K180" s="49"/>
      <c r="L180" s="54"/>
      <c r="M180" s="55"/>
      <c r="N180" s="55"/>
      <c r="O180" s="48"/>
      <c r="P180" s="49" t="s">
        <v>332</v>
      </c>
      <c r="Q180" s="49" t="s">
        <v>229</v>
      </c>
      <c r="R180" s="48"/>
      <c r="S180" s="48"/>
      <c r="T180" s="48"/>
      <c r="U180" s="48"/>
      <c r="V180" s="48"/>
      <c r="W180" s="56"/>
      <c r="X180" s="48"/>
      <c r="Y180" s="48"/>
      <c r="Z180" s="48"/>
      <c r="AA180" s="48"/>
      <c r="AB180" s="48"/>
      <c r="AC180" s="48"/>
      <c r="AD180" s="48"/>
      <c r="AE180" s="57" t="b">
        <v>1</v>
      </c>
      <c r="AF180" s="48"/>
    </row>
    <row r="181" ht="15.75" customHeight="1">
      <c r="A181" s="48" t="s">
        <v>610</v>
      </c>
      <c r="B181" s="49" t="s">
        <v>276</v>
      </c>
      <c r="C181" s="50">
        <v>0.625</v>
      </c>
      <c r="D181" s="51"/>
      <c r="E181" s="51"/>
      <c r="F181" s="48" t="s">
        <v>611</v>
      </c>
      <c r="G181" s="52">
        <v>5.6</v>
      </c>
      <c r="H181" s="49" t="s">
        <v>219</v>
      </c>
      <c r="I181" s="53" t="s">
        <v>234</v>
      </c>
      <c r="J181" s="49" t="s">
        <v>121</v>
      </c>
      <c r="K181" s="49"/>
      <c r="L181" s="59"/>
      <c r="M181" s="55"/>
      <c r="N181" s="55"/>
      <c r="O181" s="48"/>
      <c r="P181" s="49" t="s">
        <v>332</v>
      </c>
      <c r="Q181" s="49" t="s">
        <v>229</v>
      </c>
      <c r="R181" s="48"/>
      <c r="S181" s="48"/>
      <c r="T181" s="48"/>
      <c r="U181" s="48"/>
      <c r="V181" s="48"/>
      <c r="W181" s="60"/>
      <c r="X181" s="48"/>
      <c r="Y181" s="48"/>
      <c r="Z181" s="48"/>
      <c r="AA181" s="48"/>
      <c r="AB181" s="48"/>
      <c r="AC181" s="48"/>
      <c r="AD181" s="48"/>
      <c r="AE181" s="57" t="b">
        <v>1</v>
      </c>
      <c r="AF181" s="48"/>
    </row>
    <row r="182" ht="15.75" customHeight="1">
      <c r="A182" s="48" t="s">
        <v>612</v>
      </c>
      <c r="B182" s="49" t="s">
        <v>263</v>
      </c>
      <c r="C182" s="50">
        <v>0.625</v>
      </c>
      <c r="D182" s="51"/>
      <c r="E182" s="51"/>
      <c r="F182" s="48" t="s">
        <v>613</v>
      </c>
      <c r="G182" s="52">
        <v>0.2</v>
      </c>
      <c r="H182" s="49" t="s">
        <v>219</v>
      </c>
      <c r="I182" s="53" t="s">
        <v>220</v>
      </c>
      <c r="J182" s="49" t="s">
        <v>121</v>
      </c>
      <c r="K182" s="49"/>
      <c r="L182" s="54"/>
      <c r="M182" s="55"/>
      <c r="N182" s="55"/>
      <c r="O182" s="48"/>
      <c r="P182" s="49" t="s">
        <v>221</v>
      </c>
      <c r="Q182" s="49"/>
      <c r="R182" s="48"/>
      <c r="S182" s="48"/>
      <c r="T182" s="48"/>
      <c r="U182" s="48"/>
      <c r="V182" s="48"/>
      <c r="W182" s="56"/>
      <c r="X182" s="48"/>
      <c r="Y182" s="48"/>
      <c r="Z182" s="48"/>
      <c r="AA182" s="48"/>
      <c r="AB182" s="48"/>
      <c r="AC182" s="48"/>
      <c r="AD182" s="48"/>
      <c r="AE182" s="57" t="b">
        <v>1</v>
      </c>
      <c r="AF182" s="48"/>
    </row>
    <row r="183" ht="15.75" customHeight="1">
      <c r="A183" s="48" t="s">
        <v>614</v>
      </c>
      <c r="B183" s="49" t="s">
        <v>232</v>
      </c>
      <c r="C183" s="50">
        <v>0.625</v>
      </c>
      <c r="D183" s="51"/>
      <c r="E183" s="51"/>
      <c r="F183" s="48" t="s">
        <v>615</v>
      </c>
      <c r="G183" s="52">
        <v>4.7</v>
      </c>
      <c r="H183" s="49" t="s">
        <v>219</v>
      </c>
      <c r="I183" s="53" t="s">
        <v>220</v>
      </c>
      <c r="J183" s="49" t="s">
        <v>121</v>
      </c>
      <c r="K183" s="49"/>
      <c r="L183" s="59"/>
      <c r="M183" s="55"/>
      <c r="N183" s="55"/>
      <c r="O183" s="48"/>
      <c r="P183" s="49" t="s">
        <v>221</v>
      </c>
      <c r="Q183" s="49"/>
      <c r="R183" s="48"/>
      <c r="S183" s="48"/>
      <c r="T183" s="48"/>
      <c r="U183" s="48"/>
      <c r="V183" s="48"/>
      <c r="W183" s="60"/>
      <c r="X183" s="48"/>
      <c r="Y183" s="48"/>
      <c r="Z183" s="48"/>
      <c r="AA183" s="48"/>
      <c r="AB183" s="48"/>
      <c r="AC183" s="48"/>
      <c r="AD183" s="48"/>
      <c r="AE183" s="57" t="b">
        <v>1</v>
      </c>
      <c r="AF183" s="48"/>
    </row>
    <row r="184" ht="15.75" customHeight="1">
      <c r="A184" s="48" t="s">
        <v>616</v>
      </c>
      <c r="B184" s="49" t="s">
        <v>263</v>
      </c>
      <c r="C184" s="50">
        <v>0.625</v>
      </c>
      <c r="D184" s="51"/>
      <c r="E184" s="51"/>
      <c r="F184" s="48" t="s">
        <v>617</v>
      </c>
      <c r="G184" s="52">
        <v>0.2</v>
      </c>
      <c r="H184" s="49" t="s">
        <v>219</v>
      </c>
      <c r="I184" s="53" t="s">
        <v>220</v>
      </c>
      <c r="J184" s="49" t="s">
        <v>121</v>
      </c>
      <c r="K184" s="49"/>
      <c r="L184" s="54"/>
      <c r="M184" s="55"/>
      <c r="N184" s="55"/>
      <c r="O184" s="48"/>
      <c r="P184" s="49" t="s">
        <v>221</v>
      </c>
      <c r="Q184" s="49"/>
      <c r="R184" s="48"/>
      <c r="S184" s="48"/>
      <c r="T184" s="48"/>
      <c r="U184" s="48"/>
      <c r="V184" s="48"/>
      <c r="W184" s="56"/>
      <c r="X184" s="48"/>
      <c r="Y184" s="48"/>
      <c r="Z184" s="48"/>
      <c r="AA184" s="48"/>
      <c r="AB184" s="48"/>
      <c r="AC184" s="48"/>
      <c r="AD184" s="48"/>
      <c r="AE184" s="57" t="b">
        <v>1</v>
      </c>
      <c r="AF184" s="48"/>
    </row>
    <row r="185" ht="15.75" customHeight="1">
      <c r="A185" s="48" t="s">
        <v>618</v>
      </c>
      <c r="B185" s="49" t="s">
        <v>271</v>
      </c>
      <c r="C185" s="50">
        <v>0.625</v>
      </c>
      <c r="D185" s="51"/>
      <c r="E185" s="51"/>
      <c r="F185" s="48" t="s">
        <v>619</v>
      </c>
      <c r="G185" s="52">
        <v>0.2</v>
      </c>
      <c r="H185" s="49" t="s">
        <v>219</v>
      </c>
      <c r="I185" s="53" t="s">
        <v>220</v>
      </c>
      <c r="J185" s="49" t="s">
        <v>121</v>
      </c>
      <c r="K185" s="49"/>
      <c r="L185" s="59"/>
      <c r="M185" s="55"/>
      <c r="N185" s="55"/>
      <c r="O185" s="48"/>
      <c r="P185" s="49" t="s">
        <v>221</v>
      </c>
      <c r="Q185" s="49"/>
      <c r="R185" s="48"/>
      <c r="S185" s="48"/>
      <c r="T185" s="48"/>
      <c r="U185" s="48"/>
      <c r="V185" s="48"/>
      <c r="W185" s="60"/>
      <c r="X185" s="48"/>
      <c r="Y185" s="48"/>
      <c r="Z185" s="48"/>
      <c r="AA185" s="48"/>
      <c r="AB185" s="48"/>
      <c r="AC185" s="48"/>
      <c r="AD185" s="48"/>
      <c r="AE185" s="57" t="b">
        <v>1</v>
      </c>
      <c r="AF185" s="48"/>
    </row>
    <row r="186" ht="15.75" customHeight="1">
      <c r="A186" s="48" t="s">
        <v>620</v>
      </c>
      <c r="B186" s="49" t="s">
        <v>232</v>
      </c>
      <c r="C186" s="50">
        <v>0.625</v>
      </c>
      <c r="D186" s="51"/>
      <c r="E186" s="51"/>
      <c r="F186" s="48" t="s">
        <v>621</v>
      </c>
      <c r="G186" s="52">
        <v>0.3</v>
      </c>
      <c r="H186" s="49" t="s">
        <v>219</v>
      </c>
      <c r="I186" s="53" t="s">
        <v>220</v>
      </c>
      <c r="J186" s="49" t="s">
        <v>121</v>
      </c>
      <c r="K186" s="49"/>
      <c r="L186" s="54"/>
      <c r="M186" s="55"/>
      <c r="N186" s="55"/>
      <c r="O186" s="48"/>
      <c r="P186" s="49" t="s">
        <v>221</v>
      </c>
      <c r="Q186" s="49"/>
      <c r="R186" s="48"/>
      <c r="S186" s="48"/>
      <c r="T186" s="48"/>
      <c r="U186" s="48"/>
      <c r="V186" s="48"/>
      <c r="W186" s="56"/>
      <c r="X186" s="48"/>
      <c r="Y186" s="48"/>
      <c r="Z186" s="48"/>
      <c r="AA186" s="48"/>
      <c r="AB186" s="48"/>
      <c r="AC186" s="48"/>
      <c r="AD186" s="48"/>
      <c r="AE186" s="57" t="b">
        <v>1</v>
      </c>
      <c r="AF186" s="48"/>
    </row>
    <row r="187" ht="15.75" customHeight="1">
      <c r="A187" s="48" t="s">
        <v>622</v>
      </c>
      <c r="B187" s="49" t="s">
        <v>259</v>
      </c>
      <c r="C187" s="50">
        <v>0.625</v>
      </c>
      <c r="D187" s="51"/>
      <c r="E187" s="51"/>
      <c r="F187" s="48" t="s">
        <v>623</v>
      </c>
      <c r="G187" s="52">
        <v>0.4</v>
      </c>
      <c r="H187" s="49" t="s">
        <v>219</v>
      </c>
      <c r="I187" s="53" t="s">
        <v>220</v>
      </c>
      <c r="J187" s="49" t="s">
        <v>121</v>
      </c>
      <c r="K187" s="49"/>
      <c r="L187" s="59"/>
      <c r="M187" s="55"/>
      <c r="N187" s="55"/>
      <c r="O187" s="48"/>
      <c r="P187" s="49" t="s">
        <v>221</v>
      </c>
      <c r="Q187" s="49"/>
      <c r="R187" s="48"/>
      <c r="S187" s="48"/>
      <c r="T187" s="48"/>
      <c r="U187" s="48"/>
      <c r="V187" s="48"/>
      <c r="W187" s="60"/>
      <c r="X187" s="48"/>
      <c r="Y187" s="48"/>
      <c r="Z187" s="48"/>
      <c r="AA187" s="48"/>
      <c r="AB187" s="48"/>
      <c r="AC187" s="48"/>
      <c r="AD187" s="48"/>
      <c r="AE187" s="57" t="b">
        <v>1</v>
      </c>
      <c r="AF187" s="48"/>
    </row>
    <row r="188" ht="15.75" customHeight="1">
      <c r="A188" s="48" t="s">
        <v>624</v>
      </c>
      <c r="B188" s="49" t="s">
        <v>217</v>
      </c>
      <c r="C188" s="50">
        <v>0.625</v>
      </c>
      <c r="D188" s="51"/>
      <c r="E188" s="51"/>
      <c r="F188" s="48" t="s">
        <v>625</v>
      </c>
      <c r="G188" s="52">
        <v>0.4</v>
      </c>
      <c r="H188" s="49" t="s">
        <v>219</v>
      </c>
      <c r="I188" s="53" t="s">
        <v>220</v>
      </c>
      <c r="J188" s="49" t="s">
        <v>121</v>
      </c>
      <c r="K188" s="49"/>
      <c r="L188" s="54"/>
      <c r="M188" s="55"/>
      <c r="N188" s="55"/>
      <c r="O188" s="48"/>
      <c r="P188" s="49" t="s">
        <v>229</v>
      </c>
      <c r="Q188" s="49" t="s">
        <v>332</v>
      </c>
      <c r="R188" s="48"/>
      <c r="S188" s="48"/>
      <c r="T188" s="48"/>
      <c r="U188" s="48"/>
      <c r="V188" s="48"/>
      <c r="W188" s="56"/>
      <c r="X188" s="48"/>
      <c r="Y188" s="48"/>
      <c r="Z188" s="48"/>
      <c r="AA188" s="48"/>
      <c r="AB188" s="48"/>
      <c r="AC188" s="48"/>
      <c r="AD188" s="48"/>
      <c r="AE188" s="57" t="b">
        <v>1</v>
      </c>
      <c r="AF188" s="48"/>
    </row>
    <row r="189" ht="15.75" customHeight="1">
      <c r="A189" s="48" t="s">
        <v>626</v>
      </c>
      <c r="B189" s="49" t="s">
        <v>217</v>
      </c>
      <c r="C189" s="50">
        <v>0.625</v>
      </c>
      <c r="D189" s="51"/>
      <c r="E189" s="51"/>
      <c r="F189" s="48" t="s">
        <v>627</v>
      </c>
      <c r="G189" s="52">
        <v>1.2</v>
      </c>
      <c r="H189" s="49" t="s">
        <v>219</v>
      </c>
      <c r="I189" s="53" t="s">
        <v>220</v>
      </c>
      <c r="J189" s="49" t="s">
        <v>121</v>
      </c>
      <c r="K189" s="49"/>
      <c r="L189" s="59"/>
      <c r="M189" s="55"/>
      <c r="N189" s="55"/>
      <c r="O189" s="48"/>
      <c r="P189" s="49" t="s">
        <v>221</v>
      </c>
      <c r="Q189" s="49"/>
      <c r="R189" s="48"/>
      <c r="S189" s="48"/>
      <c r="T189" s="48"/>
      <c r="U189" s="48"/>
      <c r="V189" s="48"/>
      <c r="W189" s="60"/>
      <c r="X189" s="48"/>
      <c r="Y189" s="48"/>
      <c r="Z189" s="48"/>
      <c r="AA189" s="48"/>
      <c r="AB189" s="48"/>
      <c r="AC189" s="48"/>
      <c r="AD189" s="48"/>
      <c r="AE189" s="57" t="b">
        <v>1</v>
      </c>
      <c r="AF189" s="48"/>
    </row>
    <row r="190" ht="15.75" customHeight="1">
      <c r="A190" s="48" t="s">
        <v>628</v>
      </c>
      <c r="B190" s="49" t="s">
        <v>259</v>
      </c>
      <c r="C190" s="50">
        <v>0.625</v>
      </c>
      <c r="D190" s="51"/>
      <c r="E190" s="51"/>
      <c r="F190" s="48" t="s">
        <v>629</v>
      </c>
      <c r="G190" s="52">
        <v>0.4</v>
      </c>
      <c r="H190" s="49" t="s">
        <v>219</v>
      </c>
      <c r="I190" s="53" t="s">
        <v>220</v>
      </c>
      <c r="J190" s="49" t="s">
        <v>121</v>
      </c>
      <c r="K190" s="49"/>
      <c r="L190" s="54"/>
      <c r="M190" s="55"/>
      <c r="N190" s="55"/>
      <c r="O190" s="48"/>
      <c r="P190" s="49" t="s">
        <v>221</v>
      </c>
      <c r="Q190" s="49"/>
      <c r="R190" s="48"/>
      <c r="S190" s="48"/>
      <c r="T190" s="48"/>
      <c r="U190" s="48"/>
      <c r="V190" s="48"/>
      <c r="W190" s="56"/>
      <c r="X190" s="48"/>
      <c r="Y190" s="48"/>
      <c r="Z190" s="48"/>
      <c r="AA190" s="48"/>
      <c r="AB190" s="48"/>
      <c r="AC190" s="48"/>
      <c r="AD190" s="48"/>
      <c r="AE190" s="57" t="b">
        <v>1</v>
      </c>
      <c r="AF190" s="48"/>
    </row>
    <row r="191" ht="15.75" customHeight="1">
      <c r="A191" s="48" t="s">
        <v>630</v>
      </c>
      <c r="B191" s="49" t="s">
        <v>232</v>
      </c>
      <c r="C191" s="50">
        <v>0.625</v>
      </c>
      <c r="D191" s="51"/>
      <c r="E191" s="51"/>
      <c r="F191" s="48" t="s">
        <v>631</v>
      </c>
      <c r="G191" s="52">
        <v>0.5</v>
      </c>
      <c r="H191" s="49" t="s">
        <v>219</v>
      </c>
      <c r="I191" s="53" t="s">
        <v>220</v>
      </c>
      <c r="J191" s="49" t="s">
        <v>121</v>
      </c>
      <c r="K191" s="49"/>
      <c r="L191" s="59"/>
      <c r="M191" s="55"/>
      <c r="N191" s="55"/>
      <c r="O191" s="48"/>
      <c r="P191" s="49" t="s">
        <v>221</v>
      </c>
      <c r="Q191" s="49"/>
      <c r="R191" s="48"/>
      <c r="S191" s="48"/>
      <c r="T191" s="48"/>
      <c r="U191" s="48"/>
      <c r="V191" s="48"/>
      <c r="W191" s="60"/>
      <c r="X191" s="48"/>
      <c r="Y191" s="48"/>
      <c r="Z191" s="48"/>
      <c r="AA191" s="48"/>
      <c r="AB191" s="48"/>
      <c r="AC191" s="48"/>
      <c r="AD191" s="48"/>
      <c r="AE191" s="57" t="b">
        <v>1</v>
      </c>
      <c r="AF191" s="48"/>
    </row>
    <row r="192" ht="15.75" customHeight="1">
      <c r="A192" s="48" t="s">
        <v>632</v>
      </c>
      <c r="B192" s="49" t="s">
        <v>271</v>
      </c>
      <c r="C192" s="50">
        <v>0.625</v>
      </c>
      <c r="D192" s="51"/>
      <c r="E192" s="51"/>
      <c r="F192" s="48" t="s">
        <v>633</v>
      </c>
      <c r="G192" s="52">
        <v>0.3</v>
      </c>
      <c r="H192" s="49" t="s">
        <v>219</v>
      </c>
      <c r="I192" s="53" t="s">
        <v>220</v>
      </c>
      <c r="J192" s="49" t="s">
        <v>121</v>
      </c>
      <c r="K192" s="49"/>
      <c r="L192" s="54"/>
      <c r="M192" s="55"/>
      <c r="N192" s="55"/>
      <c r="O192" s="48"/>
      <c r="P192" s="49" t="s">
        <v>221</v>
      </c>
      <c r="Q192" s="49"/>
      <c r="R192" s="48"/>
      <c r="S192" s="48"/>
      <c r="T192" s="48"/>
      <c r="U192" s="48"/>
      <c r="V192" s="48"/>
      <c r="W192" s="56"/>
      <c r="X192" s="48"/>
      <c r="Y192" s="48"/>
      <c r="Z192" s="48"/>
      <c r="AA192" s="48"/>
      <c r="AB192" s="48"/>
      <c r="AC192" s="48"/>
      <c r="AD192" s="48"/>
      <c r="AE192" s="57" t="b">
        <v>1</v>
      </c>
      <c r="AF192" s="48"/>
    </row>
    <row r="193" ht="15.75" customHeight="1">
      <c r="A193" s="48" t="s">
        <v>634</v>
      </c>
      <c r="B193" s="49" t="s">
        <v>276</v>
      </c>
      <c r="C193" s="50">
        <v>0.625</v>
      </c>
      <c r="D193" s="51"/>
      <c r="E193" s="51"/>
      <c r="F193" s="48" t="s">
        <v>635</v>
      </c>
      <c r="G193" s="52">
        <v>0.4</v>
      </c>
      <c r="H193" s="49" t="s">
        <v>219</v>
      </c>
      <c r="I193" s="53" t="s">
        <v>220</v>
      </c>
      <c r="J193" s="49" t="s">
        <v>121</v>
      </c>
      <c r="K193" s="49"/>
      <c r="L193" s="59"/>
      <c r="M193" s="55"/>
      <c r="N193" s="55"/>
      <c r="O193" s="48"/>
      <c r="P193" s="49" t="s">
        <v>221</v>
      </c>
      <c r="Q193" s="49"/>
      <c r="R193" s="48"/>
      <c r="S193" s="48"/>
      <c r="T193" s="48"/>
      <c r="U193" s="48"/>
      <c r="V193" s="48"/>
      <c r="W193" s="60"/>
      <c r="X193" s="48"/>
      <c r="Y193" s="48"/>
      <c r="Z193" s="48"/>
      <c r="AA193" s="48"/>
      <c r="AB193" s="48"/>
      <c r="AC193" s="48"/>
      <c r="AD193" s="48"/>
      <c r="AE193" s="57" t="b">
        <v>1</v>
      </c>
      <c r="AF193" s="48"/>
    </row>
    <row r="194" ht="15.75" customHeight="1">
      <c r="A194" s="48" t="s">
        <v>636</v>
      </c>
      <c r="B194" s="49" t="s">
        <v>271</v>
      </c>
      <c r="C194" s="50">
        <v>0.625</v>
      </c>
      <c r="D194" s="51"/>
      <c r="E194" s="51"/>
      <c r="F194" s="48" t="s">
        <v>637</v>
      </c>
      <c r="G194" s="52">
        <v>1.8</v>
      </c>
      <c r="H194" s="49" t="s">
        <v>219</v>
      </c>
      <c r="I194" s="53" t="s">
        <v>220</v>
      </c>
      <c r="J194" s="49" t="s">
        <v>121</v>
      </c>
      <c r="K194" s="49"/>
      <c r="L194" s="54"/>
      <c r="M194" s="55"/>
      <c r="N194" s="55"/>
      <c r="O194" s="48"/>
      <c r="P194" s="49" t="s">
        <v>221</v>
      </c>
      <c r="Q194" s="49"/>
      <c r="R194" s="48"/>
      <c r="S194" s="48"/>
      <c r="T194" s="48"/>
      <c r="U194" s="48"/>
      <c r="V194" s="48"/>
      <c r="W194" s="56"/>
      <c r="X194" s="48"/>
      <c r="Y194" s="48"/>
      <c r="Z194" s="48"/>
      <c r="AA194" s="48"/>
      <c r="AB194" s="48"/>
      <c r="AC194" s="48"/>
      <c r="AD194" s="48"/>
      <c r="AE194" s="57" t="b">
        <v>1</v>
      </c>
      <c r="AF194" s="48"/>
    </row>
    <row r="195" ht="15.75" customHeight="1">
      <c r="A195" s="48" t="s">
        <v>638</v>
      </c>
      <c r="B195" s="49" t="s">
        <v>276</v>
      </c>
      <c r="C195" s="50">
        <v>0.625</v>
      </c>
      <c r="D195" s="51"/>
      <c r="E195" s="51"/>
      <c r="F195" s="48" t="s">
        <v>639</v>
      </c>
      <c r="G195" s="52">
        <v>0.3</v>
      </c>
      <c r="H195" s="49" t="s">
        <v>219</v>
      </c>
      <c r="I195" s="53" t="s">
        <v>220</v>
      </c>
      <c r="J195" s="49" t="s">
        <v>121</v>
      </c>
      <c r="K195" s="49"/>
      <c r="L195" s="59"/>
      <c r="M195" s="55"/>
      <c r="N195" s="55"/>
      <c r="O195" s="48"/>
      <c r="P195" s="49" t="s">
        <v>221</v>
      </c>
      <c r="Q195" s="49"/>
      <c r="R195" s="48"/>
      <c r="S195" s="48"/>
      <c r="T195" s="48"/>
      <c r="U195" s="48"/>
      <c r="V195" s="48"/>
      <c r="W195" s="60"/>
      <c r="X195" s="48"/>
      <c r="Y195" s="48"/>
      <c r="Z195" s="48"/>
      <c r="AA195" s="48"/>
      <c r="AB195" s="48"/>
      <c r="AC195" s="48"/>
      <c r="AD195" s="48"/>
      <c r="AE195" s="57" t="b">
        <v>1</v>
      </c>
      <c r="AF195" s="48"/>
    </row>
    <row r="196" ht="15.75" customHeight="1">
      <c r="A196" s="48" t="s">
        <v>640</v>
      </c>
      <c r="B196" s="49" t="s">
        <v>232</v>
      </c>
      <c r="C196" s="50">
        <v>0.6666666666666666</v>
      </c>
      <c r="D196" s="51"/>
      <c r="E196" s="51"/>
      <c r="F196" s="48" t="s">
        <v>641</v>
      </c>
      <c r="G196" s="52">
        <v>2.5</v>
      </c>
      <c r="H196" s="49" t="s">
        <v>219</v>
      </c>
      <c r="I196" s="53" t="s">
        <v>237</v>
      </c>
      <c r="J196" s="49" t="s">
        <v>117</v>
      </c>
      <c r="K196" s="49" t="s">
        <v>238</v>
      </c>
      <c r="L196" s="54"/>
      <c r="M196" s="55"/>
      <c r="N196" s="55"/>
      <c r="O196" s="48"/>
      <c r="P196" s="49" t="s">
        <v>265</v>
      </c>
      <c r="Q196" s="49" t="s">
        <v>240</v>
      </c>
      <c r="R196" s="48"/>
      <c r="S196" s="48"/>
      <c r="T196" s="48"/>
      <c r="U196" s="48"/>
      <c r="V196" s="48"/>
      <c r="W196" s="56"/>
      <c r="X196" s="48"/>
      <c r="Y196" s="48"/>
      <c r="Z196" s="48"/>
      <c r="AA196" s="48"/>
      <c r="AB196" s="48"/>
      <c r="AC196" s="48"/>
      <c r="AD196" s="48"/>
      <c r="AE196" s="57" t="b">
        <v>1</v>
      </c>
      <c r="AF196" s="48"/>
    </row>
    <row r="197" ht="15.75" customHeight="1">
      <c r="A197" s="48" t="s">
        <v>642</v>
      </c>
      <c r="B197" s="49" t="s">
        <v>232</v>
      </c>
      <c r="C197" s="50">
        <v>0.6666666666666666</v>
      </c>
      <c r="D197" s="51"/>
      <c r="E197" s="51"/>
      <c r="F197" s="48" t="s">
        <v>643</v>
      </c>
      <c r="G197" s="52">
        <v>2.5</v>
      </c>
      <c r="H197" s="49" t="s">
        <v>219</v>
      </c>
      <c r="I197" s="53" t="s">
        <v>237</v>
      </c>
      <c r="J197" s="49" t="s">
        <v>117</v>
      </c>
      <c r="K197" s="49" t="s">
        <v>238</v>
      </c>
      <c r="L197" s="59"/>
      <c r="M197" s="55"/>
      <c r="N197" s="55"/>
      <c r="O197" s="48"/>
      <c r="P197" s="49" t="s">
        <v>265</v>
      </c>
      <c r="Q197" s="49" t="s">
        <v>240</v>
      </c>
      <c r="R197" s="48"/>
      <c r="S197" s="48"/>
      <c r="T197" s="48"/>
      <c r="U197" s="48"/>
      <c r="V197" s="48"/>
      <c r="W197" s="60"/>
      <c r="X197" s="48"/>
      <c r="Y197" s="48"/>
      <c r="Z197" s="48"/>
      <c r="AA197" s="48"/>
      <c r="AB197" s="48"/>
      <c r="AC197" s="48"/>
      <c r="AD197" s="48"/>
      <c r="AE197" s="57" t="b">
        <v>1</v>
      </c>
      <c r="AF197" s="48"/>
    </row>
    <row r="198" ht="15.75" customHeight="1">
      <c r="A198" s="48" t="s">
        <v>644</v>
      </c>
      <c r="B198" s="49" t="s">
        <v>232</v>
      </c>
      <c r="C198" s="50">
        <v>0.6666666666666666</v>
      </c>
      <c r="D198" s="51"/>
      <c r="E198" s="51"/>
      <c r="F198" s="48" t="s">
        <v>645</v>
      </c>
      <c r="G198" s="52">
        <v>2.5</v>
      </c>
      <c r="H198" s="49" t="s">
        <v>219</v>
      </c>
      <c r="I198" s="53" t="s">
        <v>245</v>
      </c>
      <c r="J198" s="49" t="s">
        <v>117</v>
      </c>
      <c r="K198" s="49" t="s">
        <v>238</v>
      </c>
      <c r="L198" s="54"/>
      <c r="M198" s="55"/>
      <c r="N198" s="55"/>
      <c r="O198" s="48"/>
      <c r="P198" s="49" t="s">
        <v>265</v>
      </c>
      <c r="Q198" s="49" t="s">
        <v>240</v>
      </c>
      <c r="R198" s="48"/>
      <c r="S198" s="48"/>
      <c r="T198" s="48"/>
      <c r="U198" s="48"/>
      <c r="V198" s="48"/>
      <c r="W198" s="56"/>
      <c r="X198" s="48"/>
      <c r="Y198" s="48"/>
      <c r="Z198" s="48"/>
      <c r="AA198" s="48"/>
      <c r="AB198" s="48"/>
      <c r="AC198" s="48"/>
      <c r="AD198" s="48"/>
      <c r="AE198" s="57" t="b">
        <v>1</v>
      </c>
      <c r="AF198" s="48"/>
    </row>
    <row r="199" ht="15.75" customHeight="1">
      <c r="A199" s="48" t="s">
        <v>646</v>
      </c>
      <c r="B199" s="49" t="s">
        <v>232</v>
      </c>
      <c r="C199" s="50">
        <v>0.6666666666666666</v>
      </c>
      <c r="D199" s="51"/>
      <c r="E199" s="51"/>
      <c r="F199" s="48" t="s">
        <v>647</v>
      </c>
      <c r="G199" s="52">
        <v>2.5</v>
      </c>
      <c r="H199" s="49" t="s">
        <v>219</v>
      </c>
      <c r="I199" s="53" t="s">
        <v>245</v>
      </c>
      <c r="J199" s="49" t="s">
        <v>117</v>
      </c>
      <c r="K199" s="49" t="s">
        <v>238</v>
      </c>
      <c r="L199" s="59"/>
      <c r="M199" s="55"/>
      <c r="N199" s="55"/>
      <c r="O199" s="48"/>
      <c r="P199" s="49" t="s">
        <v>265</v>
      </c>
      <c r="Q199" s="49" t="s">
        <v>240</v>
      </c>
      <c r="R199" s="48"/>
      <c r="S199" s="48"/>
      <c r="T199" s="48"/>
      <c r="U199" s="48"/>
      <c r="V199" s="48"/>
      <c r="W199" s="60"/>
      <c r="X199" s="48"/>
      <c r="Y199" s="48"/>
      <c r="Z199" s="48"/>
      <c r="AA199" s="48"/>
      <c r="AB199" s="48"/>
      <c r="AC199" s="48"/>
      <c r="AD199" s="48"/>
      <c r="AE199" s="57" t="b">
        <v>1</v>
      </c>
      <c r="AF199" s="48"/>
    </row>
    <row r="200" ht="15.75" customHeight="1">
      <c r="A200" s="48" t="s">
        <v>648</v>
      </c>
      <c r="B200" s="49" t="s">
        <v>232</v>
      </c>
      <c r="C200" s="50">
        <v>0.6666666666666666</v>
      </c>
      <c r="D200" s="51"/>
      <c r="E200" s="51"/>
      <c r="F200" s="48" t="s">
        <v>649</v>
      </c>
      <c r="G200" s="52">
        <v>2.5</v>
      </c>
      <c r="H200" s="49" t="s">
        <v>219</v>
      </c>
      <c r="I200" s="53" t="s">
        <v>250</v>
      </c>
      <c r="J200" s="49" t="s">
        <v>117</v>
      </c>
      <c r="K200" s="49" t="s">
        <v>238</v>
      </c>
      <c r="L200" s="54"/>
      <c r="M200" s="55"/>
      <c r="N200" s="55"/>
      <c r="O200" s="48"/>
      <c r="P200" s="49" t="s">
        <v>265</v>
      </c>
      <c r="Q200" s="49" t="s">
        <v>240</v>
      </c>
      <c r="R200" s="48"/>
      <c r="S200" s="48"/>
      <c r="T200" s="48"/>
      <c r="U200" s="48"/>
      <c r="V200" s="48"/>
      <c r="W200" s="56"/>
      <c r="X200" s="48"/>
      <c r="Y200" s="48"/>
      <c r="Z200" s="48"/>
      <c r="AA200" s="48"/>
      <c r="AB200" s="48"/>
      <c r="AC200" s="48"/>
      <c r="AD200" s="48"/>
      <c r="AE200" s="57" t="b">
        <v>1</v>
      </c>
      <c r="AF200" s="48"/>
    </row>
    <row r="201" ht="15.75" customHeight="1">
      <c r="A201" s="48" t="s">
        <v>650</v>
      </c>
      <c r="B201" s="49" t="s">
        <v>232</v>
      </c>
      <c r="C201" s="50">
        <v>0.6666666666666666</v>
      </c>
      <c r="D201" s="51"/>
      <c r="E201" s="51"/>
      <c r="F201" s="48" t="s">
        <v>651</v>
      </c>
      <c r="G201" s="52">
        <v>2.5</v>
      </c>
      <c r="H201" s="49" t="s">
        <v>219</v>
      </c>
      <c r="I201" s="53" t="s">
        <v>250</v>
      </c>
      <c r="J201" s="49" t="s">
        <v>117</v>
      </c>
      <c r="K201" s="49" t="s">
        <v>238</v>
      </c>
      <c r="L201" s="59"/>
      <c r="M201" s="55"/>
      <c r="N201" s="55"/>
      <c r="O201" s="48"/>
      <c r="P201" s="49" t="s">
        <v>239</v>
      </c>
      <c r="Q201" s="49" t="s">
        <v>240</v>
      </c>
      <c r="R201" s="48"/>
      <c r="S201" s="48"/>
      <c r="T201" s="48"/>
      <c r="U201" s="48"/>
      <c r="V201" s="48"/>
      <c r="W201" s="60"/>
      <c r="X201" s="48"/>
      <c r="Y201" s="48"/>
      <c r="Z201" s="48"/>
      <c r="AA201" s="48"/>
      <c r="AB201" s="48"/>
      <c r="AC201" s="48"/>
      <c r="AD201" s="48"/>
      <c r="AE201" s="57" t="b">
        <v>1</v>
      </c>
      <c r="AF201" s="48"/>
    </row>
    <row r="202" ht="15.75" customHeight="1">
      <c r="A202" s="48" t="s">
        <v>652</v>
      </c>
      <c r="B202" s="49" t="s">
        <v>232</v>
      </c>
      <c r="C202" s="50">
        <v>0.6666666666666666</v>
      </c>
      <c r="D202" s="51"/>
      <c r="E202" s="51"/>
      <c r="F202" s="48" t="s">
        <v>653</v>
      </c>
      <c r="G202" s="52">
        <v>2.5</v>
      </c>
      <c r="H202" s="49" t="s">
        <v>219</v>
      </c>
      <c r="I202" s="53" t="s">
        <v>250</v>
      </c>
      <c r="J202" s="49" t="s">
        <v>117</v>
      </c>
      <c r="K202" s="49" t="s">
        <v>238</v>
      </c>
      <c r="L202" s="54"/>
      <c r="M202" s="55"/>
      <c r="N202" s="55"/>
      <c r="O202" s="48"/>
      <c r="P202" s="49" t="s">
        <v>265</v>
      </c>
      <c r="Q202" s="49" t="s">
        <v>240</v>
      </c>
      <c r="R202" s="48"/>
      <c r="S202" s="48"/>
      <c r="T202" s="48"/>
      <c r="U202" s="48"/>
      <c r="V202" s="48"/>
      <c r="W202" s="56"/>
      <c r="X202" s="48"/>
      <c r="Y202" s="48"/>
      <c r="Z202" s="48"/>
      <c r="AA202" s="48"/>
      <c r="AB202" s="48"/>
      <c r="AC202" s="48"/>
      <c r="AD202" s="48"/>
      <c r="AE202" s="57" t="b">
        <v>1</v>
      </c>
      <c r="AF202" s="48"/>
    </row>
    <row r="203" ht="15.75" customHeight="1">
      <c r="A203" s="48" t="s">
        <v>654</v>
      </c>
      <c r="B203" s="49" t="s">
        <v>259</v>
      </c>
      <c r="C203" s="50">
        <v>0.6666666666666666</v>
      </c>
      <c r="D203" s="51"/>
      <c r="E203" s="51"/>
      <c r="F203" s="48" t="s">
        <v>655</v>
      </c>
      <c r="G203" s="52">
        <v>0.5</v>
      </c>
      <c r="H203" s="49" t="s">
        <v>219</v>
      </c>
      <c r="I203" s="53" t="s">
        <v>220</v>
      </c>
      <c r="J203" s="49" t="s">
        <v>117</v>
      </c>
      <c r="K203" s="49"/>
      <c r="L203" s="59"/>
      <c r="M203" s="55"/>
      <c r="N203" s="55"/>
      <c r="O203" s="48"/>
      <c r="P203" s="49" t="s">
        <v>332</v>
      </c>
      <c r="Q203" s="49" t="s">
        <v>229</v>
      </c>
      <c r="R203" s="48"/>
      <c r="S203" s="48"/>
      <c r="T203" s="48"/>
      <c r="U203" s="48"/>
      <c r="V203" s="48"/>
      <c r="W203" s="60"/>
      <c r="X203" s="48"/>
      <c r="Y203" s="48"/>
      <c r="Z203" s="48"/>
      <c r="AA203" s="48"/>
      <c r="AB203" s="48"/>
      <c r="AC203" s="48"/>
      <c r="AD203" s="48"/>
      <c r="AE203" s="57" t="b">
        <v>1</v>
      </c>
      <c r="AF203" s="48"/>
    </row>
    <row r="204" ht="15.75" customHeight="1">
      <c r="A204" s="48" t="s">
        <v>656</v>
      </c>
      <c r="B204" s="49" t="s">
        <v>276</v>
      </c>
      <c r="C204" s="50">
        <v>0.6666666666666666</v>
      </c>
      <c r="D204" s="51"/>
      <c r="E204" s="51"/>
      <c r="F204" s="48" t="s">
        <v>657</v>
      </c>
      <c r="G204" s="52">
        <v>4.0</v>
      </c>
      <c r="H204" s="49" t="s">
        <v>219</v>
      </c>
      <c r="I204" s="53" t="s">
        <v>220</v>
      </c>
      <c r="J204" s="49" t="s">
        <v>121</v>
      </c>
      <c r="K204" s="49" t="s">
        <v>402</v>
      </c>
      <c r="L204" s="54"/>
      <c r="M204" s="55"/>
      <c r="N204" s="55"/>
      <c r="O204" s="48"/>
      <c r="P204" s="49" t="s">
        <v>240</v>
      </c>
      <c r="Q204" s="49" t="s">
        <v>265</v>
      </c>
      <c r="R204" s="48"/>
      <c r="S204" s="48"/>
      <c r="T204" s="48"/>
      <c r="U204" s="48"/>
      <c r="V204" s="48"/>
      <c r="W204" s="56"/>
      <c r="X204" s="48"/>
      <c r="Y204" s="48"/>
      <c r="Z204" s="48"/>
      <c r="AA204" s="48"/>
      <c r="AB204" s="48"/>
      <c r="AC204" s="48"/>
      <c r="AD204" s="48"/>
      <c r="AE204" s="57" t="b">
        <v>1</v>
      </c>
      <c r="AF204" s="48"/>
    </row>
    <row r="205" ht="15.75" customHeight="1">
      <c r="A205" s="48" t="s">
        <v>658</v>
      </c>
      <c r="B205" s="49" t="s">
        <v>217</v>
      </c>
      <c r="C205" s="50">
        <v>0.6666666666666666</v>
      </c>
      <c r="D205" s="51"/>
      <c r="E205" s="51"/>
      <c r="F205" s="48" t="s">
        <v>659</v>
      </c>
      <c r="G205" s="52">
        <v>1.0</v>
      </c>
      <c r="H205" s="49" t="s">
        <v>219</v>
      </c>
      <c r="I205" s="53" t="s">
        <v>220</v>
      </c>
      <c r="J205" s="49" t="s">
        <v>121</v>
      </c>
      <c r="K205" s="49"/>
      <c r="L205" s="59"/>
      <c r="M205" s="55"/>
      <c r="N205" s="55"/>
      <c r="O205" s="48"/>
      <c r="P205" s="49" t="s">
        <v>221</v>
      </c>
      <c r="Q205" s="49"/>
      <c r="R205" s="48"/>
      <c r="S205" s="48"/>
      <c r="T205" s="48"/>
      <c r="U205" s="48"/>
      <c r="V205" s="48"/>
      <c r="W205" s="60"/>
      <c r="X205" s="48"/>
      <c r="Y205" s="48"/>
      <c r="Z205" s="48"/>
      <c r="AA205" s="48"/>
      <c r="AB205" s="48"/>
      <c r="AC205" s="48"/>
      <c r="AD205" s="48"/>
      <c r="AE205" s="57" t="b">
        <v>1</v>
      </c>
      <c r="AF205" s="48"/>
    </row>
    <row r="206" ht="15.75" customHeight="1">
      <c r="A206" s="48" t="s">
        <v>660</v>
      </c>
      <c r="B206" s="49" t="s">
        <v>217</v>
      </c>
      <c r="C206" s="50">
        <v>0.6666666666666666</v>
      </c>
      <c r="D206" s="51"/>
      <c r="E206" s="51"/>
      <c r="F206" s="48" t="s">
        <v>661</v>
      </c>
      <c r="G206" s="52">
        <v>0.6</v>
      </c>
      <c r="H206" s="49" t="s">
        <v>219</v>
      </c>
      <c r="I206" s="53" t="s">
        <v>220</v>
      </c>
      <c r="J206" s="49" t="s">
        <v>121</v>
      </c>
      <c r="K206" s="49"/>
      <c r="L206" s="54"/>
      <c r="M206" s="55"/>
      <c r="N206" s="55"/>
      <c r="O206" s="48"/>
      <c r="P206" s="49" t="s">
        <v>221</v>
      </c>
      <c r="Q206" s="49"/>
      <c r="R206" s="48" t="s">
        <v>662</v>
      </c>
      <c r="S206" s="48" t="s">
        <v>663</v>
      </c>
      <c r="T206" s="48" t="s">
        <v>663</v>
      </c>
      <c r="U206" s="48" t="s">
        <v>663</v>
      </c>
      <c r="V206" s="48" t="s">
        <v>663</v>
      </c>
      <c r="W206" s="63" t="s">
        <v>663</v>
      </c>
      <c r="X206" s="48" t="s">
        <v>662</v>
      </c>
      <c r="Y206" s="48" t="s">
        <v>663</v>
      </c>
      <c r="Z206" s="48" t="s">
        <v>663</v>
      </c>
      <c r="AA206" s="48"/>
      <c r="AB206" s="48"/>
      <c r="AC206" s="48"/>
      <c r="AD206" s="48"/>
      <c r="AE206" s="57" t="b">
        <v>1</v>
      </c>
      <c r="AF206" s="48"/>
    </row>
    <row r="207" ht="15.75" customHeight="1">
      <c r="A207" s="48" t="s">
        <v>664</v>
      </c>
      <c r="B207" s="49" t="s">
        <v>263</v>
      </c>
      <c r="C207" s="50">
        <v>0.6666666666666666</v>
      </c>
      <c r="D207" s="51"/>
      <c r="E207" s="51"/>
      <c r="F207" s="48" t="s">
        <v>665</v>
      </c>
      <c r="G207" s="52">
        <v>1.7</v>
      </c>
      <c r="H207" s="49" t="s">
        <v>219</v>
      </c>
      <c r="I207" s="53" t="s">
        <v>220</v>
      </c>
      <c r="J207" s="49" t="s">
        <v>121</v>
      </c>
      <c r="K207" s="49"/>
      <c r="L207" s="59"/>
      <c r="M207" s="55"/>
      <c r="N207" s="55"/>
      <c r="O207" s="48"/>
      <c r="P207" s="49" t="s">
        <v>221</v>
      </c>
      <c r="Q207" s="49"/>
      <c r="R207" s="48"/>
      <c r="S207" s="48"/>
      <c r="T207" s="48"/>
      <c r="U207" s="48"/>
      <c r="V207" s="48"/>
      <c r="W207" s="60"/>
      <c r="X207" s="48"/>
      <c r="Y207" s="48"/>
      <c r="Z207" s="48"/>
      <c r="AA207" s="48"/>
      <c r="AB207" s="48"/>
      <c r="AC207" s="48"/>
      <c r="AD207" s="48"/>
      <c r="AE207" s="57" t="b">
        <v>1</v>
      </c>
      <c r="AF207" s="48"/>
    </row>
    <row r="208" ht="15.75" customHeight="1">
      <c r="A208" s="48" t="s">
        <v>666</v>
      </c>
      <c r="B208" s="49" t="s">
        <v>263</v>
      </c>
      <c r="C208" s="50">
        <v>0.6666666666666666</v>
      </c>
      <c r="D208" s="51"/>
      <c r="E208" s="51"/>
      <c r="F208" s="48" t="s">
        <v>667</v>
      </c>
      <c r="G208" s="52">
        <v>3.0</v>
      </c>
      <c r="H208" s="49" t="s">
        <v>219</v>
      </c>
      <c r="I208" s="53" t="s">
        <v>220</v>
      </c>
      <c r="J208" s="49" t="s">
        <v>121</v>
      </c>
      <c r="K208" s="49"/>
      <c r="L208" s="54"/>
      <c r="M208" s="55"/>
      <c r="N208" s="55"/>
      <c r="O208" s="48"/>
      <c r="P208" s="49" t="s">
        <v>221</v>
      </c>
      <c r="Q208" s="49"/>
      <c r="R208" s="48"/>
      <c r="S208" s="48"/>
      <c r="T208" s="48"/>
      <c r="U208" s="48"/>
      <c r="V208" s="48"/>
      <c r="W208" s="56"/>
      <c r="X208" s="48"/>
      <c r="Y208" s="48"/>
      <c r="Z208" s="48"/>
      <c r="AA208" s="48"/>
      <c r="AB208" s="48"/>
      <c r="AC208" s="48"/>
      <c r="AD208" s="48"/>
      <c r="AE208" s="57" t="b">
        <v>1</v>
      </c>
      <c r="AF208" s="48"/>
    </row>
    <row r="209" ht="15.75" customHeight="1">
      <c r="A209" s="48" t="s">
        <v>668</v>
      </c>
      <c r="B209" s="49" t="s">
        <v>263</v>
      </c>
      <c r="C209" s="50">
        <v>0.6666666666666666</v>
      </c>
      <c r="D209" s="51"/>
      <c r="E209" s="51"/>
      <c r="F209" s="48" t="s">
        <v>669</v>
      </c>
      <c r="G209" s="52">
        <v>1.0</v>
      </c>
      <c r="H209" s="49" t="s">
        <v>219</v>
      </c>
      <c r="I209" s="53" t="s">
        <v>220</v>
      </c>
      <c r="J209" s="49" t="s">
        <v>121</v>
      </c>
      <c r="K209" s="49"/>
      <c r="L209" s="59"/>
      <c r="M209" s="55"/>
      <c r="N209" s="55"/>
      <c r="O209" s="48"/>
      <c r="P209" s="49" t="s">
        <v>221</v>
      </c>
      <c r="Q209" s="49"/>
      <c r="R209" s="48"/>
      <c r="S209" s="48"/>
      <c r="T209" s="48"/>
      <c r="U209" s="48"/>
      <c r="V209" s="48"/>
      <c r="W209" s="60"/>
      <c r="X209" s="48"/>
      <c r="Y209" s="48"/>
      <c r="Z209" s="48"/>
      <c r="AA209" s="48"/>
      <c r="AB209" s="48"/>
      <c r="AC209" s="48"/>
      <c r="AD209" s="48"/>
      <c r="AE209" s="57" t="b">
        <v>1</v>
      </c>
      <c r="AF209" s="48"/>
    </row>
    <row r="210" ht="15.75" customHeight="1">
      <c r="A210" s="48" t="s">
        <v>670</v>
      </c>
      <c r="B210" s="49" t="s">
        <v>259</v>
      </c>
      <c r="C210" s="50">
        <v>0.6666666666666666</v>
      </c>
      <c r="D210" s="51"/>
      <c r="E210" s="51"/>
      <c r="F210" s="48" t="s">
        <v>671</v>
      </c>
      <c r="G210" s="52">
        <v>2.1</v>
      </c>
      <c r="H210" s="49" t="s">
        <v>219</v>
      </c>
      <c r="I210" s="53" t="s">
        <v>220</v>
      </c>
      <c r="J210" s="49" t="s">
        <v>121</v>
      </c>
      <c r="K210" s="49"/>
      <c r="L210" s="54"/>
      <c r="M210" s="55"/>
      <c r="N210" s="55"/>
      <c r="O210" s="48"/>
      <c r="P210" s="49" t="s">
        <v>221</v>
      </c>
      <c r="Q210" s="49"/>
      <c r="R210" s="48"/>
      <c r="S210" s="48"/>
      <c r="T210" s="48"/>
      <c r="U210" s="48"/>
      <c r="V210" s="48"/>
      <c r="W210" s="56"/>
      <c r="X210" s="48"/>
      <c r="Y210" s="48"/>
      <c r="Z210" s="48"/>
      <c r="AA210" s="48"/>
      <c r="AB210" s="48"/>
      <c r="AC210" s="48"/>
      <c r="AD210" s="48"/>
      <c r="AE210" s="57" t="b">
        <v>1</v>
      </c>
      <c r="AF210" s="48"/>
    </row>
    <row r="211" ht="15.75" customHeight="1">
      <c r="A211" s="48" t="s">
        <v>672</v>
      </c>
      <c r="B211" s="49" t="s">
        <v>271</v>
      </c>
      <c r="C211" s="50">
        <v>0.6666666666666666</v>
      </c>
      <c r="D211" s="51"/>
      <c r="E211" s="51"/>
      <c r="F211" s="48" t="s">
        <v>673</v>
      </c>
      <c r="G211" s="52">
        <v>1.0</v>
      </c>
      <c r="H211" s="49" t="s">
        <v>219</v>
      </c>
      <c r="I211" s="53" t="s">
        <v>220</v>
      </c>
      <c r="J211" s="49" t="s">
        <v>121</v>
      </c>
      <c r="K211" s="49"/>
      <c r="L211" s="59"/>
      <c r="M211" s="55"/>
      <c r="N211" s="55"/>
      <c r="O211" s="48"/>
      <c r="P211" s="49" t="s">
        <v>221</v>
      </c>
      <c r="Q211" s="49"/>
      <c r="R211" s="48"/>
      <c r="S211" s="48"/>
      <c r="T211" s="48"/>
      <c r="U211" s="48"/>
      <c r="V211" s="48"/>
      <c r="W211" s="60"/>
      <c r="X211" s="48"/>
      <c r="Y211" s="48"/>
      <c r="Z211" s="48"/>
      <c r="AA211" s="48"/>
      <c r="AB211" s="48"/>
      <c r="AC211" s="48"/>
      <c r="AD211" s="48"/>
      <c r="AE211" s="57" t="b">
        <v>1</v>
      </c>
      <c r="AF211" s="48"/>
    </row>
    <row r="212" ht="15.75" customHeight="1">
      <c r="A212" s="48" t="s">
        <v>674</v>
      </c>
      <c r="B212" s="49" t="s">
        <v>271</v>
      </c>
      <c r="C212" s="50">
        <v>0.6666666666666666</v>
      </c>
      <c r="D212" s="51"/>
      <c r="E212" s="51"/>
      <c r="F212" s="48" t="s">
        <v>675</v>
      </c>
      <c r="G212" s="52">
        <v>2.8</v>
      </c>
      <c r="H212" s="49" t="s">
        <v>219</v>
      </c>
      <c r="I212" s="53" t="s">
        <v>220</v>
      </c>
      <c r="J212" s="49" t="s">
        <v>121</v>
      </c>
      <c r="K212" s="49"/>
      <c r="L212" s="54"/>
      <c r="M212" s="55"/>
      <c r="N212" s="55"/>
      <c r="O212" s="48"/>
      <c r="P212" s="49" t="s">
        <v>221</v>
      </c>
      <c r="Q212" s="49"/>
      <c r="R212" s="48"/>
      <c r="S212" s="48"/>
      <c r="T212" s="48"/>
      <c r="U212" s="48"/>
      <c r="V212" s="48"/>
      <c r="W212" s="56"/>
      <c r="X212" s="48"/>
      <c r="Y212" s="48"/>
      <c r="Z212" s="48"/>
      <c r="AA212" s="48"/>
      <c r="AB212" s="48"/>
      <c r="AC212" s="48"/>
      <c r="AD212" s="48"/>
      <c r="AE212" s="57" t="b">
        <v>1</v>
      </c>
      <c r="AF212" s="48"/>
    </row>
    <row r="213" ht="15.75" customHeight="1">
      <c r="A213" s="48" t="s">
        <v>676</v>
      </c>
      <c r="B213" s="49" t="s">
        <v>217</v>
      </c>
      <c r="C213" s="50">
        <v>0.7083333333333334</v>
      </c>
      <c r="D213" s="51"/>
      <c r="E213" s="51"/>
      <c r="F213" s="48" t="s">
        <v>677</v>
      </c>
      <c r="G213" s="52">
        <v>2.1</v>
      </c>
      <c r="H213" s="49" t="s">
        <v>219</v>
      </c>
      <c r="I213" s="53" t="s">
        <v>320</v>
      </c>
      <c r="J213" s="49" t="s">
        <v>121</v>
      </c>
      <c r="K213" s="49"/>
      <c r="L213" s="59"/>
      <c r="M213" s="55"/>
      <c r="N213" s="55"/>
      <c r="O213" s="48"/>
      <c r="P213" s="49" t="s">
        <v>229</v>
      </c>
      <c r="Q213" s="49" t="s">
        <v>230</v>
      </c>
      <c r="R213" s="48"/>
      <c r="S213" s="48"/>
      <c r="T213" s="48"/>
      <c r="U213" s="48"/>
      <c r="V213" s="48"/>
      <c r="W213" s="60"/>
      <c r="X213" s="48"/>
      <c r="Y213" s="48"/>
      <c r="Z213" s="48"/>
      <c r="AA213" s="48"/>
      <c r="AB213" s="48"/>
      <c r="AC213" s="48"/>
      <c r="AD213" s="48"/>
      <c r="AE213" s="57" t="b">
        <v>1</v>
      </c>
      <c r="AF213" s="48"/>
    </row>
    <row r="214" ht="15.75" customHeight="1">
      <c r="A214" s="48" t="s">
        <v>678</v>
      </c>
      <c r="B214" s="49" t="s">
        <v>276</v>
      </c>
      <c r="C214" s="50">
        <v>0.7083333333333334</v>
      </c>
      <c r="D214" s="51"/>
      <c r="E214" s="51"/>
      <c r="F214" s="48" t="s">
        <v>679</v>
      </c>
      <c r="G214" s="52">
        <v>0.2</v>
      </c>
      <c r="H214" s="49" t="s">
        <v>219</v>
      </c>
      <c r="I214" s="53" t="s">
        <v>320</v>
      </c>
      <c r="J214" s="49" t="s">
        <v>121</v>
      </c>
      <c r="K214" s="49"/>
      <c r="L214" s="54"/>
      <c r="M214" s="55"/>
      <c r="N214" s="55"/>
      <c r="O214" s="48"/>
      <c r="P214" s="49" t="s">
        <v>229</v>
      </c>
      <c r="Q214" s="49" t="s">
        <v>332</v>
      </c>
      <c r="R214" s="48"/>
      <c r="S214" s="48"/>
      <c r="T214" s="48"/>
      <c r="U214" s="48"/>
      <c r="V214" s="48"/>
      <c r="W214" s="56"/>
      <c r="X214" s="48"/>
      <c r="Y214" s="48"/>
      <c r="Z214" s="48"/>
      <c r="AA214" s="48"/>
      <c r="AB214" s="48"/>
      <c r="AC214" s="48"/>
      <c r="AD214" s="48"/>
      <c r="AE214" s="57" t="b">
        <v>1</v>
      </c>
      <c r="AF214" s="48"/>
    </row>
    <row r="215" ht="15.75" customHeight="1">
      <c r="A215" s="48" t="s">
        <v>680</v>
      </c>
      <c r="B215" s="49" t="s">
        <v>276</v>
      </c>
      <c r="C215" s="50">
        <v>0.7083333333333334</v>
      </c>
      <c r="D215" s="51"/>
      <c r="E215" s="51"/>
      <c r="F215" s="48" t="s">
        <v>681</v>
      </c>
      <c r="G215" s="52">
        <v>0.1</v>
      </c>
      <c r="H215" s="49" t="s">
        <v>219</v>
      </c>
      <c r="I215" s="53" t="s">
        <v>320</v>
      </c>
      <c r="J215" s="49" t="s">
        <v>121</v>
      </c>
      <c r="K215" s="49"/>
      <c r="L215" s="59"/>
      <c r="M215" s="55"/>
      <c r="N215" s="55"/>
      <c r="O215" s="48"/>
      <c r="P215" s="49" t="s">
        <v>229</v>
      </c>
      <c r="Q215" s="49" t="s">
        <v>332</v>
      </c>
      <c r="R215" s="48"/>
      <c r="S215" s="48"/>
      <c r="T215" s="48"/>
      <c r="U215" s="48"/>
      <c r="V215" s="48"/>
      <c r="W215" s="60"/>
      <c r="X215" s="48"/>
      <c r="Y215" s="48"/>
      <c r="Z215" s="48"/>
      <c r="AA215" s="48"/>
      <c r="AB215" s="48"/>
      <c r="AC215" s="48"/>
      <c r="AD215" s="48"/>
      <c r="AE215" s="57" t="b">
        <v>1</v>
      </c>
      <c r="AF215" s="48"/>
    </row>
    <row r="216" ht="15.75" customHeight="1">
      <c r="A216" s="48" t="s">
        <v>682</v>
      </c>
      <c r="B216" s="49" t="s">
        <v>276</v>
      </c>
      <c r="C216" s="50">
        <v>0.7083333333333334</v>
      </c>
      <c r="D216" s="51"/>
      <c r="E216" s="51"/>
      <c r="F216" s="48" t="s">
        <v>683</v>
      </c>
      <c r="G216" s="52">
        <v>0.1</v>
      </c>
      <c r="H216" s="49" t="s">
        <v>219</v>
      </c>
      <c r="I216" s="53" t="s">
        <v>320</v>
      </c>
      <c r="J216" s="49" t="s">
        <v>121</v>
      </c>
      <c r="K216" s="49"/>
      <c r="L216" s="54"/>
      <c r="M216" s="55"/>
      <c r="N216" s="55"/>
      <c r="O216" s="48"/>
      <c r="P216" s="49" t="s">
        <v>229</v>
      </c>
      <c r="Q216" s="49" t="s">
        <v>332</v>
      </c>
      <c r="R216" s="48"/>
      <c r="S216" s="48"/>
      <c r="T216" s="48"/>
      <c r="U216" s="48"/>
      <c r="V216" s="48"/>
      <c r="W216" s="56"/>
      <c r="X216" s="48"/>
      <c r="Y216" s="48"/>
      <c r="Z216" s="48"/>
      <c r="AA216" s="48"/>
      <c r="AB216" s="48"/>
      <c r="AC216" s="48"/>
      <c r="AD216" s="48"/>
      <c r="AE216" s="57" t="b">
        <v>1</v>
      </c>
      <c r="AF216" s="48"/>
    </row>
    <row r="217" ht="15.75" customHeight="1">
      <c r="A217" s="48" t="s">
        <v>684</v>
      </c>
      <c r="B217" s="49" t="s">
        <v>276</v>
      </c>
      <c r="C217" s="50">
        <v>0.7083333333333334</v>
      </c>
      <c r="D217" s="51"/>
      <c r="E217" s="51"/>
      <c r="F217" s="48" t="s">
        <v>685</v>
      </c>
      <c r="G217" s="52">
        <v>0.7</v>
      </c>
      <c r="H217" s="49" t="s">
        <v>219</v>
      </c>
      <c r="I217" s="53" t="s">
        <v>228</v>
      </c>
      <c r="J217" s="49" t="s">
        <v>121</v>
      </c>
      <c r="K217" s="49"/>
      <c r="L217" s="59"/>
      <c r="M217" s="55"/>
      <c r="N217" s="55"/>
      <c r="O217" s="48"/>
      <c r="P217" s="49" t="s">
        <v>229</v>
      </c>
      <c r="Q217" s="49" t="s">
        <v>230</v>
      </c>
      <c r="R217" s="48"/>
      <c r="S217" s="48"/>
      <c r="T217" s="48"/>
      <c r="U217" s="48"/>
      <c r="V217" s="48"/>
      <c r="W217" s="60"/>
      <c r="X217" s="48"/>
      <c r="Y217" s="48"/>
      <c r="Z217" s="48"/>
      <c r="AA217" s="48"/>
      <c r="AB217" s="48"/>
      <c r="AC217" s="48"/>
      <c r="AD217" s="48"/>
      <c r="AE217" s="57" t="b">
        <v>1</v>
      </c>
      <c r="AF217" s="48"/>
    </row>
    <row r="218" ht="15.75" customHeight="1">
      <c r="A218" s="48" t="s">
        <v>686</v>
      </c>
      <c r="B218" s="49" t="s">
        <v>226</v>
      </c>
      <c r="C218" s="50">
        <v>0.7083333333333334</v>
      </c>
      <c r="D218" s="51"/>
      <c r="E218" s="51"/>
      <c r="F218" s="48" t="s">
        <v>687</v>
      </c>
      <c r="G218" s="52">
        <v>0.2</v>
      </c>
      <c r="H218" s="49" t="s">
        <v>219</v>
      </c>
      <c r="I218" s="53" t="s">
        <v>228</v>
      </c>
      <c r="J218" s="49" t="s">
        <v>121</v>
      </c>
      <c r="K218" s="49"/>
      <c r="L218" s="54"/>
      <c r="M218" s="55"/>
      <c r="N218" s="55"/>
      <c r="O218" s="48"/>
      <c r="P218" s="49" t="s">
        <v>229</v>
      </c>
      <c r="Q218" s="49" t="s">
        <v>230</v>
      </c>
      <c r="R218" s="48"/>
      <c r="S218" s="48"/>
      <c r="T218" s="48"/>
      <c r="U218" s="48"/>
      <c r="V218" s="48"/>
      <c r="W218" s="56"/>
      <c r="X218" s="48"/>
      <c r="Y218" s="48"/>
      <c r="Z218" s="48"/>
      <c r="AA218" s="48"/>
      <c r="AB218" s="48"/>
      <c r="AC218" s="48"/>
      <c r="AD218" s="48"/>
      <c r="AE218" s="57" t="b">
        <v>1</v>
      </c>
      <c r="AF218" s="48"/>
    </row>
    <row r="219" ht="15.75" customHeight="1">
      <c r="A219" s="48" t="s">
        <v>688</v>
      </c>
      <c r="B219" s="49" t="s">
        <v>217</v>
      </c>
      <c r="C219" s="50">
        <v>0.7083333333333334</v>
      </c>
      <c r="D219" s="51"/>
      <c r="E219" s="51"/>
      <c r="F219" s="48" t="s">
        <v>689</v>
      </c>
      <c r="G219" s="52">
        <v>0.2</v>
      </c>
      <c r="H219" s="49" t="s">
        <v>219</v>
      </c>
      <c r="I219" s="53" t="s">
        <v>228</v>
      </c>
      <c r="J219" s="49" t="s">
        <v>121</v>
      </c>
      <c r="K219" s="49"/>
      <c r="L219" s="59"/>
      <c r="M219" s="55"/>
      <c r="N219" s="55"/>
      <c r="O219" s="48"/>
      <c r="P219" s="49" t="s">
        <v>229</v>
      </c>
      <c r="Q219" s="49" t="s">
        <v>230</v>
      </c>
      <c r="R219" s="48"/>
      <c r="S219" s="48"/>
      <c r="T219" s="48"/>
      <c r="U219" s="48"/>
      <c r="V219" s="48"/>
      <c r="W219" s="60"/>
      <c r="X219" s="48"/>
      <c r="Y219" s="48"/>
      <c r="Z219" s="48"/>
      <c r="AA219" s="48"/>
      <c r="AB219" s="48"/>
      <c r="AC219" s="48"/>
      <c r="AD219" s="48"/>
      <c r="AE219" s="57" t="b">
        <v>1</v>
      </c>
      <c r="AF219" s="48"/>
    </row>
    <row r="220" ht="15.75" customHeight="1">
      <c r="A220" s="48" t="s">
        <v>690</v>
      </c>
      <c r="B220" s="49" t="s">
        <v>226</v>
      </c>
      <c r="C220" s="50">
        <v>0.7083333333333334</v>
      </c>
      <c r="D220" s="51"/>
      <c r="E220" s="51"/>
      <c r="F220" s="48" t="s">
        <v>691</v>
      </c>
      <c r="G220" s="52">
        <v>1.4</v>
      </c>
      <c r="H220" s="49" t="s">
        <v>219</v>
      </c>
      <c r="I220" s="53" t="s">
        <v>228</v>
      </c>
      <c r="J220" s="49" t="s">
        <v>121</v>
      </c>
      <c r="K220" s="49"/>
      <c r="L220" s="54"/>
      <c r="M220" s="55"/>
      <c r="N220" s="55"/>
      <c r="O220" s="48"/>
      <c r="P220" s="49" t="s">
        <v>230</v>
      </c>
      <c r="Q220" s="49" t="s">
        <v>229</v>
      </c>
      <c r="R220" s="48"/>
      <c r="S220" s="48"/>
      <c r="T220" s="48"/>
      <c r="U220" s="48"/>
      <c r="V220" s="48"/>
      <c r="W220" s="56"/>
      <c r="X220" s="48"/>
      <c r="Y220" s="48"/>
      <c r="Z220" s="48"/>
      <c r="AA220" s="48"/>
      <c r="AB220" s="48"/>
      <c r="AC220" s="48"/>
      <c r="AD220" s="48"/>
      <c r="AE220" s="57" t="b">
        <v>1</v>
      </c>
      <c r="AF220" s="48"/>
    </row>
    <row r="221" ht="15.75" customHeight="1">
      <c r="A221" s="48" t="s">
        <v>692</v>
      </c>
      <c r="B221" s="49" t="s">
        <v>226</v>
      </c>
      <c r="C221" s="50">
        <v>0.7083333333333334</v>
      </c>
      <c r="D221" s="51"/>
      <c r="E221" s="51"/>
      <c r="F221" s="48" t="s">
        <v>693</v>
      </c>
      <c r="G221" s="52">
        <v>2.8</v>
      </c>
      <c r="H221" s="49" t="s">
        <v>219</v>
      </c>
      <c r="I221" s="53" t="s">
        <v>234</v>
      </c>
      <c r="J221" s="49" t="s">
        <v>121</v>
      </c>
      <c r="K221" s="49"/>
      <c r="L221" s="59"/>
      <c r="M221" s="55"/>
      <c r="N221" s="55"/>
      <c r="O221" s="48"/>
      <c r="P221" s="49" t="s">
        <v>332</v>
      </c>
      <c r="Q221" s="49" t="s">
        <v>229</v>
      </c>
      <c r="R221" s="48"/>
      <c r="S221" s="48"/>
      <c r="T221" s="48"/>
      <c r="U221" s="48"/>
      <c r="V221" s="48"/>
      <c r="W221" s="60"/>
      <c r="X221" s="48"/>
      <c r="Y221" s="48"/>
      <c r="Z221" s="48"/>
      <c r="AA221" s="48"/>
      <c r="AB221" s="48"/>
      <c r="AC221" s="48"/>
      <c r="AD221" s="48"/>
      <c r="AE221" s="57" t="b">
        <v>1</v>
      </c>
      <c r="AF221" s="48"/>
    </row>
    <row r="222" ht="15.75" customHeight="1">
      <c r="A222" s="48" t="s">
        <v>694</v>
      </c>
      <c r="B222" s="49" t="s">
        <v>263</v>
      </c>
      <c r="C222" s="50">
        <v>0.7083333333333334</v>
      </c>
      <c r="D222" s="51"/>
      <c r="E222" s="51"/>
      <c r="F222" s="48" t="s">
        <v>695</v>
      </c>
      <c r="G222" s="52">
        <v>2.6</v>
      </c>
      <c r="H222" s="49" t="s">
        <v>219</v>
      </c>
      <c r="I222" s="53" t="s">
        <v>234</v>
      </c>
      <c r="J222" s="49" t="s">
        <v>121</v>
      </c>
      <c r="K222" s="49"/>
      <c r="L222" s="54"/>
      <c r="M222" s="55"/>
      <c r="N222" s="55"/>
      <c r="O222" s="48"/>
      <c r="P222" s="49" t="s">
        <v>229</v>
      </c>
      <c r="Q222" s="49" t="s">
        <v>240</v>
      </c>
      <c r="R222" s="48"/>
      <c r="S222" s="48"/>
      <c r="T222" s="48"/>
      <c r="U222" s="48"/>
      <c r="V222" s="48"/>
      <c r="W222" s="56"/>
      <c r="X222" s="48"/>
      <c r="Y222" s="48"/>
      <c r="Z222" s="48"/>
      <c r="AA222" s="48"/>
      <c r="AB222" s="48"/>
      <c r="AC222" s="48"/>
      <c r="AD222" s="48"/>
      <c r="AE222" s="57" t="b">
        <v>1</v>
      </c>
      <c r="AF222" s="48"/>
    </row>
    <row r="223" ht="15.75" customHeight="1">
      <c r="A223" s="48" t="s">
        <v>696</v>
      </c>
      <c r="B223" s="49" t="s">
        <v>276</v>
      </c>
      <c r="C223" s="50">
        <v>0.7083333333333334</v>
      </c>
      <c r="D223" s="51"/>
      <c r="E223" s="51"/>
      <c r="F223" s="48" t="s">
        <v>697</v>
      </c>
      <c r="G223" s="52">
        <v>2.2</v>
      </c>
      <c r="H223" s="49" t="s">
        <v>219</v>
      </c>
      <c r="I223" s="53" t="s">
        <v>234</v>
      </c>
      <c r="J223" s="49" t="s">
        <v>121</v>
      </c>
      <c r="K223" s="49"/>
      <c r="L223" s="59"/>
      <c r="M223" s="55"/>
      <c r="N223" s="55"/>
      <c r="O223" s="48"/>
      <c r="P223" s="49" t="s">
        <v>332</v>
      </c>
      <c r="Q223" s="49" t="s">
        <v>229</v>
      </c>
      <c r="R223" s="48"/>
      <c r="S223" s="48"/>
      <c r="T223" s="48"/>
      <c r="U223" s="48"/>
      <c r="V223" s="48"/>
      <c r="W223" s="60"/>
      <c r="X223" s="48"/>
      <c r="Y223" s="48"/>
      <c r="Z223" s="48"/>
      <c r="AA223" s="48"/>
      <c r="AB223" s="48"/>
      <c r="AC223" s="48"/>
      <c r="AD223" s="48"/>
      <c r="AE223" s="57" t="b">
        <v>1</v>
      </c>
      <c r="AF223" s="48"/>
    </row>
    <row r="224" ht="15.75" customHeight="1">
      <c r="A224" s="48" t="s">
        <v>698</v>
      </c>
      <c r="B224" s="49" t="s">
        <v>263</v>
      </c>
      <c r="C224" s="50">
        <v>0.7083333333333334</v>
      </c>
      <c r="D224" s="51"/>
      <c r="E224" s="51"/>
      <c r="F224" s="48" t="s">
        <v>699</v>
      </c>
      <c r="G224" s="52">
        <v>2.4</v>
      </c>
      <c r="H224" s="49" t="s">
        <v>219</v>
      </c>
      <c r="I224" s="53" t="s">
        <v>234</v>
      </c>
      <c r="J224" s="49" t="s">
        <v>121</v>
      </c>
      <c r="K224" s="49"/>
      <c r="L224" s="54"/>
      <c r="M224" s="55"/>
      <c r="N224" s="55"/>
      <c r="O224" s="48"/>
      <c r="P224" s="49" t="s">
        <v>229</v>
      </c>
      <c r="Q224" s="49" t="s">
        <v>240</v>
      </c>
      <c r="R224" s="48"/>
      <c r="S224" s="48"/>
      <c r="T224" s="48"/>
      <c r="U224" s="48"/>
      <c r="V224" s="48"/>
      <c r="W224" s="56"/>
      <c r="X224" s="48"/>
      <c r="Y224" s="48"/>
      <c r="Z224" s="48"/>
      <c r="AA224" s="48"/>
      <c r="AB224" s="48"/>
      <c r="AC224" s="48"/>
      <c r="AD224" s="48"/>
      <c r="AE224" s="57" t="b">
        <v>1</v>
      </c>
      <c r="AF224" s="48"/>
    </row>
    <row r="225" ht="15.75" customHeight="1">
      <c r="A225" s="48" t="s">
        <v>700</v>
      </c>
      <c r="B225" s="49" t="s">
        <v>232</v>
      </c>
      <c r="C225" s="50">
        <v>0.7083333333333334</v>
      </c>
      <c r="D225" s="51">
        <v>46157.0</v>
      </c>
      <c r="E225" s="51">
        <v>46164.0</v>
      </c>
      <c r="F225" s="48" t="s">
        <v>701</v>
      </c>
      <c r="G225" s="52">
        <v>1.4</v>
      </c>
      <c r="H225" s="49" t="s">
        <v>219</v>
      </c>
      <c r="I225" s="53" t="s">
        <v>220</v>
      </c>
      <c r="J225" s="49" t="s">
        <v>117</v>
      </c>
      <c r="K225" s="49" t="s">
        <v>325</v>
      </c>
      <c r="L225" s="59"/>
      <c r="M225" s="55"/>
      <c r="N225" s="48" t="s">
        <v>702</v>
      </c>
      <c r="O225" s="48"/>
      <c r="P225" s="49"/>
      <c r="Q225" s="49"/>
      <c r="R225" s="48"/>
      <c r="S225" s="48"/>
      <c r="T225" s="48"/>
      <c r="U225" s="48"/>
      <c r="V225" s="48"/>
      <c r="W225" s="60"/>
      <c r="X225" s="48"/>
      <c r="Y225" s="48"/>
      <c r="Z225" s="48"/>
      <c r="AA225" s="48"/>
      <c r="AB225" s="48"/>
      <c r="AC225" s="48"/>
      <c r="AD225" s="48"/>
      <c r="AE225" s="62" t="b">
        <v>0</v>
      </c>
      <c r="AF225" s="48"/>
    </row>
    <row r="226" ht="15.75" customHeight="1">
      <c r="A226" s="48" t="s">
        <v>703</v>
      </c>
      <c r="B226" s="49" t="s">
        <v>226</v>
      </c>
      <c r="C226" s="50">
        <v>0.7083333333333334</v>
      </c>
      <c r="D226" s="51"/>
      <c r="E226" s="51"/>
      <c r="F226" s="48" t="s">
        <v>704</v>
      </c>
      <c r="G226" s="52">
        <v>2.6</v>
      </c>
      <c r="H226" s="49" t="s">
        <v>219</v>
      </c>
      <c r="I226" s="53" t="s">
        <v>220</v>
      </c>
      <c r="J226" s="49" t="s">
        <v>117</v>
      </c>
      <c r="K226" s="49" t="s">
        <v>402</v>
      </c>
      <c r="L226" s="54"/>
      <c r="M226" s="55"/>
      <c r="N226" s="48" t="s">
        <v>705</v>
      </c>
      <c r="O226" s="48"/>
      <c r="P226" s="49" t="s">
        <v>239</v>
      </c>
      <c r="Q226" s="49" t="s">
        <v>240</v>
      </c>
      <c r="R226" s="48"/>
      <c r="S226" s="48"/>
      <c r="T226" s="48"/>
      <c r="U226" s="48"/>
      <c r="V226" s="48"/>
      <c r="W226" s="56"/>
      <c r="X226" s="48"/>
      <c r="Y226" s="48"/>
      <c r="Z226" s="48"/>
      <c r="AA226" s="48"/>
      <c r="AB226" s="48"/>
      <c r="AC226" s="48"/>
      <c r="AD226" s="48"/>
      <c r="AE226" s="57" t="b">
        <v>1</v>
      </c>
      <c r="AF226" s="48"/>
    </row>
    <row r="227" ht="15.75" customHeight="1">
      <c r="A227" s="48" t="s">
        <v>706</v>
      </c>
      <c r="B227" s="49" t="s">
        <v>232</v>
      </c>
      <c r="C227" s="50">
        <v>0.7083333333333334</v>
      </c>
      <c r="D227" s="51"/>
      <c r="E227" s="51"/>
      <c r="F227" s="48" t="s">
        <v>707</v>
      </c>
      <c r="G227" s="52">
        <v>5.0</v>
      </c>
      <c r="H227" s="49" t="s">
        <v>219</v>
      </c>
      <c r="I227" s="53" t="s">
        <v>220</v>
      </c>
      <c r="J227" s="49" t="s">
        <v>117</v>
      </c>
      <c r="K227" s="49" t="s">
        <v>402</v>
      </c>
      <c r="L227" s="59"/>
      <c r="M227" s="55"/>
      <c r="N227" s="55"/>
      <c r="O227" s="48"/>
      <c r="P227" s="49" t="s">
        <v>239</v>
      </c>
      <c r="Q227" s="49" t="s">
        <v>240</v>
      </c>
      <c r="R227" s="48"/>
      <c r="S227" s="48"/>
      <c r="T227" s="48"/>
      <c r="U227" s="48"/>
      <c r="V227" s="48"/>
      <c r="W227" s="60"/>
      <c r="X227" s="48"/>
      <c r="Y227" s="48"/>
      <c r="Z227" s="48"/>
      <c r="AA227" s="48"/>
      <c r="AB227" s="48"/>
      <c r="AC227" s="48"/>
      <c r="AD227" s="48"/>
      <c r="AE227" s="57" t="b">
        <v>1</v>
      </c>
      <c r="AF227" s="48"/>
    </row>
    <row r="228" ht="15.75" customHeight="1">
      <c r="A228" s="48" t="s">
        <v>708</v>
      </c>
      <c r="B228" s="49" t="s">
        <v>217</v>
      </c>
      <c r="C228" s="50">
        <v>0.7083333333333334</v>
      </c>
      <c r="D228" s="51"/>
      <c r="E228" s="51"/>
      <c r="F228" s="48" t="s">
        <v>709</v>
      </c>
      <c r="G228" s="52">
        <v>2.9</v>
      </c>
      <c r="H228" s="49" t="s">
        <v>219</v>
      </c>
      <c r="I228" s="53" t="s">
        <v>220</v>
      </c>
      <c r="J228" s="49" t="s">
        <v>117</v>
      </c>
      <c r="K228" s="49"/>
      <c r="L228" s="54"/>
      <c r="M228" s="55"/>
      <c r="N228" s="55"/>
      <c r="O228" s="48"/>
      <c r="P228" s="49" t="s">
        <v>332</v>
      </c>
      <c r="Q228" s="49" t="s">
        <v>229</v>
      </c>
      <c r="R228" s="48"/>
      <c r="S228" s="48"/>
      <c r="T228" s="48"/>
      <c r="U228" s="48"/>
      <c r="V228" s="48"/>
      <c r="W228" s="56"/>
      <c r="X228" s="48"/>
      <c r="Y228" s="48"/>
      <c r="Z228" s="48"/>
      <c r="AA228" s="48"/>
      <c r="AB228" s="48"/>
      <c r="AC228" s="48"/>
      <c r="AD228" s="48"/>
      <c r="AE228" s="57" t="b">
        <v>1</v>
      </c>
      <c r="AF228" s="48"/>
    </row>
    <row r="229" ht="15.75" customHeight="1">
      <c r="A229" s="48" t="s">
        <v>710</v>
      </c>
      <c r="B229" s="49" t="s">
        <v>259</v>
      </c>
      <c r="C229" s="50">
        <v>0.7083333333333334</v>
      </c>
      <c r="D229" s="51"/>
      <c r="E229" s="51"/>
      <c r="F229" s="48" t="s">
        <v>711</v>
      </c>
      <c r="G229" s="52">
        <v>2.3</v>
      </c>
      <c r="H229" s="49" t="s">
        <v>219</v>
      </c>
      <c r="I229" s="53" t="s">
        <v>220</v>
      </c>
      <c r="J229" s="49" t="s">
        <v>117</v>
      </c>
      <c r="K229" s="49"/>
      <c r="L229" s="59"/>
      <c r="M229" s="55"/>
      <c r="N229" s="55"/>
      <c r="O229" s="48"/>
      <c r="P229" s="49" t="s">
        <v>230</v>
      </c>
      <c r="Q229" s="49" t="s">
        <v>332</v>
      </c>
      <c r="R229" s="48" t="s">
        <v>662</v>
      </c>
      <c r="S229" s="48" t="s">
        <v>663</v>
      </c>
      <c r="T229" s="48" t="s">
        <v>663</v>
      </c>
      <c r="U229" s="48" t="s">
        <v>663</v>
      </c>
      <c r="V229" s="48" t="s">
        <v>663</v>
      </c>
      <c r="W229" s="64" t="s">
        <v>663</v>
      </c>
      <c r="X229" s="48" t="s">
        <v>662</v>
      </c>
      <c r="Y229" s="48" t="s">
        <v>663</v>
      </c>
      <c r="Z229" s="48" t="s">
        <v>663</v>
      </c>
      <c r="AA229" s="48"/>
      <c r="AB229" s="48"/>
      <c r="AC229" s="48"/>
      <c r="AD229" s="48"/>
      <c r="AE229" s="57" t="b">
        <v>1</v>
      </c>
      <c r="AF229" s="48"/>
    </row>
    <row r="230" ht="15.75" customHeight="1">
      <c r="A230" s="48" t="s">
        <v>712</v>
      </c>
      <c r="B230" s="49" t="s">
        <v>263</v>
      </c>
      <c r="C230" s="50">
        <v>0.7083333333333334</v>
      </c>
      <c r="D230" s="51"/>
      <c r="E230" s="51"/>
      <c r="F230" s="48" t="s">
        <v>711</v>
      </c>
      <c r="G230" s="52">
        <v>3.0</v>
      </c>
      <c r="H230" s="49" t="s">
        <v>219</v>
      </c>
      <c r="I230" s="53" t="s">
        <v>220</v>
      </c>
      <c r="J230" s="49" t="s">
        <v>117</v>
      </c>
      <c r="K230" s="49"/>
      <c r="L230" s="54"/>
      <c r="M230" s="55"/>
      <c r="N230" s="55"/>
      <c r="O230" s="48"/>
      <c r="P230" s="49" t="s">
        <v>230</v>
      </c>
      <c r="Q230" s="49" t="s">
        <v>332</v>
      </c>
      <c r="R230" s="48"/>
      <c r="S230" s="48"/>
      <c r="T230" s="48"/>
      <c r="U230" s="48"/>
      <c r="V230" s="48"/>
      <c r="W230" s="56"/>
      <c r="X230" s="48"/>
      <c r="Y230" s="48"/>
      <c r="Z230" s="48"/>
      <c r="AA230" s="48"/>
      <c r="AB230" s="48"/>
      <c r="AC230" s="48"/>
      <c r="AD230" s="48"/>
      <c r="AE230" s="57" t="b">
        <v>1</v>
      </c>
      <c r="AF230" s="48"/>
    </row>
    <row r="231" ht="15.75" customHeight="1">
      <c r="A231" s="48" t="s">
        <v>713</v>
      </c>
      <c r="B231" s="49" t="s">
        <v>217</v>
      </c>
      <c r="C231" s="50">
        <v>0.7083333333333334</v>
      </c>
      <c r="D231" s="51"/>
      <c r="E231" s="51"/>
      <c r="F231" s="48" t="s">
        <v>714</v>
      </c>
      <c r="G231" s="52">
        <v>0.7</v>
      </c>
      <c r="H231" s="49" t="s">
        <v>219</v>
      </c>
      <c r="I231" s="53" t="s">
        <v>220</v>
      </c>
      <c r="J231" s="49" t="s">
        <v>121</v>
      </c>
      <c r="K231" s="49" t="s">
        <v>238</v>
      </c>
      <c r="L231" s="59"/>
      <c r="M231" s="55"/>
      <c r="N231" s="55"/>
      <c r="O231" s="48"/>
      <c r="P231" s="49" t="s">
        <v>265</v>
      </c>
      <c r="Q231" s="49" t="s">
        <v>240</v>
      </c>
      <c r="R231" s="48"/>
      <c r="S231" s="48"/>
      <c r="T231" s="48"/>
      <c r="U231" s="48"/>
      <c r="V231" s="48"/>
      <c r="W231" s="60"/>
      <c r="X231" s="48"/>
      <c r="Y231" s="48"/>
      <c r="Z231" s="48"/>
      <c r="AA231" s="48"/>
      <c r="AB231" s="48"/>
      <c r="AC231" s="48"/>
      <c r="AD231" s="48"/>
      <c r="AE231" s="57" t="b">
        <v>1</v>
      </c>
      <c r="AF231" s="48"/>
    </row>
    <row r="232" ht="15.75" customHeight="1">
      <c r="A232" s="48" t="s">
        <v>715</v>
      </c>
      <c r="B232" s="49" t="s">
        <v>271</v>
      </c>
      <c r="C232" s="50">
        <v>0.7083333333333334</v>
      </c>
      <c r="D232" s="51"/>
      <c r="E232" s="51"/>
      <c r="F232" s="48" t="s">
        <v>716</v>
      </c>
      <c r="G232" s="52">
        <v>3.0</v>
      </c>
      <c r="H232" s="49" t="s">
        <v>219</v>
      </c>
      <c r="I232" s="53" t="s">
        <v>220</v>
      </c>
      <c r="J232" s="49" t="s">
        <v>121</v>
      </c>
      <c r="K232" s="49" t="s">
        <v>402</v>
      </c>
      <c r="L232" s="54"/>
      <c r="M232" s="55"/>
      <c r="N232" s="55"/>
      <c r="O232" s="48"/>
      <c r="P232" s="49" t="s">
        <v>265</v>
      </c>
      <c r="Q232" s="49" t="s">
        <v>240</v>
      </c>
      <c r="R232" s="48"/>
      <c r="S232" s="48"/>
      <c r="T232" s="48"/>
      <c r="U232" s="48"/>
      <c r="V232" s="48"/>
      <c r="W232" s="56"/>
      <c r="X232" s="48"/>
      <c r="Y232" s="48"/>
      <c r="Z232" s="48"/>
      <c r="AA232" s="48"/>
      <c r="AB232" s="48"/>
      <c r="AC232" s="48"/>
      <c r="AD232" s="48"/>
      <c r="AE232" s="57" t="b">
        <v>1</v>
      </c>
      <c r="AF232" s="48"/>
    </row>
    <row r="233" ht="15.75" customHeight="1">
      <c r="A233" s="48" t="s">
        <v>717</v>
      </c>
      <c r="B233" s="49" t="s">
        <v>271</v>
      </c>
      <c r="C233" s="50">
        <v>0.7083333333333334</v>
      </c>
      <c r="D233" s="51"/>
      <c r="E233" s="51"/>
      <c r="F233" s="48" t="s">
        <v>718</v>
      </c>
      <c r="G233" s="52">
        <v>1.0</v>
      </c>
      <c r="H233" s="49" t="s">
        <v>219</v>
      </c>
      <c r="I233" s="53" t="s">
        <v>220</v>
      </c>
      <c r="J233" s="49" t="s">
        <v>121</v>
      </c>
      <c r="K233" s="49" t="s">
        <v>402</v>
      </c>
      <c r="L233" s="59"/>
      <c r="M233" s="55"/>
      <c r="N233" s="55"/>
      <c r="O233" s="48"/>
      <c r="P233" s="49" t="s">
        <v>265</v>
      </c>
      <c r="Q233" s="49" t="s">
        <v>240</v>
      </c>
      <c r="R233" s="48"/>
      <c r="S233" s="48"/>
      <c r="T233" s="48"/>
      <c r="U233" s="48"/>
      <c r="V233" s="48"/>
      <c r="W233" s="60"/>
      <c r="X233" s="48"/>
      <c r="Y233" s="48"/>
      <c r="Z233" s="48"/>
      <c r="AA233" s="48"/>
      <c r="AB233" s="48"/>
      <c r="AC233" s="48"/>
      <c r="AD233" s="48"/>
      <c r="AE233" s="57" t="b">
        <v>1</v>
      </c>
      <c r="AF233" s="48"/>
    </row>
    <row r="234" ht="15.75" customHeight="1">
      <c r="A234" s="48" t="s">
        <v>719</v>
      </c>
      <c r="B234" s="49" t="s">
        <v>271</v>
      </c>
      <c r="C234" s="50">
        <v>0.7083333333333334</v>
      </c>
      <c r="D234" s="51"/>
      <c r="E234" s="51"/>
      <c r="F234" s="48" t="s">
        <v>720</v>
      </c>
      <c r="G234" s="52">
        <v>1.0</v>
      </c>
      <c r="H234" s="49" t="s">
        <v>219</v>
      </c>
      <c r="I234" s="53" t="s">
        <v>220</v>
      </c>
      <c r="J234" s="49" t="s">
        <v>121</v>
      </c>
      <c r="K234" s="49" t="s">
        <v>402</v>
      </c>
      <c r="L234" s="54"/>
      <c r="M234" s="55"/>
      <c r="N234" s="55"/>
      <c r="O234" s="48"/>
      <c r="P234" s="49" t="s">
        <v>265</v>
      </c>
      <c r="Q234" s="49" t="s">
        <v>240</v>
      </c>
      <c r="R234" s="48"/>
      <c r="S234" s="48"/>
      <c r="T234" s="48"/>
      <c r="U234" s="48"/>
      <c r="V234" s="48"/>
      <c r="W234" s="56"/>
      <c r="X234" s="48"/>
      <c r="Y234" s="48"/>
      <c r="Z234" s="48"/>
      <c r="AA234" s="48"/>
      <c r="AB234" s="48"/>
      <c r="AC234" s="48"/>
      <c r="AD234" s="48"/>
      <c r="AE234" s="57" t="b">
        <v>1</v>
      </c>
      <c r="AF234" s="48"/>
    </row>
    <row r="235" ht="15.75" customHeight="1">
      <c r="A235" s="48" t="s">
        <v>721</v>
      </c>
      <c r="B235" s="49" t="s">
        <v>276</v>
      </c>
      <c r="C235" s="50">
        <v>0.7083333333333334</v>
      </c>
      <c r="D235" s="51"/>
      <c r="E235" s="51"/>
      <c r="F235" s="48" t="s">
        <v>722</v>
      </c>
      <c r="G235" s="52">
        <v>1.2</v>
      </c>
      <c r="H235" s="49" t="s">
        <v>219</v>
      </c>
      <c r="I235" s="53" t="s">
        <v>220</v>
      </c>
      <c r="J235" s="49" t="s">
        <v>121</v>
      </c>
      <c r="K235" s="49"/>
      <c r="L235" s="59"/>
      <c r="M235" s="55"/>
      <c r="N235" s="55"/>
      <c r="O235" s="48"/>
      <c r="P235" s="49" t="s">
        <v>221</v>
      </c>
      <c r="Q235" s="49"/>
      <c r="R235" s="48"/>
      <c r="S235" s="48"/>
      <c r="T235" s="48"/>
      <c r="U235" s="48"/>
      <c r="V235" s="48"/>
      <c r="W235" s="60"/>
      <c r="X235" s="48"/>
      <c r="Y235" s="48"/>
      <c r="Z235" s="48"/>
      <c r="AA235" s="48"/>
      <c r="AB235" s="48"/>
      <c r="AC235" s="48"/>
      <c r="AD235" s="48"/>
      <c r="AE235" s="57" t="b">
        <v>1</v>
      </c>
      <c r="AF235" s="48"/>
    </row>
    <row r="236" ht="15.75" customHeight="1">
      <c r="A236" s="48" t="s">
        <v>723</v>
      </c>
      <c r="B236" s="49" t="s">
        <v>271</v>
      </c>
      <c r="C236" s="50">
        <v>0.7083333333333334</v>
      </c>
      <c r="D236" s="51"/>
      <c r="E236" s="51"/>
      <c r="F236" s="48" t="s">
        <v>724</v>
      </c>
      <c r="G236" s="52">
        <v>3.1</v>
      </c>
      <c r="H236" s="49" t="s">
        <v>219</v>
      </c>
      <c r="I236" s="53" t="s">
        <v>220</v>
      </c>
      <c r="J236" s="49" t="s">
        <v>121</v>
      </c>
      <c r="K236" s="49"/>
      <c r="L236" s="54"/>
      <c r="M236" s="55"/>
      <c r="N236" s="55"/>
      <c r="O236" s="48"/>
      <c r="P236" s="49" t="s">
        <v>332</v>
      </c>
      <c r="Q236" s="49" t="s">
        <v>229</v>
      </c>
      <c r="R236" s="48"/>
      <c r="S236" s="48"/>
      <c r="T236" s="48"/>
      <c r="U236" s="48"/>
      <c r="V236" s="48"/>
      <c r="W236" s="56"/>
      <c r="X236" s="48"/>
      <c r="Y236" s="48"/>
      <c r="Z236" s="48"/>
      <c r="AA236" s="48"/>
      <c r="AB236" s="48"/>
      <c r="AC236" s="48"/>
      <c r="AD236" s="48"/>
      <c r="AE236" s="57" t="b">
        <v>1</v>
      </c>
      <c r="AF236" s="48"/>
    </row>
    <row r="237" ht="15.75" customHeight="1">
      <c r="A237" s="48" t="s">
        <v>725</v>
      </c>
      <c r="B237" s="49" t="s">
        <v>276</v>
      </c>
      <c r="C237" s="50">
        <v>0.7083333333333334</v>
      </c>
      <c r="D237" s="51"/>
      <c r="E237" s="51"/>
      <c r="F237" s="48" t="s">
        <v>726</v>
      </c>
      <c r="G237" s="52">
        <v>0.2</v>
      </c>
      <c r="H237" s="49" t="s">
        <v>219</v>
      </c>
      <c r="I237" s="53" t="s">
        <v>220</v>
      </c>
      <c r="J237" s="49" t="s">
        <v>121</v>
      </c>
      <c r="K237" s="49"/>
      <c r="L237" s="59"/>
      <c r="M237" s="55"/>
      <c r="N237" s="55"/>
      <c r="O237" s="48"/>
      <c r="P237" s="49" t="s">
        <v>221</v>
      </c>
      <c r="Q237" s="49"/>
      <c r="R237" s="48"/>
      <c r="S237" s="48"/>
      <c r="T237" s="48"/>
      <c r="U237" s="48"/>
      <c r="V237" s="48"/>
      <c r="W237" s="60"/>
      <c r="X237" s="48"/>
      <c r="Y237" s="48"/>
      <c r="Z237" s="48"/>
      <c r="AA237" s="48"/>
      <c r="AB237" s="48"/>
      <c r="AC237" s="48"/>
      <c r="AD237" s="48"/>
      <c r="AE237" s="57" t="b">
        <v>1</v>
      </c>
      <c r="AF237" s="48"/>
    </row>
    <row r="238" ht="15.75" customHeight="1">
      <c r="A238" s="48" t="s">
        <v>727</v>
      </c>
      <c r="B238" s="49" t="s">
        <v>226</v>
      </c>
      <c r="C238" s="50">
        <v>0.7083333333333334</v>
      </c>
      <c r="D238" s="51"/>
      <c r="E238" s="51"/>
      <c r="F238" s="48" t="s">
        <v>728</v>
      </c>
      <c r="G238" s="52">
        <v>0.7</v>
      </c>
      <c r="H238" s="49" t="s">
        <v>219</v>
      </c>
      <c r="I238" s="53" t="s">
        <v>220</v>
      </c>
      <c r="J238" s="49" t="s">
        <v>121</v>
      </c>
      <c r="K238" s="49"/>
      <c r="L238" s="54"/>
      <c r="M238" s="55"/>
      <c r="N238" s="55"/>
      <c r="O238" s="48"/>
      <c r="P238" s="49" t="s">
        <v>221</v>
      </c>
      <c r="Q238" s="49"/>
      <c r="R238" s="48"/>
      <c r="S238" s="48"/>
      <c r="T238" s="48"/>
      <c r="U238" s="48"/>
      <c r="V238" s="48"/>
      <c r="W238" s="56"/>
      <c r="X238" s="48"/>
      <c r="Y238" s="48"/>
      <c r="Z238" s="48"/>
      <c r="AA238" s="48"/>
      <c r="AB238" s="48"/>
      <c r="AC238" s="48"/>
      <c r="AD238" s="48"/>
      <c r="AE238" s="57" t="b">
        <v>1</v>
      </c>
      <c r="AF238" s="48"/>
    </row>
    <row r="239" ht="15.75" customHeight="1">
      <c r="A239" s="48" t="s">
        <v>729</v>
      </c>
      <c r="B239" s="49" t="s">
        <v>276</v>
      </c>
      <c r="C239" s="50">
        <v>0.7083333333333334</v>
      </c>
      <c r="D239" s="51"/>
      <c r="E239" s="51"/>
      <c r="F239" s="48" t="s">
        <v>730</v>
      </c>
      <c r="G239" s="52">
        <v>0.9</v>
      </c>
      <c r="H239" s="49" t="s">
        <v>219</v>
      </c>
      <c r="I239" s="53" t="s">
        <v>220</v>
      </c>
      <c r="J239" s="49" t="s">
        <v>121</v>
      </c>
      <c r="K239" s="49"/>
      <c r="L239" s="59"/>
      <c r="M239" s="55"/>
      <c r="N239" s="55"/>
      <c r="O239" s="48"/>
      <c r="P239" s="49" t="s">
        <v>221</v>
      </c>
      <c r="Q239" s="49"/>
      <c r="R239" s="48"/>
      <c r="S239" s="48"/>
      <c r="T239" s="48"/>
      <c r="U239" s="48"/>
      <c r="V239" s="48"/>
      <c r="W239" s="60"/>
      <c r="X239" s="48"/>
      <c r="Y239" s="48"/>
      <c r="Z239" s="48"/>
      <c r="AA239" s="48"/>
      <c r="AB239" s="48"/>
      <c r="AC239" s="48"/>
      <c r="AD239" s="48"/>
      <c r="AE239" s="57" t="b">
        <v>1</v>
      </c>
      <c r="AF239" s="48"/>
    </row>
    <row r="240" ht="15.75" customHeight="1">
      <c r="A240" s="48" t="s">
        <v>731</v>
      </c>
      <c r="B240" s="49" t="s">
        <v>217</v>
      </c>
      <c r="C240" s="50">
        <v>0.7083333333333334</v>
      </c>
      <c r="D240" s="51"/>
      <c r="E240" s="51"/>
      <c r="F240" s="48" t="s">
        <v>732</v>
      </c>
      <c r="G240" s="52">
        <v>0.2</v>
      </c>
      <c r="H240" s="49" t="s">
        <v>219</v>
      </c>
      <c r="I240" s="53" t="s">
        <v>220</v>
      </c>
      <c r="J240" s="49" t="s">
        <v>121</v>
      </c>
      <c r="K240" s="49"/>
      <c r="L240" s="54"/>
      <c r="M240" s="55"/>
      <c r="N240" s="55"/>
      <c r="O240" s="48"/>
      <c r="P240" s="49" t="s">
        <v>221</v>
      </c>
      <c r="Q240" s="49"/>
      <c r="R240" s="48"/>
      <c r="S240" s="48"/>
      <c r="T240" s="48"/>
      <c r="U240" s="48"/>
      <c r="V240" s="48"/>
      <c r="W240" s="56"/>
      <c r="X240" s="48"/>
      <c r="Y240" s="48"/>
      <c r="Z240" s="48"/>
      <c r="AA240" s="48"/>
      <c r="AB240" s="48"/>
      <c r="AC240" s="48"/>
      <c r="AD240" s="48"/>
      <c r="AE240" s="57" t="b">
        <v>1</v>
      </c>
      <c r="AF240" s="48"/>
    </row>
    <row r="241" ht="15.75" customHeight="1">
      <c r="A241" s="48" t="s">
        <v>733</v>
      </c>
      <c r="B241" s="49" t="s">
        <v>276</v>
      </c>
      <c r="C241" s="50">
        <v>0.7083333333333334</v>
      </c>
      <c r="D241" s="51"/>
      <c r="E241" s="51"/>
      <c r="F241" s="48" t="s">
        <v>734</v>
      </c>
      <c r="G241" s="52">
        <v>0.2</v>
      </c>
      <c r="H241" s="49" t="s">
        <v>219</v>
      </c>
      <c r="I241" s="53" t="s">
        <v>220</v>
      </c>
      <c r="J241" s="49" t="s">
        <v>121</v>
      </c>
      <c r="K241" s="49"/>
      <c r="L241" s="59"/>
      <c r="M241" s="55"/>
      <c r="N241" s="55"/>
      <c r="O241" s="48"/>
      <c r="P241" s="49" t="s">
        <v>221</v>
      </c>
      <c r="Q241" s="49"/>
      <c r="R241" s="48"/>
      <c r="S241" s="48"/>
      <c r="T241" s="48"/>
      <c r="U241" s="48"/>
      <c r="V241" s="48"/>
      <c r="W241" s="60"/>
      <c r="X241" s="48"/>
      <c r="Y241" s="48"/>
      <c r="Z241" s="48"/>
      <c r="AA241" s="48"/>
      <c r="AB241" s="48"/>
      <c r="AC241" s="48"/>
      <c r="AD241" s="48"/>
      <c r="AE241" s="57" t="b">
        <v>1</v>
      </c>
      <c r="AF241" s="48"/>
    </row>
    <row r="242" ht="15.75" customHeight="1">
      <c r="A242" s="48" t="s">
        <v>735</v>
      </c>
      <c r="B242" s="49" t="s">
        <v>276</v>
      </c>
      <c r="C242" s="50">
        <v>0.7083333333333334</v>
      </c>
      <c r="D242" s="51"/>
      <c r="E242" s="51"/>
      <c r="F242" s="48" t="s">
        <v>736</v>
      </c>
      <c r="G242" s="52">
        <v>0.8</v>
      </c>
      <c r="H242" s="49" t="s">
        <v>219</v>
      </c>
      <c r="I242" s="53" t="s">
        <v>220</v>
      </c>
      <c r="J242" s="49" t="s">
        <v>121</v>
      </c>
      <c r="K242" s="49"/>
      <c r="L242" s="54"/>
      <c r="M242" s="55"/>
      <c r="N242" s="55"/>
      <c r="O242" s="48"/>
      <c r="P242" s="49" t="s">
        <v>221</v>
      </c>
      <c r="Q242" s="49"/>
      <c r="R242" s="48"/>
      <c r="S242" s="48"/>
      <c r="T242" s="48"/>
      <c r="U242" s="48"/>
      <c r="V242" s="48"/>
      <c r="W242" s="56"/>
      <c r="X242" s="48"/>
      <c r="Y242" s="48"/>
      <c r="Z242" s="48"/>
      <c r="AA242" s="48"/>
      <c r="AB242" s="48"/>
      <c r="AC242" s="48"/>
      <c r="AD242" s="48"/>
      <c r="AE242" s="57" t="b">
        <v>1</v>
      </c>
      <c r="AF242" s="48"/>
    </row>
    <row r="243" ht="15.75" customHeight="1">
      <c r="A243" s="48" t="s">
        <v>737</v>
      </c>
      <c r="B243" s="49" t="s">
        <v>217</v>
      </c>
      <c r="C243" s="50">
        <v>0.7083333333333334</v>
      </c>
      <c r="D243" s="51"/>
      <c r="E243" s="51"/>
      <c r="F243" s="48" t="s">
        <v>738</v>
      </c>
      <c r="G243" s="52">
        <v>0.7</v>
      </c>
      <c r="H243" s="49" t="s">
        <v>219</v>
      </c>
      <c r="I243" s="53" t="s">
        <v>220</v>
      </c>
      <c r="J243" s="49" t="s">
        <v>121</v>
      </c>
      <c r="K243" s="49"/>
      <c r="L243" s="59"/>
      <c r="M243" s="55"/>
      <c r="N243" s="55"/>
      <c r="O243" s="48"/>
      <c r="P243" s="49" t="s">
        <v>221</v>
      </c>
      <c r="Q243" s="49"/>
      <c r="R243" s="48"/>
      <c r="S243" s="48"/>
      <c r="T243" s="48"/>
      <c r="U243" s="48"/>
      <c r="V243" s="48"/>
      <c r="W243" s="60"/>
      <c r="X243" s="48"/>
      <c r="Y243" s="48"/>
      <c r="Z243" s="48"/>
      <c r="AA243" s="48"/>
      <c r="AB243" s="48"/>
      <c r="AC243" s="48"/>
      <c r="AD243" s="48"/>
      <c r="AE243" s="57" t="b">
        <v>1</v>
      </c>
      <c r="AF243" s="48"/>
    </row>
    <row r="244" ht="15.75" customHeight="1">
      <c r="A244" s="48" t="s">
        <v>739</v>
      </c>
      <c r="B244" s="49" t="s">
        <v>259</v>
      </c>
      <c r="C244" s="50">
        <v>0.7083333333333334</v>
      </c>
      <c r="D244" s="51"/>
      <c r="E244" s="51"/>
      <c r="F244" s="48" t="s">
        <v>740</v>
      </c>
      <c r="G244" s="52">
        <v>0.6</v>
      </c>
      <c r="H244" s="49" t="s">
        <v>219</v>
      </c>
      <c r="I244" s="53" t="s">
        <v>220</v>
      </c>
      <c r="J244" s="49" t="s">
        <v>121</v>
      </c>
      <c r="K244" s="49"/>
      <c r="L244" s="54"/>
      <c r="M244" s="55"/>
      <c r="N244" s="55"/>
      <c r="O244" s="48"/>
      <c r="P244" s="49" t="s">
        <v>221</v>
      </c>
      <c r="Q244" s="49"/>
      <c r="R244" s="48"/>
      <c r="S244" s="48"/>
      <c r="T244" s="48"/>
      <c r="U244" s="48"/>
      <c r="V244" s="48"/>
      <c r="W244" s="56"/>
      <c r="X244" s="48"/>
      <c r="Y244" s="48"/>
      <c r="Z244" s="48"/>
      <c r="AA244" s="48"/>
      <c r="AB244" s="48"/>
      <c r="AC244" s="48"/>
      <c r="AD244" s="48"/>
      <c r="AE244" s="57" t="b">
        <v>1</v>
      </c>
      <c r="AF244" s="48"/>
    </row>
    <row r="245" ht="15.75" customHeight="1">
      <c r="A245" s="48" t="s">
        <v>741</v>
      </c>
      <c r="B245" s="49" t="s">
        <v>276</v>
      </c>
      <c r="C245" s="50">
        <v>0.7083333333333334</v>
      </c>
      <c r="D245" s="51"/>
      <c r="E245" s="51"/>
      <c r="F245" s="48" t="s">
        <v>742</v>
      </c>
      <c r="G245" s="52">
        <v>0.4</v>
      </c>
      <c r="H245" s="49" t="s">
        <v>219</v>
      </c>
      <c r="I245" s="53" t="s">
        <v>220</v>
      </c>
      <c r="J245" s="49" t="s">
        <v>121</v>
      </c>
      <c r="K245" s="49"/>
      <c r="L245" s="59"/>
      <c r="M245" s="55"/>
      <c r="N245" s="55"/>
      <c r="O245" s="48"/>
      <c r="P245" s="49" t="s">
        <v>221</v>
      </c>
      <c r="Q245" s="49"/>
      <c r="R245" s="48"/>
      <c r="S245" s="48"/>
      <c r="T245" s="48"/>
      <c r="U245" s="48"/>
      <c r="V245" s="48"/>
      <c r="W245" s="60"/>
      <c r="X245" s="48"/>
      <c r="Y245" s="48"/>
      <c r="Z245" s="48"/>
      <c r="AA245" s="48"/>
      <c r="AB245" s="48"/>
      <c r="AC245" s="48"/>
      <c r="AD245" s="48"/>
      <c r="AE245" s="57" t="b">
        <v>1</v>
      </c>
      <c r="AF245" s="48"/>
    </row>
    <row r="246" ht="15.75" customHeight="1">
      <c r="A246" s="48" t="s">
        <v>743</v>
      </c>
      <c r="B246" s="49" t="s">
        <v>217</v>
      </c>
      <c r="C246" s="50">
        <v>0.7083333333333334</v>
      </c>
      <c r="D246" s="51"/>
      <c r="E246" s="51"/>
      <c r="F246" s="48" t="s">
        <v>744</v>
      </c>
      <c r="G246" s="52">
        <v>0.4</v>
      </c>
      <c r="H246" s="49" t="s">
        <v>219</v>
      </c>
      <c r="I246" s="53" t="s">
        <v>220</v>
      </c>
      <c r="J246" s="49" t="s">
        <v>121</v>
      </c>
      <c r="K246" s="49"/>
      <c r="L246" s="54"/>
      <c r="M246" s="55"/>
      <c r="N246" s="55"/>
      <c r="O246" s="48"/>
      <c r="P246" s="49" t="s">
        <v>221</v>
      </c>
      <c r="Q246" s="49"/>
      <c r="R246" s="48"/>
      <c r="S246" s="48"/>
      <c r="T246" s="48"/>
      <c r="U246" s="48"/>
      <c r="V246" s="48"/>
      <c r="W246" s="56"/>
      <c r="X246" s="48"/>
      <c r="Y246" s="48"/>
      <c r="Z246" s="48"/>
      <c r="AA246" s="48"/>
      <c r="AB246" s="48"/>
      <c r="AC246" s="48"/>
      <c r="AD246" s="48"/>
      <c r="AE246" s="57" t="b">
        <v>1</v>
      </c>
      <c r="AF246" s="48"/>
    </row>
    <row r="247" ht="15.75" customHeight="1">
      <c r="A247" s="48" t="s">
        <v>745</v>
      </c>
      <c r="B247" s="49" t="s">
        <v>259</v>
      </c>
      <c r="C247" s="50">
        <v>0.75</v>
      </c>
      <c r="D247" s="51"/>
      <c r="E247" s="51"/>
      <c r="F247" s="48" t="s">
        <v>746</v>
      </c>
      <c r="G247" s="52">
        <v>1.6</v>
      </c>
      <c r="H247" s="49" t="s">
        <v>219</v>
      </c>
      <c r="I247" s="53" t="s">
        <v>320</v>
      </c>
      <c r="J247" s="49" t="s">
        <v>121</v>
      </c>
      <c r="K247" s="49"/>
      <c r="L247" s="59"/>
      <c r="M247" s="55"/>
      <c r="N247" s="55"/>
      <c r="O247" s="48"/>
      <c r="P247" s="49" t="s">
        <v>332</v>
      </c>
      <c r="Q247" s="49" t="s">
        <v>229</v>
      </c>
      <c r="R247" s="48"/>
      <c r="S247" s="48"/>
      <c r="T247" s="48"/>
      <c r="U247" s="48"/>
      <c r="V247" s="48"/>
      <c r="W247" s="60"/>
      <c r="X247" s="48"/>
      <c r="Y247" s="48"/>
      <c r="Z247" s="48"/>
      <c r="AA247" s="48"/>
      <c r="AB247" s="48"/>
      <c r="AC247" s="48"/>
      <c r="AD247" s="48"/>
      <c r="AE247" s="57" t="b">
        <v>1</v>
      </c>
      <c r="AF247" s="48"/>
    </row>
    <row r="248" ht="15.75" customHeight="1">
      <c r="A248" s="48" t="s">
        <v>747</v>
      </c>
      <c r="B248" s="49" t="s">
        <v>226</v>
      </c>
      <c r="C248" s="50">
        <v>0.75</v>
      </c>
      <c r="D248" s="51"/>
      <c r="E248" s="51"/>
      <c r="F248" s="48" t="s">
        <v>748</v>
      </c>
      <c r="G248" s="52">
        <v>0.3</v>
      </c>
      <c r="H248" s="49" t="s">
        <v>219</v>
      </c>
      <c r="I248" s="53" t="s">
        <v>320</v>
      </c>
      <c r="J248" s="49" t="s">
        <v>121</v>
      </c>
      <c r="K248" s="49"/>
      <c r="L248" s="54"/>
      <c r="M248" s="55"/>
      <c r="N248" s="55"/>
      <c r="O248" s="48"/>
      <c r="P248" s="49" t="s">
        <v>229</v>
      </c>
      <c r="Q248" s="49" t="s">
        <v>230</v>
      </c>
      <c r="R248" s="48"/>
      <c r="S248" s="48"/>
      <c r="T248" s="48"/>
      <c r="U248" s="48"/>
      <c r="V248" s="48"/>
      <c r="W248" s="56"/>
      <c r="X248" s="48"/>
      <c r="Y248" s="48"/>
      <c r="Z248" s="48"/>
      <c r="AA248" s="48"/>
      <c r="AB248" s="48"/>
      <c r="AC248" s="48"/>
      <c r="AD248" s="48"/>
      <c r="AE248" s="57" t="b">
        <v>1</v>
      </c>
      <c r="AF248" s="48"/>
    </row>
    <row r="249" ht="15.75" customHeight="1">
      <c r="A249" s="48" t="s">
        <v>749</v>
      </c>
      <c r="B249" s="49" t="s">
        <v>271</v>
      </c>
      <c r="C249" s="50">
        <v>0.75</v>
      </c>
      <c r="D249" s="51"/>
      <c r="E249" s="51"/>
      <c r="F249" s="48" t="s">
        <v>750</v>
      </c>
      <c r="G249" s="52">
        <v>8.5</v>
      </c>
      <c r="H249" s="49" t="s">
        <v>219</v>
      </c>
      <c r="I249" s="53" t="s">
        <v>320</v>
      </c>
      <c r="J249" s="49" t="s">
        <v>121</v>
      </c>
      <c r="K249" s="49"/>
      <c r="L249" s="59"/>
      <c r="M249" s="55"/>
      <c r="N249" s="55"/>
      <c r="O249" s="48"/>
      <c r="P249" s="49" t="s">
        <v>229</v>
      </c>
      <c r="Q249" s="49" t="s">
        <v>230</v>
      </c>
      <c r="R249" s="48"/>
      <c r="S249" s="48"/>
      <c r="T249" s="48"/>
      <c r="U249" s="48"/>
      <c r="V249" s="48"/>
      <c r="W249" s="60"/>
      <c r="X249" s="48"/>
      <c r="Y249" s="48"/>
      <c r="Z249" s="48"/>
      <c r="AA249" s="48"/>
      <c r="AB249" s="48"/>
      <c r="AC249" s="48"/>
      <c r="AD249" s="48"/>
      <c r="AE249" s="57" t="b">
        <v>1</v>
      </c>
      <c r="AF249" s="48"/>
    </row>
    <row r="250" ht="15.75" customHeight="1">
      <c r="A250" s="48" t="s">
        <v>751</v>
      </c>
      <c r="B250" s="49" t="s">
        <v>217</v>
      </c>
      <c r="C250" s="50">
        <v>0.75</v>
      </c>
      <c r="D250" s="51"/>
      <c r="E250" s="51"/>
      <c r="F250" s="48" t="s">
        <v>752</v>
      </c>
      <c r="G250" s="52">
        <v>0.1</v>
      </c>
      <c r="H250" s="49" t="s">
        <v>219</v>
      </c>
      <c r="I250" s="53" t="s">
        <v>228</v>
      </c>
      <c r="J250" s="49" t="s">
        <v>121</v>
      </c>
      <c r="K250" s="49" t="s">
        <v>402</v>
      </c>
      <c r="L250" s="54"/>
      <c r="M250" s="55"/>
      <c r="N250" s="55"/>
      <c r="O250" s="48"/>
      <c r="P250" s="49" t="s">
        <v>229</v>
      </c>
      <c r="Q250" s="49" t="s">
        <v>239</v>
      </c>
      <c r="R250" s="48"/>
      <c r="S250" s="48"/>
      <c r="T250" s="48"/>
      <c r="U250" s="48"/>
      <c r="V250" s="48"/>
      <c r="W250" s="56"/>
      <c r="X250" s="48"/>
      <c r="Y250" s="48"/>
      <c r="Z250" s="48"/>
      <c r="AA250" s="48"/>
      <c r="AB250" s="48"/>
      <c r="AC250" s="48"/>
      <c r="AD250" s="48"/>
      <c r="AE250" s="57" t="b">
        <v>1</v>
      </c>
      <c r="AF250" s="48"/>
    </row>
    <row r="251" ht="15.75" customHeight="1">
      <c r="A251" s="48" t="s">
        <v>753</v>
      </c>
      <c r="B251" s="49" t="s">
        <v>217</v>
      </c>
      <c r="C251" s="50">
        <v>0.75</v>
      </c>
      <c r="D251" s="51"/>
      <c r="E251" s="51"/>
      <c r="F251" s="48" t="s">
        <v>754</v>
      </c>
      <c r="G251" s="52">
        <v>0.2</v>
      </c>
      <c r="H251" s="49" t="s">
        <v>219</v>
      </c>
      <c r="I251" s="53" t="s">
        <v>228</v>
      </c>
      <c r="J251" s="49" t="s">
        <v>121</v>
      </c>
      <c r="K251" s="49" t="s">
        <v>402</v>
      </c>
      <c r="L251" s="59"/>
      <c r="M251" s="55"/>
      <c r="N251" s="55"/>
      <c r="O251" s="48"/>
      <c r="P251" s="49" t="s">
        <v>229</v>
      </c>
      <c r="Q251" s="49" t="s">
        <v>239</v>
      </c>
      <c r="R251" s="48"/>
      <c r="S251" s="48"/>
      <c r="T251" s="48"/>
      <c r="U251" s="48"/>
      <c r="V251" s="48"/>
      <c r="W251" s="60"/>
      <c r="X251" s="48"/>
      <c r="Y251" s="48"/>
      <c r="Z251" s="48"/>
      <c r="AA251" s="48"/>
      <c r="AB251" s="48"/>
      <c r="AC251" s="48"/>
      <c r="AD251" s="48"/>
      <c r="AE251" s="57" t="b">
        <v>1</v>
      </c>
      <c r="AF251" s="48"/>
    </row>
    <row r="252" ht="15.75" customHeight="1">
      <c r="A252" s="48" t="s">
        <v>755</v>
      </c>
      <c r="B252" s="49" t="s">
        <v>271</v>
      </c>
      <c r="C252" s="50">
        <v>0.75</v>
      </c>
      <c r="D252" s="51"/>
      <c r="E252" s="51"/>
      <c r="F252" s="48" t="s">
        <v>756</v>
      </c>
      <c r="G252" s="52">
        <v>0.1</v>
      </c>
      <c r="H252" s="49" t="s">
        <v>219</v>
      </c>
      <c r="I252" s="53" t="s">
        <v>228</v>
      </c>
      <c r="J252" s="49" t="s">
        <v>121</v>
      </c>
      <c r="K252" s="49" t="s">
        <v>402</v>
      </c>
      <c r="L252" s="54"/>
      <c r="M252" s="55"/>
      <c r="N252" s="55"/>
      <c r="O252" s="48"/>
      <c r="P252" s="49" t="s">
        <v>229</v>
      </c>
      <c r="Q252" s="49" t="s">
        <v>265</v>
      </c>
      <c r="R252" s="48"/>
      <c r="S252" s="48"/>
      <c r="T252" s="48"/>
      <c r="U252" s="48"/>
      <c r="V252" s="48"/>
      <c r="W252" s="56"/>
      <c r="X252" s="48"/>
      <c r="Y252" s="48"/>
      <c r="Z252" s="48"/>
      <c r="AA252" s="48"/>
      <c r="AB252" s="48"/>
      <c r="AC252" s="48"/>
      <c r="AD252" s="48"/>
      <c r="AE252" s="57" t="b">
        <v>1</v>
      </c>
      <c r="AF252" s="48"/>
    </row>
    <row r="253" ht="15.75" customHeight="1">
      <c r="A253" s="48" t="s">
        <v>757</v>
      </c>
      <c r="B253" s="49" t="s">
        <v>271</v>
      </c>
      <c r="C253" s="50">
        <v>0.75</v>
      </c>
      <c r="D253" s="51"/>
      <c r="E253" s="51"/>
      <c r="F253" s="48" t="s">
        <v>758</v>
      </c>
      <c r="G253" s="52">
        <v>0.2</v>
      </c>
      <c r="H253" s="49" t="s">
        <v>219</v>
      </c>
      <c r="I253" s="53" t="s">
        <v>228</v>
      </c>
      <c r="J253" s="49" t="s">
        <v>121</v>
      </c>
      <c r="K253" s="49" t="s">
        <v>402</v>
      </c>
      <c r="L253" s="59"/>
      <c r="M253" s="55"/>
      <c r="N253" s="55"/>
      <c r="O253" s="48"/>
      <c r="P253" s="49" t="s">
        <v>229</v>
      </c>
      <c r="Q253" s="49" t="s">
        <v>265</v>
      </c>
      <c r="R253" s="48"/>
      <c r="S253" s="48"/>
      <c r="T253" s="48"/>
      <c r="U253" s="48"/>
      <c r="V253" s="48"/>
      <c r="W253" s="60"/>
      <c r="X253" s="48"/>
      <c r="Y253" s="48"/>
      <c r="Z253" s="48"/>
      <c r="AA253" s="48"/>
      <c r="AB253" s="48"/>
      <c r="AC253" s="48"/>
      <c r="AD253" s="48"/>
      <c r="AE253" s="57" t="b">
        <v>1</v>
      </c>
      <c r="AF253" s="48"/>
    </row>
    <row r="254" ht="15.75" customHeight="1">
      <c r="A254" s="48" t="s">
        <v>759</v>
      </c>
      <c r="B254" s="49" t="s">
        <v>271</v>
      </c>
      <c r="C254" s="50">
        <v>0.75</v>
      </c>
      <c r="D254" s="51"/>
      <c r="E254" s="51"/>
      <c r="F254" s="48" t="s">
        <v>760</v>
      </c>
      <c r="G254" s="52">
        <v>1.1</v>
      </c>
      <c r="H254" s="49" t="s">
        <v>219</v>
      </c>
      <c r="I254" s="53" t="s">
        <v>228</v>
      </c>
      <c r="J254" s="49" t="s">
        <v>121</v>
      </c>
      <c r="K254" s="49"/>
      <c r="L254" s="54"/>
      <c r="M254" s="55"/>
      <c r="N254" s="55"/>
      <c r="O254" s="48"/>
      <c r="P254" s="49" t="s">
        <v>229</v>
      </c>
      <c r="Q254" s="49" t="s">
        <v>230</v>
      </c>
      <c r="R254" s="48"/>
      <c r="S254" s="48"/>
      <c r="T254" s="48"/>
      <c r="U254" s="48"/>
      <c r="V254" s="48"/>
      <c r="W254" s="56"/>
      <c r="X254" s="48"/>
      <c r="Y254" s="48"/>
      <c r="Z254" s="48"/>
      <c r="AA254" s="48"/>
      <c r="AB254" s="48"/>
      <c r="AC254" s="48"/>
      <c r="AD254" s="48"/>
      <c r="AE254" s="57" t="b">
        <v>1</v>
      </c>
      <c r="AF254" s="48"/>
    </row>
    <row r="255" ht="15.75" customHeight="1">
      <c r="A255" s="48" t="s">
        <v>761</v>
      </c>
      <c r="B255" s="49" t="s">
        <v>232</v>
      </c>
      <c r="C255" s="50">
        <v>0.75</v>
      </c>
      <c r="D255" s="51"/>
      <c r="E255" s="51"/>
      <c r="F255" s="48" t="s">
        <v>762</v>
      </c>
      <c r="G255" s="52">
        <v>3.0</v>
      </c>
      <c r="H255" s="49" t="s">
        <v>219</v>
      </c>
      <c r="I255" s="53" t="s">
        <v>228</v>
      </c>
      <c r="J255" s="49" t="s">
        <v>121</v>
      </c>
      <c r="K255" s="49"/>
      <c r="L255" s="59"/>
      <c r="M255" s="55"/>
      <c r="N255" s="55"/>
      <c r="O255" s="48"/>
      <c r="P255" s="49" t="s">
        <v>332</v>
      </c>
      <c r="Q255" s="49" t="s">
        <v>229</v>
      </c>
      <c r="R255" s="48"/>
      <c r="S255" s="48"/>
      <c r="T255" s="48"/>
      <c r="U255" s="48"/>
      <c r="V255" s="48"/>
      <c r="W255" s="60"/>
      <c r="X255" s="48"/>
      <c r="Y255" s="48"/>
      <c r="Z255" s="48"/>
      <c r="AA255" s="48"/>
      <c r="AB255" s="48"/>
      <c r="AC255" s="48"/>
      <c r="AD255" s="48"/>
      <c r="AE255" s="57" t="b">
        <v>1</v>
      </c>
      <c r="AF255" s="48"/>
    </row>
    <row r="256" ht="15.75" customHeight="1">
      <c r="A256" s="48" t="s">
        <v>763</v>
      </c>
      <c r="B256" s="49" t="s">
        <v>263</v>
      </c>
      <c r="C256" s="50">
        <v>0.75</v>
      </c>
      <c r="D256" s="51"/>
      <c r="E256" s="51"/>
      <c r="F256" s="48" t="s">
        <v>764</v>
      </c>
      <c r="G256" s="52">
        <v>0.1</v>
      </c>
      <c r="H256" s="49" t="s">
        <v>219</v>
      </c>
      <c r="I256" s="53" t="s">
        <v>228</v>
      </c>
      <c r="J256" s="49" t="s">
        <v>121</v>
      </c>
      <c r="K256" s="49"/>
      <c r="L256" s="54"/>
      <c r="M256" s="55"/>
      <c r="N256" s="55"/>
      <c r="O256" s="48"/>
      <c r="P256" s="49" t="s">
        <v>229</v>
      </c>
      <c r="Q256" s="49" t="s">
        <v>332</v>
      </c>
      <c r="R256" s="48"/>
      <c r="S256" s="48"/>
      <c r="T256" s="48"/>
      <c r="U256" s="48"/>
      <c r="V256" s="48"/>
      <c r="W256" s="56"/>
      <c r="X256" s="48"/>
      <c r="Y256" s="48"/>
      <c r="Z256" s="48"/>
      <c r="AA256" s="48"/>
      <c r="AB256" s="48"/>
      <c r="AC256" s="48"/>
      <c r="AD256" s="48"/>
      <c r="AE256" s="57" t="b">
        <v>1</v>
      </c>
      <c r="AF256" s="48"/>
    </row>
    <row r="257" ht="15.75" customHeight="1">
      <c r="A257" s="48" t="s">
        <v>765</v>
      </c>
      <c r="B257" s="49" t="s">
        <v>259</v>
      </c>
      <c r="C257" s="50">
        <v>0.75</v>
      </c>
      <c r="D257" s="51"/>
      <c r="E257" s="51"/>
      <c r="F257" s="48" t="s">
        <v>766</v>
      </c>
      <c r="G257" s="52">
        <v>0.7</v>
      </c>
      <c r="H257" s="49" t="s">
        <v>219</v>
      </c>
      <c r="I257" s="53" t="s">
        <v>228</v>
      </c>
      <c r="J257" s="49" t="s">
        <v>121</v>
      </c>
      <c r="K257" s="49"/>
      <c r="L257" s="59"/>
      <c r="M257" s="55"/>
      <c r="N257" s="55"/>
      <c r="O257" s="48"/>
      <c r="P257" s="49" t="s">
        <v>229</v>
      </c>
      <c r="Q257" s="49" t="s">
        <v>230</v>
      </c>
      <c r="R257" s="48"/>
      <c r="S257" s="48"/>
      <c r="T257" s="48"/>
      <c r="U257" s="48"/>
      <c r="V257" s="48"/>
      <c r="W257" s="60"/>
      <c r="X257" s="48"/>
      <c r="Y257" s="48"/>
      <c r="Z257" s="48"/>
      <c r="AA257" s="48"/>
      <c r="AB257" s="48"/>
      <c r="AC257" s="48"/>
      <c r="AD257" s="48"/>
      <c r="AE257" s="57" t="b">
        <v>1</v>
      </c>
      <c r="AF257" s="48"/>
    </row>
    <row r="258" ht="15.75" customHeight="1">
      <c r="A258" s="48" t="s">
        <v>767</v>
      </c>
      <c r="B258" s="49" t="s">
        <v>263</v>
      </c>
      <c r="C258" s="50">
        <v>0.75</v>
      </c>
      <c r="D258" s="51"/>
      <c r="E258" s="51"/>
      <c r="F258" s="48" t="s">
        <v>768</v>
      </c>
      <c r="G258" s="52">
        <v>1.2</v>
      </c>
      <c r="H258" s="49" t="s">
        <v>219</v>
      </c>
      <c r="I258" s="53" t="s">
        <v>228</v>
      </c>
      <c r="J258" s="49" t="s">
        <v>121</v>
      </c>
      <c r="K258" s="49"/>
      <c r="L258" s="54"/>
      <c r="M258" s="55"/>
      <c r="N258" s="55"/>
      <c r="O258" s="48"/>
      <c r="P258" s="49" t="s">
        <v>229</v>
      </c>
      <c r="Q258" s="49" t="s">
        <v>332</v>
      </c>
      <c r="R258" s="48"/>
      <c r="S258" s="48"/>
      <c r="T258" s="48"/>
      <c r="U258" s="48"/>
      <c r="V258" s="48"/>
      <c r="W258" s="56"/>
      <c r="X258" s="48"/>
      <c r="Y258" s="48"/>
      <c r="Z258" s="48"/>
      <c r="AA258" s="48"/>
      <c r="AB258" s="48"/>
      <c r="AC258" s="48"/>
      <c r="AD258" s="48"/>
      <c r="AE258" s="57" t="b">
        <v>1</v>
      </c>
      <c r="AF258" s="48"/>
    </row>
    <row r="259" ht="15.75" customHeight="1">
      <c r="A259" s="48" t="s">
        <v>769</v>
      </c>
      <c r="B259" s="49" t="s">
        <v>276</v>
      </c>
      <c r="C259" s="50">
        <v>0.75</v>
      </c>
      <c r="D259" s="51"/>
      <c r="E259" s="51"/>
      <c r="F259" s="48" t="s">
        <v>770</v>
      </c>
      <c r="G259" s="52">
        <v>0.1</v>
      </c>
      <c r="H259" s="49" t="s">
        <v>219</v>
      </c>
      <c r="I259" s="53" t="s">
        <v>228</v>
      </c>
      <c r="J259" s="49" t="s">
        <v>121</v>
      </c>
      <c r="K259" s="49"/>
      <c r="L259" s="59"/>
      <c r="M259" s="55"/>
      <c r="N259" s="55"/>
      <c r="O259" s="48"/>
      <c r="P259" s="49" t="s">
        <v>229</v>
      </c>
      <c r="Q259" s="49" t="s">
        <v>230</v>
      </c>
      <c r="R259" s="48"/>
      <c r="S259" s="48"/>
      <c r="T259" s="48"/>
      <c r="U259" s="48"/>
      <c r="V259" s="48"/>
      <c r="W259" s="60"/>
      <c r="X259" s="48"/>
      <c r="Y259" s="48"/>
      <c r="Z259" s="48"/>
      <c r="AA259" s="48"/>
      <c r="AB259" s="48"/>
      <c r="AC259" s="48"/>
      <c r="AD259" s="48"/>
      <c r="AE259" s="57" t="b">
        <v>1</v>
      </c>
      <c r="AF259" s="48"/>
    </row>
    <row r="260" ht="15.75" customHeight="1">
      <c r="A260" s="48" t="s">
        <v>771</v>
      </c>
      <c r="B260" s="49" t="s">
        <v>263</v>
      </c>
      <c r="C260" s="50">
        <v>0.75</v>
      </c>
      <c r="D260" s="51"/>
      <c r="E260" s="51"/>
      <c r="F260" s="48" t="s">
        <v>772</v>
      </c>
      <c r="G260" s="52">
        <v>0.4</v>
      </c>
      <c r="H260" s="49" t="s">
        <v>219</v>
      </c>
      <c r="I260" s="53" t="s">
        <v>228</v>
      </c>
      <c r="J260" s="49" t="s">
        <v>121</v>
      </c>
      <c r="K260" s="49"/>
      <c r="L260" s="54"/>
      <c r="M260" s="55"/>
      <c r="N260" s="55"/>
      <c r="O260" s="48"/>
      <c r="P260" s="49" t="s">
        <v>229</v>
      </c>
      <c r="Q260" s="49" t="s">
        <v>332</v>
      </c>
      <c r="R260" s="48"/>
      <c r="S260" s="48"/>
      <c r="T260" s="48"/>
      <c r="U260" s="48"/>
      <c r="V260" s="48"/>
      <c r="W260" s="56"/>
      <c r="X260" s="48"/>
      <c r="Y260" s="48"/>
      <c r="Z260" s="48"/>
      <c r="AA260" s="48"/>
      <c r="AB260" s="48"/>
      <c r="AC260" s="48"/>
      <c r="AD260" s="48"/>
      <c r="AE260" s="57" t="b">
        <v>1</v>
      </c>
      <c r="AF260" s="48"/>
    </row>
    <row r="261" ht="15.75" customHeight="1">
      <c r="A261" s="48" t="s">
        <v>773</v>
      </c>
      <c r="B261" s="49" t="s">
        <v>263</v>
      </c>
      <c r="C261" s="50">
        <v>0.75</v>
      </c>
      <c r="D261" s="51"/>
      <c r="E261" s="51"/>
      <c r="F261" s="48" t="s">
        <v>774</v>
      </c>
      <c r="G261" s="52">
        <v>0.2</v>
      </c>
      <c r="H261" s="49" t="s">
        <v>219</v>
      </c>
      <c r="I261" s="53" t="s">
        <v>228</v>
      </c>
      <c r="J261" s="49" t="s">
        <v>121</v>
      </c>
      <c r="K261" s="49"/>
      <c r="L261" s="59"/>
      <c r="M261" s="55"/>
      <c r="N261" s="55"/>
      <c r="O261" s="48"/>
      <c r="P261" s="49" t="s">
        <v>229</v>
      </c>
      <c r="Q261" s="49" t="s">
        <v>332</v>
      </c>
      <c r="R261" s="48"/>
      <c r="S261" s="48"/>
      <c r="T261" s="48"/>
      <c r="U261" s="48"/>
      <c r="V261" s="48"/>
      <c r="W261" s="60"/>
      <c r="X261" s="48"/>
      <c r="Y261" s="48"/>
      <c r="Z261" s="48"/>
      <c r="AA261" s="48"/>
      <c r="AB261" s="48"/>
      <c r="AC261" s="48"/>
      <c r="AD261" s="48"/>
      <c r="AE261" s="57" t="b">
        <v>1</v>
      </c>
      <c r="AF261" s="48"/>
    </row>
    <row r="262" ht="15.75" customHeight="1">
      <c r="A262" s="48" t="s">
        <v>775</v>
      </c>
      <c r="B262" s="49" t="s">
        <v>217</v>
      </c>
      <c r="C262" s="50">
        <v>0.75</v>
      </c>
      <c r="D262" s="51"/>
      <c r="E262" s="51"/>
      <c r="F262" s="48" t="s">
        <v>776</v>
      </c>
      <c r="G262" s="52">
        <v>6.8</v>
      </c>
      <c r="H262" s="49" t="s">
        <v>219</v>
      </c>
      <c r="I262" s="53" t="s">
        <v>234</v>
      </c>
      <c r="J262" s="49" t="s">
        <v>117</v>
      </c>
      <c r="K262" s="49"/>
      <c r="L262" s="54"/>
      <c r="M262" s="55"/>
      <c r="N262" s="55"/>
      <c r="O262" s="48"/>
      <c r="P262" s="49" t="s">
        <v>332</v>
      </c>
      <c r="Q262" s="49" t="s">
        <v>229</v>
      </c>
      <c r="R262" s="48"/>
      <c r="S262" s="48"/>
      <c r="T262" s="48"/>
      <c r="U262" s="48"/>
      <c r="V262" s="48"/>
      <c r="W262" s="56"/>
      <c r="X262" s="48"/>
      <c r="Y262" s="48"/>
      <c r="Z262" s="48"/>
      <c r="AA262" s="48"/>
      <c r="AB262" s="48"/>
      <c r="AC262" s="48"/>
      <c r="AD262" s="48"/>
      <c r="AE262" s="57" t="b">
        <v>1</v>
      </c>
      <c r="AF262" s="48"/>
    </row>
    <row r="263" ht="15.75" customHeight="1">
      <c r="A263" s="48" t="s">
        <v>777</v>
      </c>
      <c r="B263" s="49" t="s">
        <v>232</v>
      </c>
      <c r="C263" s="50">
        <v>0.75</v>
      </c>
      <c r="D263" s="51"/>
      <c r="E263" s="51"/>
      <c r="F263" s="48" t="s">
        <v>778</v>
      </c>
      <c r="G263" s="52">
        <v>4.0</v>
      </c>
      <c r="H263" s="49" t="s">
        <v>219</v>
      </c>
      <c r="I263" s="53" t="s">
        <v>234</v>
      </c>
      <c r="J263" s="49" t="s">
        <v>117</v>
      </c>
      <c r="K263" s="49"/>
      <c r="L263" s="59"/>
      <c r="M263" s="55"/>
      <c r="N263" s="55"/>
      <c r="O263" s="48"/>
      <c r="P263" s="49" t="s">
        <v>332</v>
      </c>
      <c r="Q263" s="49" t="s">
        <v>229</v>
      </c>
      <c r="R263" s="48"/>
      <c r="S263" s="48"/>
      <c r="T263" s="48"/>
      <c r="U263" s="48"/>
      <c r="V263" s="48"/>
      <c r="W263" s="60"/>
      <c r="X263" s="48"/>
      <c r="Y263" s="48"/>
      <c r="Z263" s="48"/>
      <c r="AA263" s="48"/>
      <c r="AB263" s="48"/>
      <c r="AC263" s="48"/>
      <c r="AD263" s="48"/>
      <c r="AE263" s="57" t="b">
        <v>1</v>
      </c>
      <c r="AF263" s="48"/>
    </row>
    <row r="264" ht="15.75" customHeight="1">
      <c r="A264" s="48" t="s">
        <v>779</v>
      </c>
      <c r="B264" s="49" t="s">
        <v>226</v>
      </c>
      <c r="C264" s="50">
        <v>0.75</v>
      </c>
      <c r="D264" s="51"/>
      <c r="E264" s="51"/>
      <c r="F264" s="48" t="s">
        <v>780</v>
      </c>
      <c r="G264" s="52">
        <v>5.0</v>
      </c>
      <c r="H264" s="49" t="s">
        <v>219</v>
      </c>
      <c r="I264" s="53" t="s">
        <v>234</v>
      </c>
      <c r="J264" s="49" t="s">
        <v>121</v>
      </c>
      <c r="K264" s="49"/>
      <c r="L264" s="54"/>
      <c r="M264" s="55"/>
      <c r="N264" s="55"/>
      <c r="O264" s="48"/>
      <c r="P264" s="49" t="s">
        <v>230</v>
      </c>
      <c r="Q264" s="49" t="s">
        <v>229</v>
      </c>
      <c r="R264" s="48"/>
      <c r="S264" s="48"/>
      <c r="T264" s="48"/>
      <c r="U264" s="48"/>
      <c r="V264" s="48"/>
      <c r="W264" s="56"/>
      <c r="X264" s="48"/>
      <c r="Y264" s="48"/>
      <c r="Z264" s="48"/>
      <c r="AA264" s="48"/>
      <c r="AB264" s="48"/>
      <c r="AC264" s="48"/>
      <c r="AD264" s="48"/>
      <c r="AE264" s="57" t="b">
        <v>1</v>
      </c>
      <c r="AF264" s="48"/>
    </row>
    <row r="265" ht="15.75" customHeight="1">
      <c r="A265" s="48" t="s">
        <v>781</v>
      </c>
      <c r="B265" s="49" t="s">
        <v>217</v>
      </c>
      <c r="C265" s="50">
        <v>0.75</v>
      </c>
      <c r="D265" s="51">
        <v>46126.0</v>
      </c>
      <c r="E265" s="51"/>
      <c r="F265" s="48" t="s">
        <v>782</v>
      </c>
      <c r="G265" s="52"/>
      <c r="H265" s="49" t="s">
        <v>477</v>
      </c>
      <c r="I265" s="53" t="s">
        <v>220</v>
      </c>
      <c r="J265" s="49" t="s">
        <v>123</v>
      </c>
      <c r="K265" s="49" t="s">
        <v>478</v>
      </c>
      <c r="L265" s="59"/>
      <c r="M265" s="55"/>
      <c r="N265" s="55"/>
      <c r="O265" s="48"/>
      <c r="P265" s="49"/>
      <c r="Q265" s="49"/>
      <c r="R265" s="48"/>
      <c r="S265" s="48"/>
      <c r="T265" s="48"/>
      <c r="U265" s="48"/>
      <c r="V265" s="48"/>
      <c r="W265" s="60"/>
      <c r="X265" s="48"/>
      <c r="Y265" s="48"/>
      <c r="Z265" s="48"/>
      <c r="AA265" s="48"/>
      <c r="AB265" s="48"/>
      <c r="AC265" s="48"/>
      <c r="AD265" s="48"/>
      <c r="AE265" s="62" t="b">
        <v>0</v>
      </c>
      <c r="AF265" s="48"/>
    </row>
    <row r="266" ht="15.75" customHeight="1">
      <c r="A266" s="48" t="s">
        <v>783</v>
      </c>
      <c r="B266" s="49" t="s">
        <v>232</v>
      </c>
      <c r="C266" s="50">
        <v>0.75</v>
      </c>
      <c r="D266" s="51">
        <v>46129.0</v>
      </c>
      <c r="E266" s="51"/>
      <c r="F266" s="48" t="s">
        <v>782</v>
      </c>
      <c r="G266" s="52"/>
      <c r="H266" s="49" t="s">
        <v>477</v>
      </c>
      <c r="I266" s="53" t="s">
        <v>220</v>
      </c>
      <c r="J266" s="49" t="s">
        <v>123</v>
      </c>
      <c r="K266" s="49" t="s">
        <v>478</v>
      </c>
      <c r="L266" s="54"/>
      <c r="M266" s="55"/>
      <c r="N266" s="55"/>
      <c r="O266" s="48"/>
      <c r="P266" s="49"/>
      <c r="Q266" s="49"/>
      <c r="R266" s="48"/>
      <c r="S266" s="48"/>
      <c r="T266" s="48"/>
      <c r="U266" s="48"/>
      <c r="V266" s="48"/>
      <c r="W266" s="56"/>
      <c r="X266" s="48"/>
      <c r="Y266" s="48"/>
      <c r="Z266" s="48"/>
      <c r="AA266" s="48"/>
      <c r="AB266" s="48"/>
      <c r="AC266" s="48"/>
      <c r="AD266" s="48"/>
      <c r="AE266" s="62" t="b">
        <v>0</v>
      </c>
      <c r="AF266" s="48"/>
    </row>
    <row r="267" ht="15.75" customHeight="1">
      <c r="A267" s="48" t="s">
        <v>784</v>
      </c>
      <c r="B267" s="49" t="s">
        <v>217</v>
      </c>
      <c r="C267" s="50">
        <v>0.75</v>
      </c>
      <c r="D267" s="51">
        <v>46154.0</v>
      </c>
      <c r="E267" s="51">
        <v>46154.0</v>
      </c>
      <c r="F267" s="48" t="s">
        <v>542</v>
      </c>
      <c r="G267" s="52">
        <v>4.5</v>
      </c>
      <c r="H267" s="49" t="s">
        <v>219</v>
      </c>
      <c r="I267" s="53" t="s">
        <v>220</v>
      </c>
      <c r="J267" s="49" t="s">
        <v>117</v>
      </c>
      <c r="K267" s="49" t="s">
        <v>543</v>
      </c>
      <c r="L267" s="59"/>
      <c r="M267" s="55"/>
      <c r="N267" s="48" t="s">
        <v>785</v>
      </c>
      <c r="O267" s="48"/>
      <c r="P267" s="49"/>
      <c r="Q267" s="49"/>
      <c r="R267" s="48"/>
      <c r="S267" s="48"/>
      <c r="T267" s="48"/>
      <c r="U267" s="48"/>
      <c r="V267" s="48"/>
      <c r="W267" s="60"/>
      <c r="X267" s="48"/>
      <c r="Y267" s="48"/>
      <c r="Z267" s="48"/>
      <c r="AA267" s="48"/>
      <c r="AB267" s="48"/>
      <c r="AC267" s="48"/>
      <c r="AD267" s="48"/>
      <c r="AE267" s="62" t="b">
        <v>0</v>
      </c>
      <c r="AF267" s="48"/>
    </row>
    <row r="268" ht="15.75" customHeight="1">
      <c r="A268" s="48" t="s">
        <v>786</v>
      </c>
      <c r="B268" s="49" t="s">
        <v>263</v>
      </c>
      <c r="C268" s="50">
        <v>0.75</v>
      </c>
      <c r="D268" s="51"/>
      <c r="E268" s="51"/>
      <c r="F268" s="48" t="s">
        <v>787</v>
      </c>
      <c r="G268" s="52">
        <v>2.2</v>
      </c>
      <c r="H268" s="49" t="s">
        <v>219</v>
      </c>
      <c r="I268" s="53" t="s">
        <v>220</v>
      </c>
      <c r="J268" s="49" t="s">
        <v>122</v>
      </c>
      <c r="K268" s="49"/>
      <c r="L268" s="54"/>
      <c r="M268" s="55"/>
      <c r="N268" s="55"/>
      <c r="O268" s="48"/>
      <c r="P268" s="49" t="s">
        <v>221</v>
      </c>
      <c r="Q268" s="49"/>
      <c r="R268" s="48"/>
      <c r="S268" s="48"/>
      <c r="T268" s="48"/>
      <c r="U268" s="48"/>
      <c r="V268" s="48"/>
      <c r="W268" s="56"/>
      <c r="X268" s="48"/>
      <c r="Y268" s="48"/>
      <c r="Z268" s="48"/>
      <c r="AA268" s="48">
        <v>24436.0</v>
      </c>
      <c r="AB268" s="61" t="s">
        <v>788</v>
      </c>
      <c r="AC268" s="48">
        <v>136.0</v>
      </c>
      <c r="AD268" s="48"/>
      <c r="AE268" s="57" t="b">
        <v>1</v>
      </c>
      <c r="AF268" s="48"/>
    </row>
    <row r="269" ht="15.75" customHeight="1">
      <c r="A269" s="48" t="s">
        <v>789</v>
      </c>
      <c r="B269" s="49" t="s">
        <v>217</v>
      </c>
      <c r="C269" s="50">
        <v>0.75</v>
      </c>
      <c r="D269" s="51"/>
      <c r="E269" s="51"/>
      <c r="F269" s="48" t="s">
        <v>790</v>
      </c>
      <c r="G269" s="52">
        <v>0.1</v>
      </c>
      <c r="H269" s="49" t="s">
        <v>219</v>
      </c>
      <c r="I269" s="53" t="s">
        <v>220</v>
      </c>
      <c r="J269" s="49" t="s">
        <v>121</v>
      </c>
      <c r="K269" s="49" t="s">
        <v>402</v>
      </c>
      <c r="L269" s="59"/>
      <c r="M269" s="55"/>
      <c r="N269" s="55"/>
      <c r="O269" s="48"/>
      <c r="P269" s="49" t="s">
        <v>229</v>
      </c>
      <c r="Q269" s="49" t="s">
        <v>239</v>
      </c>
      <c r="R269" s="48"/>
      <c r="S269" s="48"/>
      <c r="T269" s="48"/>
      <c r="U269" s="48"/>
      <c r="V269" s="48"/>
      <c r="W269" s="60"/>
      <c r="X269" s="48"/>
      <c r="Y269" s="48"/>
      <c r="Z269" s="48"/>
      <c r="AA269" s="48"/>
      <c r="AB269" s="48"/>
      <c r="AC269" s="48"/>
      <c r="AD269" s="48"/>
      <c r="AE269" s="57" t="b">
        <v>1</v>
      </c>
      <c r="AF269" s="48"/>
    </row>
    <row r="270" ht="15.75" customHeight="1">
      <c r="A270" s="48" t="s">
        <v>791</v>
      </c>
      <c r="B270" s="49" t="s">
        <v>217</v>
      </c>
      <c r="C270" s="50">
        <v>0.75</v>
      </c>
      <c r="D270" s="51"/>
      <c r="E270" s="51"/>
      <c r="F270" s="48" t="s">
        <v>792</v>
      </c>
      <c r="G270" s="52">
        <v>0.4</v>
      </c>
      <c r="H270" s="49" t="s">
        <v>219</v>
      </c>
      <c r="I270" s="53" t="s">
        <v>220</v>
      </c>
      <c r="J270" s="49" t="s">
        <v>121</v>
      </c>
      <c r="K270" s="49" t="s">
        <v>402</v>
      </c>
      <c r="L270" s="54"/>
      <c r="M270" s="55"/>
      <c r="N270" s="55"/>
      <c r="O270" s="48"/>
      <c r="P270" s="49" t="s">
        <v>229</v>
      </c>
      <c r="Q270" s="49" t="s">
        <v>239</v>
      </c>
      <c r="R270" s="48"/>
      <c r="S270" s="48"/>
      <c r="T270" s="48"/>
      <c r="U270" s="48"/>
      <c r="V270" s="48"/>
      <c r="W270" s="56"/>
      <c r="X270" s="48"/>
      <c r="Y270" s="48"/>
      <c r="Z270" s="48"/>
      <c r="AA270" s="48"/>
      <c r="AB270" s="48"/>
      <c r="AC270" s="48"/>
      <c r="AD270" s="48"/>
      <c r="AE270" s="57" t="b">
        <v>1</v>
      </c>
      <c r="AF270" s="48"/>
    </row>
    <row r="271" ht="15.75" customHeight="1">
      <c r="A271" s="48" t="s">
        <v>793</v>
      </c>
      <c r="B271" s="49" t="s">
        <v>271</v>
      </c>
      <c r="C271" s="50">
        <v>0.75</v>
      </c>
      <c r="D271" s="51"/>
      <c r="E271" s="51"/>
      <c r="F271" s="48" t="s">
        <v>794</v>
      </c>
      <c r="G271" s="52">
        <v>0.1</v>
      </c>
      <c r="H271" s="49" t="s">
        <v>219</v>
      </c>
      <c r="I271" s="53" t="s">
        <v>220</v>
      </c>
      <c r="J271" s="49" t="s">
        <v>121</v>
      </c>
      <c r="K271" s="49" t="s">
        <v>402</v>
      </c>
      <c r="L271" s="59"/>
      <c r="M271" s="55"/>
      <c r="N271" s="55"/>
      <c r="O271" s="48"/>
      <c r="P271" s="49" t="s">
        <v>229</v>
      </c>
      <c r="Q271" s="49" t="s">
        <v>265</v>
      </c>
      <c r="R271" s="48"/>
      <c r="S271" s="48"/>
      <c r="T271" s="48"/>
      <c r="U271" s="48"/>
      <c r="V271" s="48"/>
      <c r="W271" s="60"/>
      <c r="X271" s="48"/>
      <c r="Y271" s="48"/>
      <c r="Z271" s="48"/>
      <c r="AA271" s="48"/>
      <c r="AB271" s="48"/>
      <c r="AC271" s="48"/>
      <c r="AD271" s="48"/>
      <c r="AE271" s="57" t="b">
        <v>1</v>
      </c>
      <c r="AF271" s="48"/>
    </row>
    <row r="272" ht="15.75" customHeight="1">
      <c r="A272" s="48" t="s">
        <v>795</v>
      </c>
      <c r="B272" s="49" t="s">
        <v>271</v>
      </c>
      <c r="C272" s="50">
        <v>0.75</v>
      </c>
      <c r="D272" s="51"/>
      <c r="E272" s="51"/>
      <c r="F272" s="48" t="s">
        <v>796</v>
      </c>
      <c r="G272" s="52">
        <v>0.3</v>
      </c>
      <c r="H272" s="49" t="s">
        <v>219</v>
      </c>
      <c r="I272" s="53" t="s">
        <v>220</v>
      </c>
      <c r="J272" s="49" t="s">
        <v>121</v>
      </c>
      <c r="K272" s="49" t="s">
        <v>402</v>
      </c>
      <c r="L272" s="54"/>
      <c r="M272" s="55"/>
      <c r="N272" s="55"/>
      <c r="O272" s="48"/>
      <c r="P272" s="49" t="s">
        <v>229</v>
      </c>
      <c r="Q272" s="49" t="s">
        <v>265</v>
      </c>
      <c r="R272" s="48"/>
      <c r="S272" s="48"/>
      <c r="T272" s="48"/>
      <c r="U272" s="48"/>
      <c r="V272" s="48"/>
      <c r="W272" s="56"/>
      <c r="X272" s="48"/>
      <c r="Y272" s="48"/>
      <c r="Z272" s="48"/>
      <c r="AA272" s="48"/>
      <c r="AB272" s="48"/>
      <c r="AC272" s="48"/>
      <c r="AD272" s="48"/>
      <c r="AE272" s="57" t="b">
        <v>1</v>
      </c>
      <c r="AF272" s="48"/>
    </row>
    <row r="273" ht="15.75" customHeight="1">
      <c r="A273" s="48" t="s">
        <v>797</v>
      </c>
      <c r="B273" s="49" t="s">
        <v>259</v>
      </c>
      <c r="C273" s="50">
        <v>0.75</v>
      </c>
      <c r="D273" s="51"/>
      <c r="E273" s="51"/>
      <c r="F273" s="48" t="s">
        <v>798</v>
      </c>
      <c r="G273" s="52">
        <v>0.1</v>
      </c>
      <c r="H273" s="49" t="s">
        <v>219</v>
      </c>
      <c r="I273" s="53" t="s">
        <v>220</v>
      </c>
      <c r="J273" s="49" t="s">
        <v>121</v>
      </c>
      <c r="K273" s="49" t="s">
        <v>402</v>
      </c>
      <c r="L273" s="59"/>
      <c r="M273" s="55"/>
      <c r="N273" s="55"/>
      <c r="O273" s="48"/>
      <c r="P273" s="49" t="s">
        <v>229</v>
      </c>
      <c r="Q273" s="49" t="s">
        <v>240</v>
      </c>
      <c r="R273" s="48"/>
      <c r="S273" s="48"/>
      <c r="T273" s="48"/>
      <c r="U273" s="48"/>
      <c r="V273" s="48"/>
      <c r="W273" s="60"/>
      <c r="X273" s="48"/>
      <c r="Y273" s="48"/>
      <c r="Z273" s="48"/>
      <c r="AA273" s="48"/>
      <c r="AB273" s="48"/>
      <c r="AC273" s="48"/>
      <c r="AD273" s="48"/>
      <c r="AE273" s="57" t="b">
        <v>1</v>
      </c>
      <c r="AF273" s="48"/>
    </row>
    <row r="274" ht="15.75" customHeight="1">
      <c r="A274" s="48" t="s">
        <v>799</v>
      </c>
      <c r="B274" s="49" t="s">
        <v>259</v>
      </c>
      <c r="C274" s="50">
        <v>0.75</v>
      </c>
      <c r="D274" s="51"/>
      <c r="E274" s="51"/>
      <c r="F274" s="48" t="s">
        <v>800</v>
      </c>
      <c r="G274" s="52">
        <v>0.2</v>
      </c>
      <c r="H274" s="49" t="s">
        <v>219</v>
      </c>
      <c r="I274" s="53" t="s">
        <v>220</v>
      </c>
      <c r="J274" s="49" t="s">
        <v>121</v>
      </c>
      <c r="K274" s="49" t="s">
        <v>402</v>
      </c>
      <c r="L274" s="54"/>
      <c r="M274" s="55"/>
      <c r="N274" s="55"/>
      <c r="O274" s="48"/>
      <c r="P274" s="49" t="s">
        <v>229</v>
      </c>
      <c r="Q274" s="49" t="s">
        <v>240</v>
      </c>
      <c r="R274" s="48" t="s">
        <v>662</v>
      </c>
      <c r="S274" s="48" t="s">
        <v>663</v>
      </c>
      <c r="T274" s="48" t="s">
        <v>663</v>
      </c>
      <c r="U274" s="48" t="s">
        <v>663</v>
      </c>
      <c r="V274" s="48" t="s">
        <v>663</v>
      </c>
      <c r="W274" s="63" t="s">
        <v>663</v>
      </c>
      <c r="X274" s="48" t="s">
        <v>662</v>
      </c>
      <c r="Y274" s="48" t="s">
        <v>663</v>
      </c>
      <c r="Z274" s="48" t="s">
        <v>663</v>
      </c>
      <c r="AA274" s="48"/>
      <c r="AB274" s="48"/>
      <c r="AC274" s="48"/>
      <c r="AD274" s="48"/>
      <c r="AE274" s="57" t="b">
        <v>1</v>
      </c>
      <c r="AF274" s="48"/>
    </row>
    <row r="275" ht="15.75" customHeight="1">
      <c r="A275" s="48" t="s">
        <v>801</v>
      </c>
      <c r="B275" s="49" t="s">
        <v>259</v>
      </c>
      <c r="C275" s="50">
        <v>0.75</v>
      </c>
      <c r="D275" s="51"/>
      <c r="E275" s="51"/>
      <c r="F275" s="48" t="s">
        <v>802</v>
      </c>
      <c r="G275" s="52">
        <v>0.2</v>
      </c>
      <c r="H275" s="49" t="s">
        <v>219</v>
      </c>
      <c r="I275" s="53" t="s">
        <v>220</v>
      </c>
      <c r="J275" s="49" t="s">
        <v>121</v>
      </c>
      <c r="K275" s="49" t="s">
        <v>402</v>
      </c>
      <c r="L275" s="59"/>
      <c r="M275" s="55"/>
      <c r="N275" s="55"/>
      <c r="O275" s="48"/>
      <c r="P275" s="49" t="s">
        <v>229</v>
      </c>
      <c r="Q275" s="49" t="s">
        <v>240</v>
      </c>
      <c r="R275" s="48"/>
      <c r="S275" s="48"/>
      <c r="T275" s="48"/>
      <c r="U275" s="48"/>
      <c r="V275" s="48"/>
      <c r="W275" s="60"/>
      <c r="X275" s="48"/>
      <c r="Y275" s="48"/>
      <c r="Z275" s="48"/>
      <c r="AA275" s="48"/>
      <c r="AB275" s="48"/>
      <c r="AC275" s="48"/>
      <c r="AD275" s="48"/>
      <c r="AE275" s="57" t="b">
        <v>1</v>
      </c>
      <c r="AF275" s="48"/>
    </row>
    <row r="276" ht="15.75" customHeight="1">
      <c r="A276" s="48" t="s">
        <v>803</v>
      </c>
      <c r="B276" s="49" t="s">
        <v>259</v>
      </c>
      <c r="C276" s="50">
        <v>0.75</v>
      </c>
      <c r="D276" s="51"/>
      <c r="E276" s="51"/>
      <c r="F276" s="48" t="s">
        <v>804</v>
      </c>
      <c r="G276" s="52">
        <v>0.3</v>
      </c>
      <c r="H276" s="49" t="s">
        <v>219</v>
      </c>
      <c r="I276" s="53" t="s">
        <v>220</v>
      </c>
      <c r="J276" s="49" t="s">
        <v>121</v>
      </c>
      <c r="K276" s="49" t="s">
        <v>402</v>
      </c>
      <c r="L276" s="54"/>
      <c r="M276" s="55"/>
      <c r="N276" s="55"/>
      <c r="O276" s="48"/>
      <c r="P276" s="49" t="s">
        <v>229</v>
      </c>
      <c r="Q276" s="49" t="s">
        <v>240</v>
      </c>
      <c r="R276" s="48"/>
      <c r="S276" s="48"/>
      <c r="T276" s="48"/>
      <c r="U276" s="48"/>
      <c r="V276" s="48"/>
      <c r="W276" s="56"/>
      <c r="X276" s="48"/>
      <c r="Y276" s="48"/>
      <c r="Z276" s="48"/>
      <c r="AA276" s="48"/>
      <c r="AB276" s="48"/>
      <c r="AC276" s="48"/>
      <c r="AD276" s="48"/>
      <c r="AE276" s="57" t="b">
        <v>1</v>
      </c>
      <c r="AF276" s="48"/>
    </row>
    <row r="277" ht="15.75" customHeight="1">
      <c r="A277" s="48" t="s">
        <v>805</v>
      </c>
      <c r="B277" s="49" t="s">
        <v>259</v>
      </c>
      <c r="C277" s="50">
        <v>0.75</v>
      </c>
      <c r="D277" s="51"/>
      <c r="E277" s="51"/>
      <c r="F277" s="48" t="s">
        <v>806</v>
      </c>
      <c r="G277" s="52">
        <v>0.2</v>
      </c>
      <c r="H277" s="49" t="s">
        <v>219</v>
      </c>
      <c r="I277" s="53" t="s">
        <v>220</v>
      </c>
      <c r="J277" s="49" t="s">
        <v>121</v>
      </c>
      <c r="K277" s="49" t="s">
        <v>402</v>
      </c>
      <c r="L277" s="59"/>
      <c r="M277" s="55"/>
      <c r="N277" s="55"/>
      <c r="O277" s="48"/>
      <c r="P277" s="49" t="s">
        <v>229</v>
      </c>
      <c r="Q277" s="49" t="s">
        <v>240</v>
      </c>
      <c r="R277" s="48"/>
      <c r="S277" s="48"/>
      <c r="T277" s="48"/>
      <c r="U277" s="48"/>
      <c r="V277" s="48"/>
      <c r="W277" s="60"/>
      <c r="X277" s="48"/>
      <c r="Y277" s="48"/>
      <c r="Z277" s="48"/>
      <c r="AA277" s="48"/>
      <c r="AB277" s="48"/>
      <c r="AC277" s="48"/>
      <c r="AD277" s="48"/>
      <c r="AE277" s="57" t="b">
        <v>1</v>
      </c>
      <c r="AF277" s="48"/>
    </row>
    <row r="278" ht="15.75" customHeight="1">
      <c r="A278" s="48" t="s">
        <v>807</v>
      </c>
      <c r="B278" s="49" t="s">
        <v>259</v>
      </c>
      <c r="C278" s="50">
        <v>0.75</v>
      </c>
      <c r="D278" s="51"/>
      <c r="E278" s="51"/>
      <c r="F278" s="48" t="s">
        <v>808</v>
      </c>
      <c r="G278" s="52">
        <v>0.3</v>
      </c>
      <c r="H278" s="49" t="s">
        <v>219</v>
      </c>
      <c r="I278" s="53" t="s">
        <v>220</v>
      </c>
      <c r="J278" s="49" t="s">
        <v>121</v>
      </c>
      <c r="K278" s="49" t="s">
        <v>402</v>
      </c>
      <c r="L278" s="54"/>
      <c r="M278" s="55"/>
      <c r="N278" s="55"/>
      <c r="O278" s="48"/>
      <c r="P278" s="49" t="s">
        <v>229</v>
      </c>
      <c r="Q278" s="49" t="s">
        <v>240</v>
      </c>
      <c r="R278" s="48"/>
      <c r="S278" s="48"/>
      <c r="T278" s="48"/>
      <c r="U278" s="48"/>
      <c r="V278" s="48"/>
      <c r="W278" s="56"/>
      <c r="X278" s="48"/>
      <c r="Y278" s="48"/>
      <c r="Z278" s="48"/>
      <c r="AA278" s="48"/>
      <c r="AB278" s="48"/>
      <c r="AC278" s="48"/>
      <c r="AD278" s="48"/>
      <c r="AE278" s="57" t="b">
        <v>1</v>
      </c>
      <c r="AF278" s="48"/>
    </row>
    <row r="279" ht="15.75" customHeight="1">
      <c r="A279" s="48" t="s">
        <v>809</v>
      </c>
      <c r="B279" s="49" t="s">
        <v>259</v>
      </c>
      <c r="C279" s="50">
        <v>0.75</v>
      </c>
      <c r="D279" s="51"/>
      <c r="E279" s="51"/>
      <c r="F279" s="48" t="s">
        <v>810</v>
      </c>
      <c r="G279" s="52">
        <v>0.4</v>
      </c>
      <c r="H279" s="49" t="s">
        <v>219</v>
      </c>
      <c r="I279" s="53" t="s">
        <v>220</v>
      </c>
      <c r="J279" s="49" t="s">
        <v>121</v>
      </c>
      <c r="K279" s="49"/>
      <c r="L279" s="59"/>
      <c r="M279" s="55"/>
      <c r="N279" s="55"/>
      <c r="O279" s="48"/>
      <c r="P279" s="49" t="s">
        <v>230</v>
      </c>
      <c r="Q279" s="49" t="s">
        <v>229</v>
      </c>
      <c r="R279" s="48"/>
      <c r="S279" s="48"/>
      <c r="T279" s="48"/>
      <c r="U279" s="48"/>
      <c r="V279" s="48"/>
      <c r="W279" s="60"/>
      <c r="X279" s="48"/>
      <c r="Y279" s="48"/>
      <c r="Z279" s="48"/>
      <c r="AA279" s="48"/>
      <c r="AB279" s="48"/>
      <c r="AC279" s="48"/>
      <c r="AD279" s="48"/>
      <c r="AE279" s="57" t="b">
        <v>1</v>
      </c>
      <c r="AF279" s="48"/>
    </row>
    <row r="280" ht="15.75" customHeight="1">
      <c r="A280" s="48" t="s">
        <v>811</v>
      </c>
      <c r="B280" s="49" t="s">
        <v>226</v>
      </c>
      <c r="C280" s="50">
        <v>0.75</v>
      </c>
      <c r="D280" s="51"/>
      <c r="E280" s="51"/>
      <c r="F280" s="48" t="s">
        <v>812</v>
      </c>
      <c r="G280" s="52">
        <v>0.9</v>
      </c>
      <c r="H280" s="49" t="s">
        <v>219</v>
      </c>
      <c r="I280" s="53" t="s">
        <v>220</v>
      </c>
      <c r="J280" s="49" t="s">
        <v>121</v>
      </c>
      <c r="K280" s="49"/>
      <c r="L280" s="54"/>
      <c r="M280" s="55"/>
      <c r="N280" s="55"/>
      <c r="O280" s="48"/>
      <c r="P280" s="49" t="s">
        <v>221</v>
      </c>
      <c r="Q280" s="49"/>
      <c r="R280" s="48"/>
      <c r="S280" s="48"/>
      <c r="T280" s="48"/>
      <c r="U280" s="48"/>
      <c r="V280" s="48"/>
      <c r="W280" s="56"/>
      <c r="X280" s="48"/>
      <c r="Y280" s="48"/>
      <c r="Z280" s="48"/>
      <c r="AA280" s="48"/>
      <c r="AB280" s="48"/>
      <c r="AC280" s="48"/>
      <c r="AD280" s="48"/>
      <c r="AE280" s="57" t="b">
        <v>1</v>
      </c>
      <c r="AF280" s="48"/>
    </row>
    <row r="281" ht="15.75" customHeight="1">
      <c r="A281" s="48" t="s">
        <v>813</v>
      </c>
      <c r="B281" s="49" t="s">
        <v>271</v>
      </c>
      <c r="C281" s="50">
        <v>0.75</v>
      </c>
      <c r="D281" s="51"/>
      <c r="E281" s="51"/>
      <c r="F281" s="48" t="s">
        <v>814</v>
      </c>
      <c r="G281" s="52">
        <v>1.7</v>
      </c>
      <c r="H281" s="49" t="s">
        <v>219</v>
      </c>
      <c r="I281" s="53" t="s">
        <v>220</v>
      </c>
      <c r="J281" s="49" t="s">
        <v>121</v>
      </c>
      <c r="K281" s="49"/>
      <c r="L281" s="59"/>
      <c r="M281" s="55"/>
      <c r="N281" s="55"/>
      <c r="O281" s="48"/>
      <c r="P281" s="49" t="s">
        <v>221</v>
      </c>
      <c r="Q281" s="49"/>
      <c r="R281" s="48"/>
      <c r="S281" s="48"/>
      <c r="T281" s="48"/>
      <c r="U281" s="48"/>
      <c r="V281" s="48"/>
      <c r="W281" s="60"/>
      <c r="X281" s="48"/>
      <c r="Y281" s="48"/>
      <c r="Z281" s="48"/>
      <c r="AA281" s="48"/>
      <c r="AB281" s="48"/>
      <c r="AC281" s="48"/>
      <c r="AD281" s="48"/>
      <c r="AE281" s="57" t="b">
        <v>1</v>
      </c>
      <c r="AF281" s="48"/>
    </row>
    <row r="282" ht="15.75" customHeight="1">
      <c r="A282" s="48" t="s">
        <v>815</v>
      </c>
      <c r="B282" s="49" t="s">
        <v>276</v>
      </c>
      <c r="C282" s="50">
        <v>0.75</v>
      </c>
      <c r="D282" s="51"/>
      <c r="E282" s="51"/>
      <c r="F282" s="48" t="s">
        <v>816</v>
      </c>
      <c r="G282" s="52">
        <v>0.6</v>
      </c>
      <c r="H282" s="49" t="s">
        <v>219</v>
      </c>
      <c r="I282" s="53" t="s">
        <v>220</v>
      </c>
      <c r="J282" s="49" t="s">
        <v>121</v>
      </c>
      <c r="K282" s="49"/>
      <c r="L282" s="54"/>
      <c r="M282" s="55"/>
      <c r="N282" s="55"/>
      <c r="O282" s="48"/>
      <c r="P282" s="49" t="s">
        <v>221</v>
      </c>
      <c r="Q282" s="49"/>
      <c r="R282" s="48"/>
      <c r="S282" s="48"/>
      <c r="T282" s="48"/>
      <c r="U282" s="48"/>
      <c r="V282" s="48"/>
      <c r="W282" s="56"/>
      <c r="X282" s="48"/>
      <c r="Y282" s="48"/>
      <c r="Z282" s="48"/>
      <c r="AA282" s="48"/>
      <c r="AB282" s="48"/>
      <c r="AC282" s="48"/>
      <c r="AD282" s="48"/>
      <c r="AE282" s="57" t="b">
        <v>1</v>
      </c>
      <c r="AF282" s="48"/>
    </row>
    <row r="283" ht="15.75" customHeight="1">
      <c r="A283" s="48" t="s">
        <v>817</v>
      </c>
      <c r="B283" s="49" t="s">
        <v>226</v>
      </c>
      <c r="C283" s="50">
        <v>0.75</v>
      </c>
      <c r="D283" s="51"/>
      <c r="E283" s="51"/>
      <c r="F283" s="48" t="s">
        <v>818</v>
      </c>
      <c r="G283" s="52">
        <v>2.3</v>
      </c>
      <c r="H283" s="49" t="s">
        <v>219</v>
      </c>
      <c r="I283" s="53" t="s">
        <v>220</v>
      </c>
      <c r="J283" s="49" t="s">
        <v>121</v>
      </c>
      <c r="K283" s="49"/>
      <c r="L283" s="59"/>
      <c r="M283" s="55"/>
      <c r="N283" s="55"/>
      <c r="O283" s="48"/>
      <c r="P283" s="49" t="s">
        <v>221</v>
      </c>
      <c r="Q283" s="49"/>
      <c r="R283" s="48"/>
      <c r="S283" s="48"/>
      <c r="T283" s="48"/>
      <c r="U283" s="48"/>
      <c r="V283" s="48"/>
      <c r="W283" s="60"/>
      <c r="X283" s="48"/>
      <c r="Y283" s="48"/>
      <c r="Z283" s="48"/>
      <c r="AA283" s="48"/>
      <c r="AB283" s="48"/>
      <c r="AC283" s="48"/>
      <c r="AD283" s="48"/>
      <c r="AE283" s="57" t="b">
        <v>1</v>
      </c>
      <c r="AF283" s="48"/>
    </row>
    <row r="284" ht="15.75" customHeight="1">
      <c r="A284" s="48" t="s">
        <v>819</v>
      </c>
      <c r="B284" s="49" t="s">
        <v>263</v>
      </c>
      <c r="C284" s="50">
        <v>0.75</v>
      </c>
      <c r="D284" s="51"/>
      <c r="E284" s="51"/>
      <c r="F284" s="48" t="s">
        <v>820</v>
      </c>
      <c r="G284" s="52">
        <v>0.1</v>
      </c>
      <c r="H284" s="49" t="s">
        <v>219</v>
      </c>
      <c r="I284" s="53" t="s">
        <v>220</v>
      </c>
      <c r="J284" s="49" t="s">
        <v>121</v>
      </c>
      <c r="K284" s="49"/>
      <c r="L284" s="54"/>
      <c r="M284" s="55"/>
      <c r="N284" s="55"/>
      <c r="O284" s="48"/>
      <c r="P284" s="49" t="s">
        <v>221</v>
      </c>
      <c r="Q284" s="49"/>
      <c r="R284" s="48"/>
      <c r="S284" s="48"/>
      <c r="T284" s="48"/>
      <c r="U284" s="48"/>
      <c r="V284" s="48"/>
      <c r="W284" s="56"/>
      <c r="X284" s="48"/>
      <c r="Y284" s="48"/>
      <c r="Z284" s="48"/>
      <c r="AA284" s="48"/>
      <c r="AB284" s="48"/>
      <c r="AC284" s="48"/>
      <c r="AD284" s="48"/>
      <c r="AE284" s="57" t="b">
        <v>1</v>
      </c>
      <c r="AF284" s="48"/>
    </row>
    <row r="285" ht="15.75" customHeight="1">
      <c r="A285" s="48" t="s">
        <v>821</v>
      </c>
      <c r="B285" s="49" t="s">
        <v>263</v>
      </c>
      <c r="C285" s="50">
        <v>0.75</v>
      </c>
      <c r="D285" s="51"/>
      <c r="E285" s="51"/>
      <c r="F285" s="48" t="s">
        <v>822</v>
      </c>
      <c r="G285" s="52">
        <v>0.1</v>
      </c>
      <c r="H285" s="49" t="s">
        <v>219</v>
      </c>
      <c r="I285" s="53" t="s">
        <v>220</v>
      </c>
      <c r="J285" s="49" t="s">
        <v>121</v>
      </c>
      <c r="K285" s="49"/>
      <c r="L285" s="59"/>
      <c r="M285" s="55"/>
      <c r="N285" s="55"/>
      <c r="O285" s="48"/>
      <c r="P285" s="49" t="s">
        <v>221</v>
      </c>
      <c r="Q285" s="49"/>
      <c r="R285" s="48"/>
      <c r="S285" s="48"/>
      <c r="T285" s="48"/>
      <c r="U285" s="48"/>
      <c r="V285" s="48"/>
      <c r="W285" s="60"/>
      <c r="X285" s="48"/>
      <c r="Y285" s="48"/>
      <c r="Z285" s="48"/>
      <c r="AA285" s="48"/>
      <c r="AB285" s="48"/>
      <c r="AC285" s="48"/>
      <c r="AD285" s="48"/>
      <c r="AE285" s="57" t="b">
        <v>1</v>
      </c>
      <c r="AF285" s="48"/>
    </row>
    <row r="286" ht="15.75" customHeight="1">
      <c r="A286" s="48" t="s">
        <v>823</v>
      </c>
      <c r="B286" s="49" t="s">
        <v>263</v>
      </c>
      <c r="C286" s="50">
        <v>0.75</v>
      </c>
      <c r="D286" s="51"/>
      <c r="E286" s="51"/>
      <c r="F286" s="48" t="s">
        <v>824</v>
      </c>
      <c r="G286" s="52">
        <v>1.0</v>
      </c>
      <c r="H286" s="49" t="s">
        <v>219</v>
      </c>
      <c r="I286" s="53" t="s">
        <v>220</v>
      </c>
      <c r="J286" s="49" t="s">
        <v>121</v>
      </c>
      <c r="K286" s="49"/>
      <c r="L286" s="54"/>
      <c r="M286" s="55"/>
      <c r="N286" s="55"/>
      <c r="O286" s="48"/>
      <c r="P286" s="49" t="s">
        <v>221</v>
      </c>
      <c r="Q286" s="49"/>
      <c r="R286" s="48"/>
      <c r="S286" s="48"/>
      <c r="T286" s="48"/>
      <c r="U286" s="48"/>
      <c r="V286" s="48"/>
      <c r="W286" s="56"/>
      <c r="X286" s="48"/>
      <c r="Y286" s="48"/>
      <c r="Z286" s="48"/>
      <c r="AA286" s="48"/>
      <c r="AB286" s="48"/>
      <c r="AC286" s="48"/>
      <c r="AD286" s="48"/>
      <c r="AE286" s="57" t="b">
        <v>1</v>
      </c>
      <c r="AF286" s="48"/>
    </row>
    <row r="287" ht="15.75" customHeight="1">
      <c r="A287" s="48" t="s">
        <v>825</v>
      </c>
      <c r="B287" s="49" t="s">
        <v>276</v>
      </c>
      <c r="C287" s="50">
        <v>0.75</v>
      </c>
      <c r="D287" s="51"/>
      <c r="E287" s="51"/>
      <c r="F287" s="48" t="s">
        <v>826</v>
      </c>
      <c r="G287" s="52">
        <v>2.5</v>
      </c>
      <c r="H287" s="49" t="s">
        <v>219</v>
      </c>
      <c r="I287" s="53" t="s">
        <v>220</v>
      </c>
      <c r="J287" s="49" t="s">
        <v>121</v>
      </c>
      <c r="K287" s="49"/>
      <c r="L287" s="59"/>
      <c r="M287" s="55"/>
      <c r="N287" s="55"/>
      <c r="O287" s="48"/>
      <c r="P287" s="49" t="s">
        <v>221</v>
      </c>
      <c r="Q287" s="49"/>
      <c r="R287" s="48"/>
      <c r="S287" s="48"/>
      <c r="T287" s="48"/>
      <c r="U287" s="48"/>
      <c r="V287" s="48"/>
      <c r="W287" s="60"/>
      <c r="X287" s="48"/>
      <c r="Y287" s="48"/>
      <c r="Z287" s="48"/>
      <c r="AA287" s="48"/>
      <c r="AB287" s="48"/>
      <c r="AC287" s="48"/>
      <c r="AD287" s="48"/>
      <c r="AE287" s="57" t="b">
        <v>1</v>
      </c>
      <c r="AF287" s="48"/>
    </row>
    <row r="288" ht="15.75" customHeight="1">
      <c r="A288" s="48" t="s">
        <v>827</v>
      </c>
      <c r="B288" s="49" t="s">
        <v>263</v>
      </c>
      <c r="C288" s="50">
        <v>0.75</v>
      </c>
      <c r="D288" s="51"/>
      <c r="E288" s="51"/>
      <c r="F288" s="48" t="s">
        <v>828</v>
      </c>
      <c r="G288" s="52">
        <v>0.2</v>
      </c>
      <c r="H288" s="49" t="s">
        <v>219</v>
      </c>
      <c r="I288" s="53" t="s">
        <v>220</v>
      </c>
      <c r="J288" s="49" t="s">
        <v>121</v>
      </c>
      <c r="K288" s="49"/>
      <c r="L288" s="54"/>
      <c r="M288" s="55"/>
      <c r="N288" s="55"/>
      <c r="O288" s="48"/>
      <c r="P288" s="49" t="s">
        <v>221</v>
      </c>
      <c r="Q288" s="49"/>
      <c r="R288" s="48"/>
      <c r="S288" s="48"/>
      <c r="T288" s="48"/>
      <c r="U288" s="48"/>
      <c r="V288" s="48"/>
      <c r="W288" s="56"/>
      <c r="X288" s="48"/>
      <c r="Y288" s="48"/>
      <c r="Z288" s="48"/>
      <c r="AA288" s="48"/>
      <c r="AB288" s="48"/>
      <c r="AC288" s="48"/>
      <c r="AD288" s="48"/>
      <c r="AE288" s="57" t="b">
        <v>1</v>
      </c>
      <c r="AF288" s="48"/>
    </row>
    <row r="289" ht="15.75" customHeight="1">
      <c r="A289" s="48" t="s">
        <v>829</v>
      </c>
      <c r="B289" s="49" t="s">
        <v>232</v>
      </c>
      <c r="C289" s="50">
        <v>0.7916666666666666</v>
      </c>
      <c r="D289" s="51"/>
      <c r="E289" s="51"/>
      <c r="F289" s="48" t="s">
        <v>830</v>
      </c>
      <c r="G289" s="52">
        <v>1.9</v>
      </c>
      <c r="H289" s="49" t="s">
        <v>219</v>
      </c>
      <c r="I289" s="53" t="s">
        <v>320</v>
      </c>
      <c r="J289" s="49" t="s">
        <v>121</v>
      </c>
      <c r="K289" s="49"/>
      <c r="L289" s="59"/>
      <c r="M289" s="55"/>
      <c r="N289" s="55"/>
      <c r="O289" s="48"/>
      <c r="P289" s="49" t="s">
        <v>229</v>
      </c>
      <c r="Q289" s="49" t="s">
        <v>230</v>
      </c>
      <c r="R289" s="48"/>
      <c r="S289" s="48"/>
      <c r="T289" s="48"/>
      <c r="U289" s="48"/>
      <c r="V289" s="48"/>
      <c r="W289" s="60"/>
      <c r="X289" s="48"/>
      <c r="Y289" s="48"/>
      <c r="Z289" s="48"/>
      <c r="AA289" s="48"/>
      <c r="AB289" s="48"/>
      <c r="AC289" s="48"/>
      <c r="AD289" s="48"/>
      <c r="AE289" s="57" t="b">
        <v>1</v>
      </c>
      <c r="AF289" s="48"/>
    </row>
    <row r="290" ht="15.75" customHeight="1">
      <c r="A290" s="48" t="s">
        <v>831</v>
      </c>
      <c r="B290" s="49" t="s">
        <v>259</v>
      </c>
      <c r="C290" s="50">
        <v>0.7916666666666666</v>
      </c>
      <c r="D290" s="51"/>
      <c r="E290" s="51"/>
      <c r="F290" s="48" t="s">
        <v>832</v>
      </c>
      <c r="G290" s="52">
        <v>0.7</v>
      </c>
      <c r="H290" s="49" t="s">
        <v>219</v>
      </c>
      <c r="I290" s="53" t="s">
        <v>320</v>
      </c>
      <c r="J290" s="49" t="s">
        <v>121</v>
      </c>
      <c r="K290" s="49"/>
      <c r="L290" s="54"/>
      <c r="M290" s="55"/>
      <c r="N290" s="55"/>
      <c r="O290" s="48"/>
      <c r="P290" s="49" t="s">
        <v>229</v>
      </c>
      <c r="Q290" s="49" t="s">
        <v>239</v>
      </c>
      <c r="R290" s="48"/>
      <c r="S290" s="48"/>
      <c r="T290" s="48"/>
      <c r="U290" s="48"/>
      <c r="V290" s="48"/>
      <c r="W290" s="56"/>
      <c r="X290" s="48"/>
      <c r="Y290" s="48"/>
      <c r="Z290" s="48"/>
      <c r="AA290" s="48"/>
      <c r="AB290" s="48"/>
      <c r="AC290" s="48"/>
      <c r="AD290" s="48"/>
      <c r="AE290" s="57" t="b">
        <v>1</v>
      </c>
      <c r="AF290" s="48"/>
    </row>
    <row r="291" ht="15.75" customHeight="1">
      <c r="A291" s="48" t="s">
        <v>833</v>
      </c>
      <c r="B291" s="49" t="s">
        <v>259</v>
      </c>
      <c r="C291" s="50">
        <v>0.7916666666666666</v>
      </c>
      <c r="D291" s="51"/>
      <c r="E291" s="51"/>
      <c r="F291" s="48" t="s">
        <v>834</v>
      </c>
      <c r="G291" s="52">
        <v>0.9</v>
      </c>
      <c r="H291" s="49" t="s">
        <v>219</v>
      </c>
      <c r="I291" s="53" t="s">
        <v>320</v>
      </c>
      <c r="J291" s="49" t="s">
        <v>121</v>
      </c>
      <c r="K291" s="49"/>
      <c r="L291" s="59"/>
      <c r="M291" s="55"/>
      <c r="N291" s="55"/>
      <c r="O291" s="48"/>
      <c r="P291" s="49" t="s">
        <v>229</v>
      </c>
      <c r="Q291" s="49" t="s">
        <v>239</v>
      </c>
      <c r="R291" s="48"/>
      <c r="S291" s="48"/>
      <c r="T291" s="48"/>
      <c r="U291" s="48"/>
      <c r="V291" s="48"/>
      <c r="W291" s="60"/>
      <c r="X291" s="48"/>
      <c r="Y291" s="48"/>
      <c r="Z291" s="48"/>
      <c r="AA291" s="48"/>
      <c r="AB291" s="48"/>
      <c r="AC291" s="48"/>
      <c r="AD291" s="48"/>
      <c r="AE291" s="57" t="b">
        <v>1</v>
      </c>
      <c r="AF291" s="48"/>
    </row>
    <row r="292" ht="15.75" customHeight="1">
      <c r="A292" s="48" t="s">
        <v>835</v>
      </c>
      <c r="B292" s="49" t="s">
        <v>259</v>
      </c>
      <c r="C292" s="50">
        <v>0.7916666666666666</v>
      </c>
      <c r="D292" s="51"/>
      <c r="E292" s="51"/>
      <c r="F292" s="48" t="s">
        <v>836</v>
      </c>
      <c r="G292" s="52">
        <v>0.6</v>
      </c>
      <c r="H292" s="49" t="s">
        <v>219</v>
      </c>
      <c r="I292" s="53" t="s">
        <v>320</v>
      </c>
      <c r="J292" s="49" t="s">
        <v>121</v>
      </c>
      <c r="K292" s="49"/>
      <c r="L292" s="54"/>
      <c r="M292" s="55"/>
      <c r="N292" s="55"/>
      <c r="O292" s="48"/>
      <c r="P292" s="49" t="s">
        <v>229</v>
      </c>
      <c r="Q292" s="49" t="s">
        <v>239</v>
      </c>
      <c r="R292" s="48"/>
      <c r="S292" s="48"/>
      <c r="T292" s="48"/>
      <c r="U292" s="48"/>
      <c r="V292" s="48"/>
      <c r="W292" s="56"/>
      <c r="X292" s="48"/>
      <c r="Y292" s="48"/>
      <c r="Z292" s="48"/>
      <c r="AA292" s="48"/>
      <c r="AB292" s="48"/>
      <c r="AC292" s="48"/>
      <c r="AD292" s="48"/>
      <c r="AE292" s="57" t="b">
        <v>1</v>
      </c>
      <c r="AF292" s="48"/>
    </row>
    <row r="293" ht="15.75" customHeight="1">
      <c r="A293" s="48" t="s">
        <v>837</v>
      </c>
      <c r="B293" s="49" t="s">
        <v>259</v>
      </c>
      <c r="C293" s="50">
        <v>0.7916666666666666</v>
      </c>
      <c r="D293" s="51"/>
      <c r="E293" s="51"/>
      <c r="F293" s="48" t="s">
        <v>838</v>
      </c>
      <c r="G293" s="52">
        <v>0.7</v>
      </c>
      <c r="H293" s="49" t="s">
        <v>219</v>
      </c>
      <c r="I293" s="53" t="s">
        <v>320</v>
      </c>
      <c r="J293" s="49" t="s">
        <v>121</v>
      </c>
      <c r="K293" s="49"/>
      <c r="L293" s="59"/>
      <c r="M293" s="55"/>
      <c r="N293" s="55"/>
      <c r="O293" s="48"/>
      <c r="P293" s="49" t="s">
        <v>229</v>
      </c>
      <c r="Q293" s="49" t="s">
        <v>239</v>
      </c>
      <c r="R293" s="48"/>
      <c r="S293" s="48"/>
      <c r="T293" s="48"/>
      <c r="U293" s="48"/>
      <c r="V293" s="48"/>
      <c r="W293" s="60"/>
      <c r="X293" s="48"/>
      <c r="Y293" s="48"/>
      <c r="Z293" s="48"/>
      <c r="AA293" s="48"/>
      <c r="AB293" s="48"/>
      <c r="AC293" s="48"/>
      <c r="AD293" s="48"/>
      <c r="AE293" s="57" t="b">
        <v>1</v>
      </c>
      <c r="AF293" s="48"/>
    </row>
    <row r="294" ht="15.75" customHeight="1">
      <c r="A294" s="48" t="s">
        <v>839</v>
      </c>
      <c r="B294" s="49" t="s">
        <v>263</v>
      </c>
      <c r="C294" s="50">
        <v>0.7916666666666666</v>
      </c>
      <c r="D294" s="51"/>
      <c r="E294" s="51"/>
      <c r="F294" s="48" t="s">
        <v>840</v>
      </c>
      <c r="G294" s="52">
        <v>0.9</v>
      </c>
      <c r="H294" s="49" t="s">
        <v>219</v>
      </c>
      <c r="I294" s="53" t="s">
        <v>320</v>
      </c>
      <c r="J294" s="49" t="s">
        <v>121</v>
      </c>
      <c r="K294" s="49"/>
      <c r="L294" s="54"/>
      <c r="M294" s="55"/>
      <c r="N294" s="55"/>
      <c r="O294" s="48"/>
      <c r="P294" s="49" t="s">
        <v>229</v>
      </c>
      <c r="Q294" s="49" t="s">
        <v>230</v>
      </c>
      <c r="R294" s="48"/>
      <c r="S294" s="48"/>
      <c r="T294" s="48"/>
      <c r="U294" s="48"/>
      <c r="V294" s="48"/>
      <c r="W294" s="56"/>
      <c r="X294" s="48"/>
      <c r="Y294" s="48"/>
      <c r="Z294" s="48"/>
      <c r="AA294" s="48"/>
      <c r="AB294" s="48"/>
      <c r="AC294" s="48"/>
      <c r="AD294" s="48"/>
      <c r="AE294" s="57" t="b">
        <v>1</v>
      </c>
      <c r="AF294" s="48"/>
    </row>
    <row r="295" ht="15.75" customHeight="1">
      <c r="A295" s="48" t="s">
        <v>841</v>
      </c>
      <c r="B295" s="49" t="s">
        <v>259</v>
      </c>
      <c r="C295" s="50">
        <v>0.7916666666666666</v>
      </c>
      <c r="D295" s="51"/>
      <c r="E295" s="51"/>
      <c r="F295" s="48" t="s">
        <v>842</v>
      </c>
      <c r="G295" s="52">
        <v>1.0</v>
      </c>
      <c r="H295" s="49" t="s">
        <v>219</v>
      </c>
      <c r="I295" s="53" t="s">
        <v>320</v>
      </c>
      <c r="J295" s="49" t="s">
        <v>121</v>
      </c>
      <c r="K295" s="49"/>
      <c r="L295" s="59"/>
      <c r="M295" s="55"/>
      <c r="N295" s="55"/>
      <c r="O295" s="48"/>
      <c r="P295" s="49" t="s">
        <v>229</v>
      </c>
      <c r="Q295" s="49" t="s">
        <v>239</v>
      </c>
      <c r="R295" s="48"/>
      <c r="S295" s="48"/>
      <c r="T295" s="48"/>
      <c r="U295" s="48"/>
      <c r="V295" s="48"/>
      <c r="W295" s="60"/>
      <c r="X295" s="48"/>
      <c r="Y295" s="48"/>
      <c r="Z295" s="48"/>
      <c r="AA295" s="48"/>
      <c r="AB295" s="48"/>
      <c r="AC295" s="48"/>
      <c r="AD295" s="48"/>
      <c r="AE295" s="57" t="b">
        <v>1</v>
      </c>
      <c r="AF295" s="48"/>
    </row>
    <row r="296" ht="15.75" customHeight="1">
      <c r="A296" s="48" t="s">
        <v>843</v>
      </c>
      <c r="B296" s="49" t="s">
        <v>276</v>
      </c>
      <c r="C296" s="50">
        <v>0.7916666666666666</v>
      </c>
      <c r="D296" s="51"/>
      <c r="E296" s="51"/>
      <c r="F296" s="48" t="s">
        <v>844</v>
      </c>
      <c r="G296" s="52">
        <v>0.3</v>
      </c>
      <c r="H296" s="49" t="s">
        <v>219</v>
      </c>
      <c r="I296" s="53" t="s">
        <v>320</v>
      </c>
      <c r="J296" s="49" t="s">
        <v>121</v>
      </c>
      <c r="K296" s="49"/>
      <c r="L296" s="54"/>
      <c r="M296" s="55"/>
      <c r="N296" s="55"/>
      <c r="O296" s="48"/>
      <c r="P296" s="49" t="s">
        <v>229</v>
      </c>
      <c r="Q296" s="49" t="s">
        <v>230</v>
      </c>
      <c r="R296" s="48"/>
      <c r="S296" s="48"/>
      <c r="T296" s="48"/>
      <c r="U296" s="48"/>
      <c r="V296" s="48"/>
      <c r="W296" s="56"/>
      <c r="X296" s="48"/>
      <c r="Y296" s="48"/>
      <c r="Z296" s="48"/>
      <c r="AA296" s="48"/>
      <c r="AB296" s="48"/>
      <c r="AC296" s="48"/>
      <c r="AD296" s="48"/>
      <c r="AE296" s="57" t="b">
        <v>1</v>
      </c>
      <c r="AF296" s="48"/>
    </row>
    <row r="297" ht="15.75" customHeight="1">
      <c r="A297" s="48" t="s">
        <v>845</v>
      </c>
      <c r="B297" s="49" t="s">
        <v>232</v>
      </c>
      <c r="C297" s="50">
        <v>0.7916666666666666</v>
      </c>
      <c r="D297" s="51"/>
      <c r="E297" s="51"/>
      <c r="F297" s="48" t="s">
        <v>846</v>
      </c>
      <c r="G297" s="52">
        <v>1.3</v>
      </c>
      <c r="H297" s="49" t="s">
        <v>219</v>
      </c>
      <c r="I297" s="53" t="s">
        <v>228</v>
      </c>
      <c r="J297" s="49" t="s">
        <v>121</v>
      </c>
      <c r="K297" s="49"/>
      <c r="L297" s="59"/>
      <c r="M297" s="55"/>
      <c r="N297" s="55"/>
      <c r="O297" s="48"/>
      <c r="P297" s="49" t="s">
        <v>229</v>
      </c>
      <c r="Q297" s="49" t="s">
        <v>230</v>
      </c>
      <c r="R297" s="48" t="s">
        <v>662</v>
      </c>
      <c r="S297" s="48" t="s">
        <v>663</v>
      </c>
      <c r="T297" s="48" t="s">
        <v>663</v>
      </c>
      <c r="U297" s="48" t="s">
        <v>663</v>
      </c>
      <c r="V297" s="48" t="s">
        <v>663</v>
      </c>
      <c r="W297" s="64" t="s">
        <v>663</v>
      </c>
      <c r="X297" s="48" t="s">
        <v>662</v>
      </c>
      <c r="Y297" s="48" t="s">
        <v>663</v>
      </c>
      <c r="Z297" s="48" t="s">
        <v>663</v>
      </c>
      <c r="AA297" s="48"/>
      <c r="AB297" s="48"/>
      <c r="AC297" s="48"/>
      <c r="AD297" s="48"/>
      <c r="AE297" s="57" t="b">
        <v>1</v>
      </c>
      <c r="AF297" s="48"/>
    </row>
    <row r="298" ht="15.75" customHeight="1">
      <c r="A298" s="48" t="s">
        <v>847</v>
      </c>
      <c r="B298" s="49" t="s">
        <v>263</v>
      </c>
      <c r="C298" s="50">
        <v>0.7916666666666666</v>
      </c>
      <c r="D298" s="51"/>
      <c r="E298" s="51"/>
      <c r="F298" s="48" t="s">
        <v>848</v>
      </c>
      <c r="G298" s="52">
        <v>0.7</v>
      </c>
      <c r="H298" s="49" t="s">
        <v>219</v>
      </c>
      <c r="I298" s="53" t="s">
        <v>228</v>
      </c>
      <c r="J298" s="49" t="s">
        <v>121</v>
      </c>
      <c r="K298" s="49"/>
      <c r="L298" s="54"/>
      <c r="M298" s="55"/>
      <c r="N298" s="55"/>
      <c r="O298" s="48"/>
      <c r="P298" s="49" t="s">
        <v>229</v>
      </c>
      <c r="Q298" s="49" t="s">
        <v>239</v>
      </c>
      <c r="R298" s="48"/>
      <c r="S298" s="48"/>
      <c r="T298" s="48"/>
      <c r="U298" s="48"/>
      <c r="V298" s="48"/>
      <c r="W298" s="56"/>
      <c r="X298" s="48"/>
      <c r="Y298" s="48"/>
      <c r="Z298" s="48"/>
      <c r="AA298" s="48"/>
      <c r="AB298" s="48"/>
      <c r="AC298" s="48"/>
      <c r="AD298" s="48"/>
      <c r="AE298" s="57" t="b">
        <v>1</v>
      </c>
      <c r="AF298" s="48"/>
    </row>
    <row r="299" ht="15.75" customHeight="1">
      <c r="A299" s="48" t="s">
        <v>849</v>
      </c>
      <c r="B299" s="49" t="s">
        <v>259</v>
      </c>
      <c r="C299" s="50">
        <v>0.7916666666666666</v>
      </c>
      <c r="D299" s="51"/>
      <c r="E299" s="51"/>
      <c r="F299" s="48" t="s">
        <v>850</v>
      </c>
      <c r="G299" s="52">
        <v>0.9</v>
      </c>
      <c r="H299" s="49" t="s">
        <v>219</v>
      </c>
      <c r="I299" s="53" t="s">
        <v>228</v>
      </c>
      <c r="J299" s="49" t="s">
        <v>121</v>
      </c>
      <c r="K299" s="49"/>
      <c r="L299" s="59"/>
      <c r="M299" s="55"/>
      <c r="N299" s="55"/>
      <c r="O299" s="48"/>
      <c r="P299" s="49" t="s">
        <v>229</v>
      </c>
      <c r="Q299" s="49" t="s">
        <v>332</v>
      </c>
      <c r="R299" s="48"/>
      <c r="S299" s="48"/>
      <c r="T299" s="48"/>
      <c r="U299" s="48"/>
      <c r="V299" s="48"/>
      <c r="W299" s="60"/>
      <c r="X299" s="48"/>
      <c r="Y299" s="48"/>
      <c r="Z299" s="48"/>
      <c r="AA299" s="48"/>
      <c r="AB299" s="48"/>
      <c r="AC299" s="48"/>
      <c r="AD299" s="48"/>
      <c r="AE299" s="57" t="b">
        <v>1</v>
      </c>
      <c r="AF299" s="48"/>
    </row>
    <row r="300" ht="15.75" customHeight="1">
      <c r="A300" s="48" t="s">
        <v>851</v>
      </c>
      <c r="B300" s="49" t="s">
        <v>259</v>
      </c>
      <c r="C300" s="50">
        <v>0.7916666666666666</v>
      </c>
      <c r="D300" s="51"/>
      <c r="E300" s="51"/>
      <c r="F300" s="48" t="s">
        <v>852</v>
      </c>
      <c r="G300" s="52">
        <v>2.0</v>
      </c>
      <c r="H300" s="49" t="s">
        <v>219</v>
      </c>
      <c r="I300" s="53" t="s">
        <v>228</v>
      </c>
      <c r="J300" s="49" t="s">
        <v>121</v>
      </c>
      <c r="K300" s="49"/>
      <c r="L300" s="54"/>
      <c r="M300" s="55"/>
      <c r="N300" s="55"/>
      <c r="O300" s="48"/>
      <c r="P300" s="49" t="s">
        <v>229</v>
      </c>
      <c r="Q300" s="49" t="s">
        <v>332</v>
      </c>
      <c r="R300" s="48"/>
      <c r="S300" s="48"/>
      <c r="T300" s="48"/>
      <c r="U300" s="48"/>
      <c r="V300" s="48"/>
      <c r="W300" s="56"/>
      <c r="X300" s="48"/>
      <c r="Y300" s="48"/>
      <c r="Z300" s="48"/>
      <c r="AA300" s="48"/>
      <c r="AB300" s="48"/>
      <c r="AC300" s="48"/>
      <c r="AD300" s="48"/>
      <c r="AE300" s="57" t="b">
        <v>1</v>
      </c>
      <c r="AF300" s="48"/>
    </row>
    <row r="301" ht="15.75" customHeight="1">
      <c r="A301" s="48" t="s">
        <v>853</v>
      </c>
      <c r="B301" s="49" t="s">
        <v>226</v>
      </c>
      <c r="C301" s="50">
        <v>0.7916666666666666</v>
      </c>
      <c r="D301" s="51"/>
      <c r="E301" s="51"/>
      <c r="F301" s="48" t="s">
        <v>854</v>
      </c>
      <c r="G301" s="52">
        <v>0.2</v>
      </c>
      <c r="H301" s="49" t="s">
        <v>219</v>
      </c>
      <c r="I301" s="53" t="s">
        <v>228</v>
      </c>
      <c r="J301" s="49" t="s">
        <v>121</v>
      </c>
      <c r="K301" s="49"/>
      <c r="L301" s="59"/>
      <c r="M301" s="55"/>
      <c r="N301" s="55"/>
      <c r="O301" s="48"/>
      <c r="P301" s="49" t="s">
        <v>229</v>
      </c>
      <c r="Q301" s="49" t="s">
        <v>230</v>
      </c>
      <c r="R301" s="48"/>
      <c r="S301" s="48"/>
      <c r="T301" s="48"/>
      <c r="U301" s="48"/>
      <c r="V301" s="48"/>
      <c r="W301" s="60"/>
      <c r="X301" s="48"/>
      <c r="Y301" s="48"/>
      <c r="Z301" s="48"/>
      <c r="AA301" s="48"/>
      <c r="AB301" s="48"/>
      <c r="AC301" s="48"/>
      <c r="AD301" s="48"/>
      <c r="AE301" s="57" t="b">
        <v>1</v>
      </c>
      <c r="AF301" s="48"/>
    </row>
    <row r="302" ht="15.75" customHeight="1">
      <c r="A302" s="48" t="s">
        <v>855</v>
      </c>
      <c r="B302" s="49" t="s">
        <v>263</v>
      </c>
      <c r="C302" s="50">
        <v>0.7916666666666666</v>
      </c>
      <c r="D302" s="51"/>
      <c r="E302" s="51"/>
      <c r="F302" s="48" t="s">
        <v>856</v>
      </c>
      <c r="G302" s="52">
        <v>0.9</v>
      </c>
      <c r="H302" s="49" t="s">
        <v>219</v>
      </c>
      <c r="I302" s="53" t="s">
        <v>228</v>
      </c>
      <c r="J302" s="49" t="s">
        <v>121</v>
      </c>
      <c r="K302" s="49"/>
      <c r="L302" s="54"/>
      <c r="M302" s="55"/>
      <c r="N302" s="55"/>
      <c r="O302" s="48"/>
      <c r="P302" s="49" t="s">
        <v>229</v>
      </c>
      <c r="Q302" s="49" t="s">
        <v>239</v>
      </c>
      <c r="R302" s="48"/>
      <c r="S302" s="48"/>
      <c r="T302" s="48"/>
      <c r="U302" s="48"/>
      <c r="V302" s="48"/>
      <c r="W302" s="56"/>
      <c r="X302" s="48"/>
      <c r="Y302" s="48"/>
      <c r="Z302" s="48"/>
      <c r="AA302" s="48"/>
      <c r="AB302" s="48"/>
      <c r="AC302" s="48"/>
      <c r="AD302" s="48"/>
      <c r="AE302" s="57" t="b">
        <v>1</v>
      </c>
      <c r="AF302" s="48"/>
    </row>
    <row r="303" ht="15.75" customHeight="1">
      <c r="A303" s="48" t="s">
        <v>857</v>
      </c>
      <c r="B303" s="49" t="s">
        <v>263</v>
      </c>
      <c r="C303" s="50">
        <v>0.7916666666666666</v>
      </c>
      <c r="D303" s="51"/>
      <c r="E303" s="51"/>
      <c r="F303" s="48" t="s">
        <v>858</v>
      </c>
      <c r="G303" s="52">
        <v>0.6</v>
      </c>
      <c r="H303" s="49" t="s">
        <v>219</v>
      </c>
      <c r="I303" s="53" t="s">
        <v>228</v>
      </c>
      <c r="J303" s="49" t="s">
        <v>121</v>
      </c>
      <c r="K303" s="49"/>
      <c r="L303" s="59"/>
      <c r="M303" s="55"/>
      <c r="N303" s="55"/>
      <c r="O303" s="48"/>
      <c r="P303" s="49" t="s">
        <v>229</v>
      </c>
      <c r="Q303" s="49" t="s">
        <v>239</v>
      </c>
      <c r="R303" s="48"/>
      <c r="S303" s="48"/>
      <c r="T303" s="48"/>
      <c r="U303" s="48"/>
      <c r="V303" s="48"/>
      <c r="W303" s="60"/>
      <c r="X303" s="48"/>
      <c r="Y303" s="48"/>
      <c r="Z303" s="48"/>
      <c r="AA303" s="48"/>
      <c r="AB303" s="48"/>
      <c r="AC303" s="48"/>
      <c r="AD303" s="48"/>
      <c r="AE303" s="57" t="b">
        <v>1</v>
      </c>
      <c r="AF303" s="48"/>
    </row>
    <row r="304" ht="15.75" customHeight="1">
      <c r="A304" s="48" t="s">
        <v>859</v>
      </c>
      <c r="B304" s="49" t="s">
        <v>263</v>
      </c>
      <c r="C304" s="50">
        <v>0.7916666666666666</v>
      </c>
      <c r="D304" s="51"/>
      <c r="E304" s="51"/>
      <c r="F304" s="48" t="s">
        <v>860</v>
      </c>
      <c r="G304" s="52">
        <v>1.0</v>
      </c>
      <c r="H304" s="49" t="s">
        <v>219</v>
      </c>
      <c r="I304" s="53" t="s">
        <v>228</v>
      </c>
      <c r="J304" s="49" t="s">
        <v>121</v>
      </c>
      <c r="K304" s="49"/>
      <c r="L304" s="54"/>
      <c r="M304" s="55"/>
      <c r="N304" s="55"/>
      <c r="O304" s="48"/>
      <c r="P304" s="49" t="s">
        <v>229</v>
      </c>
      <c r="Q304" s="49" t="s">
        <v>239</v>
      </c>
      <c r="R304" s="48"/>
      <c r="S304" s="48"/>
      <c r="T304" s="48"/>
      <c r="U304" s="48"/>
      <c r="V304" s="48"/>
      <c r="W304" s="56"/>
      <c r="X304" s="48"/>
      <c r="Y304" s="48"/>
      <c r="Z304" s="48"/>
      <c r="AA304" s="48"/>
      <c r="AB304" s="48"/>
      <c r="AC304" s="48"/>
      <c r="AD304" s="48"/>
      <c r="AE304" s="57" t="b">
        <v>1</v>
      </c>
      <c r="AF304" s="48"/>
    </row>
    <row r="305" ht="15.75" customHeight="1">
      <c r="A305" s="48" t="s">
        <v>861</v>
      </c>
      <c r="B305" s="49" t="s">
        <v>271</v>
      </c>
      <c r="C305" s="50">
        <v>0.7916666666666666</v>
      </c>
      <c r="D305" s="51"/>
      <c r="E305" s="51"/>
      <c r="F305" s="48" t="s">
        <v>862</v>
      </c>
      <c r="G305" s="52">
        <v>3.5</v>
      </c>
      <c r="H305" s="49" t="s">
        <v>219</v>
      </c>
      <c r="I305" s="53" t="s">
        <v>234</v>
      </c>
      <c r="J305" s="49" t="s">
        <v>121</v>
      </c>
      <c r="K305" s="49"/>
      <c r="L305" s="59"/>
      <c r="M305" s="55"/>
      <c r="N305" s="55"/>
      <c r="O305" s="48"/>
      <c r="P305" s="49" t="s">
        <v>332</v>
      </c>
      <c r="Q305" s="49" t="s">
        <v>229</v>
      </c>
      <c r="R305" s="48"/>
      <c r="S305" s="48"/>
      <c r="T305" s="48"/>
      <c r="U305" s="48"/>
      <c r="V305" s="48"/>
      <c r="W305" s="60"/>
      <c r="X305" s="48"/>
      <c r="Y305" s="48"/>
      <c r="Z305" s="48"/>
      <c r="AA305" s="48"/>
      <c r="AB305" s="48"/>
      <c r="AC305" s="48"/>
      <c r="AD305" s="48"/>
      <c r="AE305" s="57" t="b">
        <v>1</v>
      </c>
      <c r="AF305" s="48"/>
    </row>
    <row r="306" ht="15.75" customHeight="1">
      <c r="A306" s="48" t="s">
        <v>863</v>
      </c>
      <c r="B306" s="49" t="s">
        <v>259</v>
      </c>
      <c r="C306" s="50">
        <v>0.7916666666666666</v>
      </c>
      <c r="D306" s="51"/>
      <c r="E306" s="51"/>
      <c r="F306" s="48" t="s">
        <v>864</v>
      </c>
      <c r="G306" s="52">
        <v>4.0</v>
      </c>
      <c r="H306" s="49" t="s">
        <v>219</v>
      </c>
      <c r="I306" s="53" t="s">
        <v>234</v>
      </c>
      <c r="J306" s="49" t="s">
        <v>121</v>
      </c>
      <c r="K306" s="49"/>
      <c r="L306" s="54"/>
      <c r="M306" s="55"/>
      <c r="N306" s="55"/>
      <c r="O306" s="48"/>
      <c r="P306" s="49" t="s">
        <v>230</v>
      </c>
      <c r="Q306" s="49" t="s">
        <v>229</v>
      </c>
      <c r="R306" s="48"/>
      <c r="S306" s="48"/>
      <c r="T306" s="48"/>
      <c r="U306" s="48"/>
      <c r="V306" s="48"/>
      <c r="W306" s="56"/>
      <c r="X306" s="48"/>
      <c r="Y306" s="48"/>
      <c r="Z306" s="48"/>
      <c r="AA306" s="48"/>
      <c r="AB306" s="48"/>
      <c r="AC306" s="48"/>
      <c r="AD306" s="48"/>
      <c r="AE306" s="57" t="b">
        <v>1</v>
      </c>
      <c r="AF306" s="48"/>
    </row>
    <row r="307" ht="15.75" customHeight="1">
      <c r="A307" s="48" t="s">
        <v>865</v>
      </c>
      <c r="B307" s="49" t="s">
        <v>232</v>
      </c>
      <c r="C307" s="50">
        <v>0.7916666666666666</v>
      </c>
      <c r="D307" s="51"/>
      <c r="E307" s="51"/>
      <c r="F307" s="48" t="s">
        <v>866</v>
      </c>
      <c r="G307" s="52">
        <v>4.0</v>
      </c>
      <c r="H307" s="49" t="s">
        <v>219</v>
      </c>
      <c r="I307" s="53" t="s">
        <v>234</v>
      </c>
      <c r="J307" s="49" t="s">
        <v>121</v>
      </c>
      <c r="K307" s="49"/>
      <c r="L307" s="59"/>
      <c r="M307" s="55"/>
      <c r="N307" s="55"/>
      <c r="O307" s="48"/>
      <c r="P307" s="49" t="s">
        <v>332</v>
      </c>
      <c r="Q307" s="49" t="s">
        <v>229</v>
      </c>
      <c r="R307" s="48"/>
      <c r="S307" s="48"/>
      <c r="T307" s="48"/>
      <c r="U307" s="48"/>
      <c r="V307" s="48"/>
      <c r="W307" s="60"/>
      <c r="X307" s="48"/>
      <c r="Y307" s="48"/>
      <c r="Z307" s="48"/>
      <c r="AA307" s="48"/>
      <c r="AB307" s="48"/>
      <c r="AC307" s="48"/>
      <c r="AD307" s="48"/>
      <c r="AE307" s="57" t="b">
        <v>1</v>
      </c>
      <c r="AF307" s="48"/>
    </row>
    <row r="308" ht="15.75" customHeight="1">
      <c r="A308" s="48" t="s">
        <v>867</v>
      </c>
      <c r="B308" s="49" t="s">
        <v>271</v>
      </c>
      <c r="C308" s="50">
        <v>0.7916666666666666</v>
      </c>
      <c r="D308" s="51">
        <v>46148.0</v>
      </c>
      <c r="E308" s="51"/>
      <c r="F308" s="48" t="s">
        <v>868</v>
      </c>
      <c r="G308" s="52">
        <v>2.0</v>
      </c>
      <c r="H308" s="49" t="s">
        <v>219</v>
      </c>
      <c r="I308" s="53" t="s">
        <v>220</v>
      </c>
      <c r="J308" s="49" t="s">
        <v>121</v>
      </c>
      <c r="K308" s="49"/>
      <c r="L308" s="54"/>
      <c r="M308" s="55"/>
      <c r="N308" s="48" t="s">
        <v>869</v>
      </c>
      <c r="O308" s="48"/>
      <c r="P308" s="49" t="s">
        <v>230</v>
      </c>
      <c r="Q308" s="49" t="s">
        <v>229</v>
      </c>
      <c r="R308" s="48"/>
      <c r="S308" s="48"/>
      <c r="T308" s="48"/>
      <c r="U308" s="48"/>
      <c r="V308" s="48"/>
      <c r="W308" s="56"/>
      <c r="X308" s="48"/>
      <c r="Y308" s="48"/>
      <c r="Z308" s="48"/>
      <c r="AA308" s="48"/>
      <c r="AB308" s="48"/>
      <c r="AC308" s="48"/>
      <c r="AD308" s="48"/>
      <c r="AE308" s="62" t="b">
        <v>0</v>
      </c>
      <c r="AF308" s="48"/>
    </row>
    <row r="309" ht="15.75" customHeight="1">
      <c r="A309" s="48" t="s">
        <v>870</v>
      </c>
      <c r="B309" s="49" t="s">
        <v>232</v>
      </c>
      <c r="C309" s="50">
        <v>0.7916666666666666</v>
      </c>
      <c r="D309" s="51">
        <v>46150.0</v>
      </c>
      <c r="E309" s="51"/>
      <c r="F309" s="48" t="s">
        <v>871</v>
      </c>
      <c r="G309" s="52">
        <v>0.7</v>
      </c>
      <c r="H309" s="49" t="s">
        <v>219</v>
      </c>
      <c r="I309" s="53" t="s">
        <v>220</v>
      </c>
      <c r="J309" s="49" t="s">
        <v>121</v>
      </c>
      <c r="K309" s="49"/>
      <c r="L309" s="59"/>
      <c r="M309" s="55"/>
      <c r="N309" s="48" t="s">
        <v>869</v>
      </c>
      <c r="O309" s="48"/>
      <c r="P309" s="49" t="s">
        <v>230</v>
      </c>
      <c r="Q309" s="49" t="s">
        <v>229</v>
      </c>
      <c r="R309" s="48"/>
      <c r="S309" s="48"/>
      <c r="T309" s="48"/>
      <c r="U309" s="48"/>
      <c r="V309" s="48"/>
      <c r="W309" s="60"/>
      <c r="X309" s="48"/>
      <c r="Y309" s="48"/>
      <c r="Z309" s="48"/>
      <c r="AA309" s="48"/>
      <c r="AB309" s="48"/>
      <c r="AC309" s="48"/>
      <c r="AD309" s="48"/>
      <c r="AE309" s="62" t="b">
        <v>0</v>
      </c>
      <c r="AF309" s="48"/>
    </row>
    <row r="310" ht="15.75" customHeight="1">
      <c r="A310" s="48" t="s">
        <v>872</v>
      </c>
      <c r="B310" s="49" t="s">
        <v>263</v>
      </c>
      <c r="C310" s="50">
        <v>0.7916666666666666</v>
      </c>
      <c r="D310" s="51"/>
      <c r="E310" s="51"/>
      <c r="F310" s="48" t="s">
        <v>873</v>
      </c>
      <c r="G310" s="52">
        <v>0.4</v>
      </c>
      <c r="H310" s="49" t="s">
        <v>219</v>
      </c>
      <c r="I310" s="53" t="s">
        <v>220</v>
      </c>
      <c r="J310" s="49" t="s">
        <v>122</v>
      </c>
      <c r="K310" s="49"/>
      <c r="L310" s="54"/>
      <c r="M310" s="55"/>
      <c r="N310" s="55"/>
      <c r="O310" s="48"/>
      <c r="P310" s="49" t="s">
        <v>221</v>
      </c>
      <c r="Q310" s="49"/>
      <c r="R310" s="48"/>
      <c r="S310" s="48"/>
      <c r="T310" s="48"/>
      <c r="U310" s="48"/>
      <c r="V310" s="48"/>
      <c r="W310" s="56"/>
      <c r="X310" s="48"/>
      <c r="Y310" s="48"/>
      <c r="Z310" s="48"/>
      <c r="AA310" s="48">
        <v>24936.0</v>
      </c>
      <c r="AB310" s="61" t="s">
        <v>874</v>
      </c>
      <c r="AC310" s="48">
        <v>196.0</v>
      </c>
      <c r="AD310" s="48"/>
      <c r="AE310" s="57" t="b">
        <v>1</v>
      </c>
      <c r="AF310" s="48"/>
    </row>
    <row r="311" ht="15.75" customHeight="1">
      <c r="A311" s="48" t="s">
        <v>875</v>
      </c>
      <c r="B311" s="49" t="s">
        <v>226</v>
      </c>
      <c r="C311" s="50">
        <v>0.7916666666666666</v>
      </c>
      <c r="D311" s="51"/>
      <c r="E311" s="51"/>
      <c r="F311" s="48" t="s">
        <v>876</v>
      </c>
      <c r="G311" s="52">
        <v>1.3</v>
      </c>
      <c r="H311" s="49" t="s">
        <v>219</v>
      </c>
      <c r="I311" s="53" t="s">
        <v>220</v>
      </c>
      <c r="J311" s="49" t="s">
        <v>121</v>
      </c>
      <c r="K311" s="49" t="s">
        <v>402</v>
      </c>
      <c r="L311" s="59"/>
      <c r="M311" s="55"/>
      <c r="N311" s="55"/>
      <c r="O311" s="48"/>
      <c r="P311" s="49" t="s">
        <v>265</v>
      </c>
      <c r="Q311" s="49" t="s">
        <v>240</v>
      </c>
      <c r="R311" s="48"/>
      <c r="S311" s="48"/>
      <c r="T311" s="48"/>
      <c r="U311" s="48"/>
      <c r="V311" s="48"/>
      <c r="W311" s="60"/>
      <c r="X311" s="48"/>
      <c r="Y311" s="48"/>
      <c r="Z311" s="48"/>
      <c r="AA311" s="48"/>
      <c r="AB311" s="48"/>
      <c r="AC311" s="48"/>
      <c r="AD311" s="48"/>
      <c r="AE311" s="57" t="b">
        <v>1</v>
      </c>
      <c r="AF311" s="48"/>
    </row>
    <row r="312" ht="15.75" customHeight="1">
      <c r="A312" s="48" t="s">
        <v>877</v>
      </c>
      <c r="B312" s="49" t="s">
        <v>226</v>
      </c>
      <c r="C312" s="50">
        <v>0.7916666666666666</v>
      </c>
      <c r="D312" s="51"/>
      <c r="E312" s="51"/>
      <c r="F312" s="48" t="s">
        <v>878</v>
      </c>
      <c r="G312" s="52">
        <v>0.5</v>
      </c>
      <c r="H312" s="49" t="s">
        <v>219</v>
      </c>
      <c r="I312" s="53" t="s">
        <v>220</v>
      </c>
      <c r="J312" s="49" t="s">
        <v>121</v>
      </c>
      <c r="K312" s="49" t="s">
        <v>402</v>
      </c>
      <c r="L312" s="54"/>
      <c r="M312" s="55"/>
      <c r="N312" s="55"/>
      <c r="O312" s="48"/>
      <c r="P312" s="49" t="s">
        <v>265</v>
      </c>
      <c r="Q312" s="49" t="s">
        <v>240</v>
      </c>
      <c r="R312" s="48" t="s">
        <v>662</v>
      </c>
      <c r="S312" s="48" t="s">
        <v>663</v>
      </c>
      <c r="T312" s="48" t="s">
        <v>663</v>
      </c>
      <c r="U312" s="48" t="s">
        <v>663</v>
      </c>
      <c r="V312" s="48" t="s">
        <v>663</v>
      </c>
      <c r="W312" s="63" t="s">
        <v>663</v>
      </c>
      <c r="X312" s="48" t="s">
        <v>662</v>
      </c>
      <c r="Y312" s="48" t="s">
        <v>663</v>
      </c>
      <c r="Z312" s="48" t="s">
        <v>663</v>
      </c>
      <c r="AA312" s="48"/>
      <c r="AB312" s="48"/>
      <c r="AC312" s="48"/>
      <c r="AD312" s="48"/>
      <c r="AE312" s="57" t="b">
        <v>1</v>
      </c>
      <c r="AF312" s="48"/>
    </row>
    <row r="313" ht="15.75" customHeight="1">
      <c r="A313" s="48" t="s">
        <v>879</v>
      </c>
      <c r="B313" s="49" t="s">
        <v>217</v>
      </c>
      <c r="C313" s="50">
        <v>0.7916666666666666</v>
      </c>
      <c r="D313" s="51"/>
      <c r="E313" s="51"/>
      <c r="F313" s="48" t="s">
        <v>880</v>
      </c>
      <c r="G313" s="52">
        <v>0.3</v>
      </c>
      <c r="H313" s="49" t="s">
        <v>219</v>
      </c>
      <c r="I313" s="53" t="s">
        <v>220</v>
      </c>
      <c r="J313" s="49" t="s">
        <v>121</v>
      </c>
      <c r="K313" s="49"/>
      <c r="L313" s="59"/>
      <c r="M313" s="55"/>
      <c r="N313" s="55"/>
      <c r="O313" s="48"/>
      <c r="P313" s="49" t="s">
        <v>221</v>
      </c>
      <c r="Q313" s="49"/>
      <c r="R313" s="48"/>
      <c r="S313" s="48"/>
      <c r="T313" s="48"/>
      <c r="U313" s="48"/>
      <c r="V313" s="48"/>
      <c r="W313" s="60"/>
      <c r="X313" s="48"/>
      <c r="Y313" s="48"/>
      <c r="Z313" s="48"/>
      <c r="AA313" s="48"/>
      <c r="AB313" s="48"/>
      <c r="AC313" s="48"/>
      <c r="AD313" s="48"/>
      <c r="AE313" s="57" t="b">
        <v>1</v>
      </c>
      <c r="AF313" s="48"/>
    </row>
    <row r="314" ht="15.75" customHeight="1">
      <c r="A314" s="48" t="s">
        <v>881</v>
      </c>
      <c r="B314" s="49" t="s">
        <v>217</v>
      </c>
      <c r="C314" s="50">
        <v>0.7916666666666666</v>
      </c>
      <c r="D314" s="51"/>
      <c r="E314" s="51"/>
      <c r="F314" s="48" t="s">
        <v>882</v>
      </c>
      <c r="G314" s="52">
        <v>0.9</v>
      </c>
      <c r="H314" s="49" t="s">
        <v>219</v>
      </c>
      <c r="I314" s="53" t="s">
        <v>220</v>
      </c>
      <c r="J314" s="49" t="s">
        <v>121</v>
      </c>
      <c r="K314" s="49"/>
      <c r="L314" s="54"/>
      <c r="M314" s="55"/>
      <c r="N314" s="55"/>
      <c r="O314" s="48"/>
      <c r="P314" s="49" t="s">
        <v>221</v>
      </c>
      <c r="Q314" s="49"/>
      <c r="R314" s="48"/>
      <c r="S314" s="48"/>
      <c r="T314" s="48"/>
      <c r="U314" s="48"/>
      <c r="V314" s="48"/>
      <c r="W314" s="56"/>
      <c r="X314" s="48"/>
      <c r="Y314" s="48"/>
      <c r="Z314" s="48"/>
      <c r="AA314" s="48"/>
      <c r="AB314" s="48"/>
      <c r="AC314" s="48"/>
      <c r="AD314" s="48"/>
      <c r="AE314" s="57" t="b">
        <v>1</v>
      </c>
      <c r="AF314" s="48"/>
    </row>
    <row r="315" ht="15.75" customHeight="1">
      <c r="A315" s="48" t="s">
        <v>883</v>
      </c>
      <c r="B315" s="49" t="s">
        <v>217</v>
      </c>
      <c r="C315" s="50">
        <v>0.7916666666666666</v>
      </c>
      <c r="D315" s="51"/>
      <c r="E315" s="51"/>
      <c r="F315" s="48" t="s">
        <v>884</v>
      </c>
      <c r="G315" s="52">
        <v>2.0</v>
      </c>
      <c r="H315" s="49" t="s">
        <v>219</v>
      </c>
      <c r="I315" s="53" t="s">
        <v>220</v>
      </c>
      <c r="J315" s="49" t="s">
        <v>121</v>
      </c>
      <c r="K315" s="49"/>
      <c r="L315" s="59"/>
      <c r="M315" s="55"/>
      <c r="N315" s="55"/>
      <c r="O315" s="48"/>
      <c r="P315" s="49" t="s">
        <v>221</v>
      </c>
      <c r="Q315" s="49"/>
      <c r="R315" s="48"/>
      <c r="S315" s="48"/>
      <c r="T315" s="48"/>
      <c r="U315" s="48"/>
      <c r="V315" s="48"/>
      <c r="W315" s="60"/>
      <c r="X315" s="48"/>
      <c r="Y315" s="48"/>
      <c r="Z315" s="48"/>
      <c r="AA315" s="48"/>
      <c r="AB315" s="48"/>
      <c r="AC315" s="48"/>
      <c r="AD315" s="48"/>
      <c r="AE315" s="57" t="b">
        <v>1</v>
      </c>
      <c r="AF315" s="48"/>
    </row>
    <row r="316" ht="15.75" customHeight="1">
      <c r="A316" s="48" t="s">
        <v>885</v>
      </c>
      <c r="B316" s="49" t="s">
        <v>217</v>
      </c>
      <c r="C316" s="50">
        <v>0.7916666666666666</v>
      </c>
      <c r="D316" s="51"/>
      <c r="E316" s="51"/>
      <c r="F316" s="48" t="s">
        <v>886</v>
      </c>
      <c r="G316" s="52">
        <v>1.3</v>
      </c>
      <c r="H316" s="49" t="s">
        <v>219</v>
      </c>
      <c r="I316" s="53" t="s">
        <v>220</v>
      </c>
      <c r="J316" s="49" t="s">
        <v>121</v>
      </c>
      <c r="K316" s="49"/>
      <c r="L316" s="54"/>
      <c r="M316" s="55"/>
      <c r="N316" s="55"/>
      <c r="O316" s="48"/>
      <c r="P316" s="49" t="s">
        <v>221</v>
      </c>
      <c r="Q316" s="49"/>
      <c r="R316" s="48"/>
      <c r="S316" s="48"/>
      <c r="T316" s="48"/>
      <c r="U316" s="48"/>
      <c r="V316" s="48"/>
      <c r="W316" s="56"/>
      <c r="X316" s="48"/>
      <c r="Y316" s="48"/>
      <c r="Z316" s="48"/>
      <c r="AA316" s="48"/>
      <c r="AB316" s="48"/>
      <c r="AC316" s="48"/>
      <c r="AD316" s="48"/>
      <c r="AE316" s="57" t="b">
        <v>1</v>
      </c>
      <c r="AF316" s="48"/>
    </row>
    <row r="317" ht="15.75" customHeight="1">
      <c r="A317" s="48" t="s">
        <v>887</v>
      </c>
      <c r="B317" s="49" t="s">
        <v>217</v>
      </c>
      <c r="C317" s="50">
        <v>0.7916666666666666</v>
      </c>
      <c r="D317" s="51"/>
      <c r="E317" s="51"/>
      <c r="F317" s="48" t="s">
        <v>888</v>
      </c>
      <c r="G317" s="52">
        <v>1.8</v>
      </c>
      <c r="H317" s="49" t="s">
        <v>219</v>
      </c>
      <c r="I317" s="53" t="s">
        <v>220</v>
      </c>
      <c r="J317" s="49" t="s">
        <v>121</v>
      </c>
      <c r="K317" s="49"/>
      <c r="L317" s="59"/>
      <c r="M317" s="55"/>
      <c r="N317" s="55"/>
      <c r="O317" s="48"/>
      <c r="P317" s="49" t="s">
        <v>221</v>
      </c>
      <c r="Q317" s="49"/>
      <c r="R317" s="48"/>
      <c r="S317" s="48"/>
      <c r="T317" s="48"/>
      <c r="U317" s="48"/>
      <c r="V317" s="48"/>
      <c r="W317" s="60"/>
      <c r="X317" s="48"/>
      <c r="Y317" s="48"/>
      <c r="Z317" s="48"/>
      <c r="AA317" s="48"/>
      <c r="AB317" s="48"/>
      <c r="AC317" s="48"/>
      <c r="AD317" s="48"/>
      <c r="AE317" s="57" t="b">
        <v>1</v>
      </c>
      <c r="AF317" s="48"/>
    </row>
    <row r="318" ht="15.75" customHeight="1">
      <c r="A318" s="48" t="s">
        <v>889</v>
      </c>
      <c r="B318" s="49" t="s">
        <v>217</v>
      </c>
      <c r="C318" s="50">
        <v>0.7916666666666666</v>
      </c>
      <c r="D318" s="51"/>
      <c r="E318" s="51"/>
      <c r="F318" s="48" t="s">
        <v>890</v>
      </c>
      <c r="G318" s="52">
        <v>5.5</v>
      </c>
      <c r="H318" s="49" t="s">
        <v>219</v>
      </c>
      <c r="I318" s="53" t="s">
        <v>220</v>
      </c>
      <c r="J318" s="49" t="s">
        <v>121</v>
      </c>
      <c r="K318" s="49"/>
      <c r="L318" s="54"/>
      <c r="M318" s="55"/>
      <c r="N318" s="55"/>
      <c r="O318" s="48"/>
      <c r="P318" s="49" t="s">
        <v>221</v>
      </c>
      <c r="Q318" s="49"/>
      <c r="R318" s="48"/>
      <c r="S318" s="48"/>
      <c r="T318" s="48"/>
      <c r="U318" s="48"/>
      <c r="V318" s="48"/>
      <c r="W318" s="56"/>
      <c r="X318" s="48"/>
      <c r="Y318" s="48"/>
      <c r="Z318" s="48"/>
      <c r="AA318" s="48"/>
      <c r="AB318" s="48"/>
      <c r="AC318" s="48"/>
      <c r="AD318" s="48"/>
      <c r="AE318" s="57" t="b">
        <v>1</v>
      </c>
      <c r="AF318" s="48"/>
    </row>
    <row r="319" ht="15.75" customHeight="1">
      <c r="A319" s="48" t="s">
        <v>891</v>
      </c>
      <c r="B319" s="49" t="s">
        <v>271</v>
      </c>
      <c r="C319" s="50">
        <v>0.7916666666666666</v>
      </c>
      <c r="D319" s="51"/>
      <c r="E319" s="51"/>
      <c r="F319" s="48" t="s">
        <v>892</v>
      </c>
      <c r="G319" s="52">
        <v>3.0</v>
      </c>
      <c r="H319" s="49" t="s">
        <v>219</v>
      </c>
      <c r="I319" s="53" t="s">
        <v>220</v>
      </c>
      <c r="J319" s="49" t="s">
        <v>121</v>
      </c>
      <c r="K319" s="49"/>
      <c r="L319" s="59"/>
      <c r="M319" s="55"/>
      <c r="N319" s="55"/>
      <c r="O319" s="48"/>
      <c r="P319" s="49" t="s">
        <v>221</v>
      </c>
      <c r="Q319" s="49"/>
      <c r="R319" s="48"/>
      <c r="S319" s="48"/>
      <c r="T319" s="48"/>
      <c r="U319" s="48"/>
      <c r="V319" s="48"/>
      <c r="W319" s="60"/>
      <c r="X319" s="48"/>
      <c r="Y319" s="48"/>
      <c r="Z319" s="48"/>
      <c r="AA319" s="48"/>
      <c r="AB319" s="48"/>
      <c r="AC319" s="48"/>
      <c r="AD319" s="48"/>
      <c r="AE319" s="57" t="b">
        <v>1</v>
      </c>
      <c r="AF319" s="48"/>
    </row>
    <row r="320" ht="15.75" customHeight="1">
      <c r="A320" s="48" t="s">
        <v>893</v>
      </c>
      <c r="B320" s="49" t="s">
        <v>276</v>
      </c>
      <c r="C320" s="50">
        <v>0.7916666666666666</v>
      </c>
      <c r="D320" s="51"/>
      <c r="E320" s="51"/>
      <c r="F320" s="48" t="s">
        <v>894</v>
      </c>
      <c r="G320" s="52">
        <v>6.7</v>
      </c>
      <c r="H320" s="49" t="s">
        <v>219</v>
      </c>
      <c r="I320" s="53" t="s">
        <v>220</v>
      </c>
      <c r="J320" s="49" t="s">
        <v>121</v>
      </c>
      <c r="K320" s="49"/>
      <c r="L320" s="54"/>
      <c r="M320" s="55"/>
      <c r="N320" s="55"/>
      <c r="O320" s="48"/>
      <c r="P320" s="49" t="s">
        <v>221</v>
      </c>
      <c r="Q320" s="49"/>
      <c r="R320" s="48"/>
      <c r="S320" s="48"/>
      <c r="T320" s="48"/>
      <c r="U320" s="48"/>
      <c r="V320" s="48"/>
      <c r="W320" s="56"/>
      <c r="X320" s="48"/>
      <c r="Y320" s="48"/>
      <c r="Z320" s="48"/>
      <c r="AA320" s="48"/>
      <c r="AB320" s="48"/>
      <c r="AC320" s="48"/>
      <c r="AD320" s="48"/>
      <c r="AE320" s="57" t="b">
        <v>1</v>
      </c>
      <c r="AF320" s="48"/>
    </row>
    <row r="321" ht="15.75" customHeight="1">
      <c r="A321" s="48" t="s">
        <v>895</v>
      </c>
      <c r="B321" s="49" t="s">
        <v>226</v>
      </c>
      <c r="C321" s="50">
        <v>0.7916666666666666</v>
      </c>
      <c r="D321" s="51"/>
      <c r="E321" s="51"/>
      <c r="F321" s="48" t="s">
        <v>896</v>
      </c>
      <c r="G321" s="52">
        <v>0.3</v>
      </c>
      <c r="H321" s="49" t="s">
        <v>219</v>
      </c>
      <c r="I321" s="53" t="s">
        <v>220</v>
      </c>
      <c r="J321" s="49" t="s">
        <v>121</v>
      </c>
      <c r="K321" s="49"/>
      <c r="L321" s="59"/>
      <c r="M321" s="55"/>
      <c r="N321" s="55"/>
      <c r="O321" s="48"/>
      <c r="P321" s="49" t="s">
        <v>221</v>
      </c>
      <c r="Q321" s="49"/>
      <c r="R321" s="48"/>
      <c r="S321" s="48"/>
      <c r="T321" s="48"/>
      <c r="U321" s="48"/>
      <c r="V321" s="48"/>
      <c r="W321" s="60"/>
      <c r="X321" s="48"/>
      <c r="Y321" s="48"/>
      <c r="Z321" s="48"/>
      <c r="AA321" s="48"/>
      <c r="AB321" s="48"/>
      <c r="AC321" s="48"/>
      <c r="AD321" s="48"/>
      <c r="AE321" s="57" t="b">
        <v>1</v>
      </c>
      <c r="AF321" s="48"/>
    </row>
    <row r="322" ht="15.75" customHeight="1">
      <c r="A322" s="48" t="s">
        <v>897</v>
      </c>
      <c r="B322" s="49" t="s">
        <v>263</v>
      </c>
      <c r="C322" s="50">
        <v>0.7916666666666666</v>
      </c>
      <c r="D322" s="51"/>
      <c r="E322" s="51"/>
      <c r="F322" s="48" t="s">
        <v>898</v>
      </c>
      <c r="G322" s="52">
        <v>0.7</v>
      </c>
      <c r="H322" s="49" t="s">
        <v>219</v>
      </c>
      <c r="I322" s="53" t="s">
        <v>220</v>
      </c>
      <c r="J322" s="49" t="s">
        <v>121</v>
      </c>
      <c r="K322" s="49"/>
      <c r="L322" s="54"/>
      <c r="M322" s="55"/>
      <c r="N322" s="55"/>
      <c r="O322" s="48"/>
      <c r="P322" s="49" t="s">
        <v>229</v>
      </c>
      <c r="Q322" s="49" t="s">
        <v>332</v>
      </c>
      <c r="R322" s="48"/>
      <c r="S322" s="48"/>
      <c r="T322" s="48"/>
      <c r="U322" s="48"/>
      <c r="V322" s="48"/>
      <c r="W322" s="56"/>
      <c r="X322" s="48"/>
      <c r="Y322" s="48"/>
      <c r="Z322" s="48"/>
      <c r="AA322" s="48"/>
      <c r="AB322" s="48"/>
      <c r="AC322" s="48"/>
      <c r="AD322" s="48"/>
      <c r="AE322" s="57" t="b">
        <v>1</v>
      </c>
      <c r="AF322" s="48"/>
    </row>
    <row r="323" ht="15.75" customHeight="1">
      <c r="A323" s="48" t="s">
        <v>899</v>
      </c>
      <c r="B323" s="49" t="s">
        <v>232</v>
      </c>
      <c r="C323" s="50">
        <v>0.7916666666666666</v>
      </c>
      <c r="D323" s="51"/>
      <c r="E323" s="51"/>
      <c r="F323" s="48" t="s">
        <v>900</v>
      </c>
      <c r="G323" s="52">
        <v>0.2</v>
      </c>
      <c r="H323" s="49" t="s">
        <v>219</v>
      </c>
      <c r="I323" s="53" t="s">
        <v>220</v>
      </c>
      <c r="J323" s="49" t="s">
        <v>121</v>
      </c>
      <c r="K323" s="49"/>
      <c r="L323" s="59"/>
      <c r="M323" s="55"/>
      <c r="N323" s="55"/>
      <c r="O323" s="48"/>
      <c r="P323" s="49" t="s">
        <v>221</v>
      </c>
      <c r="Q323" s="49"/>
      <c r="R323" s="48"/>
      <c r="S323" s="48"/>
      <c r="T323" s="48"/>
      <c r="U323" s="48"/>
      <c r="V323" s="48"/>
      <c r="W323" s="60"/>
      <c r="X323" s="48"/>
      <c r="Y323" s="48"/>
      <c r="Z323" s="48"/>
      <c r="AA323" s="48"/>
      <c r="AB323" s="48"/>
      <c r="AC323" s="48"/>
      <c r="AD323" s="48"/>
      <c r="AE323" s="57" t="b">
        <v>1</v>
      </c>
      <c r="AF323" s="48"/>
    </row>
    <row r="324" ht="15.75" customHeight="1">
      <c r="A324" s="48" t="s">
        <v>901</v>
      </c>
      <c r="B324" s="49" t="s">
        <v>232</v>
      </c>
      <c r="C324" s="50">
        <v>0.7916666666666666</v>
      </c>
      <c r="D324" s="51"/>
      <c r="E324" s="51"/>
      <c r="F324" s="48" t="s">
        <v>902</v>
      </c>
      <c r="G324" s="52">
        <v>0.7</v>
      </c>
      <c r="H324" s="49" t="s">
        <v>219</v>
      </c>
      <c r="I324" s="53" t="s">
        <v>220</v>
      </c>
      <c r="J324" s="49" t="s">
        <v>121</v>
      </c>
      <c r="K324" s="49"/>
      <c r="L324" s="54"/>
      <c r="M324" s="55"/>
      <c r="N324" s="55"/>
      <c r="O324" s="48"/>
      <c r="P324" s="49" t="s">
        <v>221</v>
      </c>
      <c r="Q324" s="49"/>
      <c r="R324" s="48"/>
      <c r="S324" s="48"/>
      <c r="T324" s="48"/>
      <c r="U324" s="48"/>
      <c r="V324" s="48"/>
      <c r="W324" s="56"/>
      <c r="X324" s="48"/>
      <c r="Y324" s="48"/>
      <c r="Z324" s="48"/>
      <c r="AA324" s="48"/>
      <c r="AB324" s="48"/>
      <c r="AC324" s="48"/>
      <c r="AD324" s="48"/>
      <c r="AE324" s="57" t="b">
        <v>1</v>
      </c>
      <c r="AF324" s="48"/>
    </row>
    <row r="325" ht="15.75" customHeight="1">
      <c r="A325" s="48" t="s">
        <v>903</v>
      </c>
      <c r="B325" s="49" t="s">
        <v>232</v>
      </c>
      <c r="C325" s="50">
        <v>0.7916666666666666</v>
      </c>
      <c r="D325" s="51"/>
      <c r="E325" s="51"/>
      <c r="F325" s="48" t="s">
        <v>904</v>
      </c>
      <c r="G325" s="52">
        <v>0.6</v>
      </c>
      <c r="H325" s="49" t="s">
        <v>219</v>
      </c>
      <c r="I325" s="53" t="s">
        <v>220</v>
      </c>
      <c r="J325" s="49" t="s">
        <v>121</v>
      </c>
      <c r="K325" s="49"/>
      <c r="L325" s="59"/>
      <c r="M325" s="55"/>
      <c r="N325" s="55"/>
      <c r="O325" s="48"/>
      <c r="P325" s="49" t="s">
        <v>221</v>
      </c>
      <c r="Q325" s="49"/>
      <c r="R325" s="48"/>
      <c r="S325" s="48"/>
      <c r="T325" s="48"/>
      <c r="U325" s="48"/>
      <c r="V325" s="48"/>
      <c r="W325" s="60"/>
      <c r="X325" s="48"/>
      <c r="Y325" s="48"/>
      <c r="Z325" s="48"/>
      <c r="AA325" s="48"/>
      <c r="AB325" s="48"/>
      <c r="AC325" s="48"/>
      <c r="AD325" s="48"/>
      <c r="AE325" s="57" t="b">
        <v>1</v>
      </c>
      <c r="AF325" s="48"/>
    </row>
    <row r="326" ht="15.75" customHeight="1">
      <c r="A326" s="48" t="s">
        <v>905</v>
      </c>
      <c r="B326" s="49" t="s">
        <v>271</v>
      </c>
      <c r="C326" s="50">
        <v>0.7916666666666666</v>
      </c>
      <c r="D326" s="51"/>
      <c r="E326" s="51"/>
      <c r="F326" s="48" t="s">
        <v>906</v>
      </c>
      <c r="G326" s="52">
        <v>1.2</v>
      </c>
      <c r="H326" s="49" t="s">
        <v>219</v>
      </c>
      <c r="I326" s="53" t="s">
        <v>220</v>
      </c>
      <c r="J326" s="49" t="s">
        <v>121</v>
      </c>
      <c r="K326" s="49"/>
      <c r="L326" s="54"/>
      <c r="M326" s="55"/>
      <c r="N326" s="55"/>
      <c r="O326" s="48"/>
      <c r="P326" s="49" t="s">
        <v>221</v>
      </c>
      <c r="Q326" s="49"/>
      <c r="R326" s="48"/>
      <c r="S326" s="48"/>
      <c r="T326" s="48"/>
      <c r="U326" s="48"/>
      <c r="V326" s="48"/>
      <c r="W326" s="56"/>
      <c r="X326" s="48"/>
      <c r="Y326" s="48"/>
      <c r="Z326" s="48"/>
      <c r="AA326" s="48"/>
      <c r="AB326" s="48"/>
      <c r="AC326" s="48"/>
      <c r="AD326" s="48"/>
      <c r="AE326" s="57" t="b">
        <v>1</v>
      </c>
      <c r="AF326" s="48"/>
    </row>
    <row r="327" ht="15.75" customHeight="1">
      <c r="A327" s="48" t="s">
        <v>907</v>
      </c>
      <c r="B327" s="49" t="s">
        <v>226</v>
      </c>
      <c r="C327" s="50">
        <v>0.7916666666666666</v>
      </c>
      <c r="D327" s="51"/>
      <c r="E327" s="51"/>
      <c r="F327" s="48" t="s">
        <v>908</v>
      </c>
      <c r="G327" s="52">
        <v>0.7</v>
      </c>
      <c r="H327" s="49" t="s">
        <v>219</v>
      </c>
      <c r="I327" s="53" t="s">
        <v>220</v>
      </c>
      <c r="J327" s="49" t="s">
        <v>121</v>
      </c>
      <c r="K327" s="49"/>
      <c r="L327" s="59"/>
      <c r="M327" s="55"/>
      <c r="N327" s="55"/>
      <c r="O327" s="48"/>
      <c r="P327" s="49" t="s">
        <v>221</v>
      </c>
      <c r="Q327" s="49"/>
      <c r="R327" s="48"/>
      <c r="S327" s="48"/>
      <c r="T327" s="48"/>
      <c r="U327" s="48"/>
      <c r="V327" s="48"/>
      <c r="W327" s="60"/>
      <c r="X327" s="48"/>
      <c r="Y327" s="48"/>
      <c r="Z327" s="48"/>
      <c r="AA327" s="48"/>
      <c r="AB327" s="48"/>
      <c r="AC327" s="48"/>
      <c r="AD327" s="48"/>
      <c r="AE327" s="57" t="b">
        <v>1</v>
      </c>
      <c r="AF327" s="48"/>
    </row>
    <row r="328" ht="15.75" customHeight="1">
      <c r="A328" s="48" t="s">
        <v>909</v>
      </c>
      <c r="B328" s="49" t="s">
        <v>226</v>
      </c>
      <c r="C328" s="50">
        <v>0.7916666666666666</v>
      </c>
      <c r="D328" s="51"/>
      <c r="E328" s="51"/>
      <c r="F328" s="48" t="s">
        <v>910</v>
      </c>
      <c r="G328" s="52">
        <v>1.9</v>
      </c>
      <c r="H328" s="49" t="s">
        <v>219</v>
      </c>
      <c r="I328" s="53" t="s">
        <v>220</v>
      </c>
      <c r="J328" s="49" t="s">
        <v>121</v>
      </c>
      <c r="K328" s="49"/>
      <c r="L328" s="54"/>
      <c r="M328" s="55"/>
      <c r="N328" s="55"/>
      <c r="O328" s="48"/>
      <c r="P328" s="49" t="s">
        <v>221</v>
      </c>
      <c r="Q328" s="49"/>
      <c r="R328" s="48"/>
      <c r="S328" s="48"/>
      <c r="T328" s="48"/>
      <c r="U328" s="48"/>
      <c r="V328" s="48"/>
      <c r="W328" s="56"/>
      <c r="X328" s="48"/>
      <c r="Y328" s="48"/>
      <c r="Z328" s="48"/>
      <c r="AA328" s="48"/>
      <c r="AB328" s="48"/>
      <c r="AC328" s="48"/>
      <c r="AD328" s="48"/>
      <c r="AE328" s="57" t="b">
        <v>1</v>
      </c>
      <c r="AF328" s="48"/>
    </row>
    <row r="329" ht="15.75" customHeight="1">
      <c r="A329" s="48" t="s">
        <v>911</v>
      </c>
      <c r="B329" s="49" t="s">
        <v>226</v>
      </c>
      <c r="C329" s="50">
        <v>0.7916666666666666</v>
      </c>
      <c r="D329" s="51"/>
      <c r="E329" s="51"/>
      <c r="F329" s="48" t="s">
        <v>912</v>
      </c>
      <c r="G329" s="52">
        <v>1.4</v>
      </c>
      <c r="H329" s="49" t="s">
        <v>219</v>
      </c>
      <c r="I329" s="53" t="s">
        <v>220</v>
      </c>
      <c r="J329" s="49" t="s">
        <v>121</v>
      </c>
      <c r="K329" s="49"/>
      <c r="L329" s="59"/>
      <c r="M329" s="55"/>
      <c r="N329" s="55"/>
      <c r="O329" s="48"/>
      <c r="P329" s="49" t="s">
        <v>221</v>
      </c>
      <c r="Q329" s="49"/>
      <c r="R329" s="48"/>
      <c r="S329" s="48"/>
      <c r="T329" s="48"/>
      <c r="U329" s="48"/>
      <c r="V329" s="48"/>
      <c r="W329" s="60"/>
      <c r="X329" s="48"/>
      <c r="Y329" s="48"/>
      <c r="Z329" s="48"/>
      <c r="AA329" s="48"/>
      <c r="AB329" s="48"/>
      <c r="AC329" s="48"/>
      <c r="AD329" s="48"/>
      <c r="AE329" s="57" t="b">
        <v>1</v>
      </c>
      <c r="AF329" s="48"/>
    </row>
    <row r="330" ht="15.75" customHeight="1">
      <c r="A330" s="48" t="s">
        <v>913</v>
      </c>
      <c r="B330" s="49" t="s">
        <v>263</v>
      </c>
      <c r="C330" s="50">
        <v>0.7916666666666666</v>
      </c>
      <c r="D330" s="51"/>
      <c r="E330" s="51"/>
      <c r="F330" s="48" t="s">
        <v>914</v>
      </c>
      <c r="G330" s="52">
        <v>1.0</v>
      </c>
      <c r="H330" s="49" t="s">
        <v>219</v>
      </c>
      <c r="I330" s="53" t="s">
        <v>220</v>
      </c>
      <c r="J330" s="49" t="s">
        <v>121</v>
      </c>
      <c r="K330" s="49"/>
      <c r="L330" s="54"/>
      <c r="M330" s="55"/>
      <c r="N330" s="55"/>
      <c r="O330" s="48"/>
      <c r="P330" s="49" t="s">
        <v>221</v>
      </c>
      <c r="Q330" s="49"/>
      <c r="R330" s="48"/>
      <c r="S330" s="48"/>
      <c r="T330" s="48"/>
      <c r="U330" s="48"/>
      <c r="V330" s="48"/>
      <c r="W330" s="56"/>
      <c r="X330" s="48"/>
      <c r="Y330" s="48"/>
      <c r="Z330" s="48"/>
      <c r="AA330" s="48"/>
      <c r="AB330" s="48"/>
      <c r="AC330" s="48"/>
      <c r="AD330" s="48"/>
      <c r="AE330" s="57" t="b">
        <v>1</v>
      </c>
      <c r="AF330" s="48"/>
    </row>
    <row r="331" ht="15.75" customHeight="1">
      <c r="A331" s="48" t="s">
        <v>915</v>
      </c>
      <c r="B331" s="49" t="s">
        <v>263</v>
      </c>
      <c r="C331" s="50">
        <v>0.7916666666666666</v>
      </c>
      <c r="D331" s="51"/>
      <c r="E331" s="51"/>
      <c r="F331" s="48" t="s">
        <v>916</v>
      </c>
      <c r="G331" s="52">
        <v>0.4</v>
      </c>
      <c r="H331" s="49" t="s">
        <v>219</v>
      </c>
      <c r="I331" s="53" t="s">
        <v>220</v>
      </c>
      <c r="J331" s="49" t="s">
        <v>121</v>
      </c>
      <c r="K331" s="49"/>
      <c r="L331" s="59"/>
      <c r="M331" s="55"/>
      <c r="N331" s="55"/>
      <c r="O331" s="48"/>
      <c r="P331" s="49" t="s">
        <v>229</v>
      </c>
      <c r="Q331" s="49" t="s">
        <v>230</v>
      </c>
      <c r="R331" s="48"/>
      <c r="S331" s="48"/>
      <c r="T331" s="48"/>
      <c r="U331" s="48"/>
      <c r="V331" s="48"/>
      <c r="W331" s="60"/>
      <c r="X331" s="48"/>
      <c r="Y331" s="48"/>
      <c r="Z331" s="48"/>
      <c r="AA331" s="48"/>
      <c r="AB331" s="48"/>
      <c r="AC331" s="48"/>
      <c r="AD331" s="48"/>
      <c r="AE331" s="57" t="b">
        <v>1</v>
      </c>
      <c r="AF331" s="48"/>
    </row>
    <row r="332" ht="15.75" customHeight="1">
      <c r="A332" s="48" t="s">
        <v>917</v>
      </c>
      <c r="B332" s="49" t="s">
        <v>271</v>
      </c>
      <c r="C332" s="50">
        <v>0.7916666666666666</v>
      </c>
      <c r="D332" s="51"/>
      <c r="E332" s="51"/>
      <c r="F332" s="48" t="s">
        <v>918</v>
      </c>
      <c r="G332" s="52">
        <v>0.3</v>
      </c>
      <c r="H332" s="49" t="s">
        <v>219</v>
      </c>
      <c r="I332" s="53" t="s">
        <v>220</v>
      </c>
      <c r="J332" s="49" t="s">
        <v>121</v>
      </c>
      <c r="K332" s="49"/>
      <c r="L332" s="54"/>
      <c r="M332" s="55"/>
      <c r="N332" s="55"/>
      <c r="O332" s="48"/>
      <c r="P332" s="49" t="s">
        <v>221</v>
      </c>
      <c r="Q332" s="49"/>
      <c r="R332" s="48"/>
      <c r="S332" s="48"/>
      <c r="T332" s="48"/>
      <c r="U332" s="48"/>
      <c r="V332" s="48"/>
      <c r="W332" s="56"/>
      <c r="X332" s="48"/>
      <c r="Y332" s="48"/>
      <c r="Z332" s="48"/>
      <c r="AA332" s="48"/>
      <c r="AB332" s="48"/>
      <c r="AC332" s="48"/>
      <c r="AD332" s="48"/>
      <c r="AE332" s="57" t="b">
        <v>1</v>
      </c>
      <c r="AF332" s="48"/>
    </row>
    <row r="333" ht="15.75" customHeight="1">
      <c r="A333" s="48" t="s">
        <v>919</v>
      </c>
      <c r="B333" s="49" t="s">
        <v>217</v>
      </c>
      <c r="C333" s="50">
        <v>0.7916666666666666</v>
      </c>
      <c r="D333" s="51"/>
      <c r="E333" s="51"/>
      <c r="F333" s="48" t="s">
        <v>920</v>
      </c>
      <c r="G333" s="52">
        <v>0.3</v>
      </c>
      <c r="H333" s="49" t="s">
        <v>219</v>
      </c>
      <c r="I333" s="53" t="s">
        <v>220</v>
      </c>
      <c r="J333" s="49" t="s">
        <v>121</v>
      </c>
      <c r="K333" s="49"/>
      <c r="L333" s="59"/>
      <c r="M333" s="55"/>
      <c r="N333" s="55"/>
      <c r="O333" s="48"/>
      <c r="P333" s="49" t="s">
        <v>221</v>
      </c>
      <c r="Q333" s="49"/>
      <c r="R333" s="48"/>
      <c r="S333" s="48"/>
      <c r="T333" s="48"/>
      <c r="U333" s="48"/>
      <c r="V333" s="48"/>
      <c r="W333" s="60"/>
      <c r="X333" s="48"/>
      <c r="Y333" s="48"/>
      <c r="Z333" s="48"/>
      <c r="AA333" s="48"/>
      <c r="AB333" s="48"/>
      <c r="AC333" s="48"/>
      <c r="AD333" s="48"/>
      <c r="AE333" s="57" t="b">
        <v>1</v>
      </c>
      <c r="AF333" s="48"/>
    </row>
    <row r="334" ht="15.75" customHeight="1">
      <c r="A334" s="48" t="s">
        <v>921</v>
      </c>
      <c r="B334" s="49" t="s">
        <v>217</v>
      </c>
      <c r="C334" s="50">
        <v>0.7916666666666666</v>
      </c>
      <c r="D334" s="51"/>
      <c r="E334" s="51"/>
      <c r="F334" s="48" t="s">
        <v>922</v>
      </c>
      <c r="G334" s="52">
        <v>1.3</v>
      </c>
      <c r="H334" s="49" t="s">
        <v>219</v>
      </c>
      <c r="I334" s="53" t="s">
        <v>220</v>
      </c>
      <c r="J334" s="49" t="s">
        <v>121</v>
      </c>
      <c r="K334" s="49"/>
      <c r="L334" s="54"/>
      <c r="M334" s="55"/>
      <c r="N334" s="55"/>
      <c r="O334" s="48"/>
      <c r="P334" s="49" t="s">
        <v>221</v>
      </c>
      <c r="Q334" s="49"/>
      <c r="R334" s="48"/>
      <c r="S334" s="48"/>
      <c r="T334" s="48"/>
      <c r="U334" s="48"/>
      <c r="V334" s="48"/>
      <c r="W334" s="56"/>
      <c r="X334" s="48"/>
      <c r="Y334" s="48"/>
      <c r="Z334" s="48"/>
      <c r="AA334" s="48"/>
      <c r="AB334" s="48"/>
      <c r="AC334" s="48"/>
      <c r="AD334" s="48"/>
      <c r="AE334" s="57" t="b">
        <v>1</v>
      </c>
      <c r="AF334" s="48"/>
    </row>
    <row r="335" ht="15.75" customHeight="1">
      <c r="A335" s="48" t="s">
        <v>923</v>
      </c>
      <c r="B335" s="49" t="s">
        <v>259</v>
      </c>
      <c r="C335" s="50">
        <v>0.7916666666666666</v>
      </c>
      <c r="D335" s="51"/>
      <c r="E335" s="51"/>
      <c r="F335" s="48" t="s">
        <v>924</v>
      </c>
      <c r="G335" s="52">
        <v>0.4</v>
      </c>
      <c r="H335" s="49" t="s">
        <v>219</v>
      </c>
      <c r="I335" s="53" t="s">
        <v>220</v>
      </c>
      <c r="J335" s="49" t="s">
        <v>121</v>
      </c>
      <c r="K335" s="49"/>
      <c r="L335" s="59"/>
      <c r="M335" s="55"/>
      <c r="N335" s="55"/>
      <c r="O335" s="48"/>
      <c r="P335" s="49" t="s">
        <v>221</v>
      </c>
      <c r="Q335" s="49"/>
      <c r="R335" s="48"/>
      <c r="S335" s="48"/>
      <c r="T335" s="48"/>
      <c r="U335" s="48"/>
      <c r="V335" s="48"/>
      <c r="W335" s="60"/>
      <c r="X335" s="48"/>
      <c r="Y335" s="48"/>
      <c r="Z335" s="48"/>
      <c r="AA335" s="48"/>
      <c r="AB335" s="48"/>
      <c r="AC335" s="48"/>
      <c r="AD335" s="48"/>
      <c r="AE335" s="57" t="b">
        <v>1</v>
      </c>
      <c r="AF335" s="48"/>
    </row>
    <row r="336" ht="15.75" customHeight="1">
      <c r="A336" s="48" t="s">
        <v>925</v>
      </c>
      <c r="B336" s="49" t="s">
        <v>271</v>
      </c>
      <c r="C336" s="50">
        <v>0.7916666666666666</v>
      </c>
      <c r="D336" s="51"/>
      <c r="E336" s="51"/>
      <c r="F336" s="48" t="s">
        <v>926</v>
      </c>
      <c r="G336" s="52">
        <v>2.0</v>
      </c>
      <c r="H336" s="49" t="s">
        <v>219</v>
      </c>
      <c r="I336" s="53" t="s">
        <v>220</v>
      </c>
      <c r="J336" s="49" t="s">
        <v>121</v>
      </c>
      <c r="K336" s="49"/>
      <c r="L336" s="54"/>
      <c r="M336" s="55"/>
      <c r="N336" s="55"/>
      <c r="O336" s="48"/>
      <c r="P336" s="49" t="s">
        <v>221</v>
      </c>
      <c r="Q336" s="49"/>
      <c r="R336" s="48"/>
      <c r="S336" s="48"/>
      <c r="T336" s="48"/>
      <c r="U336" s="48"/>
      <c r="V336" s="48"/>
      <c r="W336" s="56"/>
      <c r="X336" s="48"/>
      <c r="Y336" s="48"/>
      <c r="Z336" s="48"/>
      <c r="AA336" s="48"/>
      <c r="AB336" s="48"/>
      <c r="AC336" s="48"/>
      <c r="AD336" s="48"/>
      <c r="AE336" s="57" t="b">
        <v>1</v>
      </c>
      <c r="AF336" s="48"/>
    </row>
    <row r="337" ht="15.75" customHeight="1">
      <c r="A337" s="48" t="s">
        <v>927</v>
      </c>
      <c r="B337" s="49" t="s">
        <v>232</v>
      </c>
      <c r="C337" s="50">
        <v>0.8333333333333334</v>
      </c>
      <c r="D337" s="51"/>
      <c r="E337" s="51"/>
      <c r="F337" s="48" t="s">
        <v>928</v>
      </c>
      <c r="G337" s="52">
        <v>0.9</v>
      </c>
      <c r="H337" s="49" t="s">
        <v>219</v>
      </c>
      <c r="I337" s="53" t="s">
        <v>320</v>
      </c>
      <c r="J337" s="49" t="s">
        <v>121</v>
      </c>
      <c r="K337" s="49"/>
      <c r="L337" s="59"/>
      <c r="M337" s="55"/>
      <c r="N337" s="55"/>
      <c r="O337" s="48"/>
      <c r="P337" s="49" t="s">
        <v>229</v>
      </c>
      <c r="Q337" s="49" t="s">
        <v>230</v>
      </c>
      <c r="R337" s="48"/>
      <c r="S337" s="48"/>
      <c r="T337" s="48"/>
      <c r="U337" s="48"/>
      <c r="V337" s="48"/>
      <c r="W337" s="60"/>
      <c r="X337" s="48"/>
      <c r="Y337" s="48"/>
      <c r="Z337" s="48"/>
      <c r="AA337" s="48"/>
      <c r="AB337" s="48"/>
      <c r="AC337" s="48"/>
      <c r="AD337" s="48"/>
      <c r="AE337" s="57" t="b">
        <v>1</v>
      </c>
      <c r="AF337" s="48"/>
    </row>
    <row r="338" ht="15.75" customHeight="1">
      <c r="A338" s="48" t="s">
        <v>929</v>
      </c>
      <c r="B338" s="49" t="s">
        <v>276</v>
      </c>
      <c r="C338" s="50">
        <v>0.8333333333333334</v>
      </c>
      <c r="D338" s="51"/>
      <c r="E338" s="51"/>
      <c r="F338" s="48" t="s">
        <v>930</v>
      </c>
      <c r="G338" s="52">
        <v>2.2</v>
      </c>
      <c r="H338" s="49" t="s">
        <v>219</v>
      </c>
      <c r="I338" s="53" t="s">
        <v>228</v>
      </c>
      <c r="J338" s="49" t="s">
        <v>121</v>
      </c>
      <c r="K338" s="49"/>
      <c r="L338" s="54"/>
      <c r="M338" s="55"/>
      <c r="N338" s="55"/>
      <c r="O338" s="48"/>
      <c r="P338" s="49" t="s">
        <v>229</v>
      </c>
      <c r="Q338" s="49" t="s">
        <v>230</v>
      </c>
      <c r="R338" s="48"/>
      <c r="S338" s="48"/>
      <c r="T338" s="48"/>
      <c r="U338" s="48"/>
      <c r="V338" s="48"/>
      <c r="W338" s="56"/>
      <c r="X338" s="48"/>
      <c r="Y338" s="48"/>
      <c r="Z338" s="48"/>
      <c r="AA338" s="48"/>
      <c r="AB338" s="48"/>
      <c r="AC338" s="48"/>
      <c r="AD338" s="48"/>
      <c r="AE338" s="57" t="b">
        <v>1</v>
      </c>
      <c r="AF338" s="48"/>
    </row>
    <row r="339" ht="15.75" customHeight="1">
      <c r="A339" s="48" t="s">
        <v>931</v>
      </c>
      <c r="B339" s="49" t="s">
        <v>271</v>
      </c>
      <c r="C339" s="50">
        <v>0.8333333333333334</v>
      </c>
      <c r="D339" s="51"/>
      <c r="E339" s="51"/>
      <c r="F339" s="48" t="s">
        <v>932</v>
      </c>
      <c r="G339" s="52">
        <v>2.6</v>
      </c>
      <c r="H339" s="49" t="s">
        <v>219</v>
      </c>
      <c r="I339" s="53" t="s">
        <v>228</v>
      </c>
      <c r="J339" s="49" t="s">
        <v>121</v>
      </c>
      <c r="K339" s="49"/>
      <c r="L339" s="59"/>
      <c r="M339" s="55"/>
      <c r="N339" s="55"/>
      <c r="O339" s="48"/>
      <c r="P339" s="49" t="s">
        <v>332</v>
      </c>
      <c r="Q339" s="49" t="s">
        <v>229</v>
      </c>
      <c r="R339" s="48"/>
      <c r="S339" s="48"/>
      <c r="T339" s="48"/>
      <c r="U339" s="48"/>
      <c r="V339" s="48"/>
      <c r="W339" s="60"/>
      <c r="X339" s="48"/>
      <c r="Y339" s="48"/>
      <c r="Z339" s="48"/>
      <c r="AA339" s="48"/>
      <c r="AB339" s="48"/>
      <c r="AC339" s="48"/>
      <c r="AD339" s="48"/>
      <c r="AE339" s="57" t="b">
        <v>1</v>
      </c>
      <c r="AF339" s="48"/>
    </row>
    <row r="340" ht="15.75" customHeight="1">
      <c r="A340" s="48" t="s">
        <v>933</v>
      </c>
      <c r="B340" s="49" t="s">
        <v>263</v>
      </c>
      <c r="C340" s="50">
        <v>0.8333333333333334</v>
      </c>
      <c r="D340" s="51">
        <v>46126.0</v>
      </c>
      <c r="E340" s="51"/>
      <c r="F340" s="48" t="s">
        <v>934</v>
      </c>
      <c r="G340" s="52"/>
      <c r="H340" s="49" t="s">
        <v>477</v>
      </c>
      <c r="I340" s="53" t="s">
        <v>220</v>
      </c>
      <c r="J340" s="49" t="s">
        <v>123</v>
      </c>
      <c r="K340" s="49" t="s">
        <v>478</v>
      </c>
      <c r="L340" s="54"/>
      <c r="M340" s="55"/>
      <c r="N340" s="55"/>
      <c r="O340" s="48"/>
      <c r="P340" s="49"/>
      <c r="Q340" s="49"/>
      <c r="R340" s="48"/>
      <c r="S340" s="48"/>
      <c r="T340" s="48"/>
      <c r="U340" s="48"/>
      <c r="V340" s="48"/>
      <c r="W340" s="56"/>
      <c r="X340" s="48"/>
      <c r="Y340" s="48"/>
      <c r="Z340" s="48"/>
      <c r="AA340" s="48"/>
      <c r="AB340" s="48"/>
      <c r="AC340" s="48"/>
      <c r="AD340" s="48"/>
      <c r="AE340" s="62" t="b">
        <v>0</v>
      </c>
      <c r="AF340" s="48"/>
    </row>
    <row r="341" ht="15.75" customHeight="1">
      <c r="A341" s="48" t="s">
        <v>935</v>
      </c>
      <c r="B341" s="49" t="s">
        <v>217</v>
      </c>
      <c r="C341" s="50">
        <v>0.8333333333333334</v>
      </c>
      <c r="D341" s="51">
        <v>46127.0</v>
      </c>
      <c r="E341" s="51"/>
      <c r="F341" s="48" t="s">
        <v>934</v>
      </c>
      <c r="G341" s="52"/>
      <c r="H341" s="49" t="s">
        <v>477</v>
      </c>
      <c r="I341" s="53" t="s">
        <v>220</v>
      </c>
      <c r="J341" s="49" t="s">
        <v>123</v>
      </c>
      <c r="K341" s="49" t="s">
        <v>478</v>
      </c>
      <c r="L341" s="59"/>
      <c r="M341" s="55"/>
      <c r="N341" s="55"/>
      <c r="O341" s="48"/>
      <c r="P341" s="49"/>
      <c r="Q341" s="49"/>
      <c r="R341" s="48"/>
      <c r="S341" s="48"/>
      <c r="T341" s="48"/>
      <c r="U341" s="48"/>
      <c r="V341" s="48"/>
      <c r="W341" s="60"/>
      <c r="X341" s="48"/>
      <c r="Y341" s="48"/>
      <c r="Z341" s="48"/>
      <c r="AA341" s="48"/>
      <c r="AB341" s="48"/>
      <c r="AC341" s="48"/>
      <c r="AD341" s="48"/>
      <c r="AE341" s="62" t="b">
        <v>0</v>
      </c>
      <c r="AF341" s="48"/>
    </row>
    <row r="342" ht="15.75" customHeight="1">
      <c r="A342" s="48" t="s">
        <v>936</v>
      </c>
      <c r="B342" s="49" t="s">
        <v>271</v>
      </c>
      <c r="C342" s="50">
        <v>0.8333333333333334</v>
      </c>
      <c r="D342" s="51">
        <v>46128.0</v>
      </c>
      <c r="E342" s="51"/>
      <c r="F342" s="48" t="s">
        <v>934</v>
      </c>
      <c r="G342" s="52"/>
      <c r="H342" s="49" t="s">
        <v>477</v>
      </c>
      <c r="I342" s="53" t="s">
        <v>220</v>
      </c>
      <c r="J342" s="49" t="s">
        <v>123</v>
      </c>
      <c r="K342" s="49" t="s">
        <v>478</v>
      </c>
      <c r="L342" s="54"/>
      <c r="M342" s="55"/>
      <c r="N342" s="55"/>
      <c r="O342" s="48"/>
      <c r="P342" s="49"/>
      <c r="Q342" s="49"/>
      <c r="R342" s="48"/>
      <c r="S342" s="48"/>
      <c r="T342" s="48"/>
      <c r="U342" s="48"/>
      <c r="V342" s="48"/>
      <c r="W342" s="56"/>
      <c r="X342" s="48"/>
      <c r="Y342" s="48"/>
      <c r="Z342" s="48"/>
      <c r="AA342" s="48"/>
      <c r="AB342" s="48"/>
      <c r="AC342" s="48"/>
      <c r="AD342" s="48"/>
      <c r="AE342" s="62" t="b">
        <v>0</v>
      </c>
      <c r="AF342" s="48"/>
    </row>
    <row r="343" ht="15.75" customHeight="1">
      <c r="A343" s="48" t="s">
        <v>937</v>
      </c>
      <c r="B343" s="49" t="s">
        <v>259</v>
      </c>
      <c r="C343" s="50">
        <v>0.8333333333333334</v>
      </c>
      <c r="D343" s="51">
        <v>46129.0</v>
      </c>
      <c r="E343" s="51"/>
      <c r="F343" s="48" t="s">
        <v>934</v>
      </c>
      <c r="G343" s="52"/>
      <c r="H343" s="49" t="s">
        <v>477</v>
      </c>
      <c r="I343" s="53" t="s">
        <v>220</v>
      </c>
      <c r="J343" s="49" t="s">
        <v>123</v>
      </c>
      <c r="K343" s="49" t="s">
        <v>478</v>
      </c>
      <c r="L343" s="59"/>
      <c r="M343" s="55"/>
      <c r="N343" s="55"/>
      <c r="O343" s="48"/>
      <c r="P343" s="49"/>
      <c r="Q343" s="49"/>
      <c r="R343" s="48"/>
      <c r="S343" s="48"/>
      <c r="T343" s="48"/>
      <c r="U343" s="48"/>
      <c r="V343" s="48"/>
      <c r="W343" s="60"/>
      <c r="X343" s="48"/>
      <c r="Y343" s="48"/>
      <c r="Z343" s="48"/>
      <c r="AA343" s="48"/>
      <c r="AB343" s="48"/>
      <c r="AC343" s="48"/>
      <c r="AD343" s="48"/>
      <c r="AE343" s="62" t="b">
        <v>0</v>
      </c>
      <c r="AF343" s="48"/>
    </row>
    <row r="344" ht="15.75" customHeight="1">
      <c r="A344" s="48" t="s">
        <v>938</v>
      </c>
      <c r="B344" s="49" t="s">
        <v>232</v>
      </c>
      <c r="C344" s="50">
        <v>0.8333333333333334</v>
      </c>
      <c r="D344" s="51">
        <v>46132.0</v>
      </c>
      <c r="E344" s="51"/>
      <c r="F344" s="48" t="s">
        <v>934</v>
      </c>
      <c r="G344" s="52"/>
      <c r="H344" s="49" t="s">
        <v>477</v>
      </c>
      <c r="I344" s="53" t="s">
        <v>220</v>
      </c>
      <c r="J344" s="49" t="s">
        <v>123</v>
      </c>
      <c r="K344" s="49" t="s">
        <v>478</v>
      </c>
      <c r="L344" s="54"/>
      <c r="M344" s="55"/>
      <c r="N344" s="55"/>
      <c r="O344" s="48"/>
      <c r="P344" s="49"/>
      <c r="Q344" s="49"/>
      <c r="R344" s="48"/>
      <c r="S344" s="48"/>
      <c r="T344" s="48"/>
      <c r="U344" s="48"/>
      <c r="V344" s="48"/>
      <c r="W344" s="56"/>
      <c r="X344" s="48"/>
      <c r="Y344" s="48"/>
      <c r="Z344" s="48"/>
      <c r="AA344" s="48"/>
      <c r="AB344" s="48"/>
      <c r="AC344" s="48"/>
      <c r="AD344" s="48"/>
      <c r="AE344" s="62" t="b">
        <v>0</v>
      </c>
      <c r="AF344" s="48"/>
    </row>
    <row r="345" ht="15.75" customHeight="1">
      <c r="A345" s="48" t="s">
        <v>939</v>
      </c>
      <c r="B345" s="49" t="s">
        <v>259</v>
      </c>
      <c r="C345" s="50">
        <v>0.8333333333333334</v>
      </c>
      <c r="D345" s="51"/>
      <c r="E345" s="51"/>
      <c r="F345" s="48" t="s">
        <v>940</v>
      </c>
      <c r="G345" s="52">
        <v>3.9</v>
      </c>
      <c r="H345" s="49" t="s">
        <v>219</v>
      </c>
      <c r="I345" s="53" t="s">
        <v>220</v>
      </c>
      <c r="J345" s="49" t="s">
        <v>117</v>
      </c>
      <c r="K345" s="49"/>
      <c r="L345" s="59"/>
      <c r="M345" s="55"/>
      <c r="N345" s="55"/>
      <c r="O345" s="48"/>
      <c r="P345" s="49" t="s">
        <v>221</v>
      </c>
      <c r="Q345" s="49"/>
      <c r="R345" s="48"/>
      <c r="S345" s="48"/>
      <c r="T345" s="48"/>
      <c r="U345" s="48"/>
      <c r="V345" s="48"/>
      <c r="W345" s="60"/>
      <c r="X345" s="48"/>
      <c r="Y345" s="48"/>
      <c r="Z345" s="48"/>
      <c r="AA345" s="48"/>
      <c r="AB345" s="48"/>
      <c r="AC345" s="48"/>
      <c r="AD345" s="48"/>
      <c r="AE345" s="57" t="b">
        <v>1</v>
      </c>
      <c r="AF345" s="48"/>
    </row>
    <row r="346" ht="15.75" customHeight="1">
      <c r="A346" s="48" t="s">
        <v>941</v>
      </c>
      <c r="B346" s="49" t="s">
        <v>276</v>
      </c>
      <c r="C346" s="50">
        <v>0.8333333333333334</v>
      </c>
      <c r="D346" s="51"/>
      <c r="E346" s="51"/>
      <c r="F346" s="48" t="s">
        <v>942</v>
      </c>
      <c r="G346" s="52">
        <v>1.1</v>
      </c>
      <c r="H346" s="49" t="s">
        <v>219</v>
      </c>
      <c r="I346" s="53" t="s">
        <v>220</v>
      </c>
      <c r="J346" s="49" t="s">
        <v>121</v>
      </c>
      <c r="K346" s="49"/>
      <c r="L346" s="54"/>
      <c r="M346" s="55"/>
      <c r="N346" s="55"/>
      <c r="O346" s="48"/>
      <c r="P346" s="49" t="s">
        <v>221</v>
      </c>
      <c r="Q346" s="49"/>
      <c r="R346" s="48"/>
      <c r="S346" s="48"/>
      <c r="T346" s="48"/>
      <c r="U346" s="48"/>
      <c r="V346" s="48"/>
      <c r="W346" s="56"/>
      <c r="X346" s="48"/>
      <c r="Y346" s="48"/>
      <c r="Z346" s="48"/>
      <c r="AA346" s="48"/>
      <c r="AB346" s="48"/>
      <c r="AC346" s="48"/>
      <c r="AD346" s="48"/>
      <c r="AE346" s="57" t="b">
        <v>1</v>
      </c>
      <c r="AF346" s="48"/>
    </row>
    <row r="347" ht="15.75" customHeight="1">
      <c r="A347" s="48" t="s">
        <v>943</v>
      </c>
      <c r="B347" s="49" t="s">
        <v>276</v>
      </c>
      <c r="C347" s="50">
        <v>0.8333333333333334</v>
      </c>
      <c r="D347" s="51"/>
      <c r="E347" s="51"/>
      <c r="F347" s="48" t="s">
        <v>944</v>
      </c>
      <c r="G347" s="52">
        <v>0.3</v>
      </c>
      <c r="H347" s="49" t="s">
        <v>219</v>
      </c>
      <c r="I347" s="53" t="s">
        <v>220</v>
      </c>
      <c r="J347" s="49" t="s">
        <v>121</v>
      </c>
      <c r="K347" s="49"/>
      <c r="L347" s="59"/>
      <c r="M347" s="55"/>
      <c r="N347" s="55"/>
      <c r="O347" s="48"/>
      <c r="P347" s="49" t="s">
        <v>221</v>
      </c>
      <c r="Q347" s="49"/>
      <c r="R347" s="48"/>
      <c r="S347" s="48"/>
      <c r="T347" s="48"/>
      <c r="U347" s="48"/>
      <c r="V347" s="48"/>
      <c r="W347" s="60"/>
      <c r="X347" s="48"/>
      <c r="Y347" s="48"/>
      <c r="Z347" s="48"/>
      <c r="AA347" s="48"/>
      <c r="AB347" s="48"/>
      <c r="AC347" s="48"/>
      <c r="AD347" s="48"/>
      <c r="AE347" s="57" t="b">
        <v>1</v>
      </c>
      <c r="AF347" s="48"/>
    </row>
    <row r="348" ht="15.75" customHeight="1">
      <c r="A348" s="48" t="s">
        <v>945</v>
      </c>
      <c r="B348" s="49" t="s">
        <v>276</v>
      </c>
      <c r="C348" s="50">
        <v>0.8333333333333334</v>
      </c>
      <c r="D348" s="51"/>
      <c r="E348" s="51"/>
      <c r="F348" s="48" t="s">
        <v>946</v>
      </c>
      <c r="G348" s="52">
        <v>1.0</v>
      </c>
      <c r="H348" s="49" t="s">
        <v>219</v>
      </c>
      <c r="I348" s="53" t="s">
        <v>220</v>
      </c>
      <c r="J348" s="49" t="s">
        <v>121</v>
      </c>
      <c r="K348" s="49"/>
      <c r="L348" s="54"/>
      <c r="M348" s="55"/>
      <c r="N348" s="55"/>
      <c r="O348" s="48"/>
      <c r="P348" s="49" t="s">
        <v>221</v>
      </c>
      <c r="Q348" s="49"/>
      <c r="R348" s="48"/>
      <c r="S348" s="48"/>
      <c r="T348" s="48"/>
      <c r="U348" s="48"/>
      <c r="V348" s="48"/>
      <c r="W348" s="56"/>
      <c r="X348" s="48"/>
      <c r="Y348" s="48"/>
      <c r="Z348" s="48"/>
      <c r="AA348" s="48"/>
      <c r="AB348" s="48"/>
      <c r="AC348" s="48"/>
      <c r="AD348" s="48"/>
      <c r="AE348" s="57" t="b">
        <v>1</v>
      </c>
      <c r="AF348" s="48"/>
    </row>
    <row r="349" ht="15.75" customHeight="1">
      <c r="A349" s="48" t="s">
        <v>947</v>
      </c>
      <c r="B349" s="49" t="s">
        <v>263</v>
      </c>
      <c r="C349" s="50">
        <v>0.8333333333333334</v>
      </c>
      <c r="D349" s="51"/>
      <c r="E349" s="51"/>
      <c r="F349" s="48" t="s">
        <v>948</v>
      </c>
      <c r="G349" s="52">
        <v>2.0</v>
      </c>
      <c r="H349" s="49" t="s">
        <v>219</v>
      </c>
      <c r="I349" s="53" t="s">
        <v>220</v>
      </c>
      <c r="J349" s="49" t="s">
        <v>121</v>
      </c>
      <c r="K349" s="49"/>
      <c r="L349" s="59"/>
      <c r="M349" s="55"/>
      <c r="N349" s="55"/>
      <c r="O349" s="48"/>
      <c r="P349" s="49" t="s">
        <v>221</v>
      </c>
      <c r="Q349" s="49"/>
      <c r="R349" s="48"/>
      <c r="S349" s="48"/>
      <c r="T349" s="48"/>
      <c r="U349" s="48"/>
      <c r="V349" s="48"/>
      <c r="W349" s="60"/>
      <c r="X349" s="48"/>
      <c r="Y349" s="48"/>
      <c r="Z349" s="48"/>
      <c r="AA349" s="48"/>
      <c r="AB349" s="48"/>
      <c r="AC349" s="48"/>
      <c r="AD349" s="48"/>
      <c r="AE349" s="57" t="b">
        <v>1</v>
      </c>
      <c r="AF349" s="48"/>
    </row>
    <row r="350" ht="15.75" customHeight="1">
      <c r="A350" s="48" t="s">
        <v>949</v>
      </c>
      <c r="B350" s="49" t="s">
        <v>271</v>
      </c>
      <c r="C350" s="50">
        <v>0.8333333333333334</v>
      </c>
      <c r="D350" s="51"/>
      <c r="E350" s="51"/>
      <c r="F350" s="48" t="s">
        <v>950</v>
      </c>
      <c r="G350" s="52">
        <v>1.0</v>
      </c>
      <c r="H350" s="49" t="s">
        <v>219</v>
      </c>
      <c r="I350" s="53" t="s">
        <v>220</v>
      </c>
      <c r="J350" s="49" t="s">
        <v>121</v>
      </c>
      <c r="K350" s="49"/>
      <c r="L350" s="54"/>
      <c r="M350" s="55"/>
      <c r="N350" s="55"/>
      <c r="O350" s="48"/>
      <c r="P350" s="49" t="s">
        <v>221</v>
      </c>
      <c r="Q350" s="49"/>
      <c r="R350" s="48"/>
      <c r="S350" s="48"/>
      <c r="T350" s="48"/>
      <c r="U350" s="48"/>
      <c r="V350" s="48"/>
      <c r="W350" s="56"/>
      <c r="X350" s="48"/>
      <c r="Y350" s="48"/>
      <c r="Z350" s="48"/>
      <c r="AA350" s="48"/>
      <c r="AB350" s="48"/>
      <c r="AC350" s="48"/>
      <c r="AD350" s="48"/>
      <c r="AE350" s="57" t="b">
        <v>1</v>
      </c>
      <c r="AF350" s="48"/>
    </row>
    <row r="351" ht="15.75" customHeight="1">
      <c r="A351" s="48" t="s">
        <v>951</v>
      </c>
      <c r="B351" s="49" t="s">
        <v>271</v>
      </c>
      <c r="C351" s="50">
        <v>0.8333333333333334</v>
      </c>
      <c r="D351" s="51"/>
      <c r="E351" s="51"/>
      <c r="F351" s="48" t="s">
        <v>952</v>
      </c>
      <c r="G351" s="52">
        <v>1.2</v>
      </c>
      <c r="H351" s="49" t="s">
        <v>219</v>
      </c>
      <c r="I351" s="53" t="s">
        <v>220</v>
      </c>
      <c r="J351" s="49" t="s">
        <v>121</v>
      </c>
      <c r="K351" s="49"/>
      <c r="L351" s="59"/>
      <c r="M351" s="55"/>
      <c r="N351" s="55"/>
      <c r="O351" s="48"/>
      <c r="P351" s="49" t="s">
        <v>221</v>
      </c>
      <c r="Q351" s="49"/>
      <c r="R351" s="48" t="s">
        <v>662</v>
      </c>
      <c r="S351" s="48" t="s">
        <v>663</v>
      </c>
      <c r="T351" s="48" t="s">
        <v>663</v>
      </c>
      <c r="U351" s="48" t="s">
        <v>663</v>
      </c>
      <c r="V351" s="48" t="s">
        <v>663</v>
      </c>
      <c r="W351" s="64" t="s">
        <v>663</v>
      </c>
      <c r="X351" s="48" t="s">
        <v>662</v>
      </c>
      <c r="Y351" s="48" t="s">
        <v>663</v>
      </c>
      <c r="Z351" s="48" t="s">
        <v>663</v>
      </c>
      <c r="AA351" s="48"/>
      <c r="AB351" s="48"/>
      <c r="AC351" s="48"/>
      <c r="AD351" s="48"/>
      <c r="AE351" s="57" t="b">
        <v>1</v>
      </c>
      <c r="AF351" s="48"/>
    </row>
    <row r="352" ht="15.75" customHeight="1">
      <c r="A352" s="48" t="s">
        <v>953</v>
      </c>
      <c r="B352" s="49" t="s">
        <v>226</v>
      </c>
      <c r="C352" s="50">
        <v>0.8333333333333334</v>
      </c>
      <c r="D352" s="51"/>
      <c r="E352" s="51"/>
      <c r="F352" s="48" t="s">
        <v>954</v>
      </c>
      <c r="G352" s="52">
        <v>2.1</v>
      </c>
      <c r="H352" s="49" t="s">
        <v>219</v>
      </c>
      <c r="I352" s="53" t="s">
        <v>220</v>
      </c>
      <c r="J352" s="49" t="s">
        <v>121</v>
      </c>
      <c r="K352" s="49"/>
      <c r="L352" s="54"/>
      <c r="M352" s="55"/>
      <c r="N352" s="55"/>
      <c r="O352" s="48"/>
      <c r="P352" s="49" t="s">
        <v>221</v>
      </c>
      <c r="Q352" s="49"/>
      <c r="R352" s="48"/>
      <c r="S352" s="48"/>
      <c r="T352" s="48"/>
      <c r="U352" s="48"/>
      <c r="V352" s="48"/>
      <c r="W352" s="56"/>
      <c r="X352" s="48"/>
      <c r="Y352" s="48"/>
      <c r="Z352" s="48"/>
      <c r="AA352" s="48"/>
      <c r="AB352" s="48"/>
      <c r="AC352" s="48"/>
      <c r="AD352" s="48"/>
      <c r="AE352" s="57" t="b">
        <v>1</v>
      </c>
      <c r="AF352" s="48"/>
    </row>
    <row r="353" ht="15.75" customHeight="1">
      <c r="A353" s="48" t="s">
        <v>955</v>
      </c>
      <c r="B353" s="49" t="s">
        <v>263</v>
      </c>
      <c r="C353" s="50">
        <v>0.8333333333333334</v>
      </c>
      <c r="D353" s="51"/>
      <c r="E353" s="51"/>
      <c r="F353" s="48" t="s">
        <v>956</v>
      </c>
      <c r="G353" s="52">
        <v>1.0</v>
      </c>
      <c r="H353" s="49" t="s">
        <v>219</v>
      </c>
      <c r="I353" s="53" t="s">
        <v>220</v>
      </c>
      <c r="J353" s="49" t="s">
        <v>121</v>
      </c>
      <c r="K353" s="49"/>
      <c r="L353" s="59"/>
      <c r="M353" s="55"/>
      <c r="N353" s="55"/>
      <c r="O353" s="48"/>
      <c r="P353" s="49" t="s">
        <v>221</v>
      </c>
      <c r="Q353" s="49"/>
      <c r="R353" s="48"/>
      <c r="S353" s="48"/>
      <c r="T353" s="48"/>
      <c r="U353" s="48"/>
      <c r="V353" s="48"/>
      <c r="W353" s="60"/>
      <c r="X353" s="48"/>
      <c r="Y353" s="48"/>
      <c r="Z353" s="48"/>
      <c r="AA353" s="48"/>
      <c r="AB353" s="48"/>
      <c r="AC353" s="48"/>
      <c r="AD353" s="48"/>
      <c r="AE353" s="57" t="b">
        <v>1</v>
      </c>
      <c r="AF353" s="48"/>
    </row>
    <row r="354" ht="15.75" customHeight="1">
      <c r="A354" s="48" t="s">
        <v>957</v>
      </c>
      <c r="B354" s="49" t="s">
        <v>263</v>
      </c>
      <c r="C354" s="50">
        <v>0.8333333333333334</v>
      </c>
      <c r="D354" s="51"/>
      <c r="E354" s="51"/>
      <c r="F354" s="48" t="s">
        <v>958</v>
      </c>
      <c r="G354" s="52">
        <v>1.6</v>
      </c>
      <c r="H354" s="49" t="s">
        <v>219</v>
      </c>
      <c r="I354" s="53" t="s">
        <v>220</v>
      </c>
      <c r="J354" s="49" t="s">
        <v>121</v>
      </c>
      <c r="K354" s="49"/>
      <c r="L354" s="54"/>
      <c r="M354" s="55"/>
      <c r="N354" s="55"/>
      <c r="O354" s="48"/>
      <c r="P354" s="49" t="s">
        <v>221</v>
      </c>
      <c r="Q354" s="49"/>
      <c r="R354" s="48"/>
      <c r="S354" s="48"/>
      <c r="T354" s="48"/>
      <c r="U354" s="48"/>
      <c r="V354" s="48"/>
      <c r="W354" s="56"/>
      <c r="X354" s="48"/>
      <c r="Y354" s="48"/>
      <c r="Z354" s="48"/>
      <c r="AA354" s="48"/>
      <c r="AB354" s="48"/>
      <c r="AC354" s="48"/>
      <c r="AD354" s="48"/>
      <c r="AE354" s="57" t="b">
        <v>1</v>
      </c>
      <c r="AF354" s="48"/>
    </row>
    <row r="355" ht="15.75" customHeight="1">
      <c r="A355" s="48" t="s">
        <v>959</v>
      </c>
      <c r="B355" s="49" t="s">
        <v>232</v>
      </c>
      <c r="C355" s="50">
        <v>0.8333333333333334</v>
      </c>
      <c r="D355" s="51"/>
      <c r="E355" s="51"/>
      <c r="F355" s="48" t="s">
        <v>960</v>
      </c>
      <c r="G355" s="52">
        <v>2.1</v>
      </c>
      <c r="H355" s="49" t="s">
        <v>219</v>
      </c>
      <c r="I355" s="53" t="s">
        <v>220</v>
      </c>
      <c r="J355" s="49" t="s">
        <v>121</v>
      </c>
      <c r="K355" s="49"/>
      <c r="L355" s="59"/>
      <c r="M355" s="55"/>
      <c r="N355" s="55"/>
      <c r="O355" s="48"/>
      <c r="P355" s="49" t="s">
        <v>221</v>
      </c>
      <c r="Q355" s="49"/>
      <c r="R355" s="48"/>
      <c r="S355" s="48"/>
      <c r="T355" s="48"/>
      <c r="U355" s="48"/>
      <c r="V355" s="48"/>
      <c r="W355" s="60"/>
      <c r="X355" s="48"/>
      <c r="Y355" s="48"/>
      <c r="Z355" s="48"/>
      <c r="AA355" s="48"/>
      <c r="AB355" s="48"/>
      <c r="AC355" s="48"/>
      <c r="AD355" s="48"/>
      <c r="AE355" s="57" t="b">
        <v>1</v>
      </c>
      <c r="AF355" s="48"/>
    </row>
    <row r="356" ht="15.75" customHeight="1">
      <c r="A356" s="48" t="s">
        <v>961</v>
      </c>
      <c r="B356" s="49" t="s">
        <v>232</v>
      </c>
      <c r="C356" s="50">
        <v>0.8333333333333334</v>
      </c>
      <c r="D356" s="51"/>
      <c r="E356" s="51"/>
      <c r="F356" s="48" t="s">
        <v>962</v>
      </c>
      <c r="G356" s="52">
        <v>0.7</v>
      </c>
      <c r="H356" s="49" t="s">
        <v>219</v>
      </c>
      <c r="I356" s="53" t="s">
        <v>220</v>
      </c>
      <c r="J356" s="49" t="s">
        <v>121</v>
      </c>
      <c r="K356" s="49"/>
      <c r="L356" s="54"/>
      <c r="M356" s="55"/>
      <c r="N356" s="55"/>
      <c r="O356" s="48"/>
      <c r="P356" s="49" t="s">
        <v>221</v>
      </c>
      <c r="Q356" s="49"/>
      <c r="R356" s="48"/>
      <c r="S356" s="48"/>
      <c r="T356" s="48"/>
      <c r="U356" s="48"/>
      <c r="V356" s="48"/>
      <c r="W356" s="56"/>
      <c r="X356" s="48"/>
      <c r="Y356" s="48"/>
      <c r="Z356" s="48"/>
      <c r="AA356" s="48"/>
      <c r="AB356" s="48"/>
      <c r="AC356" s="48"/>
      <c r="AD356" s="48"/>
      <c r="AE356" s="57" t="b">
        <v>1</v>
      </c>
      <c r="AF356" s="48"/>
    </row>
    <row r="357" ht="15.75" customHeight="1">
      <c r="A357" s="48" t="s">
        <v>963</v>
      </c>
      <c r="B357" s="49" t="s">
        <v>259</v>
      </c>
      <c r="C357" s="50">
        <v>0.8333333333333334</v>
      </c>
      <c r="D357" s="51"/>
      <c r="E357" s="51"/>
      <c r="F357" s="48" t="s">
        <v>964</v>
      </c>
      <c r="G357" s="52">
        <v>1.3</v>
      </c>
      <c r="H357" s="49" t="s">
        <v>219</v>
      </c>
      <c r="I357" s="53" t="s">
        <v>220</v>
      </c>
      <c r="J357" s="49" t="s">
        <v>121</v>
      </c>
      <c r="K357" s="49"/>
      <c r="L357" s="59"/>
      <c r="M357" s="55"/>
      <c r="N357" s="55"/>
      <c r="O357" s="48"/>
      <c r="P357" s="49" t="s">
        <v>221</v>
      </c>
      <c r="Q357" s="49"/>
      <c r="R357" s="48"/>
      <c r="S357" s="48"/>
      <c r="T357" s="48"/>
      <c r="U357" s="48"/>
      <c r="V357" s="48"/>
      <c r="W357" s="60"/>
      <c r="X357" s="48"/>
      <c r="Y357" s="48"/>
      <c r="Z357" s="48"/>
      <c r="AA357" s="48"/>
      <c r="AB357" s="48"/>
      <c r="AC357" s="48"/>
      <c r="AD357" s="48"/>
      <c r="AE357" s="57" t="b">
        <v>1</v>
      </c>
      <c r="AF357" s="48"/>
    </row>
    <row r="358" ht="15.75" customHeight="1">
      <c r="A358" s="48" t="s">
        <v>965</v>
      </c>
      <c r="B358" s="49" t="s">
        <v>259</v>
      </c>
      <c r="C358" s="50">
        <v>0.8333333333333334</v>
      </c>
      <c r="D358" s="51"/>
      <c r="E358" s="51"/>
      <c r="F358" s="48" t="s">
        <v>966</v>
      </c>
      <c r="G358" s="52">
        <v>1.0</v>
      </c>
      <c r="H358" s="49" t="s">
        <v>219</v>
      </c>
      <c r="I358" s="53" t="s">
        <v>220</v>
      </c>
      <c r="J358" s="49" t="s">
        <v>121</v>
      </c>
      <c r="K358" s="49"/>
      <c r="L358" s="54"/>
      <c r="M358" s="55"/>
      <c r="N358" s="55"/>
      <c r="O358" s="48"/>
      <c r="P358" s="49" t="s">
        <v>221</v>
      </c>
      <c r="Q358" s="49"/>
      <c r="R358" s="48"/>
      <c r="S358" s="48"/>
      <c r="T358" s="48"/>
      <c r="U358" s="48"/>
      <c r="V358" s="48"/>
      <c r="W358" s="56"/>
      <c r="X358" s="48"/>
      <c r="Y358" s="48"/>
      <c r="Z358" s="48"/>
      <c r="AA358" s="48"/>
      <c r="AB358" s="48"/>
      <c r="AC358" s="48"/>
      <c r="AD358" s="48"/>
      <c r="AE358" s="57" t="b">
        <v>1</v>
      </c>
      <c r="AF358" s="48"/>
    </row>
    <row r="359" ht="15.75" customHeight="1">
      <c r="A359" s="48" t="s">
        <v>967</v>
      </c>
      <c r="B359" s="49" t="s">
        <v>259</v>
      </c>
      <c r="C359" s="50">
        <v>0.8333333333333334</v>
      </c>
      <c r="D359" s="51"/>
      <c r="E359" s="51"/>
      <c r="F359" s="48" t="s">
        <v>968</v>
      </c>
      <c r="G359" s="52">
        <v>1.0</v>
      </c>
      <c r="H359" s="49" t="s">
        <v>219</v>
      </c>
      <c r="I359" s="53" t="s">
        <v>220</v>
      </c>
      <c r="J359" s="49" t="s">
        <v>121</v>
      </c>
      <c r="K359" s="49"/>
      <c r="L359" s="59"/>
      <c r="M359" s="55"/>
      <c r="N359" s="55"/>
      <c r="O359" s="48"/>
      <c r="P359" s="49" t="s">
        <v>221</v>
      </c>
      <c r="Q359" s="49"/>
      <c r="R359" s="48"/>
      <c r="S359" s="48"/>
      <c r="T359" s="48"/>
      <c r="U359" s="48"/>
      <c r="V359" s="48"/>
      <c r="W359" s="60"/>
      <c r="X359" s="48"/>
      <c r="Y359" s="48"/>
      <c r="Z359" s="48"/>
      <c r="AA359" s="48"/>
      <c r="AB359" s="48"/>
      <c r="AC359" s="48"/>
      <c r="AD359" s="48"/>
      <c r="AE359" s="57" t="b">
        <v>1</v>
      </c>
      <c r="AF359" s="48"/>
    </row>
    <row r="360" ht="15.75" customHeight="1">
      <c r="A360" s="48" t="s">
        <v>969</v>
      </c>
      <c r="B360" s="49" t="s">
        <v>232</v>
      </c>
      <c r="C360" s="50">
        <v>0.8333333333333334</v>
      </c>
      <c r="D360" s="51"/>
      <c r="E360" s="51"/>
      <c r="F360" s="48" t="s">
        <v>970</v>
      </c>
      <c r="G360" s="52">
        <v>1.8</v>
      </c>
      <c r="H360" s="49" t="s">
        <v>219</v>
      </c>
      <c r="I360" s="53" t="s">
        <v>220</v>
      </c>
      <c r="J360" s="49" t="s">
        <v>121</v>
      </c>
      <c r="K360" s="49"/>
      <c r="L360" s="54"/>
      <c r="M360" s="55"/>
      <c r="N360" s="55"/>
      <c r="O360" s="48"/>
      <c r="P360" s="49" t="s">
        <v>221</v>
      </c>
      <c r="Q360" s="49"/>
      <c r="R360" s="48" t="s">
        <v>662</v>
      </c>
      <c r="S360" s="48" t="s">
        <v>663</v>
      </c>
      <c r="T360" s="48" t="s">
        <v>663</v>
      </c>
      <c r="U360" s="48" t="s">
        <v>663</v>
      </c>
      <c r="V360" s="48" t="s">
        <v>663</v>
      </c>
      <c r="W360" s="63" t="s">
        <v>663</v>
      </c>
      <c r="X360" s="48" t="s">
        <v>662</v>
      </c>
      <c r="Y360" s="48" t="s">
        <v>663</v>
      </c>
      <c r="Z360" s="48" t="s">
        <v>663</v>
      </c>
      <c r="AA360" s="48"/>
      <c r="AB360" s="48"/>
      <c r="AC360" s="48"/>
      <c r="AD360" s="48"/>
      <c r="AE360" s="57" t="b">
        <v>1</v>
      </c>
      <c r="AF360" s="48"/>
    </row>
    <row r="361" ht="15.75" customHeight="1">
      <c r="A361" s="48" t="s">
        <v>971</v>
      </c>
      <c r="B361" s="49" t="s">
        <v>232</v>
      </c>
      <c r="C361" s="50">
        <v>0.8333333333333334</v>
      </c>
      <c r="D361" s="51"/>
      <c r="E361" s="51"/>
      <c r="F361" s="48" t="s">
        <v>972</v>
      </c>
      <c r="G361" s="52">
        <v>1.4</v>
      </c>
      <c r="H361" s="49" t="s">
        <v>219</v>
      </c>
      <c r="I361" s="53" t="s">
        <v>220</v>
      </c>
      <c r="J361" s="49" t="s">
        <v>121</v>
      </c>
      <c r="K361" s="49"/>
      <c r="L361" s="59"/>
      <c r="M361" s="55"/>
      <c r="N361" s="55"/>
      <c r="O361" s="48"/>
      <c r="P361" s="49" t="s">
        <v>221</v>
      </c>
      <c r="Q361" s="49"/>
      <c r="R361" s="48"/>
      <c r="S361" s="48"/>
      <c r="T361" s="48"/>
      <c r="U361" s="48"/>
      <c r="V361" s="48"/>
      <c r="W361" s="60"/>
      <c r="X361" s="48"/>
      <c r="Y361" s="48"/>
      <c r="Z361" s="48"/>
      <c r="AA361" s="48"/>
      <c r="AB361" s="48"/>
      <c r="AC361" s="48"/>
      <c r="AD361" s="48"/>
      <c r="AE361" s="57" t="b">
        <v>1</v>
      </c>
      <c r="AF361" s="48"/>
    </row>
    <row r="362" ht="15.75" customHeight="1">
      <c r="A362" s="48" t="s">
        <v>973</v>
      </c>
      <c r="B362" s="49" t="s">
        <v>263</v>
      </c>
      <c r="C362" s="50">
        <v>0.8333333333333334</v>
      </c>
      <c r="D362" s="51"/>
      <c r="E362" s="51"/>
      <c r="F362" s="48" t="s">
        <v>974</v>
      </c>
      <c r="G362" s="52">
        <v>0.4</v>
      </c>
      <c r="H362" s="49" t="s">
        <v>219</v>
      </c>
      <c r="I362" s="53" t="s">
        <v>220</v>
      </c>
      <c r="J362" s="49" t="s">
        <v>121</v>
      </c>
      <c r="K362" s="49"/>
      <c r="L362" s="54"/>
      <c r="M362" s="55"/>
      <c r="N362" s="55"/>
      <c r="O362" s="48"/>
      <c r="P362" s="49" t="s">
        <v>221</v>
      </c>
      <c r="Q362" s="49"/>
      <c r="R362" s="48"/>
      <c r="S362" s="48"/>
      <c r="T362" s="48"/>
      <c r="U362" s="48"/>
      <c r="V362" s="48"/>
      <c r="W362" s="56"/>
      <c r="X362" s="48"/>
      <c r="Y362" s="48"/>
      <c r="Z362" s="48"/>
      <c r="AA362" s="48"/>
      <c r="AB362" s="48"/>
      <c r="AC362" s="48"/>
      <c r="AD362" s="48"/>
      <c r="AE362" s="57" t="b">
        <v>1</v>
      </c>
      <c r="AF362" s="48"/>
    </row>
    <row r="363" ht="15.75" customHeight="1">
      <c r="A363" s="48" t="s">
        <v>975</v>
      </c>
      <c r="B363" s="49" t="s">
        <v>226</v>
      </c>
      <c r="C363" s="50">
        <v>0.8333333333333334</v>
      </c>
      <c r="D363" s="51"/>
      <c r="E363" s="51"/>
      <c r="F363" s="48" t="s">
        <v>976</v>
      </c>
      <c r="G363" s="52">
        <v>1.6</v>
      </c>
      <c r="H363" s="49" t="s">
        <v>219</v>
      </c>
      <c r="I363" s="53" t="s">
        <v>220</v>
      </c>
      <c r="J363" s="49" t="s">
        <v>121</v>
      </c>
      <c r="K363" s="49"/>
      <c r="L363" s="59"/>
      <c r="M363" s="55"/>
      <c r="N363" s="55"/>
      <c r="O363" s="48"/>
      <c r="P363" s="49" t="s">
        <v>221</v>
      </c>
      <c r="Q363" s="49"/>
      <c r="R363" s="48"/>
      <c r="S363" s="48"/>
      <c r="T363" s="48"/>
      <c r="U363" s="48"/>
      <c r="V363" s="48"/>
      <c r="W363" s="60"/>
      <c r="X363" s="48"/>
      <c r="Y363" s="48"/>
      <c r="Z363" s="48"/>
      <c r="AA363" s="48"/>
      <c r="AB363" s="48"/>
      <c r="AC363" s="48"/>
      <c r="AD363" s="48"/>
      <c r="AE363" s="57" t="b">
        <v>1</v>
      </c>
      <c r="AF363" s="48"/>
    </row>
    <row r="364" ht="15.75" customHeight="1">
      <c r="A364" s="48" t="s">
        <v>977</v>
      </c>
      <c r="B364" s="49" t="s">
        <v>271</v>
      </c>
      <c r="C364" s="50">
        <v>0.8333333333333334</v>
      </c>
      <c r="D364" s="51"/>
      <c r="E364" s="51"/>
      <c r="F364" s="48" t="s">
        <v>978</v>
      </c>
      <c r="G364" s="52">
        <v>1.0</v>
      </c>
      <c r="H364" s="49" t="s">
        <v>219</v>
      </c>
      <c r="I364" s="53" t="s">
        <v>220</v>
      </c>
      <c r="J364" s="49" t="s">
        <v>121</v>
      </c>
      <c r="K364" s="49"/>
      <c r="L364" s="54"/>
      <c r="M364" s="55"/>
      <c r="N364" s="55"/>
      <c r="O364" s="48"/>
      <c r="P364" s="49" t="s">
        <v>221</v>
      </c>
      <c r="Q364" s="49"/>
      <c r="R364" s="48"/>
      <c r="S364" s="48"/>
      <c r="T364" s="48"/>
      <c r="U364" s="48"/>
      <c r="V364" s="48"/>
      <c r="W364" s="56"/>
      <c r="X364" s="48"/>
      <c r="Y364" s="48"/>
      <c r="Z364" s="48"/>
      <c r="AA364" s="48"/>
      <c r="AB364" s="48"/>
      <c r="AC364" s="48"/>
      <c r="AD364" s="48"/>
      <c r="AE364" s="57" t="b">
        <v>1</v>
      </c>
      <c r="AF364" s="48"/>
    </row>
    <row r="365" ht="15.75" customHeight="1">
      <c r="A365" s="48" t="s">
        <v>979</v>
      </c>
      <c r="B365" s="49" t="s">
        <v>271</v>
      </c>
      <c r="C365" s="50">
        <v>0.8333333333333334</v>
      </c>
      <c r="D365" s="51"/>
      <c r="E365" s="51"/>
      <c r="F365" s="48" t="s">
        <v>980</v>
      </c>
      <c r="G365" s="52">
        <v>1.0</v>
      </c>
      <c r="H365" s="49" t="s">
        <v>219</v>
      </c>
      <c r="I365" s="53" t="s">
        <v>220</v>
      </c>
      <c r="J365" s="49" t="s">
        <v>121</v>
      </c>
      <c r="K365" s="49"/>
      <c r="L365" s="59"/>
      <c r="M365" s="55"/>
      <c r="N365" s="55"/>
      <c r="O365" s="48"/>
      <c r="P365" s="49" t="s">
        <v>221</v>
      </c>
      <c r="Q365" s="49"/>
      <c r="R365" s="48"/>
      <c r="S365" s="48"/>
      <c r="T365" s="48"/>
      <c r="U365" s="48"/>
      <c r="V365" s="48"/>
      <c r="W365" s="60"/>
      <c r="X365" s="48"/>
      <c r="Y365" s="48"/>
      <c r="Z365" s="48"/>
      <c r="AA365" s="48"/>
      <c r="AB365" s="48"/>
      <c r="AC365" s="48"/>
      <c r="AD365" s="48"/>
      <c r="AE365" s="57" t="b">
        <v>1</v>
      </c>
      <c r="AF365" s="48"/>
    </row>
    <row r="366" ht="15.75" customHeight="1">
      <c r="A366" s="48" t="s">
        <v>981</v>
      </c>
      <c r="B366" s="49" t="s">
        <v>271</v>
      </c>
      <c r="C366" s="50">
        <v>0.8333333333333334</v>
      </c>
      <c r="D366" s="51"/>
      <c r="E366" s="51"/>
      <c r="F366" s="48" t="s">
        <v>982</v>
      </c>
      <c r="G366" s="52">
        <v>0.7</v>
      </c>
      <c r="H366" s="49" t="s">
        <v>219</v>
      </c>
      <c r="I366" s="53" t="s">
        <v>220</v>
      </c>
      <c r="J366" s="49" t="s">
        <v>121</v>
      </c>
      <c r="K366" s="49"/>
      <c r="L366" s="54"/>
      <c r="M366" s="55"/>
      <c r="N366" s="55"/>
      <c r="O366" s="48"/>
      <c r="P366" s="49" t="s">
        <v>221</v>
      </c>
      <c r="Q366" s="49"/>
      <c r="R366" s="48"/>
      <c r="S366" s="48"/>
      <c r="T366" s="48"/>
      <c r="U366" s="48"/>
      <c r="V366" s="48"/>
      <c r="W366" s="56"/>
      <c r="X366" s="48"/>
      <c r="Y366" s="48"/>
      <c r="Z366" s="48"/>
      <c r="AA366" s="48"/>
      <c r="AB366" s="48"/>
      <c r="AC366" s="48"/>
      <c r="AD366" s="48"/>
      <c r="AE366" s="57" t="b">
        <v>1</v>
      </c>
      <c r="AF366" s="48"/>
    </row>
    <row r="367" ht="15.75" customHeight="1">
      <c r="A367" s="48" t="s">
        <v>983</v>
      </c>
      <c r="B367" s="49" t="s">
        <v>217</v>
      </c>
      <c r="C367" s="50">
        <v>0.8333333333333334</v>
      </c>
      <c r="D367" s="51"/>
      <c r="E367" s="51"/>
      <c r="F367" s="48" t="s">
        <v>984</v>
      </c>
      <c r="G367" s="52">
        <v>0.1</v>
      </c>
      <c r="H367" s="49" t="s">
        <v>219</v>
      </c>
      <c r="I367" s="53" t="s">
        <v>220</v>
      </c>
      <c r="J367" s="49" t="s">
        <v>121</v>
      </c>
      <c r="K367" s="49"/>
      <c r="L367" s="59"/>
      <c r="M367" s="55"/>
      <c r="N367" s="55"/>
      <c r="O367" s="48"/>
      <c r="P367" s="49" t="s">
        <v>265</v>
      </c>
      <c r="Q367" s="49" t="s">
        <v>239</v>
      </c>
      <c r="R367" s="48"/>
      <c r="S367" s="48"/>
      <c r="T367" s="48"/>
      <c r="U367" s="48"/>
      <c r="V367" s="48"/>
      <c r="W367" s="60"/>
      <c r="X367" s="48"/>
      <c r="Y367" s="48"/>
      <c r="Z367" s="48"/>
      <c r="AA367" s="48"/>
      <c r="AB367" s="48"/>
      <c r="AC367" s="48"/>
      <c r="AD367" s="48"/>
      <c r="AE367" s="57" t="b">
        <v>1</v>
      </c>
      <c r="AF367" s="48"/>
    </row>
    <row r="368" ht="15.75" customHeight="1">
      <c r="A368" s="48" t="s">
        <v>985</v>
      </c>
      <c r="B368" s="49" t="s">
        <v>232</v>
      </c>
      <c r="C368" s="50">
        <v>0.8333333333333334</v>
      </c>
      <c r="D368" s="51"/>
      <c r="E368" s="51"/>
      <c r="F368" s="48" t="s">
        <v>984</v>
      </c>
      <c r="G368" s="52">
        <v>0.1</v>
      </c>
      <c r="H368" s="49" t="s">
        <v>219</v>
      </c>
      <c r="I368" s="53" t="s">
        <v>220</v>
      </c>
      <c r="J368" s="49" t="s">
        <v>121</v>
      </c>
      <c r="K368" s="49"/>
      <c r="L368" s="54"/>
      <c r="M368" s="55"/>
      <c r="N368" s="55"/>
      <c r="O368" s="48"/>
      <c r="P368" s="49" t="s">
        <v>265</v>
      </c>
      <c r="Q368" s="49" t="s">
        <v>239</v>
      </c>
      <c r="R368" s="48"/>
      <c r="S368" s="48"/>
      <c r="T368" s="48"/>
      <c r="U368" s="48"/>
      <c r="V368" s="48"/>
      <c r="W368" s="56"/>
      <c r="X368" s="48"/>
      <c r="Y368" s="48"/>
      <c r="Z368" s="48"/>
      <c r="AA368" s="48"/>
      <c r="AB368" s="48"/>
      <c r="AC368" s="48"/>
      <c r="AD368" s="48"/>
      <c r="AE368" s="57" t="b">
        <v>1</v>
      </c>
      <c r="AF368" s="48"/>
    </row>
    <row r="369" ht="15.75" customHeight="1">
      <c r="A369" s="48" t="s">
        <v>986</v>
      </c>
      <c r="B369" s="49" t="s">
        <v>263</v>
      </c>
      <c r="C369" s="50">
        <v>0.8333333333333334</v>
      </c>
      <c r="D369" s="51"/>
      <c r="E369" s="51"/>
      <c r="F369" s="48" t="s">
        <v>984</v>
      </c>
      <c r="G369" s="52">
        <v>0.1</v>
      </c>
      <c r="H369" s="49" t="s">
        <v>219</v>
      </c>
      <c r="I369" s="53" t="s">
        <v>220</v>
      </c>
      <c r="J369" s="49" t="s">
        <v>121</v>
      </c>
      <c r="K369" s="49"/>
      <c r="L369" s="59"/>
      <c r="M369" s="55"/>
      <c r="N369" s="55"/>
      <c r="O369" s="48"/>
      <c r="P369" s="49" t="s">
        <v>265</v>
      </c>
      <c r="Q369" s="49" t="s">
        <v>239</v>
      </c>
      <c r="R369" s="48"/>
      <c r="S369" s="48"/>
      <c r="T369" s="48"/>
      <c r="U369" s="48"/>
      <c r="V369" s="48"/>
      <c r="W369" s="60"/>
      <c r="X369" s="48"/>
      <c r="Y369" s="48"/>
      <c r="Z369" s="48"/>
      <c r="AA369" s="48"/>
      <c r="AB369" s="48"/>
      <c r="AC369" s="48"/>
      <c r="AD369" s="48"/>
      <c r="AE369" s="57" t="b">
        <v>1</v>
      </c>
      <c r="AF369" s="48"/>
    </row>
    <row r="370" ht="15.75" customHeight="1">
      <c r="A370" s="48" t="s">
        <v>987</v>
      </c>
      <c r="B370" s="49" t="s">
        <v>271</v>
      </c>
      <c r="C370" s="50">
        <v>0.8333333333333334</v>
      </c>
      <c r="D370" s="51"/>
      <c r="E370" s="51"/>
      <c r="F370" s="48" t="s">
        <v>984</v>
      </c>
      <c r="G370" s="52">
        <v>0.1</v>
      </c>
      <c r="H370" s="49" t="s">
        <v>219</v>
      </c>
      <c r="I370" s="53" t="s">
        <v>220</v>
      </c>
      <c r="J370" s="49" t="s">
        <v>121</v>
      </c>
      <c r="K370" s="49"/>
      <c r="L370" s="54"/>
      <c r="M370" s="55"/>
      <c r="N370" s="55"/>
      <c r="O370" s="48"/>
      <c r="P370" s="49" t="s">
        <v>265</v>
      </c>
      <c r="Q370" s="49" t="s">
        <v>239</v>
      </c>
      <c r="R370" s="48"/>
      <c r="S370" s="48"/>
      <c r="T370" s="48"/>
      <c r="U370" s="48"/>
      <c r="V370" s="48"/>
      <c r="W370" s="56"/>
      <c r="X370" s="48"/>
      <c r="Y370" s="48"/>
      <c r="Z370" s="48"/>
      <c r="AA370" s="48"/>
      <c r="AB370" s="48"/>
      <c r="AC370" s="48"/>
      <c r="AD370" s="48"/>
      <c r="AE370" s="57" t="b">
        <v>1</v>
      </c>
      <c r="AF370" s="48"/>
    </row>
    <row r="371" ht="15.75" customHeight="1">
      <c r="A371" s="48" t="s">
        <v>988</v>
      </c>
      <c r="B371" s="49" t="s">
        <v>276</v>
      </c>
      <c r="C371" s="50">
        <v>0.8333333333333334</v>
      </c>
      <c r="D371" s="51"/>
      <c r="E371" s="51"/>
      <c r="F371" s="48" t="s">
        <v>984</v>
      </c>
      <c r="G371" s="52">
        <v>0.1</v>
      </c>
      <c r="H371" s="49" t="s">
        <v>219</v>
      </c>
      <c r="I371" s="53" t="s">
        <v>220</v>
      </c>
      <c r="J371" s="49" t="s">
        <v>121</v>
      </c>
      <c r="K371" s="49"/>
      <c r="L371" s="59"/>
      <c r="M371" s="55"/>
      <c r="N371" s="55"/>
      <c r="O371" s="48"/>
      <c r="P371" s="49" t="s">
        <v>265</v>
      </c>
      <c r="Q371" s="49" t="s">
        <v>239</v>
      </c>
      <c r="R371" s="48"/>
      <c r="S371" s="48"/>
      <c r="T371" s="48"/>
      <c r="U371" s="48"/>
      <c r="V371" s="48"/>
      <c r="W371" s="60"/>
      <c r="X371" s="48"/>
      <c r="Y371" s="48"/>
      <c r="Z371" s="48"/>
      <c r="AA371" s="48"/>
      <c r="AB371" s="48"/>
      <c r="AC371" s="48"/>
      <c r="AD371" s="48"/>
      <c r="AE371" s="57" t="b">
        <v>1</v>
      </c>
      <c r="AF371" s="48"/>
    </row>
    <row r="372" ht="15.75" customHeight="1">
      <c r="A372" s="48" t="s">
        <v>989</v>
      </c>
      <c r="B372" s="49" t="s">
        <v>226</v>
      </c>
      <c r="C372" s="50">
        <v>0.8333333333333334</v>
      </c>
      <c r="D372" s="51"/>
      <c r="E372" s="51"/>
      <c r="F372" s="48" t="s">
        <v>984</v>
      </c>
      <c r="G372" s="52">
        <v>0.1</v>
      </c>
      <c r="H372" s="49" t="s">
        <v>219</v>
      </c>
      <c r="I372" s="53" t="s">
        <v>220</v>
      </c>
      <c r="J372" s="49" t="s">
        <v>121</v>
      </c>
      <c r="K372" s="49"/>
      <c r="L372" s="54"/>
      <c r="M372" s="55"/>
      <c r="N372" s="55"/>
      <c r="O372" s="48"/>
      <c r="P372" s="49" t="s">
        <v>265</v>
      </c>
      <c r="Q372" s="49" t="s">
        <v>239</v>
      </c>
      <c r="R372" s="48"/>
      <c r="S372" s="48"/>
      <c r="T372" s="48"/>
      <c r="U372" s="48"/>
      <c r="V372" s="48"/>
      <c r="W372" s="56"/>
      <c r="X372" s="48"/>
      <c r="Y372" s="48"/>
      <c r="Z372" s="48"/>
      <c r="AA372" s="48"/>
      <c r="AB372" s="48"/>
      <c r="AC372" s="48"/>
      <c r="AD372" s="48"/>
      <c r="AE372" s="57" t="b">
        <v>1</v>
      </c>
      <c r="AF372" s="48"/>
    </row>
    <row r="373" ht="15.75" customHeight="1">
      <c r="A373" s="48" t="s">
        <v>990</v>
      </c>
      <c r="B373" s="49" t="s">
        <v>259</v>
      </c>
      <c r="C373" s="50">
        <v>0.8333333333333334</v>
      </c>
      <c r="D373" s="51"/>
      <c r="E373" s="51"/>
      <c r="F373" s="48" t="s">
        <v>984</v>
      </c>
      <c r="G373" s="52">
        <v>0.1</v>
      </c>
      <c r="H373" s="49" t="s">
        <v>219</v>
      </c>
      <c r="I373" s="53" t="s">
        <v>220</v>
      </c>
      <c r="J373" s="49" t="s">
        <v>121</v>
      </c>
      <c r="K373" s="49"/>
      <c r="L373" s="59"/>
      <c r="M373" s="55"/>
      <c r="N373" s="55"/>
      <c r="O373" s="48"/>
      <c r="P373" s="49" t="s">
        <v>265</v>
      </c>
      <c r="Q373" s="49" t="s">
        <v>239</v>
      </c>
      <c r="R373" s="48"/>
      <c r="S373" s="48"/>
      <c r="T373" s="48"/>
      <c r="U373" s="48"/>
      <c r="V373" s="48"/>
      <c r="W373" s="60"/>
      <c r="X373" s="48"/>
      <c r="Y373" s="48"/>
      <c r="Z373" s="48"/>
      <c r="AA373" s="48"/>
      <c r="AB373" s="48"/>
      <c r="AC373" s="48"/>
      <c r="AD373" s="48"/>
      <c r="AE373" s="57" t="b">
        <v>1</v>
      </c>
      <c r="AF373" s="48"/>
    </row>
    <row r="374" ht="15.75" customHeight="1">
      <c r="A374" s="48" t="s">
        <v>991</v>
      </c>
      <c r="B374" s="49" t="s">
        <v>263</v>
      </c>
      <c r="C374" s="50">
        <v>0.8333333333333334</v>
      </c>
      <c r="D374" s="51"/>
      <c r="E374" s="51"/>
      <c r="F374" s="48" t="s">
        <v>992</v>
      </c>
      <c r="G374" s="52">
        <v>0.2</v>
      </c>
      <c r="H374" s="49" t="s">
        <v>219</v>
      </c>
      <c r="I374" s="53" t="s">
        <v>220</v>
      </c>
      <c r="J374" s="49" t="s">
        <v>121</v>
      </c>
      <c r="K374" s="49"/>
      <c r="L374" s="54"/>
      <c r="M374" s="55"/>
      <c r="N374" s="55"/>
      <c r="O374" s="48"/>
      <c r="P374" s="49" t="s">
        <v>221</v>
      </c>
      <c r="Q374" s="49"/>
      <c r="R374" s="48"/>
      <c r="S374" s="48"/>
      <c r="T374" s="48"/>
      <c r="U374" s="48"/>
      <c r="V374" s="48"/>
      <c r="W374" s="56"/>
      <c r="X374" s="48"/>
      <c r="Y374" s="48"/>
      <c r="Z374" s="48"/>
      <c r="AA374" s="48"/>
      <c r="AB374" s="48"/>
      <c r="AC374" s="48"/>
      <c r="AD374" s="48"/>
      <c r="AE374" s="57" t="b">
        <v>1</v>
      </c>
      <c r="AF374" s="48"/>
    </row>
    <row r="375" ht="15.75" customHeight="1">
      <c r="A375" s="48" t="s">
        <v>993</v>
      </c>
      <c r="B375" s="49" t="s">
        <v>259</v>
      </c>
      <c r="C375" s="50">
        <v>0.8333333333333334</v>
      </c>
      <c r="D375" s="51"/>
      <c r="E375" s="51"/>
      <c r="F375" s="48" t="s">
        <v>994</v>
      </c>
      <c r="G375" s="52">
        <v>0.3</v>
      </c>
      <c r="H375" s="49" t="s">
        <v>219</v>
      </c>
      <c r="I375" s="53" t="s">
        <v>220</v>
      </c>
      <c r="J375" s="49" t="s">
        <v>121</v>
      </c>
      <c r="K375" s="49"/>
      <c r="L375" s="59"/>
      <c r="M375" s="55"/>
      <c r="N375" s="55"/>
      <c r="O375" s="48"/>
      <c r="P375" s="49" t="s">
        <v>221</v>
      </c>
      <c r="Q375" s="49"/>
      <c r="R375" s="48"/>
      <c r="S375" s="48"/>
      <c r="T375" s="48"/>
      <c r="U375" s="48"/>
      <c r="V375" s="48"/>
      <c r="W375" s="60"/>
      <c r="X375" s="48"/>
      <c r="Y375" s="48"/>
      <c r="Z375" s="48"/>
      <c r="AA375" s="48"/>
      <c r="AB375" s="48"/>
      <c r="AC375" s="48"/>
      <c r="AD375" s="48"/>
      <c r="AE375" s="57" t="b">
        <v>1</v>
      </c>
      <c r="AF375" s="48"/>
    </row>
    <row r="376" ht="15.75" customHeight="1">
      <c r="A376" s="48" t="s">
        <v>995</v>
      </c>
      <c r="B376" s="49" t="s">
        <v>259</v>
      </c>
      <c r="C376" s="50">
        <v>0.8333333333333334</v>
      </c>
      <c r="D376" s="51"/>
      <c r="E376" s="51"/>
      <c r="F376" s="48" t="s">
        <v>996</v>
      </c>
      <c r="G376" s="52">
        <v>0.3</v>
      </c>
      <c r="H376" s="49" t="s">
        <v>219</v>
      </c>
      <c r="I376" s="53" t="s">
        <v>220</v>
      </c>
      <c r="J376" s="49" t="s">
        <v>121</v>
      </c>
      <c r="K376" s="49"/>
      <c r="L376" s="54"/>
      <c r="M376" s="55"/>
      <c r="N376" s="55"/>
      <c r="O376" s="48"/>
      <c r="P376" s="49" t="s">
        <v>221</v>
      </c>
      <c r="Q376" s="49"/>
      <c r="R376" s="48"/>
      <c r="S376" s="48"/>
      <c r="T376" s="48"/>
      <c r="U376" s="48"/>
      <c r="V376" s="48"/>
      <c r="W376" s="56"/>
      <c r="X376" s="48"/>
      <c r="Y376" s="48"/>
      <c r="Z376" s="48"/>
      <c r="AA376" s="48"/>
      <c r="AB376" s="48"/>
      <c r="AC376" s="48"/>
      <c r="AD376" s="48"/>
      <c r="AE376" s="57" t="b">
        <v>1</v>
      </c>
      <c r="AF376" s="48"/>
    </row>
    <row r="377" ht="15.75" customHeight="1">
      <c r="A377" s="48" t="s">
        <v>997</v>
      </c>
      <c r="B377" s="49" t="s">
        <v>271</v>
      </c>
      <c r="C377" s="50">
        <v>0.875</v>
      </c>
      <c r="D377" s="51"/>
      <c r="E377" s="51"/>
      <c r="F377" s="48" t="s">
        <v>998</v>
      </c>
      <c r="G377" s="52">
        <v>1.4</v>
      </c>
      <c r="H377" s="49" t="s">
        <v>219</v>
      </c>
      <c r="I377" s="53" t="s">
        <v>228</v>
      </c>
      <c r="J377" s="49" t="s">
        <v>121</v>
      </c>
      <c r="K377" s="49"/>
      <c r="L377" s="59"/>
      <c r="M377" s="55"/>
      <c r="N377" s="55"/>
      <c r="O377" s="48"/>
      <c r="P377" s="49" t="s">
        <v>229</v>
      </c>
      <c r="Q377" s="49" t="s">
        <v>230</v>
      </c>
      <c r="R377" s="48"/>
      <c r="S377" s="48"/>
      <c r="T377" s="48"/>
      <c r="U377" s="48"/>
      <c r="V377" s="48"/>
      <c r="W377" s="60"/>
      <c r="X377" s="48"/>
      <c r="Y377" s="48"/>
      <c r="Z377" s="48"/>
      <c r="AA377" s="48"/>
      <c r="AB377" s="48"/>
      <c r="AC377" s="48"/>
      <c r="AD377" s="48"/>
      <c r="AE377" s="57" t="b">
        <v>1</v>
      </c>
      <c r="AF377" s="48"/>
    </row>
    <row r="378" ht="15.75" customHeight="1">
      <c r="A378" s="48" t="s">
        <v>999</v>
      </c>
      <c r="B378" s="49" t="s">
        <v>271</v>
      </c>
      <c r="C378" s="50">
        <v>0.875</v>
      </c>
      <c r="D378" s="51"/>
      <c r="E378" s="51"/>
      <c r="F378" s="48" t="s">
        <v>1000</v>
      </c>
      <c r="G378" s="52">
        <v>6.9</v>
      </c>
      <c r="H378" s="49" t="s">
        <v>219</v>
      </c>
      <c r="I378" s="53" t="s">
        <v>220</v>
      </c>
      <c r="J378" s="49" t="s">
        <v>117</v>
      </c>
      <c r="K378" s="49" t="s">
        <v>238</v>
      </c>
      <c r="L378" s="54"/>
      <c r="M378" s="55"/>
      <c r="N378" s="55"/>
      <c r="O378" s="48"/>
      <c r="P378" s="49" t="s">
        <v>229</v>
      </c>
      <c r="Q378" s="49" t="s">
        <v>332</v>
      </c>
      <c r="R378" s="48"/>
      <c r="S378" s="48"/>
      <c r="T378" s="48"/>
      <c r="U378" s="48"/>
      <c r="V378" s="48"/>
      <c r="W378" s="56"/>
      <c r="X378" s="48"/>
      <c r="Y378" s="48"/>
      <c r="Z378" s="48"/>
      <c r="AA378" s="48"/>
      <c r="AB378" s="48"/>
      <c r="AC378" s="48"/>
      <c r="AD378" s="48"/>
      <c r="AE378" s="57" t="b">
        <v>1</v>
      </c>
      <c r="AF378" s="48"/>
    </row>
    <row r="379" ht="15.75" customHeight="1">
      <c r="A379" s="48" t="s">
        <v>1001</v>
      </c>
      <c r="B379" s="49" t="s">
        <v>217</v>
      </c>
      <c r="C379" s="50">
        <v>0.875</v>
      </c>
      <c r="D379" s="51"/>
      <c r="E379" s="51"/>
      <c r="F379" s="48" t="s">
        <v>1002</v>
      </c>
      <c r="G379" s="52">
        <v>0.1</v>
      </c>
      <c r="H379" s="49" t="s">
        <v>219</v>
      </c>
      <c r="I379" s="53" t="s">
        <v>220</v>
      </c>
      <c r="J379" s="49" t="s">
        <v>117</v>
      </c>
      <c r="K379" s="49"/>
      <c r="L379" s="59"/>
      <c r="M379" s="55"/>
      <c r="N379" s="55"/>
      <c r="O379" s="48"/>
      <c r="P379" s="49" t="s">
        <v>221</v>
      </c>
      <c r="Q379" s="49"/>
      <c r="R379" s="48"/>
      <c r="S379" s="48"/>
      <c r="T379" s="48"/>
      <c r="U379" s="48"/>
      <c r="V379" s="48"/>
      <c r="W379" s="60"/>
      <c r="X379" s="48"/>
      <c r="Y379" s="48"/>
      <c r="Z379" s="48"/>
      <c r="AA379" s="48"/>
      <c r="AB379" s="48"/>
      <c r="AC379" s="48"/>
      <c r="AD379" s="48"/>
      <c r="AE379" s="57" t="b">
        <v>1</v>
      </c>
      <c r="AF379" s="48"/>
    </row>
    <row r="380" ht="15.75" customHeight="1">
      <c r="A380" s="48" t="s">
        <v>1003</v>
      </c>
      <c r="B380" s="49" t="s">
        <v>232</v>
      </c>
      <c r="C380" s="50">
        <v>0.875</v>
      </c>
      <c r="D380" s="51"/>
      <c r="E380" s="51"/>
      <c r="F380" s="48" t="s">
        <v>1002</v>
      </c>
      <c r="G380" s="52">
        <v>0.1</v>
      </c>
      <c r="H380" s="49" t="s">
        <v>219</v>
      </c>
      <c r="I380" s="53" t="s">
        <v>220</v>
      </c>
      <c r="J380" s="49" t="s">
        <v>117</v>
      </c>
      <c r="K380" s="49"/>
      <c r="L380" s="54"/>
      <c r="M380" s="55"/>
      <c r="N380" s="55"/>
      <c r="O380" s="48"/>
      <c r="P380" s="49" t="s">
        <v>221</v>
      </c>
      <c r="Q380" s="49"/>
      <c r="R380" s="48"/>
      <c r="S380" s="48"/>
      <c r="T380" s="48"/>
      <c r="U380" s="48"/>
      <c r="V380" s="48"/>
      <c r="W380" s="56"/>
      <c r="X380" s="48"/>
      <c r="Y380" s="48"/>
      <c r="Z380" s="48"/>
      <c r="AA380" s="48"/>
      <c r="AB380" s="48"/>
      <c r="AC380" s="48"/>
      <c r="AD380" s="48"/>
      <c r="AE380" s="57" t="b">
        <v>1</v>
      </c>
      <c r="AF380" s="48"/>
    </row>
    <row r="381" ht="15.75" customHeight="1">
      <c r="A381" s="48" t="s">
        <v>1004</v>
      </c>
      <c r="B381" s="49" t="s">
        <v>263</v>
      </c>
      <c r="C381" s="50">
        <v>0.875</v>
      </c>
      <c r="D381" s="51"/>
      <c r="E381" s="51"/>
      <c r="F381" s="48" t="s">
        <v>1002</v>
      </c>
      <c r="G381" s="52">
        <v>0.1</v>
      </c>
      <c r="H381" s="49" t="s">
        <v>219</v>
      </c>
      <c r="I381" s="53" t="s">
        <v>220</v>
      </c>
      <c r="J381" s="49" t="s">
        <v>117</v>
      </c>
      <c r="K381" s="49"/>
      <c r="L381" s="59"/>
      <c r="M381" s="55"/>
      <c r="N381" s="55"/>
      <c r="O381" s="48"/>
      <c r="P381" s="49" t="s">
        <v>221</v>
      </c>
      <c r="Q381" s="49"/>
      <c r="R381" s="48"/>
      <c r="S381" s="48"/>
      <c r="T381" s="48"/>
      <c r="U381" s="48"/>
      <c r="V381" s="48"/>
      <c r="W381" s="60"/>
      <c r="X381" s="48"/>
      <c r="Y381" s="48"/>
      <c r="Z381" s="48"/>
      <c r="AA381" s="48"/>
      <c r="AB381" s="48"/>
      <c r="AC381" s="48"/>
      <c r="AD381" s="48"/>
      <c r="AE381" s="57" t="b">
        <v>1</v>
      </c>
      <c r="AF381" s="48"/>
    </row>
    <row r="382" ht="15.75" customHeight="1">
      <c r="A382" s="48" t="s">
        <v>1005</v>
      </c>
      <c r="B382" s="49" t="s">
        <v>271</v>
      </c>
      <c r="C382" s="50">
        <v>0.875</v>
      </c>
      <c r="D382" s="51"/>
      <c r="E382" s="51"/>
      <c r="F382" s="48" t="s">
        <v>1002</v>
      </c>
      <c r="G382" s="52">
        <v>0.1</v>
      </c>
      <c r="H382" s="49" t="s">
        <v>219</v>
      </c>
      <c r="I382" s="53" t="s">
        <v>220</v>
      </c>
      <c r="J382" s="49" t="s">
        <v>117</v>
      </c>
      <c r="K382" s="49"/>
      <c r="L382" s="54"/>
      <c r="M382" s="55"/>
      <c r="N382" s="55"/>
      <c r="O382" s="48"/>
      <c r="P382" s="49" t="s">
        <v>221</v>
      </c>
      <c r="Q382" s="49"/>
      <c r="R382" s="48"/>
      <c r="S382" s="48"/>
      <c r="T382" s="48"/>
      <c r="U382" s="48"/>
      <c r="V382" s="48"/>
      <c r="W382" s="56"/>
      <c r="X382" s="48"/>
      <c r="Y382" s="48"/>
      <c r="Z382" s="48"/>
      <c r="AA382" s="48"/>
      <c r="AB382" s="48"/>
      <c r="AC382" s="48"/>
      <c r="AD382" s="48"/>
      <c r="AE382" s="57" t="b">
        <v>1</v>
      </c>
      <c r="AF382" s="48"/>
    </row>
    <row r="383" ht="15.75" customHeight="1">
      <c r="A383" s="48" t="s">
        <v>1006</v>
      </c>
      <c r="B383" s="49" t="s">
        <v>276</v>
      </c>
      <c r="C383" s="50">
        <v>0.875</v>
      </c>
      <c r="D383" s="51"/>
      <c r="E383" s="51"/>
      <c r="F383" s="48" t="s">
        <v>1002</v>
      </c>
      <c r="G383" s="52">
        <v>0.1</v>
      </c>
      <c r="H383" s="49" t="s">
        <v>219</v>
      </c>
      <c r="I383" s="53" t="s">
        <v>220</v>
      </c>
      <c r="J383" s="49" t="s">
        <v>117</v>
      </c>
      <c r="K383" s="49"/>
      <c r="L383" s="59"/>
      <c r="M383" s="55"/>
      <c r="N383" s="55"/>
      <c r="O383" s="48"/>
      <c r="P383" s="49" t="s">
        <v>221</v>
      </c>
      <c r="Q383" s="49"/>
      <c r="R383" s="48"/>
      <c r="S383" s="48"/>
      <c r="T383" s="48"/>
      <c r="U383" s="48"/>
      <c r="V383" s="48"/>
      <c r="W383" s="60"/>
      <c r="X383" s="48"/>
      <c r="Y383" s="48"/>
      <c r="Z383" s="48"/>
      <c r="AA383" s="48"/>
      <c r="AB383" s="48"/>
      <c r="AC383" s="48"/>
      <c r="AD383" s="48"/>
      <c r="AE383" s="57" t="b">
        <v>1</v>
      </c>
      <c r="AF383" s="48"/>
    </row>
    <row r="384" ht="15.75" customHeight="1">
      <c r="A384" s="48" t="s">
        <v>1007</v>
      </c>
      <c r="B384" s="49" t="s">
        <v>226</v>
      </c>
      <c r="C384" s="50">
        <v>0.875</v>
      </c>
      <c r="D384" s="51"/>
      <c r="E384" s="51"/>
      <c r="F384" s="48" t="s">
        <v>1002</v>
      </c>
      <c r="G384" s="52">
        <v>0.1</v>
      </c>
      <c r="H384" s="49" t="s">
        <v>219</v>
      </c>
      <c r="I384" s="53" t="s">
        <v>220</v>
      </c>
      <c r="J384" s="49" t="s">
        <v>117</v>
      </c>
      <c r="K384" s="49"/>
      <c r="L384" s="54"/>
      <c r="M384" s="55"/>
      <c r="N384" s="55"/>
      <c r="O384" s="48"/>
      <c r="P384" s="49" t="s">
        <v>221</v>
      </c>
      <c r="Q384" s="49"/>
      <c r="R384" s="48"/>
      <c r="S384" s="48"/>
      <c r="T384" s="48"/>
      <c r="U384" s="48"/>
      <c r="V384" s="48"/>
      <c r="W384" s="56"/>
      <c r="X384" s="48"/>
      <c r="Y384" s="48"/>
      <c r="Z384" s="48"/>
      <c r="AA384" s="48"/>
      <c r="AB384" s="48"/>
      <c r="AC384" s="48"/>
      <c r="AD384" s="48"/>
      <c r="AE384" s="57" t="b">
        <v>1</v>
      </c>
      <c r="AF384" s="48"/>
    </row>
    <row r="385" ht="15.75" customHeight="1">
      <c r="A385" s="48" t="s">
        <v>1008</v>
      </c>
      <c r="B385" s="49" t="s">
        <v>259</v>
      </c>
      <c r="C385" s="50">
        <v>0.875</v>
      </c>
      <c r="D385" s="51"/>
      <c r="E385" s="51"/>
      <c r="F385" s="48" t="s">
        <v>1002</v>
      </c>
      <c r="G385" s="52">
        <v>0.1</v>
      </c>
      <c r="H385" s="49" t="s">
        <v>219</v>
      </c>
      <c r="I385" s="53" t="s">
        <v>220</v>
      </c>
      <c r="J385" s="49" t="s">
        <v>117</v>
      </c>
      <c r="K385" s="49"/>
      <c r="L385" s="59"/>
      <c r="M385" s="55"/>
      <c r="N385" s="55"/>
      <c r="O385" s="48"/>
      <c r="P385" s="49" t="s">
        <v>221</v>
      </c>
      <c r="Q385" s="49"/>
      <c r="R385" s="48"/>
      <c r="S385" s="48"/>
      <c r="T385" s="48"/>
      <c r="U385" s="48"/>
      <c r="V385" s="48"/>
      <c r="W385" s="60"/>
      <c r="X385" s="48"/>
      <c r="Y385" s="48"/>
      <c r="Z385" s="48"/>
      <c r="AA385" s="48"/>
      <c r="AB385" s="48"/>
      <c r="AC385" s="48"/>
      <c r="AD385" s="48"/>
      <c r="AE385" s="57" t="b">
        <v>1</v>
      </c>
      <c r="AF385" s="48"/>
    </row>
    <row r="386" ht="15.75" customHeight="1">
      <c r="A386" s="48" t="s">
        <v>1009</v>
      </c>
      <c r="B386" s="49" t="s">
        <v>217</v>
      </c>
      <c r="C386" s="50">
        <v>0.875</v>
      </c>
      <c r="D386" s="51"/>
      <c r="E386" s="51"/>
      <c r="F386" s="48" t="s">
        <v>1010</v>
      </c>
      <c r="G386" s="52">
        <v>9.3</v>
      </c>
      <c r="H386" s="49" t="s">
        <v>219</v>
      </c>
      <c r="I386" s="53" t="s">
        <v>220</v>
      </c>
      <c r="J386" s="49" t="s">
        <v>121</v>
      </c>
      <c r="K386" s="49"/>
      <c r="L386" s="54"/>
      <c r="M386" s="55"/>
      <c r="N386" s="55"/>
      <c r="O386" s="48"/>
      <c r="P386" s="49" t="s">
        <v>221</v>
      </c>
      <c r="Q386" s="49"/>
      <c r="R386" s="48"/>
      <c r="S386" s="48"/>
      <c r="T386" s="48"/>
      <c r="U386" s="48"/>
      <c r="V386" s="48"/>
      <c r="W386" s="56"/>
      <c r="X386" s="48"/>
      <c r="Y386" s="48"/>
      <c r="Z386" s="48"/>
      <c r="AA386" s="48"/>
      <c r="AB386" s="48"/>
      <c r="AC386" s="48"/>
      <c r="AD386" s="48"/>
      <c r="AE386" s="57" t="b">
        <v>1</v>
      </c>
      <c r="AF386" s="48"/>
    </row>
    <row r="387" ht="15.75" customHeight="1">
      <c r="A387" s="48" t="s">
        <v>1011</v>
      </c>
      <c r="B387" s="49" t="s">
        <v>232</v>
      </c>
      <c r="C387" s="50">
        <v>0.875</v>
      </c>
      <c r="D387" s="51"/>
      <c r="E387" s="51"/>
      <c r="F387" s="48" t="s">
        <v>1012</v>
      </c>
      <c r="G387" s="52">
        <v>6.7</v>
      </c>
      <c r="H387" s="49" t="s">
        <v>219</v>
      </c>
      <c r="I387" s="53" t="s">
        <v>220</v>
      </c>
      <c r="J387" s="49" t="s">
        <v>121</v>
      </c>
      <c r="K387" s="49"/>
      <c r="L387" s="59"/>
      <c r="M387" s="55"/>
      <c r="N387" s="55"/>
      <c r="O387" s="48"/>
      <c r="P387" s="49" t="s">
        <v>221</v>
      </c>
      <c r="Q387" s="49"/>
      <c r="R387" s="48"/>
      <c r="S387" s="48"/>
      <c r="T387" s="48"/>
      <c r="U387" s="48"/>
      <c r="V387" s="48"/>
      <c r="W387" s="60"/>
      <c r="X387" s="48"/>
      <c r="Y387" s="48"/>
      <c r="Z387" s="48"/>
      <c r="AA387" s="48"/>
      <c r="AB387" s="48"/>
      <c r="AC387" s="48"/>
      <c r="AD387" s="48"/>
      <c r="AE387" s="57" t="b">
        <v>1</v>
      </c>
      <c r="AF387" s="48"/>
    </row>
    <row r="388" ht="15.75" customHeight="1">
      <c r="A388" s="48" t="s">
        <v>1013</v>
      </c>
      <c r="B388" s="49" t="s">
        <v>263</v>
      </c>
      <c r="C388" s="50">
        <v>0.875</v>
      </c>
      <c r="D388" s="51"/>
      <c r="E388" s="51"/>
      <c r="F388" s="48" t="s">
        <v>1014</v>
      </c>
      <c r="G388" s="52">
        <v>3.1</v>
      </c>
      <c r="H388" s="49" t="s">
        <v>219</v>
      </c>
      <c r="I388" s="53" t="s">
        <v>220</v>
      </c>
      <c r="J388" s="49" t="s">
        <v>121</v>
      </c>
      <c r="K388" s="49"/>
      <c r="L388" s="54"/>
      <c r="M388" s="55"/>
      <c r="N388" s="55"/>
      <c r="O388" s="48"/>
      <c r="P388" s="49" t="s">
        <v>221</v>
      </c>
      <c r="Q388" s="49"/>
      <c r="R388" s="48"/>
      <c r="S388" s="48"/>
      <c r="T388" s="48"/>
      <c r="U388" s="48"/>
      <c r="V388" s="48"/>
      <c r="W388" s="56"/>
      <c r="X388" s="48"/>
      <c r="Y388" s="48"/>
      <c r="Z388" s="48"/>
      <c r="AA388" s="48"/>
      <c r="AB388" s="48"/>
      <c r="AC388" s="48"/>
      <c r="AD388" s="48"/>
      <c r="AE388" s="57" t="b">
        <v>1</v>
      </c>
      <c r="AF388" s="48"/>
    </row>
    <row r="389" ht="15.75" customHeight="1">
      <c r="A389" s="48" t="s">
        <v>1015</v>
      </c>
      <c r="B389" s="49" t="s">
        <v>217</v>
      </c>
      <c r="C389" s="50">
        <v>0.875</v>
      </c>
      <c r="D389" s="51"/>
      <c r="E389" s="51"/>
      <c r="F389" s="48" t="s">
        <v>1016</v>
      </c>
      <c r="G389" s="52">
        <v>0.4</v>
      </c>
      <c r="H389" s="49" t="s">
        <v>219</v>
      </c>
      <c r="I389" s="53" t="s">
        <v>220</v>
      </c>
      <c r="J389" s="49" t="s">
        <v>121</v>
      </c>
      <c r="K389" s="49"/>
      <c r="L389" s="59"/>
      <c r="M389" s="55"/>
      <c r="N389" s="55"/>
      <c r="O389" s="48"/>
      <c r="P389" s="49" t="s">
        <v>221</v>
      </c>
      <c r="Q389" s="49"/>
      <c r="R389" s="48"/>
      <c r="S389" s="48"/>
      <c r="T389" s="48"/>
      <c r="U389" s="48"/>
      <c r="V389" s="48"/>
      <c r="W389" s="60"/>
      <c r="X389" s="48"/>
      <c r="Y389" s="48"/>
      <c r="Z389" s="48"/>
      <c r="AA389" s="48"/>
      <c r="AB389" s="48"/>
      <c r="AC389" s="48"/>
      <c r="AD389" s="48"/>
      <c r="AE389" s="57" t="b">
        <v>1</v>
      </c>
      <c r="AF389" s="48"/>
    </row>
    <row r="390" ht="15.75" customHeight="1">
      <c r="A390" s="48" t="s">
        <v>1017</v>
      </c>
      <c r="B390" s="49" t="s">
        <v>226</v>
      </c>
      <c r="C390" s="50">
        <v>0.875</v>
      </c>
      <c r="D390" s="51"/>
      <c r="E390" s="51"/>
      <c r="F390" s="48" t="s">
        <v>1018</v>
      </c>
      <c r="G390" s="52">
        <v>2.5</v>
      </c>
      <c r="H390" s="49" t="s">
        <v>219</v>
      </c>
      <c r="I390" s="53" t="s">
        <v>220</v>
      </c>
      <c r="J390" s="49" t="s">
        <v>121</v>
      </c>
      <c r="K390" s="49"/>
      <c r="L390" s="54"/>
      <c r="M390" s="55"/>
      <c r="N390" s="55"/>
      <c r="O390" s="48"/>
      <c r="P390" s="49" t="s">
        <v>221</v>
      </c>
      <c r="Q390" s="49"/>
      <c r="R390" s="48"/>
      <c r="S390" s="48"/>
      <c r="T390" s="48"/>
      <c r="U390" s="48"/>
      <c r="V390" s="48"/>
      <c r="W390" s="56"/>
      <c r="X390" s="48"/>
      <c r="Y390" s="48"/>
      <c r="Z390" s="48"/>
      <c r="AA390" s="48"/>
      <c r="AB390" s="48"/>
      <c r="AC390" s="48"/>
      <c r="AD390" s="48"/>
      <c r="AE390" s="57" t="b">
        <v>1</v>
      </c>
      <c r="AF390" s="48"/>
    </row>
    <row r="391" ht="15.75" customHeight="1">
      <c r="A391" s="48" t="s">
        <v>1019</v>
      </c>
      <c r="B391" s="49" t="s">
        <v>263</v>
      </c>
      <c r="C391" s="50">
        <v>0.875</v>
      </c>
      <c r="D391" s="51"/>
      <c r="E391" s="51"/>
      <c r="F391" s="48" t="s">
        <v>1020</v>
      </c>
      <c r="G391" s="52">
        <v>0.8</v>
      </c>
      <c r="H391" s="49" t="s">
        <v>219</v>
      </c>
      <c r="I391" s="53" t="s">
        <v>220</v>
      </c>
      <c r="J391" s="49" t="s">
        <v>121</v>
      </c>
      <c r="K391" s="49"/>
      <c r="L391" s="59"/>
      <c r="M391" s="55"/>
      <c r="N391" s="55"/>
      <c r="O391" s="48"/>
      <c r="P391" s="49" t="s">
        <v>221</v>
      </c>
      <c r="Q391" s="49"/>
      <c r="R391" s="48"/>
      <c r="S391" s="48"/>
      <c r="T391" s="48"/>
      <c r="U391" s="48"/>
      <c r="V391" s="48"/>
      <c r="W391" s="60"/>
      <c r="X391" s="48"/>
      <c r="Y391" s="48"/>
      <c r="Z391" s="48"/>
      <c r="AA391" s="48"/>
      <c r="AB391" s="48"/>
      <c r="AC391" s="48"/>
      <c r="AD391" s="48"/>
      <c r="AE391" s="57" t="b">
        <v>1</v>
      </c>
      <c r="AF391" s="48"/>
    </row>
    <row r="392" ht="15.75" customHeight="1">
      <c r="A392" s="48" t="s">
        <v>1021</v>
      </c>
      <c r="B392" s="49" t="s">
        <v>217</v>
      </c>
      <c r="C392" s="50">
        <v>0.875</v>
      </c>
      <c r="D392" s="51"/>
      <c r="E392" s="51"/>
      <c r="F392" s="48" t="s">
        <v>1022</v>
      </c>
      <c r="G392" s="52">
        <v>0.1</v>
      </c>
      <c r="H392" s="49" t="s">
        <v>219</v>
      </c>
      <c r="I392" s="53" t="s">
        <v>220</v>
      </c>
      <c r="J392" s="49" t="s">
        <v>121</v>
      </c>
      <c r="K392" s="49"/>
      <c r="L392" s="54"/>
      <c r="M392" s="55"/>
      <c r="N392" s="55"/>
      <c r="O392" s="48"/>
      <c r="P392" s="49" t="s">
        <v>221</v>
      </c>
      <c r="Q392" s="49"/>
      <c r="R392" s="48"/>
      <c r="S392" s="48"/>
      <c r="T392" s="48"/>
      <c r="U392" s="48"/>
      <c r="V392" s="48"/>
      <c r="W392" s="56"/>
      <c r="X392" s="48"/>
      <c r="Y392" s="48"/>
      <c r="Z392" s="48"/>
      <c r="AA392" s="48"/>
      <c r="AB392" s="48"/>
      <c r="AC392" s="48"/>
      <c r="AD392" s="48"/>
      <c r="AE392" s="57" t="b">
        <v>1</v>
      </c>
      <c r="AF392" s="48"/>
    </row>
    <row r="393" ht="15.75" customHeight="1">
      <c r="A393" s="48" t="s">
        <v>1023</v>
      </c>
      <c r="B393" s="49" t="s">
        <v>232</v>
      </c>
      <c r="C393" s="50">
        <v>0.875</v>
      </c>
      <c r="D393" s="51"/>
      <c r="E393" s="51"/>
      <c r="F393" s="48" t="s">
        <v>1022</v>
      </c>
      <c r="G393" s="52">
        <v>0.1</v>
      </c>
      <c r="H393" s="49" t="s">
        <v>219</v>
      </c>
      <c r="I393" s="53" t="s">
        <v>220</v>
      </c>
      <c r="J393" s="49" t="s">
        <v>121</v>
      </c>
      <c r="K393" s="49"/>
      <c r="L393" s="59"/>
      <c r="M393" s="55"/>
      <c r="N393" s="55"/>
      <c r="O393" s="48"/>
      <c r="P393" s="49" t="s">
        <v>221</v>
      </c>
      <c r="Q393" s="49"/>
      <c r="R393" s="48"/>
      <c r="S393" s="48"/>
      <c r="T393" s="48"/>
      <c r="U393" s="48"/>
      <c r="V393" s="48"/>
      <c r="W393" s="60"/>
      <c r="X393" s="48"/>
      <c r="Y393" s="48"/>
      <c r="Z393" s="48"/>
      <c r="AA393" s="48"/>
      <c r="AB393" s="48"/>
      <c r="AC393" s="48"/>
      <c r="AD393" s="48"/>
      <c r="AE393" s="57" t="b">
        <v>1</v>
      </c>
      <c r="AF393" s="48"/>
    </row>
    <row r="394" ht="15.75" customHeight="1">
      <c r="A394" s="48" t="s">
        <v>1024</v>
      </c>
      <c r="B394" s="49" t="s">
        <v>263</v>
      </c>
      <c r="C394" s="50">
        <v>0.875</v>
      </c>
      <c r="D394" s="51"/>
      <c r="E394" s="51"/>
      <c r="F394" s="48" t="s">
        <v>1022</v>
      </c>
      <c r="G394" s="52">
        <v>0.1</v>
      </c>
      <c r="H394" s="49" t="s">
        <v>219</v>
      </c>
      <c r="I394" s="53" t="s">
        <v>220</v>
      </c>
      <c r="J394" s="49" t="s">
        <v>121</v>
      </c>
      <c r="K394" s="49"/>
      <c r="L394" s="54"/>
      <c r="M394" s="55"/>
      <c r="N394" s="55"/>
      <c r="O394" s="48"/>
      <c r="P394" s="49" t="s">
        <v>221</v>
      </c>
      <c r="Q394" s="49"/>
      <c r="R394" s="48"/>
      <c r="S394" s="48"/>
      <c r="T394" s="48"/>
      <c r="U394" s="48"/>
      <c r="V394" s="48"/>
      <c r="W394" s="56"/>
      <c r="X394" s="48"/>
      <c r="Y394" s="48"/>
      <c r="Z394" s="48"/>
      <c r="AA394" s="48"/>
      <c r="AB394" s="48"/>
      <c r="AC394" s="48"/>
      <c r="AD394" s="48"/>
      <c r="AE394" s="57" t="b">
        <v>1</v>
      </c>
      <c r="AF394" s="48"/>
    </row>
    <row r="395" ht="15.75" customHeight="1">
      <c r="A395" s="48" t="s">
        <v>1025</v>
      </c>
      <c r="B395" s="49" t="s">
        <v>271</v>
      </c>
      <c r="C395" s="50">
        <v>0.875</v>
      </c>
      <c r="D395" s="51"/>
      <c r="E395" s="51"/>
      <c r="F395" s="48" t="s">
        <v>1022</v>
      </c>
      <c r="G395" s="52">
        <v>0.1</v>
      </c>
      <c r="H395" s="49" t="s">
        <v>219</v>
      </c>
      <c r="I395" s="53" t="s">
        <v>220</v>
      </c>
      <c r="J395" s="49" t="s">
        <v>121</v>
      </c>
      <c r="K395" s="49"/>
      <c r="L395" s="59"/>
      <c r="M395" s="55"/>
      <c r="N395" s="55"/>
      <c r="O395" s="48"/>
      <c r="P395" s="49" t="s">
        <v>221</v>
      </c>
      <c r="Q395" s="49"/>
      <c r="R395" s="48"/>
      <c r="S395" s="48"/>
      <c r="T395" s="48"/>
      <c r="U395" s="48"/>
      <c r="V395" s="48"/>
      <c r="W395" s="60"/>
      <c r="X395" s="48"/>
      <c r="Y395" s="48"/>
      <c r="Z395" s="48"/>
      <c r="AA395" s="48"/>
      <c r="AB395" s="48"/>
      <c r="AC395" s="48"/>
      <c r="AD395" s="48"/>
      <c r="AE395" s="57" t="b">
        <v>1</v>
      </c>
      <c r="AF395" s="48"/>
    </row>
    <row r="396" ht="15.75" customHeight="1">
      <c r="A396" s="48" t="s">
        <v>1026</v>
      </c>
      <c r="B396" s="49" t="s">
        <v>276</v>
      </c>
      <c r="C396" s="50">
        <v>0.875</v>
      </c>
      <c r="D396" s="51"/>
      <c r="E396" s="51"/>
      <c r="F396" s="48" t="s">
        <v>1022</v>
      </c>
      <c r="G396" s="52">
        <v>0.1</v>
      </c>
      <c r="H396" s="49" t="s">
        <v>219</v>
      </c>
      <c r="I396" s="53" t="s">
        <v>220</v>
      </c>
      <c r="J396" s="49" t="s">
        <v>121</v>
      </c>
      <c r="K396" s="49"/>
      <c r="L396" s="54"/>
      <c r="M396" s="55"/>
      <c r="N396" s="55"/>
      <c r="O396" s="48"/>
      <c r="P396" s="49" t="s">
        <v>221</v>
      </c>
      <c r="Q396" s="49"/>
      <c r="R396" s="48"/>
      <c r="S396" s="48"/>
      <c r="T396" s="48"/>
      <c r="U396" s="48"/>
      <c r="V396" s="48"/>
      <c r="W396" s="56"/>
      <c r="X396" s="48"/>
      <c r="Y396" s="48"/>
      <c r="Z396" s="48"/>
      <c r="AA396" s="48"/>
      <c r="AB396" s="48"/>
      <c r="AC396" s="48"/>
      <c r="AD396" s="48"/>
      <c r="AE396" s="57" t="b">
        <v>1</v>
      </c>
      <c r="AF396" s="48"/>
    </row>
    <row r="397" ht="15.75" customHeight="1">
      <c r="A397" s="48" t="s">
        <v>1027</v>
      </c>
      <c r="B397" s="49" t="s">
        <v>226</v>
      </c>
      <c r="C397" s="50">
        <v>0.875</v>
      </c>
      <c r="D397" s="51"/>
      <c r="E397" s="51"/>
      <c r="F397" s="48" t="s">
        <v>1022</v>
      </c>
      <c r="G397" s="52">
        <v>0.1</v>
      </c>
      <c r="H397" s="49" t="s">
        <v>219</v>
      </c>
      <c r="I397" s="53" t="s">
        <v>220</v>
      </c>
      <c r="J397" s="49" t="s">
        <v>121</v>
      </c>
      <c r="K397" s="49"/>
      <c r="L397" s="59"/>
      <c r="M397" s="55"/>
      <c r="N397" s="55"/>
      <c r="O397" s="48"/>
      <c r="P397" s="49" t="s">
        <v>221</v>
      </c>
      <c r="Q397" s="49"/>
      <c r="R397" s="48"/>
      <c r="S397" s="48"/>
      <c r="T397" s="48"/>
      <c r="U397" s="48"/>
      <c r="V397" s="48"/>
      <c r="W397" s="60"/>
      <c r="X397" s="48"/>
      <c r="Y397" s="48"/>
      <c r="Z397" s="48"/>
      <c r="AA397" s="48"/>
      <c r="AB397" s="48"/>
      <c r="AC397" s="48"/>
      <c r="AD397" s="48"/>
      <c r="AE397" s="57" t="b">
        <v>1</v>
      </c>
      <c r="AF397" s="48"/>
    </row>
    <row r="398" ht="15.75" customHeight="1">
      <c r="A398" s="48" t="s">
        <v>1028</v>
      </c>
      <c r="B398" s="49" t="s">
        <v>259</v>
      </c>
      <c r="C398" s="50">
        <v>0.875</v>
      </c>
      <c r="D398" s="51"/>
      <c r="E398" s="51"/>
      <c r="F398" s="48" t="s">
        <v>1022</v>
      </c>
      <c r="G398" s="52">
        <v>0.1</v>
      </c>
      <c r="H398" s="49" t="s">
        <v>219</v>
      </c>
      <c r="I398" s="53" t="s">
        <v>220</v>
      </c>
      <c r="J398" s="49" t="s">
        <v>121</v>
      </c>
      <c r="K398" s="49"/>
      <c r="L398" s="54"/>
      <c r="M398" s="55"/>
      <c r="N398" s="55"/>
      <c r="O398" s="48"/>
      <c r="P398" s="49" t="s">
        <v>221</v>
      </c>
      <c r="Q398" s="49"/>
      <c r="R398" s="48"/>
      <c r="S398" s="48"/>
      <c r="T398" s="48"/>
      <c r="U398" s="48"/>
      <c r="V398" s="48"/>
      <c r="W398" s="56"/>
      <c r="X398" s="48"/>
      <c r="Y398" s="48"/>
      <c r="Z398" s="48"/>
      <c r="AA398" s="48"/>
      <c r="AB398" s="48"/>
      <c r="AC398" s="48"/>
      <c r="AD398" s="48"/>
      <c r="AE398" s="57" t="b">
        <v>1</v>
      </c>
      <c r="AF398" s="48"/>
    </row>
    <row r="399" ht="15.75" customHeight="1">
      <c r="A399" s="48" t="s">
        <v>1029</v>
      </c>
      <c r="B399" s="49" t="s">
        <v>259</v>
      </c>
      <c r="C399" s="50">
        <v>0.875</v>
      </c>
      <c r="D399" s="51"/>
      <c r="E399" s="51"/>
      <c r="F399" s="48" t="s">
        <v>1030</v>
      </c>
      <c r="G399" s="52">
        <v>1.3</v>
      </c>
      <c r="H399" s="49" t="s">
        <v>219</v>
      </c>
      <c r="I399" s="53" t="s">
        <v>220</v>
      </c>
      <c r="J399" s="49" t="s">
        <v>121</v>
      </c>
      <c r="K399" s="49"/>
      <c r="L399" s="59"/>
      <c r="M399" s="55"/>
      <c r="N399" s="55"/>
      <c r="O399" s="48"/>
      <c r="P399" s="49" t="s">
        <v>221</v>
      </c>
      <c r="Q399" s="49"/>
      <c r="R399" s="48"/>
      <c r="S399" s="48"/>
      <c r="T399" s="48"/>
      <c r="U399" s="48"/>
      <c r="V399" s="48"/>
      <c r="W399" s="60"/>
      <c r="X399" s="48"/>
      <c r="Y399" s="48"/>
      <c r="Z399" s="48"/>
      <c r="AA399" s="48"/>
      <c r="AB399" s="48"/>
      <c r="AC399" s="48"/>
      <c r="AD399" s="48"/>
      <c r="AE399" s="57" t="b">
        <v>1</v>
      </c>
      <c r="AF399" s="48"/>
    </row>
    <row r="400" ht="15.75" customHeight="1">
      <c r="A400" s="48" t="s">
        <v>1031</v>
      </c>
      <c r="B400" s="49" t="s">
        <v>232</v>
      </c>
      <c r="C400" s="50">
        <v>0.875</v>
      </c>
      <c r="D400" s="51"/>
      <c r="E400" s="51"/>
      <c r="F400" s="48" t="s">
        <v>1032</v>
      </c>
      <c r="G400" s="52">
        <v>0.5</v>
      </c>
      <c r="H400" s="49" t="s">
        <v>219</v>
      </c>
      <c r="I400" s="53" t="s">
        <v>220</v>
      </c>
      <c r="J400" s="49" t="s">
        <v>121</v>
      </c>
      <c r="K400" s="49"/>
      <c r="L400" s="54"/>
      <c r="M400" s="55"/>
      <c r="N400" s="55"/>
      <c r="O400" s="48"/>
      <c r="P400" s="49" t="s">
        <v>221</v>
      </c>
      <c r="Q400" s="49"/>
      <c r="R400" s="48"/>
      <c r="S400" s="48"/>
      <c r="T400" s="48"/>
      <c r="U400" s="48"/>
      <c r="V400" s="48"/>
      <c r="W400" s="56"/>
      <c r="X400" s="48"/>
      <c r="Y400" s="48"/>
      <c r="Z400" s="48"/>
      <c r="AA400" s="48"/>
      <c r="AB400" s="48"/>
      <c r="AC400" s="48"/>
      <c r="AD400" s="48"/>
      <c r="AE400" s="57" t="b">
        <v>1</v>
      </c>
      <c r="AF400" s="48"/>
    </row>
    <row r="401" ht="15.75" customHeight="1">
      <c r="A401" s="48" t="s">
        <v>1033</v>
      </c>
      <c r="B401" s="49" t="s">
        <v>276</v>
      </c>
      <c r="C401" s="50">
        <v>0.875</v>
      </c>
      <c r="D401" s="51"/>
      <c r="E401" s="51"/>
      <c r="F401" s="48" t="s">
        <v>1034</v>
      </c>
      <c r="G401" s="52">
        <v>1.7</v>
      </c>
      <c r="H401" s="49" t="s">
        <v>219</v>
      </c>
      <c r="I401" s="53" t="s">
        <v>220</v>
      </c>
      <c r="J401" s="49" t="s">
        <v>121</v>
      </c>
      <c r="K401" s="49"/>
      <c r="L401" s="59"/>
      <c r="M401" s="55"/>
      <c r="N401" s="55"/>
      <c r="O401" s="48"/>
      <c r="P401" s="49" t="s">
        <v>221</v>
      </c>
      <c r="Q401" s="49"/>
      <c r="R401" s="48"/>
      <c r="S401" s="48"/>
      <c r="T401" s="48"/>
      <c r="U401" s="48"/>
      <c r="V401" s="48"/>
      <c r="W401" s="60"/>
      <c r="X401" s="48"/>
      <c r="Y401" s="48"/>
      <c r="Z401" s="48"/>
      <c r="AA401" s="48"/>
      <c r="AB401" s="48"/>
      <c r="AC401" s="48"/>
      <c r="AD401" s="48"/>
      <c r="AE401" s="57" t="b">
        <v>1</v>
      </c>
      <c r="AF401" s="48"/>
    </row>
    <row r="402" ht="15.75" customHeight="1">
      <c r="A402" s="48" t="s">
        <v>1035</v>
      </c>
      <c r="B402" s="49" t="s">
        <v>276</v>
      </c>
      <c r="C402" s="50">
        <v>0.875</v>
      </c>
      <c r="D402" s="51"/>
      <c r="E402" s="51"/>
      <c r="F402" s="48" t="s">
        <v>1036</v>
      </c>
      <c r="G402" s="52">
        <v>0.3</v>
      </c>
      <c r="H402" s="49" t="s">
        <v>219</v>
      </c>
      <c r="I402" s="53" t="s">
        <v>220</v>
      </c>
      <c r="J402" s="49" t="s">
        <v>121</v>
      </c>
      <c r="K402" s="49"/>
      <c r="L402" s="54"/>
      <c r="M402" s="55"/>
      <c r="N402" s="55"/>
      <c r="O402" s="48"/>
      <c r="P402" s="49" t="s">
        <v>221</v>
      </c>
      <c r="Q402" s="49"/>
      <c r="R402" s="48"/>
      <c r="S402" s="48"/>
      <c r="T402" s="48"/>
      <c r="U402" s="48"/>
      <c r="V402" s="48"/>
      <c r="W402" s="56"/>
      <c r="X402" s="48"/>
      <c r="Y402" s="48"/>
      <c r="Z402" s="48"/>
      <c r="AA402" s="48"/>
      <c r="AB402" s="48"/>
      <c r="AC402" s="48"/>
      <c r="AD402" s="48"/>
      <c r="AE402" s="57" t="b">
        <v>1</v>
      </c>
      <c r="AF402" s="48"/>
    </row>
    <row r="403" ht="15.75" customHeight="1">
      <c r="A403" s="48" t="s">
        <v>1037</v>
      </c>
      <c r="B403" s="49" t="s">
        <v>276</v>
      </c>
      <c r="C403" s="50">
        <v>0.875</v>
      </c>
      <c r="D403" s="51"/>
      <c r="E403" s="51"/>
      <c r="F403" s="48" t="s">
        <v>1038</v>
      </c>
      <c r="G403" s="52">
        <v>0.4</v>
      </c>
      <c r="H403" s="49" t="s">
        <v>219</v>
      </c>
      <c r="I403" s="53" t="s">
        <v>220</v>
      </c>
      <c r="J403" s="49" t="s">
        <v>121</v>
      </c>
      <c r="K403" s="49"/>
      <c r="L403" s="59"/>
      <c r="M403" s="55"/>
      <c r="N403" s="55"/>
      <c r="O403" s="48"/>
      <c r="P403" s="49" t="s">
        <v>221</v>
      </c>
      <c r="Q403" s="49"/>
      <c r="R403" s="48"/>
      <c r="S403" s="48"/>
      <c r="T403" s="48"/>
      <c r="U403" s="48"/>
      <c r="V403" s="48"/>
      <c r="W403" s="60"/>
      <c r="X403" s="48"/>
      <c r="Y403" s="48"/>
      <c r="Z403" s="48"/>
      <c r="AA403" s="48"/>
      <c r="AB403" s="48"/>
      <c r="AC403" s="48"/>
      <c r="AD403" s="48"/>
      <c r="AE403" s="57" t="b">
        <v>1</v>
      </c>
      <c r="AF403" s="48"/>
    </row>
    <row r="404" ht="15.75" customHeight="1">
      <c r="A404" s="48" t="s">
        <v>1039</v>
      </c>
      <c r="B404" s="49" t="s">
        <v>276</v>
      </c>
      <c r="C404" s="50">
        <v>0.875</v>
      </c>
      <c r="D404" s="51"/>
      <c r="E404" s="51"/>
      <c r="F404" s="48" t="s">
        <v>1040</v>
      </c>
      <c r="G404" s="52">
        <v>1.3</v>
      </c>
      <c r="H404" s="49" t="s">
        <v>219</v>
      </c>
      <c r="I404" s="53" t="s">
        <v>220</v>
      </c>
      <c r="J404" s="49" t="s">
        <v>121</v>
      </c>
      <c r="K404" s="49"/>
      <c r="L404" s="54"/>
      <c r="M404" s="55"/>
      <c r="N404" s="55"/>
      <c r="O404" s="48"/>
      <c r="P404" s="49" t="s">
        <v>221</v>
      </c>
      <c r="Q404" s="49"/>
      <c r="R404" s="48"/>
      <c r="S404" s="48"/>
      <c r="T404" s="48"/>
      <c r="U404" s="48"/>
      <c r="V404" s="48"/>
      <c r="W404" s="56"/>
      <c r="X404" s="48"/>
      <c r="Y404" s="48"/>
      <c r="Z404" s="48"/>
      <c r="AA404" s="48"/>
      <c r="AB404" s="48"/>
      <c r="AC404" s="48"/>
      <c r="AD404" s="48"/>
      <c r="AE404" s="57" t="b">
        <v>1</v>
      </c>
      <c r="AF404" s="48"/>
    </row>
    <row r="405" ht="15.75" customHeight="1">
      <c r="A405" s="48" t="s">
        <v>1041</v>
      </c>
      <c r="B405" s="49" t="s">
        <v>259</v>
      </c>
      <c r="C405" s="50">
        <v>0.875</v>
      </c>
      <c r="D405" s="51"/>
      <c r="E405" s="51"/>
      <c r="F405" s="48" t="s">
        <v>1042</v>
      </c>
      <c r="G405" s="52">
        <v>2.0</v>
      </c>
      <c r="H405" s="49" t="s">
        <v>219</v>
      </c>
      <c r="I405" s="53" t="s">
        <v>220</v>
      </c>
      <c r="J405" s="49" t="s">
        <v>121</v>
      </c>
      <c r="K405" s="49"/>
      <c r="L405" s="59"/>
      <c r="M405" s="55"/>
      <c r="N405" s="55"/>
      <c r="O405" s="48"/>
      <c r="P405" s="49" t="s">
        <v>221</v>
      </c>
      <c r="Q405" s="49"/>
      <c r="R405" s="48"/>
      <c r="S405" s="48"/>
      <c r="T405" s="48"/>
      <c r="U405" s="48"/>
      <c r="V405" s="48"/>
      <c r="W405" s="60"/>
      <c r="X405" s="48"/>
      <c r="Y405" s="48"/>
      <c r="Z405" s="48"/>
      <c r="AA405" s="48"/>
      <c r="AB405" s="48"/>
      <c r="AC405" s="48"/>
      <c r="AD405" s="48"/>
      <c r="AE405" s="57" t="b">
        <v>1</v>
      </c>
      <c r="AF405" s="48"/>
    </row>
    <row r="406" ht="15.75" customHeight="1">
      <c r="A406" s="48" t="s">
        <v>1043</v>
      </c>
      <c r="B406" s="49" t="s">
        <v>259</v>
      </c>
      <c r="C406" s="50">
        <v>0.875</v>
      </c>
      <c r="D406" s="51"/>
      <c r="E406" s="51"/>
      <c r="F406" s="48" t="s">
        <v>1044</v>
      </c>
      <c r="G406" s="52">
        <v>0.8</v>
      </c>
      <c r="H406" s="49" t="s">
        <v>219</v>
      </c>
      <c r="I406" s="53" t="s">
        <v>220</v>
      </c>
      <c r="J406" s="49" t="s">
        <v>121</v>
      </c>
      <c r="K406" s="49"/>
      <c r="L406" s="54"/>
      <c r="M406" s="55"/>
      <c r="N406" s="55"/>
      <c r="O406" s="48"/>
      <c r="P406" s="49" t="s">
        <v>221</v>
      </c>
      <c r="Q406" s="49"/>
      <c r="R406" s="48"/>
      <c r="S406" s="48"/>
      <c r="T406" s="48"/>
      <c r="U406" s="48"/>
      <c r="V406" s="48"/>
      <c r="W406" s="56"/>
      <c r="X406" s="48"/>
      <c r="Y406" s="48"/>
      <c r="Z406" s="48"/>
      <c r="AA406" s="48"/>
      <c r="AB406" s="48"/>
      <c r="AC406" s="48"/>
      <c r="AD406" s="48"/>
      <c r="AE406" s="57" t="b">
        <v>1</v>
      </c>
      <c r="AF406" s="48"/>
    </row>
    <row r="407" ht="15.75" customHeight="1">
      <c r="A407" s="48" t="s">
        <v>1045</v>
      </c>
      <c r="B407" s="49" t="s">
        <v>271</v>
      </c>
      <c r="C407" s="50">
        <v>0.875</v>
      </c>
      <c r="D407" s="51"/>
      <c r="E407" s="51"/>
      <c r="F407" s="48" t="s">
        <v>1046</v>
      </c>
      <c r="G407" s="52">
        <v>0.6</v>
      </c>
      <c r="H407" s="49" t="s">
        <v>219</v>
      </c>
      <c r="I407" s="53" t="s">
        <v>220</v>
      </c>
      <c r="J407" s="49" t="s">
        <v>121</v>
      </c>
      <c r="K407" s="49"/>
      <c r="L407" s="59"/>
      <c r="M407" s="55"/>
      <c r="N407" s="55"/>
      <c r="O407" s="48"/>
      <c r="P407" s="49" t="s">
        <v>221</v>
      </c>
      <c r="Q407" s="49"/>
      <c r="R407" s="48"/>
      <c r="S407" s="48"/>
      <c r="T407" s="48"/>
      <c r="U407" s="48"/>
      <c r="V407" s="48"/>
      <c r="W407" s="60"/>
      <c r="X407" s="48"/>
      <c r="Y407" s="48"/>
      <c r="Z407" s="48"/>
      <c r="AA407" s="48"/>
      <c r="AB407" s="48"/>
      <c r="AC407" s="48"/>
      <c r="AD407" s="48"/>
      <c r="AE407" s="57" t="b">
        <v>1</v>
      </c>
      <c r="AF407" s="48"/>
    </row>
    <row r="408" ht="15.75" customHeight="1">
      <c r="A408" s="48" t="s">
        <v>1047</v>
      </c>
      <c r="B408" s="49" t="s">
        <v>271</v>
      </c>
      <c r="C408" s="50">
        <v>0.875</v>
      </c>
      <c r="D408" s="51"/>
      <c r="E408" s="51"/>
      <c r="F408" s="48" t="s">
        <v>1048</v>
      </c>
      <c r="G408" s="52">
        <v>1.5</v>
      </c>
      <c r="H408" s="49" t="s">
        <v>219</v>
      </c>
      <c r="I408" s="53" t="s">
        <v>220</v>
      </c>
      <c r="J408" s="49" t="s">
        <v>121</v>
      </c>
      <c r="K408" s="49"/>
      <c r="L408" s="54"/>
      <c r="M408" s="55"/>
      <c r="N408" s="55"/>
      <c r="O408" s="48"/>
      <c r="P408" s="49" t="s">
        <v>221</v>
      </c>
      <c r="Q408" s="49"/>
      <c r="R408" s="48"/>
      <c r="S408" s="48"/>
      <c r="T408" s="48"/>
      <c r="U408" s="48"/>
      <c r="V408" s="48"/>
      <c r="W408" s="56"/>
      <c r="X408" s="48"/>
      <c r="Y408" s="48"/>
      <c r="Z408" s="48"/>
      <c r="AA408" s="48"/>
      <c r="AB408" s="48"/>
      <c r="AC408" s="48"/>
      <c r="AD408" s="48"/>
      <c r="AE408" s="57" t="b">
        <v>1</v>
      </c>
      <c r="AF408" s="48"/>
    </row>
    <row r="409" ht="15.75" customHeight="1">
      <c r="A409" s="48" t="s">
        <v>1049</v>
      </c>
      <c r="B409" s="49" t="s">
        <v>271</v>
      </c>
      <c r="C409" s="50">
        <v>0.875</v>
      </c>
      <c r="D409" s="51"/>
      <c r="E409" s="51"/>
      <c r="F409" s="48" t="s">
        <v>1050</v>
      </c>
      <c r="G409" s="52">
        <v>0.6</v>
      </c>
      <c r="H409" s="49" t="s">
        <v>219</v>
      </c>
      <c r="I409" s="53" t="s">
        <v>220</v>
      </c>
      <c r="J409" s="49" t="s">
        <v>121</v>
      </c>
      <c r="K409" s="49"/>
      <c r="L409" s="59"/>
      <c r="M409" s="55"/>
      <c r="N409" s="55"/>
      <c r="O409" s="48"/>
      <c r="P409" s="49" t="s">
        <v>221</v>
      </c>
      <c r="Q409" s="49"/>
      <c r="R409" s="48"/>
      <c r="S409" s="48"/>
      <c r="T409" s="48"/>
      <c r="U409" s="48"/>
      <c r="V409" s="48"/>
      <c r="W409" s="60"/>
      <c r="X409" s="48"/>
      <c r="Y409" s="48"/>
      <c r="Z409" s="48"/>
      <c r="AA409" s="48"/>
      <c r="AB409" s="48"/>
      <c r="AC409" s="48"/>
      <c r="AD409" s="48"/>
      <c r="AE409" s="57" t="b">
        <v>1</v>
      </c>
      <c r="AF409" s="48"/>
    </row>
    <row r="410" ht="15.75" customHeight="1">
      <c r="A410" s="48" t="s">
        <v>1051</v>
      </c>
      <c r="B410" s="49" t="s">
        <v>259</v>
      </c>
      <c r="C410" s="50">
        <v>0.875</v>
      </c>
      <c r="D410" s="51"/>
      <c r="E410" s="51"/>
      <c r="F410" s="48" t="s">
        <v>1052</v>
      </c>
      <c r="G410" s="52">
        <v>1.8</v>
      </c>
      <c r="H410" s="49" t="s">
        <v>219</v>
      </c>
      <c r="I410" s="53" t="s">
        <v>220</v>
      </c>
      <c r="J410" s="49" t="s">
        <v>121</v>
      </c>
      <c r="K410" s="49"/>
      <c r="L410" s="54"/>
      <c r="M410" s="55"/>
      <c r="N410" s="55"/>
      <c r="O410" s="48"/>
      <c r="P410" s="49" t="s">
        <v>221</v>
      </c>
      <c r="Q410" s="49"/>
      <c r="R410" s="48"/>
      <c r="S410" s="48"/>
      <c r="T410" s="48"/>
      <c r="U410" s="48"/>
      <c r="V410" s="48"/>
      <c r="W410" s="56"/>
      <c r="X410" s="48"/>
      <c r="Y410" s="48"/>
      <c r="Z410" s="48"/>
      <c r="AA410" s="48"/>
      <c r="AB410" s="48"/>
      <c r="AC410" s="48"/>
      <c r="AD410" s="48"/>
      <c r="AE410" s="57" t="b">
        <v>1</v>
      </c>
      <c r="AF410" s="48"/>
    </row>
    <row r="411" ht="15.75" customHeight="1">
      <c r="A411" s="48" t="s">
        <v>1053</v>
      </c>
      <c r="B411" s="49" t="s">
        <v>226</v>
      </c>
      <c r="C411" s="50">
        <v>0.875</v>
      </c>
      <c r="D411" s="51"/>
      <c r="E411" s="51"/>
      <c r="F411" s="48" t="s">
        <v>1054</v>
      </c>
      <c r="G411" s="52">
        <v>0.6</v>
      </c>
      <c r="H411" s="49" t="s">
        <v>219</v>
      </c>
      <c r="I411" s="53" t="s">
        <v>220</v>
      </c>
      <c r="J411" s="49" t="s">
        <v>121</v>
      </c>
      <c r="K411" s="49"/>
      <c r="L411" s="59"/>
      <c r="M411" s="55"/>
      <c r="N411" s="55"/>
      <c r="O411" s="48"/>
      <c r="P411" s="49" t="s">
        <v>221</v>
      </c>
      <c r="Q411" s="49"/>
      <c r="R411" s="48"/>
      <c r="S411" s="48"/>
      <c r="T411" s="48"/>
      <c r="U411" s="48"/>
      <c r="V411" s="48"/>
      <c r="W411" s="60"/>
      <c r="X411" s="48"/>
      <c r="Y411" s="48"/>
      <c r="Z411" s="48"/>
      <c r="AA411" s="48"/>
      <c r="AB411" s="48"/>
      <c r="AC411" s="48"/>
      <c r="AD411" s="48"/>
      <c r="AE411" s="57" t="b">
        <v>1</v>
      </c>
      <c r="AF411" s="48"/>
    </row>
    <row r="412" ht="15.75" customHeight="1">
      <c r="A412" s="48" t="s">
        <v>1055</v>
      </c>
      <c r="B412" s="49" t="s">
        <v>217</v>
      </c>
      <c r="C412" s="50">
        <v>0.875</v>
      </c>
      <c r="D412" s="51"/>
      <c r="E412" s="51"/>
      <c r="F412" s="48" t="s">
        <v>1056</v>
      </c>
      <c r="G412" s="52">
        <v>0.4</v>
      </c>
      <c r="H412" s="49" t="s">
        <v>219</v>
      </c>
      <c r="I412" s="53" t="s">
        <v>220</v>
      </c>
      <c r="J412" s="49" t="s">
        <v>121</v>
      </c>
      <c r="K412" s="49"/>
      <c r="L412" s="65"/>
      <c r="M412" s="55"/>
      <c r="N412" s="55"/>
      <c r="O412" s="48"/>
      <c r="P412" s="49" t="s">
        <v>221</v>
      </c>
      <c r="Q412" s="49"/>
      <c r="R412" s="48"/>
      <c r="S412" s="48"/>
      <c r="T412" s="48"/>
      <c r="U412" s="48"/>
      <c r="V412" s="48"/>
      <c r="W412" s="66"/>
      <c r="X412" s="48"/>
      <c r="Y412" s="48"/>
      <c r="Z412" s="48"/>
      <c r="AA412" s="48"/>
      <c r="AB412" s="48"/>
      <c r="AC412" s="48"/>
      <c r="AD412" s="48"/>
      <c r="AE412" s="62" t="b">
        <v>0</v>
      </c>
      <c r="AF412" s="48"/>
    </row>
    <row r="413" ht="15.75" customHeight="1">
      <c r="A413" s="58" t="s">
        <v>1057</v>
      </c>
      <c r="B413" s="53" t="s">
        <v>217</v>
      </c>
      <c r="C413" s="50">
        <v>0.3333333333333333</v>
      </c>
      <c r="D413" s="51"/>
      <c r="E413" s="51"/>
      <c r="F413" s="58" t="s">
        <v>1058</v>
      </c>
      <c r="G413" s="52"/>
      <c r="H413" s="49"/>
      <c r="I413" s="53" t="s">
        <v>220</v>
      </c>
      <c r="J413" s="53" t="s">
        <v>117</v>
      </c>
      <c r="K413" s="49"/>
      <c r="L413" s="67"/>
      <c r="M413" s="55"/>
      <c r="N413" s="55"/>
      <c r="O413" s="58" t="b">
        <v>0</v>
      </c>
      <c r="P413" s="49"/>
      <c r="Q413" s="49"/>
      <c r="R413" s="48"/>
      <c r="S413" s="48"/>
      <c r="T413" s="48"/>
      <c r="U413" s="48"/>
      <c r="V413" s="48"/>
      <c r="W413" s="68"/>
      <c r="X413" s="48"/>
      <c r="Y413" s="48"/>
      <c r="Z413" s="48"/>
      <c r="AA413" s="48"/>
      <c r="AB413" s="48"/>
      <c r="AC413" s="48"/>
      <c r="AD413" s="48"/>
      <c r="AE413" s="62"/>
      <c r="AF413" s="48"/>
    </row>
  </sheetData>
  <dataValidations>
    <dataValidation type="list" allowBlank="1" sqref="H2:H413">
      <formula1>"メルマガ,MA"</formula1>
    </dataValidation>
    <dataValidation type="list" allowBlank="1" sqref="B2:B413">
      <formula1>"火,日,金,木,月,水,土"</formula1>
    </dataValidation>
    <dataValidation type="custom" allowBlank="1" showDropDown="1" sqref="D2:E413">
      <formula1>OR(NOT(ISERROR(DATEVALUE(D2))), AND(ISNUMBER(D2), LEFT(CELL("format", D2))="D"))</formula1>
    </dataValidation>
    <dataValidation type="custom" allowBlank="1" showDropDown="1" sqref="G2:G413">
      <formula1>AND(ISNUMBER(G2),(NOT(OR(NOT(ISERROR(DATEVALUE(G2))), AND(ISNUMBER(G2), LEFT(CELL("format", G2))="D")))))</formula1>
    </dataValidation>
    <dataValidation type="list" allowBlank="1" sqref="C2:C413">
      <formula1>"8:00,9:00,10:00,11:00,12:00,13:00,14:00,15:00,16:00,17:00,18:00,19:00,20:00,21:00"</formula1>
    </dataValidation>
    <dataValidation allowBlank="1" showDropDown="1" sqref="F2:F413 N2:N413"/>
    <dataValidation type="list" allowBlank="1" sqref="J2:J413">
      <formula1>"抽出,フリー,自動求人特集,その他"</formula1>
    </dataValidation>
    <dataValidation type="list" allowBlank="1" sqref="K2:K413">
      <formula1>"特殊,商品,AP,type課,他部署,制作,ウキ課,営業"</formula1>
    </dataValidation>
    <dataValidation type="list" allowBlank="1" sqref="P2:Q413">
      <formula1>#REF!</formula1>
    </dataValidation>
    <dataValidation type="list" allowBlank="1" sqref="I2:I413">
      <formula1>"毎週配信,毎日配信,毎月配信 ,月末増発,隔週配信A,隔週配信B,特殊サイクル1,特殊サイクル2,特殊サイクル3"</formula1>
    </dataValidation>
  </dataValidations>
  <hyperlinks>
    <hyperlink r:id="rId2" ref="AB14"/>
    <hyperlink r:id="rId3" ref="AB15"/>
    <hyperlink r:id="rId4" ref="N19"/>
    <hyperlink r:id="rId5" ref="N20"/>
    <hyperlink r:id="rId6" ref="AB49"/>
    <hyperlink r:id="rId7" ref="AB79"/>
    <hyperlink r:id="rId8" ref="AB118"/>
    <hyperlink r:id="rId9" ref="AB119"/>
    <hyperlink r:id="rId10" ref="AB120"/>
    <hyperlink r:id="rId11" ref="AB121"/>
    <hyperlink r:id="rId12" ref="N122"/>
    <hyperlink r:id="rId13" ref="N123"/>
    <hyperlink r:id="rId14" ref="N124"/>
    <hyperlink r:id="rId15" ref="N133"/>
    <hyperlink r:id="rId16" ref="N148"/>
    <hyperlink r:id="rId17" ref="AB268"/>
    <hyperlink r:id="rId18" ref="AB310"/>
  </hyperlinks>
  <printOptions/>
  <pageMargins bottom="0.75" footer="0.0" header="0.0" left="0.7" right="0.7" top="0.75"/>
  <pageSetup orientation="landscape"/>
  <drawing r:id="rId19"/>
  <legacyDrawing r:id="rId20"/>
  <tableParts count="1">
    <tablePart r:id="rId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7.13"/>
    <col customWidth="1" min="3" max="6" width="12.63"/>
  </cols>
  <sheetData>
    <row r="1" ht="15.75" customHeight="1">
      <c r="A1" s="69" t="s">
        <v>1059</v>
      </c>
      <c r="B1" s="69" t="s">
        <v>1060</v>
      </c>
      <c r="C1" s="69" t="s">
        <v>1061</v>
      </c>
    </row>
    <row r="2" ht="15.75" customHeight="1">
      <c r="A2" s="70" t="s">
        <v>475</v>
      </c>
      <c r="B2" s="71">
        <v>46162.0</v>
      </c>
      <c r="C2" s="70" t="s">
        <v>1062</v>
      </c>
    </row>
    <row r="3" ht="15.75" customHeight="1">
      <c r="B3" s="72"/>
    </row>
    <row r="4" ht="15.75" customHeight="1">
      <c r="B4" s="72"/>
    </row>
    <row r="5" ht="15.75" customHeight="1">
      <c r="B5" s="72"/>
    </row>
    <row r="6" ht="15.75" customHeight="1">
      <c r="B6" s="72"/>
    </row>
    <row r="7" ht="15.75" customHeight="1">
      <c r="B7" s="72"/>
    </row>
    <row r="8" ht="15.75" customHeight="1">
      <c r="B8" s="72"/>
    </row>
    <row r="9" ht="15.75" customHeight="1">
      <c r="B9" s="72"/>
    </row>
    <row r="10" ht="15.75" customHeight="1">
      <c r="A10" s="73"/>
      <c r="B10" s="72"/>
      <c r="C10" s="73"/>
    </row>
    <row r="11" ht="15.75" customHeight="1">
      <c r="A11" s="73"/>
      <c r="B11" s="72"/>
      <c r="C11" s="73"/>
    </row>
    <row r="12" ht="15.75" customHeight="1">
      <c r="A12" s="73"/>
      <c r="B12" s="72"/>
      <c r="C12" s="73"/>
    </row>
    <row r="13" ht="15.75" customHeight="1">
      <c r="A13" s="73"/>
      <c r="B13" s="72"/>
      <c r="C13" s="73"/>
    </row>
    <row r="14" ht="15.75" customHeight="1">
      <c r="A14" s="73"/>
      <c r="B14" s="72"/>
      <c r="C14" s="73"/>
    </row>
    <row r="15" ht="15.75" customHeight="1">
      <c r="A15" s="73"/>
      <c r="B15" s="72"/>
      <c r="C15" s="73"/>
    </row>
    <row r="16" ht="15.75" customHeight="1">
      <c r="A16" s="73"/>
      <c r="B16" s="72"/>
      <c r="C16" s="73"/>
    </row>
    <row r="17" ht="15.75" customHeight="1">
      <c r="A17" s="73"/>
      <c r="B17" s="72"/>
      <c r="C17" s="73"/>
    </row>
    <row r="18" ht="15.75" customHeight="1">
      <c r="A18" s="73"/>
      <c r="B18" s="72"/>
      <c r="C18" s="73"/>
    </row>
    <row r="19" ht="15.75" customHeight="1">
      <c r="A19" s="73"/>
      <c r="B19" s="72"/>
      <c r="C19" s="73"/>
    </row>
    <row r="20" ht="15.75" customHeight="1">
      <c r="A20" s="73"/>
      <c r="B20" s="72"/>
      <c r="C20" s="73"/>
    </row>
    <row r="21" ht="15.75" customHeight="1">
      <c r="A21" s="73"/>
      <c r="B21" s="72"/>
      <c r="C21" s="73"/>
    </row>
    <row r="22" ht="15.75" customHeight="1">
      <c r="A22" s="73"/>
      <c r="B22" s="72"/>
      <c r="C22" s="73"/>
    </row>
    <row r="23" ht="15.75" customHeight="1">
      <c r="A23" s="73"/>
      <c r="B23" s="72"/>
      <c r="C23" s="73"/>
    </row>
    <row r="24" ht="15.75" customHeight="1">
      <c r="A24" s="73"/>
      <c r="B24" s="72"/>
      <c r="C24" s="73"/>
    </row>
    <row r="25" ht="15.75" customHeight="1">
      <c r="A25" s="73"/>
      <c r="B25" s="72"/>
      <c r="C25" s="73"/>
    </row>
    <row r="26" ht="15.75" customHeight="1">
      <c r="A26" s="73"/>
      <c r="B26" s="72"/>
      <c r="C26" s="73"/>
    </row>
    <row r="27" ht="15.75" customHeight="1">
      <c r="A27" s="73"/>
      <c r="B27" s="72"/>
      <c r="C27" s="73"/>
    </row>
    <row r="28" ht="15.75" customHeight="1">
      <c r="A28" s="73"/>
      <c r="B28" s="72"/>
      <c r="C28" s="73"/>
    </row>
    <row r="29" ht="15.75" customHeight="1">
      <c r="A29" s="73"/>
      <c r="B29" s="72"/>
      <c r="C29" s="73"/>
    </row>
    <row r="30" ht="15.75" customHeight="1">
      <c r="A30" s="73"/>
      <c r="B30" s="72"/>
      <c r="C30" s="73"/>
    </row>
    <row r="31" ht="15.75" customHeight="1">
      <c r="A31" s="73"/>
      <c r="B31" s="72"/>
      <c r="C31" s="73"/>
    </row>
    <row r="32" ht="15.75" customHeight="1">
      <c r="A32" s="73"/>
      <c r="B32" s="72"/>
      <c r="C32" s="73"/>
    </row>
    <row r="33" ht="15.75" customHeight="1">
      <c r="A33" s="73"/>
      <c r="B33" s="72"/>
      <c r="C33" s="73"/>
    </row>
    <row r="34" ht="15.75" customHeight="1">
      <c r="A34" s="73"/>
      <c r="B34" s="72"/>
      <c r="C34" s="73"/>
    </row>
    <row r="35" ht="15.75" customHeight="1">
      <c r="A35" s="73"/>
      <c r="B35" s="72"/>
      <c r="C35" s="73"/>
    </row>
    <row r="36" ht="15.75" customHeight="1">
      <c r="A36" s="73"/>
      <c r="B36" s="72"/>
      <c r="C36" s="73"/>
    </row>
    <row r="37" ht="15.75" customHeight="1">
      <c r="A37" s="73"/>
      <c r="B37" s="72"/>
      <c r="C37" s="73"/>
    </row>
    <row r="38" ht="15.75" customHeight="1">
      <c r="A38" s="73"/>
      <c r="B38" s="72"/>
      <c r="C38" s="73"/>
    </row>
    <row r="39" ht="15.75" customHeight="1">
      <c r="A39" s="73"/>
      <c r="B39" s="72"/>
      <c r="C39" s="73"/>
    </row>
    <row r="40" ht="15.75" customHeight="1">
      <c r="A40" s="73"/>
      <c r="B40" s="72"/>
      <c r="C40" s="73"/>
    </row>
    <row r="41" ht="15.75" customHeight="1">
      <c r="A41" s="73"/>
      <c r="B41" s="72"/>
      <c r="C41" s="73"/>
    </row>
    <row r="42" ht="15.75" customHeight="1">
      <c r="A42" s="73"/>
      <c r="B42" s="72"/>
      <c r="C42" s="73"/>
    </row>
    <row r="43" ht="15.75" customHeight="1">
      <c r="A43" s="73"/>
      <c r="B43" s="72"/>
      <c r="C43" s="73"/>
    </row>
    <row r="44" ht="15.75" customHeight="1">
      <c r="A44" s="73"/>
      <c r="B44" s="72"/>
      <c r="C44" s="73"/>
    </row>
    <row r="45" ht="15.75" customHeight="1">
      <c r="A45" s="73"/>
      <c r="B45" s="72"/>
      <c r="C45" s="73"/>
    </row>
    <row r="46" ht="15.75" customHeight="1">
      <c r="A46" s="73"/>
      <c r="B46" s="72"/>
      <c r="C46" s="73"/>
    </row>
    <row r="47" ht="15.75" customHeight="1">
      <c r="A47" s="73"/>
      <c r="B47" s="72"/>
      <c r="C47" s="73"/>
    </row>
    <row r="48" ht="15.75" customHeight="1">
      <c r="A48" s="73"/>
      <c r="B48" s="72"/>
      <c r="C48" s="73"/>
    </row>
    <row r="49" ht="15.75" customHeight="1">
      <c r="A49" s="73"/>
      <c r="B49" s="72"/>
      <c r="C49" s="73"/>
    </row>
    <row r="50" ht="15.75" customHeight="1">
      <c r="A50" s="73"/>
      <c r="B50" s="72"/>
      <c r="C50" s="73"/>
    </row>
    <row r="51" ht="15.75" customHeight="1">
      <c r="A51" s="73"/>
      <c r="B51" s="72"/>
      <c r="C51" s="73"/>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B2">
      <formula1>OR(NOT(ISERROR(DATEVALUE(B2))), AND(ISNUMBER(B2), LEFT(CELL("format", B2))="D"))</formula1>
    </dataValidation>
  </dataValidations>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8.63"/>
    <col customWidth="1" min="2" max="2" width="12.63"/>
    <col customWidth="1" min="3" max="3" width="8.25"/>
    <col customWidth="1" min="4" max="4" width="7.5"/>
    <col customWidth="1" min="5" max="5" width="14.0"/>
    <col customWidth="1" min="6" max="6" width="12.63"/>
    <col customWidth="1" min="15" max="15" width="10.88"/>
    <col customWidth="1" min="16" max="16" width="4.38"/>
    <col customWidth="1" min="17" max="17" width="36.75"/>
    <col customWidth="1" min="18" max="18" width="6.0"/>
    <col customWidth="1" min="19" max="19" width="14.38"/>
    <col customWidth="1" min="20" max="20" width="17.0"/>
    <col customWidth="1" min="21" max="21" width="14.0"/>
  </cols>
  <sheetData>
    <row r="1" ht="15.75" customHeight="1">
      <c r="A1" s="74" t="s">
        <v>1063</v>
      </c>
      <c r="B1" s="74" t="s">
        <v>82</v>
      </c>
      <c r="C1" s="74" t="s">
        <v>1064</v>
      </c>
      <c r="D1" s="74" t="s">
        <v>1065</v>
      </c>
      <c r="E1" s="74" t="s">
        <v>1066</v>
      </c>
      <c r="F1" s="74" t="s">
        <v>1067</v>
      </c>
      <c r="G1" s="74" t="s">
        <v>1068</v>
      </c>
      <c r="H1" s="74" t="s">
        <v>1069</v>
      </c>
      <c r="I1" s="74" t="s">
        <v>1070</v>
      </c>
      <c r="J1" s="74" t="s">
        <v>1071</v>
      </c>
      <c r="K1" s="75" t="s">
        <v>83</v>
      </c>
      <c r="L1" s="75" t="s">
        <v>84</v>
      </c>
      <c r="M1" s="75" t="s">
        <v>85</v>
      </c>
      <c r="N1" s="76" t="s">
        <v>86</v>
      </c>
      <c r="O1" s="75" t="s">
        <v>87</v>
      </c>
      <c r="P1" s="75" t="s">
        <v>88</v>
      </c>
      <c r="Q1" s="75" t="s">
        <v>89</v>
      </c>
      <c r="R1" s="76" t="s">
        <v>90</v>
      </c>
      <c r="S1" s="75" t="s">
        <v>91</v>
      </c>
      <c r="T1" s="75" t="s">
        <v>92</v>
      </c>
      <c r="U1" s="75" t="s">
        <v>1072</v>
      </c>
      <c r="V1" s="75" t="s">
        <v>95</v>
      </c>
      <c r="W1" s="75" t="s">
        <v>96</v>
      </c>
      <c r="X1" s="75" t="s">
        <v>97</v>
      </c>
      <c r="Y1" s="75" t="s">
        <v>98</v>
      </c>
      <c r="Z1" s="75" t="s">
        <v>99</v>
      </c>
      <c r="AA1" s="75" t="s">
        <v>100</v>
      </c>
      <c r="AB1" s="75" t="s">
        <v>101</v>
      </c>
      <c r="AC1" s="75" t="s">
        <v>102</v>
      </c>
      <c r="AD1" s="75" t="s">
        <v>103</v>
      </c>
      <c r="AE1" s="75" t="s">
        <v>105</v>
      </c>
      <c r="AF1" s="75" t="s">
        <v>106</v>
      </c>
      <c r="AG1" s="75" t="s">
        <v>107</v>
      </c>
      <c r="AH1" s="75" t="s">
        <v>108</v>
      </c>
      <c r="AI1" s="75" t="s">
        <v>109</v>
      </c>
      <c r="AJ1" s="75" t="s">
        <v>110</v>
      </c>
      <c r="AK1" s="76" t="s">
        <v>112</v>
      </c>
      <c r="AL1" s="76" t="s">
        <v>133</v>
      </c>
      <c r="AM1" s="76" t="s">
        <v>1073</v>
      </c>
      <c r="AN1" s="76" t="s">
        <v>1074</v>
      </c>
      <c r="AO1" s="76" t="s">
        <v>1075</v>
      </c>
      <c r="AP1" s="76" t="s">
        <v>1076</v>
      </c>
      <c r="AQ1" s="76" t="s">
        <v>1077</v>
      </c>
      <c r="AR1" s="76" t="s">
        <v>1078</v>
      </c>
      <c r="AS1" s="76" t="s">
        <v>1079</v>
      </c>
      <c r="AT1" s="76" t="s">
        <v>1080</v>
      </c>
      <c r="AU1" s="76" t="s">
        <v>1081</v>
      </c>
      <c r="AV1" s="76" t="s">
        <v>1082</v>
      </c>
      <c r="AW1" s="76" t="s">
        <v>1083</v>
      </c>
      <c r="AX1" s="76" t="s">
        <v>1084</v>
      </c>
      <c r="AY1" s="76" t="s">
        <v>1085</v>
      </c>
      <c r="AZ1" s="76" t="s">
        <v>1086</v>
      </c>
      <c r="BA1" s="76" t="s">
        <v>1087</v>
      </c>
      <c r="BB1" s="76" t="s">
        <v>1088</v>
      </c>
      <c r="BC1" s="76" t="s">
        <v>1089</v>
      </c>
      <c r="BD1" s="76" t="s">
        <v>1090</v>
      </c>
      <c r="BE1" s="76" t="s">
        <v>1091</v>
      </c>
      <c r="BF1" s="76" t="s">
        <v>1092</v>
      </c>
      <c r="BG1" s="76" t="s">
        <v>1093</v>
      </c>
      <c r="BH1" s="76" t="s">
        <v>1094</v>
      </c>
      <c r="BI1" s="76" t="s">
        <v>1095</v>
      </c>
      <c r="BJ1" s="76" t="s">
        <v>1096</v>
      </c>
      <c r="BK1" s="76" t="s">
        <v>1097</v>
      </c>
      <c r="BL1" s="76" t="s">
        <v>1098</v>
      </c>
      <c r="BM1" s="76" t="s">
        <v>1099</v>
      </c>
      <c r="BN1" s="76" t="s">
        <v>1100</v>
      </c>
      <c r="BO1" s="76" t="s">
        <v>1101</v>
      </c>
      <c r="BP1" s="76" t="s">
        <v>93</v>
      </c>
      <c r="BQ1" s="76" t="s">
        <v>94</v>
      </c>
      <c r="BR1" s="76" t="s">
        <v>104</v>
      </c>
      <c r="BS1" s="76" t="s">
        <v>111</v>
      </c>
      <c r="BT1" s="76" t="s">
        <v>113</v>
      </c>
    </row>
    <row r="2" ht="15.75" customHeight="1">
      <c r="A2" s="77" t="s">
        <v>1102</v>
      </c>
      <c r="B2" s="77" t="s">
        <v>1103</v>
      </c>
      <c r="C2" s="77" t="s">
        <v>1104</v>
      </c>
      <c r="D2" s="78" t="b">
        <v>1</v>
      </c>
      <c r="E2" s="79">
        <v>46161.46875</v>
      </c>
      <c r="F2" s="80">
        <v>46161.0</v>
      </c>
      <c r="G2" s="80">
        <v>46162.0</v>
      </c>
      <c r="H2" s="77"/>
      <c r="I2" s="77"/>
      <c r="J2" s="77"/>
      <c r="K2" s="81"/>
      <c r="L2" s="82">
        <v>0.3333333333333333</v>
      </c>
      <c r="M2" s="83"/>
      <c r="N2" s="81"/>
      <c r="O2" s="77" t="s">
        <v>1105</v>
      </c>
      <c r="P2" s="77"/>
      <c r="Q2" s="81"/>
      <c r="R2" s="81"/>
      <c r="S2" s="81"/>
      <c r="T2" s="81"/>
      <c r="U2" s="84"/>
      <c r="V2" s="81"/>
      <c r="W2" s="81"/>
      <c r="X2" s="77"/>
      <c r="Y2" s="77"/>
      <c r="Z2" s="81"/>
      <c r="AA2" s="83"/>
      <c r="AB2" s="81"/>
      <c r="AC2" s="81"/>
      <c r="AD2" s="81"/>
      <c r="AE2" s="81"/>
      <c r="AF2" s="81"/>
      <c r="AG2" s="81"/>
      <c r="AH2" s="81"/>
      <c r="AI2" s="81"/>
      <c r="AJ2" s="81"/>
      <c r="AK2" s="81"/>
      <c r="AL2" s="85"/>
      <c r="AM2" s="85"/>
      <c r="AN2" s="85"/>
      <c r="AO2" s="85"/>
      <c r="AP2" s="85"/>
      <c r="AQ2" s="85"/>
      <c r="AR2" s="85"/>
      <c r="AS2" s="85"/>
      <c r="AT2" s="85"/>
      <c r="AU2" s="85"/>
      <c r="AV2" s="85"/>
      <c r="AW2" s="85"/>
      <c r="AX2" s="85"/>
      <c r="AY2" s="85"/>
      <c r="AZ2" s="85"/>
      <c r="BA2" s="85"/>
      <c r="BB2" s="85"/>
      <c r="BC2" s="85"/>
      <c r="BD2" s="85"/>
      <c r="BE2" s="85"/>
      <c r="BF2" s="85"/>
      <c r="BG2" s="85"/>
      <c r="BH2" s="85"/>
      <c r="BI2" s="85"/>
      <c r="BJ2" s="85"/>
      <c r="BK2" s="85"/>
      <c r="BL2" s="85"/>
      <c r="BM2" s="85"/>
      <c r="BN2" s="85"/>
      <c r="BO2" s="85"/>
      <c r="BP2" s="85"/>
      <c r="BQ2" s="85"/>
      <c r="BR2" s="85"/>
      <c r="BS2" s="85"/>
      <c r="BT2" s="85"/>
    </row>
    <row r="3" ht="15.75" customHeight="1">
      <c r="A3" s="77" t="s">
        <v>1106</v>
      </c>
      <c r="B3" s="77" t="s">
        <v>1103</v>
      </c>
      <c r="C3" s="77" t="s">
        <v>1107</v>
      </c>
      <c r="D3" s="78" t="b">
        <v>1</v>
      </c>
      <c r="E3" s="79">
        <v>46161.46944444445</v>
      </c>
      <c r="F3" s="80">
        <v>46162.0</v>
      </c>
      <c r="G3" s="80">
        <v>46162.0</v>
      </c>
      <c r="H3" s="77"/>
      <c r="I3" s="77"/>
      <c r="J3" s="77" t="s">
        <v>1108</v>
      </c>
      <c r="K3" s="81"/>
      <c r="L3" s="82">
        <v>0.3333333333333333</v>
      </c>
      <c r="M3" s="83"/>
      <c r="N3" s="81"/>
      <c r="O3" s="77" t="s">
        <v>295</v>
      </c>
      <c r="P3" s="86">
        <v>4.5</v>
      </c>
      <c r="Q3" s="81"/>
      <c r="R3" s="81"/>
      <c r="S3" s="81"/>
      <c r="T3" s="81"/>
      <c r="U3" s="84"/>
      <c r="V3" s="81"/>
      <c r="W3" s="81"/>
      <c r="X3" s="77" t="s">
        <v>1109</v>
      </c>
      <c r="Y3" s="77"/>
      <c r="Z3" s="81"/>
      <c r="AA3" s="83"/>
      <c r="AB3" s="81"/>
      <c r="AC3" s="81"/>
      <c r="AD3" s="81"/>
      <c r="AE3" s="81"/>
      <c r="AF3" s="81"/>
      <c r="AG3" s="81"/>
      <c r="AH3" s="81"/>
      <c r="AI3" s="81"/>
      <c r="AJ3" s="81"/>
      <c r="AK3" s="81"/>
      <c r="AL3" s="85"/>
      <c r="AM3" s="85"/>
      <c r="AN3" s="85"/>
      <c r="AO3" s="85"/>
      <c r="AP3" s="85"/>
      <c r="AQ3" s="85"/>
      <c r="AR3" s="85"/>
      <c r="AS3" s="85"/>
      <c r="AT3" s="85"/>
      <c r="AU3" s="85"/>
      <c r="AV3" s="85"/>
      <c r="AW3" s="85"/>
      <c r="AX3" s="85"/>
      <c r="AY3" s="85"/>
      <c r="AZ3" s="85"/>
      <c r="BA3" s="85"/>
      <c r="BB3" s="85"/>
      <c r="BC3" s="85"/>
      <c r="BD3" s="85"/>
      <c r="BE3" s="85"/>
      <c r="BF3" s="85"/>
      <c r="BG3" s="85"/>
      <c r="BH3" s="85"/>
      <c r="BI3" s="85"/>
      <c r="BJ3" s="85"/>
      <c r="BK3" s="85"/>
      <c r="BL3" s="85"/>
      <c r="BM3" s="85"/>
      <c r="BN3" s="85"/>
      <c r="BO3" s="85"/>
      <c r="BP3" s="85"/>
      <c r="BQ3" s="85"/>
      <c r="BR3" s="85"/>
      <c r="BS3" s="85"/>
      <c r="BT3" s="85"/>
    </row>
    <row r="4" ht="15.75" customHeight="1">
      <c r="A4" s="87" t="s">
        <v>1110</v>
      </c>
      <c r="B4" s="87" t="s">
        <v>475</v>
      </c>
      <c r="C4" s="87" t="s">
        <v>1104</v>
      </c>
      <c r="D4" s="88" t="b">
        <v>1</v>
      </c>
      <c r="E4" s="89">
        <v>46165.98333333333</v>
      </c>
      <c r="F4" s="90">
        <v>46161.0</v>
      </c>
      <c r="G4" s="90">
        <v>46161.0</v>
      </c>
      <c r="H4" s="77"/>
      <c r="I4" s="77"/>
      <c r="J4" s="77"/>
      <c r="K4" s="81"/>
      <c r="L4" s="91">
        <v>0.4166666666666667</v>
      </c>
      <c r="M4" s="83"/>
      <c r="N4" s="81"/>
      <c r="O4" s="87" t="s">
        <v>1105</v>
      </c>
      <c r="P4" s="77"/>
      <c r="Q4" s="81"/>
      <c r="R4" s="81"/>
      <c r="S4" s="81"/>
      <c r="T4" s="81"/>
      <c r="U4" s="84"/>
      <c r="V4" s="81"/>
      <c r="W4" s="81"/>
      <c r="X4" s="77"/>
      <c r="Y4" s="77"/>
      <c r="Z4" s="81"/>
      <c r="AA4" s="83"/>
      <c r="AB4" s="81"/>
      <c r="AC4" s="81"/>
      <c r="AD4" s="81"/>
      <c r="AE4" s="81"/>
      <c r="AF4" s="81"/>
      <c r="AG4" s="81"/>
      <c r="AH4" s="81"/>
      <c r="AI4" s="81"/>
      <c r="AJ4" s="81"/>
      <c r="AK4" s="81"/>
      <c r="AL4" s="85"/>
      <c r="AM4" s="85"/>
      <c r="AN4" s="85"/>
      <c r="AO4" s="85"/>
      <c r="AP4" s="85"/>
      <c r="AQ4" s="85"/>
      <c r="AR4" s="85"/>
      <c r="AS4" s="85"/>
      <c r="AT4" s="85"/>
      <c r="AU4" s="85"/>
      <c r="AV4" s="85"/>
      <c r="AW4" s="85"/>
      <c r="AX4" s="85"/>
      <c r="AY4" s="85"/>
      <c r="AZ4" s="85"/>
      <c r="BA4" s="85"/>
      <c r="BB4" s="85"/>
      <c r="BC4" s="85"/>
      <c r="BD4" s="85"/>
      <c r="BE4" s="85"/>
      <c r="BF4" s="85"/>
      <c r="BG4" s="85"/>
      <c r="BH4" s="85"/>
      <c r="BI4" s="85"/>
      <c r="BJ4" s="85"/>
      <c r="BK4" s="85"/>
      <c r="BL4" s="85"/>
      <c r="BM4" s="85"/>
      <c r="BN4" s="85"/>
      <c r="BO4" s="85"/>
      <c r="BP4" s="85"/>
      <c r="BQ4" s="85"/>
      <c r="BR4" s="85"/>
      <c r="BS4" s="85"/>
      <c r="BT4" s="85"/>
    </row>
    <row r="5" ht="15.75" customHeight="1">
      <c r="A5" s="77" t="s">
        <v>1111</v>
      </c>
      <c r="B5" s="77" t="s">
        <v>1112</v>
      </c>
      <c r="C5" s="77" t="s">
        <v>1104</v>
      </c>
      <c r="D5" s="78" t="b">
        <v>1</v>
      </c>
      <c r="E5" s="79">
        <v>46163.60208333333</v>
      </c>
      <c r="F5" s="80">
        <v>46161.0</v>
      </c>
      <c r="G5" s="80">
        <v>46162.0</v>
      </c>
      <c r="H5" s="77"/>
      <c r="I5" s="77"/>
      <c r="J5" s="77"/>
      <c r="K5" s="81"/>
      <c r="L5" s="82">
        <v>0.3333333333333333</v>
      </c>
      <c r="M5" s="83"/>
      <c r="N5" s="81"/>
      <c r="O5" s="77" t="s">
        <v>1105</v>
      </c>
      <c r="P5" s="77"/>
      <c r="Q5" s="81"/>
      <c r="R5" s="81"/>
      <c r="S5" s="81"/>
      <c r="T5" s="81"/>
      <c r="U5" s="84"/>
      <c r="V5" s="81"/>
      <c r="W5" s="81"/>
      <c r="X5" s="77"/>
      <c r="Y5" s="77"/>
      <c r="Z5" s="81"/>
      <c r="AA5" s="83"/>
      <c r="AB5" s="81"/>
      <c r="AC5" s="81"/>
      <c r="AD5" s="81"/>
      <c r="AE5" s="81"/>
      <c r="AF5" s="81"/>
      <c r="AG5" s="81"/>
      <c r="AH5" s="81"/>
      <c r="AI5" s="81"/>
      <c r="AJ5" s="81"/>
      <c r="AK5" s="81"/>
      <c r="AL5" s="85"/>
      <c r="AM5" s="85"/>
      <c r="AN5" s="85"/>
      <c r="AO5" s="85"/>
      <c r="AP5" s="85"/>
      <c r="AQ5" s="85"/>
      <c r="AR5" s="85"/>
      <c r="AS5" s="85"/>
      <c r="AT5" s="85"/>
      <c r="AU5" s="85"/>
      <c r="AV5" s="85"/>
      <c r="AW5" s="85"/>
      <c r="AX5" s="85"/>
      <c r="AY5" s="85"/>
      <c r="AZ5" s="85"/>
      <c r="BA5" s="85"/>
      <c r="BB5" s="85"/>
      <c r="BC5" s="85"/>
      <c r="BD5" s="85"/>
      <c r="BE5" s="85"/>
      <c r="BF5" s="85"/>
      <c r="BG5" s="85"/>
      <c r="BH5" s="85"/>
      <c r="BI5" s="85"/>
      <c r="BJ5" s="85"/>
      <c r="BK5" s="85"/>
      <c r="BL5" s="85"/>
      <c r="BM5" s="85"/>
      <c r="BN5" s="85"/>
      <c r="BO5" s="85"/>
      <c r="BP5" s="85"/>
      <c r="BQ5" s="85"/>
      <c r="BR5" s="85"/>
      <c r="BS5" s="85"/>
      <c r="BT5" s="85"/>
    </row>
    <row r="6" ht="15.75" customHeight="1">
      <c r="A6" s="77" t="s">
        <v>1113</v>
      </c>
      <c r="B6" s="77" t="s">
        <v>1114</v>
      </c>
      <c r="C6" s="77" t="s">
        <v>1104</v>
      </c>
      <c r="D6" s="78" t="b">
        <v>1</v>
      </c>
      <c r="E6" s="79">
        <v>46163.60208333333</v>
      </c>
      <c r="F6" s="80">
        <v>46161.0</v>
      </c>
      <c r="G6" s="80">
        <v>46162.0</v>
      </c>
      <c r="H6" s="77"/>
      <c r="I6" s="77"/>
      <c r="J6" s="77"/>
      <c r="K6" s="81"/>
      <c r="L6" s="82">
        <v>0.375</v>
      </c>
      <c r="M6" s="83"/>
      <c r="N6" s="81"/>
      <c r="O6" s="77" t="s">
        <v>1105</v>
      </c>
      <c r="P6" s="77"/>
      <c r="Q6" s="81"/>
      <c r="R6" s="81"/>
      <c r="S6" s="81"/>
      <c r="T6" s="81"/>
      <c r="U6" s="84"/>
      <c r="V6" s="81"/>
      <c r="W6" s="81"/>
      <c r="X6" s="77"/>
      <c r="Y6" s="77"/>
      <c r="Z6" s="81"/>
      <c r="AA6" s="83"/>
      <c r="AB6" s="81"/>
      <c r="AC6" s="81"/>
      <c r="AD6" s="81"/>
      <c r="AE6" s="81"/>
      <c r="AF6" s="81"/>
      <c r="AG6" s="81"/>
      <c r="AH6" s="81"/>
      <c r="AI6" s="81"/>
      <c r="AJ6" s="81"/>
      <c r="AK6" s="81"/>
      <c r="AL6" s="85"/>
      <c r="AM6" s="85"/>
      <c r="AN6" s="85"/>
      <c r="AO6" s="85"/>
      <c r="AP6" s="85"/>
      <c r="AQ6" s="85"/>
      <c r="AR6" s="85"/>
      <c r="AS6" s="85"/>
      <c r="AT6" s="85"/>
      <c r="AU6" s="85"/>
      <c r="AV6" s="85"/>
      <c r="AW6" s="85"/>
      <c r="AX6" s="85"/>
      <c r="AY6" s="85"/>
      <c r="AZ6" s="85"/>
      <c r="BA6" s="85"/>
      <c r="BB6" s="85"/>
      <c r="BC6" s="85"/>
      <c r="BD6" s="85"/>
      <c r="BE6" s="85"/>
      <c r="BF6" s="85"/>
      <c r="BG6" s="85"/>
      <c r="BH6" s="85"/>
      <c r="BI6" s="85"/>
      <c r="BJ6" s="85"/>
      <c r="BK6" s="85"/>
      <c r="BL6" s="85"/>
      <c r="BM6" s="85"/>
      <c r="BN6" s="85"/>
      <c r="BO6" s="85"/>
      <c r="BP6" s="85"/>
      <c r="BQ6" s="85"/>
      <c r="BR6" s="85"/>
      <c r="BS6" s="85"/>
      <c r="BT6" s="85"/>
    </row>
    <row r="7" ht="15.75" customHeight="1">
      <c r="A7" s="77" t="s">
        <v>1115</v>
      </c>
      <c r="B7" s="77" t="s">
        <v>1116</v>
      </c>
      <c r="C7" s="77" t="s">
        <v>1104</v>
      </c>
      <c r="D7" s="78" t="b">
        <v>1</v>
      </c>
      <c r="E7" s="79">
        <v>46163.60277777778</v>
      </c>
      <c r="F7" s="80">
        <v>46161.0</v>
      </c>
      <c r="G7" s="80">
        <v>46162.0</v>
      </c>
      <c r="H7" s="77"/>
      <c r="I7" s="77"/>
      <c r="J7" s="77"/>
      <c r="K7" s="81"/>
      <c r="L7" s="82">
        <v>0.3333333333333333</v>
      </c>
      <c r="M7" s="83"/>
      <c r="N7" s="81"/>
      <c r="O7" s="77" t="s">
        <v>1105</v>
      </c>
      <c r="P7" s="77"/>
      <c r="Q7" s="81"/>
      <c r="R7" s="81"/>
      <c r="S7" s="81"/>
      <c r="T7" s="81"/>
      <c r="U7" s="84"/>
      <c r="V7" s="81"/>
      <c r="W7" s="81"/>
      <c r="X7" s="77"/>
      <c r="Y7" s="77"/>
      <c r="Z7" s="81"/>
      <c r="AA7" s="83"/>
      <c r="AB7" s="81"/>
      <c r="AC7" s="81"/>
      <c r="AD7" s="81"/>
      <c r="AE7" s="81"/>
      <c r="AF7" s="81"/>
      <c r="AG7" s="81"/>
      <c r="AH7" s="81"/>
      <c r="AI7" s="81"/>
      <c r="AJ7" s="81"/>
      <c r="AK7" s="81"/>
      <c r="AL7" s="85"/>
      <c r="AM7" s="85"/>
      <c r="AN7" s="85"/>
      <c r="AO7" s="85"/>
      <c r="AP7" s="85"/>
      <c r="AQ7" s="85"/>
      <c r="AR7" s="85"/>
      <c r="AS7" s="85"/>
      <c r="AT7" s="85"/>
      <c r="AU7" s="85"/>
      <c r="AV7" s="85"/>
      <c r="AW7" s="85"/>
      <c r="AX7" s="85"/>
      <c r="AY7" s="85"/>
      <c r="AZ7" s="85"/>
      <c r="BA7" s="85"/>
      <c r="BB7" s="85"/>
      <c r="BC7" s="85"/>
      <c r="BD7" s="85"/>
      <c r="BE7" s="85"/>
      <c r="BF7" s="85"/>
      <c r="BG7" s="85"/>
      <c r="BH7" s="85"/>
      <c r="BI7" s="85"/>
      <c r="BJ7" s="85"/>
      <c r="BK7" s="85"/>
      <c r="BL7" s="85"/>
      <c r="BM7" s="85"/>
      <c r="BN7" s="85"/>
      <c r="BO7" s="85"/>
      <c r="BP7" s="85"/>
      <c r="BQ7" s="85"/>
      <c r="BR7" s="85"/>
      <c r="BS7" s="85"/>
      <c r="BT7" s="85"/>
    </row>
    <row r="8" ht="15.75" customHeight="1">
      <c r="A8" s="77" t="s">
        <v>1117</v>
      </c>
      <c r="B8" s="77" t="s">
        <v>1116</v>
      </c>
      <c r="C8" s="77" t="s">
        <v>1104</v>
      </c>
      <c r="D8" s="78" t="b">
        <v>1</v>
      </c>
      <c r="E8" s="79">
        <v>46164.6875</v>
      </c>
      <c r="F8" s="80">
        <v>46168.0</v>
      </c>
      <c r="G8" s="80">
        <v>46169.0</v>
      </c>
      <c r="H8" s="77"/>
      <c r="I8" s="77"/>
      <c r="J8" s="77"/>
      <c r="K8" s="81"/>
      <c r="L8" s="82">
        <v>0.3333333333333333</v>
      </c>
      <c r="M8" s="83"/>
      <c r="N8" s="81"/>
      <c r="O8" s="77" t="s">
        <v>1105</v>
      </c>
      <c r="P8" s="77"/>
      <c r="Q8" s="81"/>
      <c r="R8" s="81"/>
      <c r="S8" s="81"/>
      <c r="T8" s="81"/>
      <c r="U8" s="84"/>
      <c r="V8" s="81"/>
      <c r="W8" s="81"/>
      <c r="X8" s="77"/>
      <c r="Y8" s="77"/>
      <c r="Z8" s="81"/>
      <c r="AA8" s="83"/>
      <c r="AB8" s="81"/>
      <c r="AC8" s="81"/>
      <c r="AD8" s="81"/>
      <c r="AE8" s="81"/>
      <c r="AF8" s="81"/>
      <c r="AG8" s="81"/>
      <c r="AH8" s="81"/>
      <c r="AI8" s="81"/>
      <c r="AJ8" s="81"/>
      <c r="AK8" s="81"/>
      <c r="AL8" s="85"/>
      <c r="AM8" s="85"/>
      <c r="AN8" s="85"/>
      <c r="AO8" s="85"/>
      <c r="AP8" s="85"/>
      <c r="AQ8" s="85"/>
      <c r="AR8" s="85"/>
      <c r="AS8" s="85"/>
      <c r="AT8" s="85"/>
      <c r="AU8" s="85"/>
      <c r="AV8" s="85"/>
      <c r="AW8" s="85"/>
      <c r="AX8" s="85"/>
      <c r="AY8" s="85"/>
      <c r="AZ8" s="85"/>
      <c r="BA8" s="85"/>
      <c r="BB8" s="85"/>
      <c r="BC8" s="85"/>
      <c r="BD8" s="85"/>
      <c r="BE8" s="85"/>
      <c r="BF8" s="85"/>
      <c r="BG8" s="85"/>
      <c r="BH8" s="85"/>
      <c r="BI8" s="85"/>
      <c r="BJ8" s="85"/>
      <c r="BK8" s="85"/>
      <c r="BL8" s="85"/>
      <c r="BM8" s="85"/>
      <c r="BN8" s="85"/>
      <c r="BO8" s="85"/>
      <c r="BP8" s="85"/>
      <c r="BQ8" s="85"/>
      <c r="BR8" s="85"/>
      <c r="BS8" s="85"/>
      <c r="BT8" s="85"/>
    </row>
    <row r="9" ht="15.75" customHeight="1">
      <c r="A9" s="77" t="s">
        <v>1118</v>
      </c>
      <c r="B9" s="77" t="s">
        <v>475</v>
      </c>
      <c r="C9" s="77" t="s">
        <v>1107</v>
      </c>
      <c r="D9" s="78" t="b">
        <v>0</v>
      </c>
      <c r="E9" s="79">
        <v>46164.76666666667</v>
      </c>
      <c r="F9" s="80">
        <v>46168.0</v>
      </c>
      <c r="G9" s="80">
        <v>46168.0</v>
      </c>
      <c r="H9" s="77"/>
      <c r="I9" s="77"/>
      <c r="J9" s="77"/>
      <c r="K9" s="81"/>
      <c r="L9" s="82">
        <v>0.4166666666666667</v>
      </c>
      <c r="M9" s="83"/>
      <c r="N9" s="81"/>
      <c r="O9" s="77" t="s">
        <v>383</v>
      </c>
      <c r="P9" s="77"/>
      <c r="Q9" s="81"/>
      <c r="R9" s="81"/>
      <c r="S9" s="81"/>
      <c r="T9" s="81"/>
      <c r="U9" s="84"/>
      <c r="V9" s="81"/>
      <c r="W9" s="81"/>
      <c r="X9" s="77"/>
      <c r="Y9" s="77"/>
      <c r="Z9" s="81"/>
      <c r="AA9" s="83"/>
      <c r="AB9" s="81"/>
      <c r="AC9" s="81"/>
      <c r="AD9" s="81"/>
      <c r="AE9" s="81"/>
      <c r="AF9" s="81"/>
      <c r="AG9" s="81"/>
      <c r="AH9" s="81"/>
      <c r="AI9" s="81"/>
      <c r="AJ9" s="81"/>
      <c r="AK9" s="81"/>
      <c r="AL9" s="85"/>
      <c r="AM9" s="85"/>
      <c r="AN9" s="85"/>
      <c r="AO9" s="85"/>
      <c r="AP9" s="85"/>
      <c r="AQ9" s="85"/>
      <c r="AR9" s="85"/>
      <c r="AS9" s="85"/>
      <c r="AT9" s="85"/>
      <c r="AU9" s="85"/>
      <c r="AV9" s="85"/>
      <c r="AW9" s="85"/>
      <c r="AX9" s="85"/>
      <c r="AY9" s="85"/>
      <c r="AZ9" s="85"/>
      <c r="BA9" s="85"/>
      <c r="BB9" s="85"/>
      <c r="BC9" s="85"/>
      <c r="BD9" s="85"/>
      <c r="BE9" s="85"/>
      <c r="BF9" s="85"/>
      <c r="BG9" s="85"/>
      <c r="BH9" s="85"/>
      <c r="BI9" s="85"/>
      <c r="BJ9" s="85"/>
      <c r="BK9" s="85"/>
      <c r="BL9" s="85"/>
      <c r="BM9" s="85"/>
      <c r="BN9" s="85"/>
      <c r="BO9" s="85"/>
      <c r="BP9" s="85"/>
      <c r="BQ9" s="85"/>
      <c r="BR9" s="85"/>
      <c r="BS9" s="85"/>
      <c r="BT9" s="85"/>
    </row>
    <row r="10" ht="15.75" customHeight="1">
      <c r="A10" s="77" t="s">
        <v>1119</v>
      </c>
      <c r="B10" s="77" t="s">
        <v>1120</v>
      </c>
      <c r="C10" s="77" t="s">
        <v>1107</v>
      </c>
      <c r="D10" s="78" t="b">
        <v>1</v>
      </c>
      <c r="E10" s="79">
        <v>46164.78402777778</v>
      </c>
      <c r="F10" s="80">
        <v>46168.0</v>
      </c>
      <c r="G10" s="80">
        <v>46168.0</v>
      </c>
      <c r="H10" s="77"/>
      <c r="I10" s="77"/>
      <c r="J10" s="77" t="s">
        <v>1121</v>
      </c>
      <c r="K10" s="81"/>
      <c r="L10" s="82">
        <v>0.4583333333333333</v>
      </c>
      <c r="M10" s="83"/>
      <c r="N10" s="81"/>
      <c r="O10" s="77" t="s">
        <v>437</v>
      </c>
      <c r="P10" s="77"/>
      <c r="Q10" s="81"/>
      <c r="R10" s="81"/>
      <c r="S10" s="81"/>
      <c r="T10" s="81"/>
      <c r="U10" s="84"/>
      <c r="V10" s="81"/>
      <c r="W10" s="81"/>
      <c r="X10" s="77" t="s">
        <v>1122</v>
      </c>
      <c r="Y10" s="77" t="s">
        <v>230</v>
      </c>
      <c r="Z10" s="81"/>
      <c r="AA10" s="83"/>
      <c r="AB10" s="81"/>
      <c r="AC10" s="81"/>
      <c r="AD10" s="81"/>
      <c r="AE10" s="81"/>
      <c r="AF10" s="81"/>
      <c r="AG10" s="81"/>
      <c r="AH10" s="81"/>
      <c r="AI10" s="81"/>
      <c r="AJ10" s="81"/>
      <c r="AK10" s="81"/>
      <c r="AL10" s="85"/>
      <c r="AM10" s="85"/>
      <c r="AN10" s="85"/>
      <c r="AO10" s="85"/>
      <c r="AP10" s="85"/>
      <c r="AQ10" s="85"/>
      <c r="AR10" s="85"/>
      <c r="AS10" s="85"/>
      <c r="AT10" s="85"/>
      <c r="AU10" s="85"/>
      <c r="AV10" s="85"/>
      <c r="AW10" s="85"/>
      <c r="AX10" s="85"/>
      <c r="AY10" s="85"/>
      <c r="AZ10" s="85"/>
      <c r="BA10" s="85"/>
      <c r="BB10" s="85"/>
      <c r="BC10" s="85"/>
      <c r="BD10" s="85"/>
      <c r="BE10" s="85"/>
      <c r="BF10" s="85"/>
      <c r="BG10" s="85"/>
      <c r="BH10" s="85"/>
      <c r="BI10" s="85"/>
      <c r="BJ10" s="85"/>
      <c r="BK10" s="85"/>
      <c r="BL10" s="85"/>
      <c r="BM10" s="85"/>
      <c r="BN10" s="85"/>
      <c r="BO10" s="85"/>
      <c r="BP10" s="85"/>
      <c r="BQ10" s="85"/>
      <c r="BR10" s="85"/>
      <c r="BS10" s="85"/>
      <c r="BT10" s="85"/>
    </row>
    <row r="11" ht="15.75" customHeight="1">
      <c r="A11" s="77" t="s">
        <v>1123</v>
      </c>
      <c r="B11" s="77" t="s">
        <v>1124</v>
      </c>
      <c r="C11" s="77" t="s">
        <v>1107</v>
      </c>
      <c r="D11" s="78" t="b">
        <v>1</v>
      </c>
      <c r="E11" s="79">
        <v>46164.79027777778</v>
      </c>
      <c r="F11" s="80">
        <v>46168.0</v>
      </c>
      <c r="G11" s="80">
        <v>46168.0</v>
      </c>
      <c r="H11" s="77"/>
      <c r="I11" s="77"/>
      <c r="J11" s="77" t="s">
        <v>1125</v>
      </c>
      <c r="K11" s="81"/>
      <c r="L11" s="82">
        <v>0.6666666666666666</v>
      </c>
      <c r="M11" s="83"/>
      <c r="N11" s="81"/>
      <c r="O11" s="77" t="s">
        <v>659</v>
      </c>
      <c r="P11" s="77"/>
      <c r="Q11" s="81"/>
      <c r="R11" s="81"/>
      <c r="S11" s="81"/>
      <c r="T11" s="81"/>
      <c r="U11" s="84"/>
      <c r="V11" s="81"/>
      <c r="W11" s="81"/>
      <c r="X11" s="77" t="s">
        <v>1122</v>
      </c>
      <c r="Y11" s="77" t="s">
        <v>332</v>
      </c>
      <c r="Z11" s="81"/>
      <c r="AA11" s="83"/>
      <c r="AB11" s="81"/>
      <c r="AC11" s="81"/>
      <c r="AD11" s="81"/>
      <c r="AE11" s="81"/>
      <c r="AF11" s="81"/>
      <c r="AG11" s="81"/>
      <c r="AH11" s="81"/>
      <c r="AI11" s="81"/>
      <c r="AJ11" s="81"/>
      <c r="AK11" s="81"/>
      <c r="AL11" s="85"/>
      <c r="AM11" s="85"/>
      <c r="AN11" s="85"/>
      <c r="AO11" s="85"/>
      <c r="AP11" s="85"/>
      <c r="AQ11" s="85"/>
      <c r="AR11" s="85"/>
      <c r="AS11" s="85"/>
      <c r="AT11" s="85"/>
      <c r="AU11" s="85"/>
      <c r="AV11" s="85"/>
      <c r="AW11" s="85"/>
      <c r="AX11" s="85"/>
      <c r="AY11" s="85"/>
      <c r="AZ11" s="85"/>
      <c r="BA11" s="85"/>
      <c r="BB11" s="85"/>
      <c r="BC11" s="85"/>
      <c r="BD11" s="85"/>
      <c r="BE11" s="85"/>
      <c r="BF11" s="85"/>
      <c r="BG11" s="85"/>
      <c r="BH11" s="85"/>
      <c r="BI11" s="85"/>
      <c r="BJ11" s="85"/>
      <c r="BK11" s="85"/>
      <c r="BL11" s="85"/>
      <c r="BM11" s="85"/>
      <c r="BN11" s="85"/>
      <c r="BO11" s="85"/>
      <c r="BP11" s="85"/>
      <c r="BQ11" s="85"/>
      <c r="BR11" s="85"/>
      <c r="BS11" s="85"/>
      <c r="BT11" s="85"/>
    </row>
    <row r="12" ht="15.75" customHeight="1">
      <c r="A12" s="87" t="s">
        <v>1126</v>
      </c>
      <c r="B12" s="87" t="s">
        <v>283</v>
      </c>
      <c r="C12" s="87" t="s">
        <v>1107</v>
      </c>
      <c r="D12" s="88" t="b">
        <v>0</v>
      </c>
      <c r="E12" s="89">
        <v>46166.53125</v>
      </c>
      <c r="F12" s="90">
        <v>46162.0</v>
      </c>
      <c r="G12" s="90">
        <v>46162.0</v>
      </c>
      <c r="H12" s="77"/>
      <c r="I12" s="77"/>
      <c r="J12" s="87"/>
      <c r="K12" s="81"/>
      <c r="L12" s="91">
        <v>0.3333333333333333</v>
      </c>
      <c r="M12" s="83"/>
      <c r="N12" s="81"/>
      <c r="O12" s="87" t="s">
        <v>284</v>
      </c>
      <c r="P12" s="77"/>
      <c r="Q12" s="81"/>
      <c r="R12" s="81"/>
      <c r="S12" s="81"/>
      <c r="T12" s="81"/>
      <c r="U12" s="84"/>
      <c r="V12" s="81"/>
      <c r="W12" s="81"/>
      <c r="X12" s="77"/>
      <c r="Y12" s="77"/>
      <c r="Z12" s="81"/>
      <c r="AA12" s="83"/>
      <c r="AB12" s="81"/>
      <c r="AC12" s="81"/>
      <c r="AD12" s="81"/>
      <c r="AE12" s="81"/>
      <c r="AF12" s="81"/>
      <c r="AG12" s="81"/>
      <c r="AH12" s="81"/>
      <c r="AI12" s="81"/>
      <c r="AJ12" s="81"/>
      <c r="AK12" s="81"/>
      <c r="AL12" s="85"/>
      <c r="AM12" s="85"/>
      <c r="AN12" s="85"/>
      <c r="AO12" s="85"/>
      <c r="AP12" s="85"/>
      <c r="AQ12" s="85"/>
      <c r="AR12" s="85"/>
      <c r="AS12" s="85"/>
      <c r="AT12" s="85"/>
      <c r="AU12" s="85"/>
      <c r="AV12" s="85"/>
      <c r="AW12" s="85"/>
      <c r="AX12" s="85"/>
      <c r="AY12" s="85"/>
      <c r="AZ12" s="85"/>
      <c r="BA12" s="85"/>
      <c r="BB12" s="85"/>
      <c r="BC12" s="85"/>
      <c r="BD12" s="85"/>
      <c r="BE12" s="85"/>
      <c r="BF12" s="85"/>
      <c r="BG12" s="85"/>
      <c r="BH12" s="85"/>
      <c r="BI12" s="85"/>
      <c r="BJ12" s="85"/>
      <c r="BK12" s="85"/>
      <c r="BL12" s="85"/>
      <c r="BM12" s="85"/>
      <c r="BN12" s="85"/>
      <c r="BO12" s="85"/>
      <c r="BP12" s="85"/>
      <c r="BQ12" s="85"/>
      <c r="BR12" s="85"/>
      <c r="BS12" s="92"/>
      <c r="BT12" s="85"/>
    </row>
    <row r="13" ht="15.75" customHeight="1">
      <c r="A13" s="87" t="s">
        <v>1127</v>
      </c>
      <c r="B13" s="87" t="s">
        <v>951</v>
      </c>
      <c r="C13" s="87" t="s">
        <v>1107</v>
      </c>
      <c r="D13" s="88" t="b">
        <v>0</v>
      </c>
      <c r="E13" s="89">
        <v>46166.53125</v>
      </c>
      <c r="F13" s="90">
        <v>46162.0</v>
      </c>
      <c r="G13" s="90">
        <v>46162.0</v>
      </c>
      <c r="H13" s="77"/>
      <c r="I13" s="77"/>
      <c r="J13" s="87"/>
      <c r="K13" s="81"/>
      <c r="L13" s="91">
        <v>0.8333333333333334</v>
      </c>
      <c r="M13" s="83"/>
      <c r="N13" s="81"/>
      <c r="O13" s="87" t="s">
        <v>952</v>
      </c>
      <c r="P13" s="77"/>
      <c r="Q13" s="81"/>
      <c r="R13" s="81"/>
      <c r="S13" s="81"/>
      <c r="T13" s="81"/>
      <c r="U13" s="84"/>
      <c r="V13" s="81"/>
      <c r="W13" s="81"/>
      <c r="X13" s="77"/>
      <c r="Y13" s="77"/>
      <c r="Z13" s="81"/>
      <c r="AA13" s="83"/>
      <c r="AB13" s="81"/>
      <c r="AC13" s="81"/>
      <c r="AD13" s="81"/>
      <c r="AE13" s="81"/>
      <c r="AF13" s="81"/>
      <c r="AG13" s="81"/>
      <c r="AH13" s="81"/>
      <c r="AI13" s="81"/>
      <c r="AJ13" s="81"/>
      <c r="AK13" s="81"/>
      <c r="AL13" s="85"/>
      <c r="AM13" s="85"/>
      <c r="AN13" s="85"/>
      <c r="AO13" s="85"/>
      <c r="AP13" s="85"/>
      <c r="AQ13" s="85"/>
      <c r="AR13" s="85"/>
      <c r="AS13" s="85"/>
      <c r="AT13" s="85"/>
      <c r="AU13" s="85"/>
      <c r="AV13" s="85"/>
      <c r="AW13" s="85"/>
      <c r="AX13" s="85"/>
      <c r="AY13" s="85"/>
      <c r="AZ13" s="85"/>
      <c r="BA13" s="85"/>
      <c r="BB13" s="85"/>
      <c r="BC13" s="85"/>
      <c r="BD13" s="85"/>
      <c r="BE13" s="85"/>
      <c r="BF13" s="85"/>
      <c r="BG13" s="85"/>
      <c r="BH13" s="85"/>
      <c r="BI13" s="85"/>
      <c r="BJ13" s="85"/>
      <c r="BK13" s="85"/>
      <c r="BL13" s="85"/>
      <c r="BM13" s="85"/>
      <c r="BN13" s="85"/>
      <c r="BO13" s="85"/>
      <c r="BP13" s="92"/>
      <c r="BQ13" s="85"/>
      <c r="BR13" s="85"/>
      <c r="BS13" s="85"/>
      <c r="BT13" s="85"/>
    </row>
    <row r="14" ht="15.75" customHeight="1">
      <c r="E14" s="93"/>
      <c r="O14" s="72"/>
    </row>
    <row r="15" ht="15.75" customHeight="1">
      <c r="E15" s="93"/>
      <c r="O15" s="72"/>
    </row>
    <row r="16" ht="15.75" customHeight="1">
      <c r="E16" s="93"/>
      <c r="O16" s="72"/>
    </row>
    <row r="17" ht="15.75" customHeight="1">
      <c r="E17" s="93"/>
      <c r="O17" s="72"/>
    </row>
    <row r="18" ht="15.75" customHeight="1">
      <c r="E18" s="93"/>
      <c r="O18" s="72"/>
    </row>
    <row r="19" ht="15.75" customHeight="1">
      <c r="E19" s="93"/>
      <c r="O19" s="72"/>
    </row>
    <row r="20" ht="15.75" customHeight="1">
      <c r="E20" s="93"/>
      <c r="O20" s="72"/>
    </row>
    <row r="21" ht="15.75" customHeight="1">
      <c r="E21" s="93"/>
      <c r="O21" s="72"/>
    </row>
    <row r="22" ht="15.75" customHeight="1">
      <c r="E22" s="93"/>
      <c r="O22" s="72"/>
    </row>
    <row r="23" ht="15.75" customHeight="1">
      <c r="E23" s="93"/>
      <c r="O23" s="72"/>
    </row>
    <row r="24" ht="15.75" customHeight="1">
      <c r="E24" s="93"/>
      <c r="O24" s="72"/>
    </row>
    <row r="25" ht="15.75" customHeight="1">
      <c r="E25" s="93"/>
      <c r="O25" s="72"/>
      <c r="U25" s="93"/>
    </row>
    <row r="26" ht="15.75" customHeight="1">
      <c r="E26" s="93"/>
      <c r="O26" s="72"/>
      <c r="U26" s="93"/>
    </row>
    <row r="27" ht="15.75" customHeight="1">
      <c r="E27" s="93"/>
      <c r="O27" s="72"/>
    </row>
    <row r="28" ht="15.75" customHeight="1">
      <c r="E28" s="93"/>
      <c r="O28" s="72"/>
    </row>
    <row r="29" ht="15.75" customHeight="1">
      <c r="E29" s="93"/>
      <c r="O29" s="72"/>
    </row>
    <row r="30" ht="15.75" customHeight="1">
      <c r="E30" s="93"/>
      <c r="O30" s="72"/>
    </row>
    <row r="31" ht="15.75" customHeight="1">
      <c r="E31" s="93"/>
      <c r="O31" s="72"/>
    </row>
    <row r="32" ht="15.75" customHeight="1">
      <c r="E32" s="93"/>
      <c r="O32" s="72"/>
    </row>
    <row r="33" ht="15.75" customHeight="1">
      <c r="E33" s="93"/>
      <c r="O33" s="72"/>
    </row>
    <row r="34" ht="15.75" customHeight="1">
      <c r="E34" s="93"/>
      <c r="O34" s="72"/>
      <c r="P34" s="94"/>
    </row>
    <row r="35" ht="15.75" customHeight="1">
      <c r="E35" s="93"/>
      <c r="O35" s="72"/>
      <c r="P35" s="94"/>
    </row>
    <row r="36" ht="15.75" customHeight="1">
      <c r="E36" s="93"/>
      <c r="O36" s="72"/>
      <c r="P36" s="94"/>
    </row>
    <row r="37" ht="15.75" customHeight="1">
      <c r="E37" s="93"/>
      <c r="O37" s="72"/>
      <c r="P37" s="94"/>
    </row>
    <row r="38" ht="15.75" customHeight="1">
      <c r="E38" s="93"/>
      <c r="O38" s="72"/>
      <c r="P38" s="94"/>
    </row>
    <row r="39" ht="15.75" customHeight="1">
      <c r="E39" s="93"/>
      <c r="O39" s="72"/>
      <c r="P39" s="94"/>
    </row>
    <row r="40" ht="15.75" customHeight="1">
      <c r="E40" s="93"/>
      <c r="O40" s="72"/>
      <c r="P40" s="94"/>
    </row>
    <row r="41" ht="15.75" customHeight="1">
      <c r="E41" s="93"/>
      <c r="O41" s="72"/>
    </row>
    <row r="42" ht="15.75" customHeight="1">
      <c r="E42" s="93"/>
      <c r="O42" s="72"/>
    </row>
    <row r="43" ht="15.75" customHeight="1">
      <c r="E43" s="93"/>
      <c r="O43" s="72"/>
      <c r="P43" s="94"/>
    </row>
    <row r="44" ht="15.75" customHeight="1">
      <c r="E44" s="93"/>
      <c r="O44" s="72"/>
      <c r="P44" s="94"/>
      <c r="W44" s="72"/>
    </row>
    <row r="45" ht="15.75" customHeight="1">
      <c r="E45" s="93"/>
      <c r="O45" s="72"/>
    </row>
    <row r="46" ht="15.75" customHeight="1">
      <c r="E46" s="93"/>
      <c r="O46" s="72"/>
    </row>
    <row r="47" ht="15.75" customHeight="1">
      <c r="E47" s="93"/>
      <c r="O47" s="72"/>
      <c r="P47" s="94"/>
      <c r="W47" s="72"/>
    </row>
    <row r="48" ht="15.75" customHeight="1">
      <c r="E48" s="93"/>
      <c r="O48" s="72"/>
      <c r="P48" s="94"/>
      <c r="W48" s="72"/>
    </row>
    <row r="49" ht="15.75" customHeight="1">
      <c r="E49" s="93"/>
      <c r="O49" s="72"/>
      <c r="P49" s="94"/>
      <c r="W49" s="72"/>
    </row>
    <row r="50" ht="15.75" customHeight="1">
      <c r="E50" s="93"/>
      <c r="O50" s="72"/>
      <c r="P50" s="94"/>
      <c r="W50" s="72"/>
    </row>
    <row r="51" ht="15.75" customHeight="1">
      <c r="E51" s="93"/>
      <c r="O51" s="72"/>
      <c r="P51" s="94"/>
    </row>
    <row r="52" ht="15.75" customHeight="1">
      <c r="E52" s="93"/>
      <c r="O52" s="72"/>
    </row>
    <row r="53" ht="15.75" customHeight="1">
      <c r="E53" s="93"/>
      <c r="O53" s="72"/>
    </row>
    <row r="54" ht="15.75" customHeight="1">
      <c r="E54" s="93"/>
      <c r="O54" s="72"/>
      <c r="U54" s="93"/>
    </row>
    <row r="55" ht="15.75" customHeight="1">
      <c r="E55" s="93"/>
      <c r="O55" s="72"/>
      <c r="P55" s="94"/>
      <c r="U55" s="93"/>
    </row>
    <row r="56" ht="15.75" customHeight="1">
      <c r="E56" s="93"/>
      <c r="O56" s="72"/>
      <c r="P56" s="94"/>
    </row>
    <row r="57" ht="15.75" customHeight="1">
      <c r="E57" s="93"/>
      <c r="O57" s="72"/>
      <c r="U57" s="93"/>
    </row>
    <row r="58" ht="15.75" customHeight="1">
      <c r="E58" s="93"/>
      <c r="O58" s="72"/>
      <c r="U58" s="93"/>
    </row>
    <row r="59" ht="15.75" customHeight="1">
      <c r="E59" s="93"/>
      <c r="O59" s="72"/>
    </row>
    <row r="60" ht="15.75" customHeight="1">
      <c r="E60" s="93"/>
      <c r="O60" s="72"/>
      <c r="P60" s="94"/>
    </row>
    <row r="61" ht="15.75" customHeight="1">
      <c r="E61" s="93"/>
      <c r="O61" s="72"/>
    </row>
    <row r="62" ht="15.75" customHeight="1">
      <c r="E62" s="93"/>
      <c r="O62" s="72"/>
      <c r="U62" s="93"/>
    </row>
    <row r="63" ht="15.75" customHeight="1">
      <c r="E63" s="93"/>
      <c r="O63" s="72"/>
    </row>
    <row r="64" ht="15.75" customHeight="1">
      <c r="E64" s="93"/>
      <c r="O64" s="72"/>
      <c r="U64" s="93"/>
    </row>
    <row r="65" ht="15.75" customHeight="1">
      <c r="E65" s="93"/>
      <c r="O65" s="72"/>
    </row>
    <row r="66" ht="15.75" customHeight="1">
      <c r="E66" s="93"/>
      <c r="O66" s="72"/>
      <c r="U66" s="93"/>
    </row>
    <row r="67" ht="15.75" customHeight="1">
      <c r="E67" s="93"/>
      <c r="O67" s="72"/>
    </row>
    <row r="68" ht="15.75" customHeight="1">
      <c r="E68" s="93"/>
      <c r="O68" s="72"/>
    </row>
    <row r="69" ht="15.75" customHeight="1">
      <c r="E69" s="93"/>
      <c r="O69" s="72"/>
      <c r="U69" s="93"/>
    </row>
    <row r="70" ht="15.75" customHeight="1">
      <c r="E70" s="93"/>
      <c r="O70" s="72"/>
      <c r="P70" s="94"/>
    </row>
    <row r="71" ht="15.75" customHeight="1">
      <c r="E71" s="93"/>
      <c r="O71" s="72"/>
    </row>
    <row r="72" ht="15.75" customHeight="1">
      <c r="E72" s="93"/>
      <c r="O72" s="72"/>
    </row>
    <row r="73" ht="15.75" customHeight="1">
      <c r="E73" s="93"/>
      <c r="O73" s="72"/>
    </row>
    <row r="74" ht="15.75" customHeight="1">
      <c r="E74" s="93"/>
      <c r="O74" s="72"/>
    </row>
    <row r="75" ht="15.75" customHeight="1">
      <c r="E75" s="93"/>
      <c r="O75" s="72"/>
    </row>
    <row r="76" ht="15.75" customHeight="1">
      <c r="E76" s="93"/>
      <c r="O76" s="72"/>
    </row>
    <row r="77" ht="15.75" customHeight="1">
      <c r="E77" s="93"/>
      <c r="O77" s="72"/>
    </row>
    <row r="78" ht="15.75" customHeight="1">
      <c r="E78" s="93"/>
      <c r="O78" s="72"/>
    </row>
    <row r="79" ht="15.75" customHeight="1">
      <c r="E79" s="93"/>
      <c r="O79" s="72"/>
    </row>
    <row r="80" ht="15.75" customHeight="1">
      <c r="E80" s="93"/>
      <c r="O80" s="72"/>
    </row>
    <row r="81" ht="15.75" customHeight="1">
      <c r="E81" s="93"/>
      <c r="O81" s="72"/>
    </row>
    <row r="82" ht="15.75" customHeight="1">
      <c r="E82" s="93"/>
      <c r="O82" s="72"/>
    </row>
    <row r="83" ht="15.75" customHeight="1">
      <c r="E83" s="93"/>
      <c r="O83" s="72"/>
    </row>
    <row r="84" ht="15.75" customHeight="1">
      <c r="E84" s="93"/>
      <c r="O84" s="72"/>
    </row>
    <row r="85" ht="15.75" customHeight="1">
      <c r="E85" s="93"/>
      <c r="O85" s="72"/>
    </row>
    <row r="86" ht="15.75" customHeight="1">
      <c r="E86" s="93"/>
      <c r="O86" s="72"/>
    </row>
    <row r="87" ht="15.75" customHeight="1">
      <c r="E87" s="93"/>
      <c r="O87" s="72"/>
    </row>
    <row r="88" ht="15.75" customHeight="1">
      <c r="E88" s="93"/>
      <c r="O88" s="72"/>
    </row>
    <row r="89" ht="15.75" customHeight="1">
      <c r="E89" s="93"/>
      <c r="O89" s="72"/>
    </row>
    <row r="90" ht="15.75" customHeight="1">
      <c r="E90" s="93"/>
      <c r="O90" s="72"/>
    </row>
    <row r="91" ht="15.75" customHeight="1">
      <c r="E91" s="93"/>
      <c r="O91" s="72"/>
    </row>
    <row r="92" ht="15.75" customHeight="1">
      <c r="E92" s="93"/>
      <c r="O92" s="72"/>
    </row>
    <row r="93" ht="15.75" customHeight="1">
      <c r="E93" s="93"/>
      <c r="O93" s="72"/>
    </row>
    <row r="94" ht="15.75" customHeight="1">
      <c r="E94" s="93"/>
      <c r="O94" s="72"/>
    </row>
    <row r="95" ht="15.75" customHeight="1">
      <c r="E95" s="93"/>
      <c r="O95" s="72"/>
    </row>
    <row r="96" ht="15.75" customHeight="1">
      <c r="E96" s="93"/>
      <c r="O96" s="72"/>
    </row>
    <row r="97" ht="15.75" customHeight="1">
      <c r="E97" s="93"/>
      <c r="O97" s="72"/>
    </row>
    <row r="98" ht="15.75" customHeight="1">
      <c r="E98" s="93"/>
      <c r="O98" s="72"/>
    </row>
    <row r="99" ht="15.75" customHeight="1">
      <c r="E99" s="93"/>
      <c r="O99" s="72"/>
    </row>
    <row r="100" ht="15.75" customHeight="1">
      <c r="E100" s="93"/>
      <c r="O100" s="72"/>
    </row>
    <row r="101" ht="15.75" customHeight="1">
      <c r="E101" s="93"/>
      <c r="O101" s="72"/>
    </row>
    <row r="102" ht="15.75" customHeight="1">
      <c r="E102" s="93"/>
      <c r="O102" s="72"/>
    </row>
    <row r="103" ht="15.75" customHeight="1">
      <c r="E103" s="93"/>
      <c r="O103" s="72"/>
    </row>
    <row r="104" ht="15.75" customHeight="1">
      <c r="E104" s="93"/>
      <c r="O104" s="72"/>
    </row>
    <row r="105" ht="15.75" customHeight="1">
      <c r="E105" s="93"/>
      <c r="O105" s="72"/>
    </row>
    <row r="106" ht="15.75" customHeight="1">
      <c r="E106" s="93"/>
      <c r="O106" s="72"/>
    </row>
    <row r="107" ht="15.75" customHeight="1">
      <c r="E107" s="93"/>
      <c r="O107" s="72"/>
    </row>
    <row r="108" ht="15.75" customHeight="1">
      <c r="E108" s="93"/>
      <c r="O108" s="72"/>
    </row>
    <row r="109" ht="15.75" customHeight="1">
      <c r="E109" s="93"/>
      <c r="O109" s="72"/>
    </row>
    <row r="110" ht="15.75" customHeight="1">
      <c r="E110" s="93"/>
      <c r="O110" s="72"/>
    </row>
    <row r="111" ht="15.75" customHeight="1">
      <c r="E111" s="93"/>
      <c r="O111" s="72"/>
    </row>
    <row r="112" ht="15.75" customHeight="1">
      <c r="E112" s="93"/>
      <c r="O112" s="72"/>
    </row>
    <row r="113" ht="15.75" customHeight="1">
      <c r="E113" s="93"/>
      <c r="O113" s="72"/>
    </row>
    <row r="114" ht="15.75" customHeight="1">
      <c r="E114" s="93"/>
      <c r="O114" s="72"/>
    </row>
    <row r="115" ht="15.75" customHeight="1">
      <c r="E115" s="93"/>
      <c r="O115" s="72"/>
    </row>
    <row r="116" ht="15.75" customHeight="1">
      <c r="E116" s="93"/>
      <c r="O116" s="72"/>
    </row>
    <row r="117" ht="15.75" customHeight="1">
      <c r="E117" s="93"/>
      <c r="O117" s="72"/>
    </row>
    <row r="118" ht="15.75" customHeight="1">
      <c r="E118" s="93"/>
      <c r="O118" s="72"/>
    </row>
    <row r="119" ht="15.75" customHeight="1">
      <c r="E119" s="93"/>
      <c r="O119" s="72"/>
    </row>
    <row r="120" ht="15.75" customHeight="1">
      <c r="E120" s="93"/>
      <c r="O120" s="72"/>
    </row>
    <row r="121" ht="15.75" customHeight="1">
      <c r="E121" s="93"/>
      <c r="O121" s="72"/>
    </row>
    <row r="122" ht="15.75" customHeight="1">
      <c r="E122" s="93"/>
      <c r="O122" s="72"/>
    </row>
    <row r="123" ht="15.75" customHeight="1">
      <c r="E123" s="93"/>
      <c r="O123" s="72"/>
    </row>
    <row r="124" ht="15.75" customHeight="1">
      <c r="E124" s="93"/>
      <c r="O124" s="72"/>
    </row>
    <row r="125" ht="15.75" customHeight="1">
      <c r="E125" s="93"/>
      <c r="O125" s="72"/>
    </row>
    <row r="126" ht="15.75" customHeight="1">
      <c r="E126" s="93"/>
      <c r="O126" s="72"/>
    </row>
    <row r="127" ht="15.75" customHeight="1">
      <c r="E127" s="93"/>
      <c r="O127" s="72"/>
    </row>
    <row r="128" ht="15.75" customHeight="1">
      <c r="E128" s="93"/>
      <c r="O128" s="72"/>
    </row>
    <row r="129" ht="15.75" customHeight="1">
      <c r="E129" s="93"/>
      <c r="O129" s="72"/>
    </row>
    <row r="130" ht="15.75" customHeight="1">
      <c r="E130" s="93"/>
      <c r="O130" s="72"/>
    </row>
    <row r="131" ht="15.75" customHeight="1">
      <c r="E131" s="93"/>
      <c r="O131" s="72"/>
    </row>
    <row r="132" ht="15.75" customHeight="1">
      <c r="E132" s="93"/>
      <c r="O132" s="72"/>
    </row>
    <row r="133" ht="15.75" customHeight="1">
      <c r="E133" s="93"/>
      <c r="O133" s="72"/>
    </row>
    <row r="134" ht="15.75" customHeight="1">
      <c r="E134" s="93"/>
      <c r="O134" s="72"/>
    </row>
    <row r="135" ht="15.75" customHeight="1">
      <c r="E135" s="93"/>
      <c r="O135" s="72"/>
    </row>
    <row r="136" ht="15.75" customHeight="1">
      <c r="E136" s="93"/>
      <c r="O136" s="72"/>
    </row>
    <row r="137" ht="15.75" customHeight="1">
      <c r="E137" s="93"/>
      <c r="O137" s="72"/>
    </row>
    <row r="138" ht="15.75" customHeight="1">
      <c r="E138" s="93"/>
      <c r="O138" s="72"/>
    </row>
    <row r="139" ht="15.75" customHeight="1">
      <c r="E139" s="93"/>
      <c r="O139" s="72"/>
    </row>
    <row r="140" ht="15.75" customHeight="1">
      <c r="E140" s="93"/>
      <c r="O140" s="72"/>
    </row>
    <row r="141" ht="15.75" customHeight="1">
      <c r="E141" s="93"/>
      <c r="O141" s="72"/>
    </row>
    <row r="142" ht="15.75" customHeight="1">
      <c r="E142" s="93"/>
      <c r="O142" s="72"/>
    </row>
    <row r="143" ht="15.75" customHeight="1">
      <c r="E143" s="93"/>
      <c r="O143" s="72"/>
    </row>
    <row r="144" ht="15.75" customHeight="1">
      <c r="E144" s="93"/>
      <c r="O144" s="72"/>
    </row>
    <row r="145" ht="15.75" customHeight="1">
      <c r="E145" s="93"/>
      <c r="O145" s="72"/>
    </row>
    <row r="146" ht="15.75" customHeight="1">
      <c r="E146" s="93"/>
      <c r="O146" s="72"/>
    </row>
    <row r="147" ht="15.75" customHeight="1">
      <c r="E147" s="93"/>
      <c r="O147" s="72"/>
    </row>
    <row r="148" ht="15.75" customHeight="1">
      <c r="E148" s="93"/>
      <c r="O148" s="72"/>
    </row>
    <row r="149" ht="15.75" customHeight="1">
      <c r="E149" s="93"/>
      <c r="O149" s="72"/>
    </row>
    <row r="150" ht="15.75" customHeight="1">
      <c r="E150" s="93"/>
      <c r="O150" s="72"/>
    </row>
    <row r="151" ht="15.75" customHeight="1">
      <c r="E151" s="93"/>
      <c r="O151" s="72"/>
    </row>
    <row r="152" ht="15.75" customHeight="1">
      <c r="E152" s="93"/>
      <c r="O152" s="72"/>
    </row>
    <row r="153" ht="15.75" customHeight="1">
      <c r="E153" s="93"/>
      <c r="O153" s="72"/>
    </row>
    <row r="154" ht="15.75" customHeight="1">
      <c r="E154" s="93"/>
      <c r="O154" s="72"/>
    </row>
    <row r="155" ht="15.75" customHeight="1">
      <c r="E155" s="93"/>
      <c r="O155" s="72"/>
    </row>
    <row r="156" ht="15.75" customHeight="1">
      <c r="E156" s="93"/>
      <c r="O156" s="72"/>
    </row>
    <row r="157" ht="15.75" customHeight="1">
      <c r="E157" s="93"/>
      <c r="O157" s="72"/>
    </row>
    <row r="158" ht="15.75" customHeight="1">
      <c r="E158" s="93"/>
      <c r="O158" s="72"/>
    </row>
    <row r="159" ht="15.75" customHeight="1">
      <c r="E159" s="93"/>
      <c r="O159" s="72"/>
    </row>
    <row r="160" ht="15.75" customHeight="1">
      <c r="E160" s="93"/>
      <c r="O160" s="72"/>
    </row>
    <row r="161" ht="15.75" customHeight="1">
      <c r="E161" s="93"/>
      <c r="O161" s="72"/>
    </row>
    <row r="162" ht="15.75" customHeight="1">
      <c r="E162" s="93"/>
      <c r="O162" s="72"/>
    </row>
    <row r="163" ht="15.75" customHeight="1">
      <c r="E163" s="93"/>
      <c r="O163" s="72"/>
      <c r="U163" s="93"/>
    </row>
    <row r="164" ht="15.75" customHeight="1">
      <c r="E164" s="93"/>
      <c r="O164" s="72"/>
    </row>
    <row r="165" ht="15.75" customHeight="1">
      <c r="E165" s="93"/>
      <c r="O165" s="72"/>
      <c r="U165" s="93"/>
    </row>
    <row r="166" ht="15.75" customHeight="1">
      <c r="E166" s="93"/>
      <c r="O166" s="72"/>
      <c r="P166" s="94"/>
    </row>
    <row r="167" ht="15.75" customHeight="1">
      <c r="E167" s="93"/>
      <c r="O167" s="72"/>
      <c r="P167" s="94"/>
      <c r="U167" s="93"/>
    </row>
    <row r="168" ht="15.75" customHeight="1">
      <c r="E168" s="93"/>
      <c r="O168" s="72"/>
      <c r="P168" s="94"/>
    </row>
    <row r="169" ht="15.75" customHeight="1">
      <c r="E169" s="93"/>
      <c r="O169" s="72"/>
    </row>
    <row r="170" ht="15.75" customHeight="1">
      <c r="E170" s="93"/>
      <c r="O170" s="72"/>
    </row>
    <row r="171" ht="15.75" customHeight="1">
      <c r="E171" s="93"/>
      <c r="O171" s="72"/>
      <c r="U171" s="93"/>
    </row>
    <row r="172" ht="15.75" customHeight="1">
      <c r="E172" s="93"/>
      <c r="O172" s="72"/>
    </row>
    <row r="173" ht="15.75" customHeight="1">
      <c r="E173" s="93"/>
      <c r="O173" s="72"/>
    </row>
    <row r="174" ht="15.75" customHeight="1">
      <c r="E174" s="93"/>
      <c r="O174" s="72"/>
      <c r="U174" s="93"/>
    </row>
    <row r="175" ht="15.75" customHeight="1">
      <c r="E175" s="93"/>
      <c r="O175" s="72"/>
    </row>
    <row r="176" ht="15.75" customHeight="1">
      <c r="E176" s="93"/>
      <c r="O176" s="72"/>
    </row>
    <row r="177" ht="15.75" customHeight="1">
      <c r="E177" s="93"/>
      <c r="O177" s="72"/>
    </row>
    <row r="178" ht="15.75" customHeight="1">
      <c r="E178" s="93"/>
      <c r="O178" s="72"/>
    </row>
    <row r="179" ht="15.75" customHeight="1">
      <c r="E179" s="93"/>
      <c r="O179" s="72"/>
      <c r="U179" s="93"/>
    </row>
    <row r="180" ht="15.75" customHeight="1">
      <c r="E180" s="93"/>
      <c r="O180" s="72"/>
      <c r="P180" s="94"/>
    </row>
    <row r="181" ht="15.75" customHeight="1">
      <c r="E181" s="93"/>
      <c r="O181" s="72"/>
      <c r="P181" s="94"/>
      <c r="U181" s="93"/>
    </row>
    <row r="182" ht="15.75" customHeight="1">
      <c r="E182" s="93"/>
      <c r="O182" s="72"/>
    </row>
    <row r="183" ht="15.75" customHeight="1">
      <c r="E183" s="93"/>
      <c r="O183" s="72"/>
      <c r="U183" s="93"/>
    </row>
    <row r="184" ht="15.75" customHeight="1">
      <c r="E184" s="93"/>
      <c r="O184" s="72"/>
      <c r="P184" s="94"/>
    </row>
    <row r="185" ht="15.75" customHeight="1">
      <c r="E185" s="93"/>
      <c r="O185" s="72"/>
      <c r="P185" s="94"/>
      <c r="W185" s="72"/>
    </row>
    <row r="186" ht="15.75" customHeight="1">
      <c r="E186" s="93"/>
      <c r="O186" s="72"/>
    </row>
    <row r="187" ht="15.75" customHeight="1">
      <c r="E187" s="93"/>
      <c r="O187" s="72"/>
      <c r="U187" s="93"/>
    </row>
    <row r="188" ht="15.75" customHeight="1">
      <c r="E188" s="93"/>
      <c r="O188" s="72"/>
      <c r="P188" s="94"/>
    </row>
    <row r="189" ht="15.75" customHeight="1">
      <c r="E189" s="93"/>
      <c r="O189" s="72"/>
    </row>
    <row r="190" ht="15.75" customHeight="1">
      <c r="E190" s="93"/>
      <c r="O190" s="72"/>
    </row>
    <row r="191" ht="15.75" customHeight="1">
      <c r="E191" s="93"/>
      <c r="O191" s="72"/>
    </row>
    <row r="192" ht="15.75" customHeight="1">
      <c r="E192" s="93"/>
      <c r="O192" s="72"/>
    </row>
    <row r="193" ht="15.75" customHeight="1">
      <c r="E193" s="93"/>
      <c r="O193" s="72"/>
      <c r="P193" s="94"/>
    </row>
    <row r="194" ht="15.75" customHeight="1">
      <c r="E194" s="93"/>
      <c r="O194" s="72"/>
    </row>
    <row r="195" ht="15.75" customHeight="1">
      <c r="E195" s="93"/>
      <c r="O195" s="72"/>
    </row>
    <row r="196" ht="15.75" customHeight="1">
      <c r="E196" s="93"/>
      <c r="O196" s="72"/>
    </row>
    <row r="197" ht="15.75" customHeight="1">
      <c r="E197" s="93"/>
      <c r="O197" s="72"/>
    </row>
    <row r="198" ht="15.75" customHeight="1">
      <c r="E198" s="93"/>
      <c r="O198" s="72"/>
    </row>
    <row r="199" ht="15.75" customHeight="1">
      <c r="E199" s="93"/>
      <c r="O199" s="72"/>
    </row>
    <row r="200" ht="15.75" customHeight="1">
      <c r="E200" s="93"/>
      <c r="O200" s="72"/>
    </row>
    <row r="201" ht="15.75" customHeight="1">
      <c r="E201" s="93"/>
      <c r="O201" s="72"/>
    </row>
    <row r="202" ht="15.75" customHeight="1">
      <c r="E202" s="93"/>
      <c r="O202" s="72"/>
    </row>
    <row r="203" ht="15.75" customHeight="1">
      <c r="E203" s="93"/>
      <c r="O203" s="72"/>
    </row>
    <row r="204" ht="15.75" customHeight="1">
      <c r="E204" s="93"/>
      <c r="O204" s="72"/>
    </row>
    <row r="205" ht="15.75" customHeight="1">
      <c r="E205" s="93"/>
      <c r="O205" s="72"/>
    </row>
    <row r="206" ht="15.75" customHeight="1">
      <c r="E206" s="93"/>
      <c r="O206" s="72"/>
    </row>
    <row r="207" ht="15.75" customHeight="1">
      <c r="E207" s="93"/>
      <c r="O207" s="72"/>
    </row>
    <row r="208" ht="15.75" customHeight="1">
      <c r="E208" s="93"/>
      <c r="O208" s="72"/>
    </row>
    <row r="209" ht="15.75" customHeight="1">
      <c r="E209" s="93"/>
      <c r="O209" s="72"/>
    </row>
    <row r="210" ht="15.75" customHeight="1">
      <c r="E210" s="93"/>
      <c r="O210" s="72"/>
    </row>
    <row r="211" ht="15.75" customHeight="1">
      <c r="E211" s="93"/>
      <c r="O211" s="72"/>
    </row>
    <row r="212" ht="15.75" customHeight="1">
      <c r="E212" s="93"/>
      <c r="O212" s="72"/>
    </row>
    <row r="213" ht="15.75" customHeight="1">
      <c r="E213" s="93"/>
      <c r="O213" s="72"/>
    </row>
    <row r="214" ht="15.75" customHeight="1">
      <c r="E214" s="93"/>
      <c r="O214" s="72"/>
    </row>
    <row r="215" ht="15.75" customHeight="1">
      <c r="E215" s="93"/>
      <c r="O215" s="72"/>
    </row>
    <row r="216" ht="15.75" customHeight="1">
      <c r="E216" s="93"/>
      <c r="O216" s="72"/>
    </row>
    <row r="217" ht="15.75" customHeight="1">
      <c r="E217" s="93"/>
      <c r="O217" s="72"/>
    </row>
    <row r="218" ht="15.75" customHeight="1">
      <c r="E218" s="93"/>
      <c r="O218" s="72"/>
    </row>
    <row r="219" ht="15.75" customHeight="1">
      <c r="E219" s="93"/>
      <c r="O219" s="7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custom" allowBlank="1" showDropDown="1" sqref="L2:L13">
      <formula1>OR(TIMEVALUE(TEXT(L2, "hh:mm:ss"))=L2, AND(ISNUMBER(L2), LEFT(CELL("format", L2))="D"))</formula1>
    </dataValidation>
    <dataValidation type="custom" allowBlank="1" showDropDown="1" sqref="F2:G13 U2:U13">
      <formula1>OR(NOT(ISERROR(DATEVALUE(F2))), AND(ISNUMBER(F2), LEFT(CELL("format", F2))="D"))</formula1>
    </dataValidation>
    <dataValidation type="custom" allowBlank="1" showDropDown="1" sqref="E2:E13 M2:M13 AA2:AA13">
      <formula1>OR(NOT(ISERROR(DATEVALUE(E2))), AND(ISNUMBER(E2), LEFT(CELL("format", E2))="D"))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88"/>
    <col customWidth="1" min="2" max="2" width="16.25"/>
    <col customWidth="1" min="3" max="3" width="17.0"/>
    <col customWidth="1" min="4" max="4" width="15.5"/>
    <col customWidth="1" min="5" max="5" width="9.5"/>
    <col customWidth="1" min="6" max="6" width="12.63"/>
  </cols>
  <sheetData>
    <row r="1" ht="15.75" customHeight="1">
      <c r="A1" s="74" t="s">
        <v>1059</v>
      </c>
      <c r="B1" s="74" t="s">
        <v>1128</v>
      </c>
      <c r="C1" s="74" t="s">
        <v>1129</v>
      </c>
      <c r="D1" s="74" t="s">
        <v>1130</v>
      </c>
      <c r="E1" s="74" t="s">
        <v>1060</v>
      </c>
    </row>
    <row r="2" ht="15.75" customHeight="1">
      <c r="B2" s="95"/>
    </row>
    <row r="3" ht="15.75" customHeight="1">
      <c r="B3" s="95"/>
    </row>
    <row r="4" ht="15.75" customHeight="1">
      <c r="B4" s="95"/>
    </row>
    <row r="5" ht="15.75" customHeight="1">
      <c r="B5" s="95"/>
      <c r="E5" s="72"/>
    </row>
    <row r="6" ht="15.75" customHeight="1">
      <c r="B6" s="95"/>
      <c r="E6" s="72"/>
    </row>
    <row r="7" ht="15.75" customHeight="1">
      <c r="B7" s="95"/>
      <c r="E7" s="72"/>
    </row>
    <row r="8" ht="15.75" customHeight="1">
      <c r="B8" s="95"/>
      <c r="E8" s="72"/>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1" max="1" width="5.0"/>
    <col customWidth="1" min="2" max="8" width="22.0"/>
    <col customWidth="1" min="9" max="15" width="6.25"/>
  </cols>
  <sheetData>
    <row r="1" ht="15.75" customHeight="1">
      <c r="A1" s="96"/>
      <c r="B1" s="97" t="s">
        <v>217</v>
      </c>
      <c r="C1" s="97" t="s">
        <v>271</v>
      </c>
      <c r="D1" s="97" t="s">
        <v>259</v>
      </c>
      <c r="E1" s="97" t="s">
        <v>232</v>
      </c>
      <c r="F1" s="97" t="s">
        <v>276</v>
      </c>
      <c r="G1" s="97" t="s">
        <v>226</v>
      </c>
      <c r="H1" s="97" t="s">
        <v>263</v>
      </c>
      <c r="I1" s="98"/>
      <c r="J1" s="98"/>
      <c r="K1" s="98"/>
      <c r="L1" s="98"/>
      <c r="M1" s="98"/>
      <c r="N1" s="98"/>
      <c r="O1" s="98"/>
    </row>
    <row r="2" ht="16.5" customHeight="1">
      <c r="A2" s="97">
        <v>8.0</v>
      </c>
      <c r="B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00"/>
      <c r="J2" s="100"/>
      <c r="K2" s="100"/>
      <c r="L2" s="100"/>
      <c r="M2" s="100"/>
      <c r="N2" s="100"/>
      <c r="O2" s="100"/>
    </row>
    <row r="3" ht="16.5" customHeight="1">
      <c r="A3" s="97"/>
      <c r="B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00"/>
      <c r="J3" s="100"/>
      <c r="K3" s="100"/>
      <c r="L3" s="100"/>
      <c r="M3" s="100"/>
      <c r="N3" s="100"/>
      <c r="O3" s="100"/>
    </row>
    <row r="4" ht="16.5" customHeight="1">
      <c r="A4" s="97">
        <f>A2+1</f>
        <v>9</v>
      </c>
      <c r="B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00"/>
      <c r="J4" s="100"/>
      <c r="K4" s="100"/>
      <c r="L4" s="100"/>
      <c r="M4" s="100"/>
      <c r="N4" s="100"/>
      <c r="O4" s="100"/>
    </row>
    <row r="5" ht="16.5" customHeight="1">
      <c r="A5" s="97"/>
      <c r="B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00"/>
      <c r="J5" s="100"/>
      <c r="K5" s="100"/>
      <c r="L5" s="100"/>
      <c r="M5" s="100"/>
      <c r="N5" s="100"/>
      <c r="O5" s="100"/>
    </row>
    <row r="6" ht="16.5" customHeight="1">
      <c r="A6" s="97">
        <f>A4+1</f>
        <v>10</v>
      </c>
      <c r="B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00"/>
      <c r="J6" s="100"/>
      <c r="K6" s="100"/>
      <c r="L6" s="100"/>
      <c r="M6" s="100"/>
      <c r="N6" s="100"/>
      <c r="O6" s="100"/>
    </row>
    <row r="7" ht="16.5" customHeight="1">
      <c r="A7" s="97"/>
      <c r="B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00"/>
      <c r="J7" s="100"/>
      <c r="K7" s="100"/>
      <c r="L7" s="100"/>
      <c r="M7" s="100"/>
      <c r="N7" s="100"/>
      <c r="O7" s="100"/>
    </row>
    <row r="8" ht="16.5" customHeight="1">
      <c r="A8" s="97">
        <f>A6+1</f>
        <v>11</v>
      </c>
      <c r="B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00"/>
      <c r="J8" s="100"/>
      <c r="K8" s="100"/>
      <c r="L8" s="100"/>
      <c r="M8" s="100"/>
      <c r="N8" s="100"/>
      <c r="O8" s="100"/>
    </row>
    <row r="9" ht="16.5" customHeight="1">
      <c r="A9" s="97"/>
      <c r="B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00"/>
      <c r="J9" s="100"/>
      <c r="K9" s="100"/>
      <c r="L9" s="100"/>
      <c r="M9" s="100"/>
      <c r="N9" s="100"/>
      <c r="O9" s="100"/>
    </row>
    <row r="10" ht="16.5" customHeight="1">
      <c r="A10" s="97">
        <f>A8+1</f>
        <v>12</v>
      </c>
      <c r="B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00"/>
      <c r="J10" s="100"/>
      <c r="K10" s="100"/>
      <c r="L10" s="100"/>
      <c r="M10" s="100"/>
      <c r="N10" s="100"/>
      <c r="O10" s="100"/>
    </row>
    <row r="11" ht="16.5" customHeight="1">
      <c r="A11" s="97"/>
      <c r="B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00"/>
      <c r="J11" s="100"/>
      <c r="K11" s="100"/>
      <c r="L11" s="100"/>
      <c r="M11" s="100"/>
      <c r="N11" s="100"/>
      <c r="O11" s="100"/>
    </row>
    <row r="12" ht="16.5" customHeight="1">
      <c r="A12" s="97">
        <f>A10+1</f>
        <v>13</v>
      </c>
      <c r="B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00"/>
      <c r="J12" s="100"/>
      <c r="K12" s="100"/>
      <c r="L12" s="100"/>
      <c r="M12" s="100"/>
      <c r="N12" s="100"/>
      <c r="O12" s="100"/>
    </row>
    <row r="13" ht="16.5" customHeight="1">
      <c r="A13" s="97"/>
      <c r="B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00"/>
      <c r="J13" s="100"/>
      <c r="K13" s="100"/>
      <c r="L13" s="100"/>
      <c r="M13" s="100"/>
      <c r="N13" s="100"/>
      <c r="O13" s="100"/>
    </row>
    <row r="14" ht="16.5" customHeight="1">
      <c r="A14" s="97">
        <f>A12+1</f>
        <v>14</v>
      </c>
      <c r="B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00"/>
      <c r="J14" s="100"/>
      <c r="K14" s="100"/>
      <c r="L14" s="100"/>
      <c r="M14" s="100"/>
      <c r="N14" s="100"/>
      <c r="O14" s="100"/>
    </row>
    <row r="15" ht="16.5" customHeight="1">
      <c r="A15" s="97"/>
      <c r="B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00"/>
      <c r="J15" s="100"/>
      <c r="K15" s="100"/>
      <c r="L15" s="100"/>
      <c r="M15" s="100"/>
      <c r="N15" s="100"/>
      <c r="O15" s="100"/>
    </row>
    <row r="16" ht="16.5" customHeight="1">
      <c r="A16" s="97">
        <f>A14+1</f>
        <v>15</v>
      </c>
      <c r="B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00"/>
      <c r="J16" s="100"/>
      <c r="K16" s="100"/>
      <c r="L16" s="100"/>
      <c r="M16" s="100"/>
      <c r="N16" s="100"/>
      <c r="O16" s="100"/>
    </row>
    <row r="17" ht="16.5" customHeight="1">
      <c r="A17" s="97"/>
      <c r="B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00"/>
      <c r="J17" s="100"/>
      <c r="K17" s="100"/>
      <c r="L17" s="100"/>
      <c r="M17" s="100"/>
      <c r="N17" s="100"/>
      <c r="O17" s="100"/>
    </row>
    <row r="18" ht="16.5" customHeight="1">
      <c r="A18" s="97">
        <f>A16+1</f>
        <v>16</v>
      </c>
      <c r="B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00"/>
      <c r="J18" s="100"/>
      <c r="K18" s="100"/>
      <c r="L18" s="100"/>
      <c r="M18" s="100"/>
      <c r="N18" s="100"/>
      <c r="O18" s="100"/>
    </row>
    <row r="19" ht="16.5" customHeight="1">
      <c r="A19" s="97"/>
      <c r="B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00"/>
      <c r="J19" s="100"/>
      <c r="K19" s="100"/>
      <c r="L19" s="100"/>
      <c r="M19" s="100"/>
      <c r="N19" s="100"/>
      <c r="O19" s="100"/>
    </row>
    <row r="20" ht="16.5" customHeight="1">
      <c r="A20" s="97">
        <f>A18+1</f>
        <v>17</v>
      </c>
      <c r="B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00"/>
      <c r="J20" s="100"/>
      <c r="K20" s="100"/>
      <c r="L20" s="100"/>
      <c r="M20" s="100"/>
      <c r="N20" s="100"/>
      <c r="O20" s="100"/>
    </row>
    <row r="21" ht="16.5" customHeight="1">
      <c r="A21" s="97"/>
      <c r="B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00"/>
      <c r="J21" s="100"/>
      <c r="K21" s="100"/>
      <c r="L21" s="100"/>
      <c r="M21" s="100"/>
      <c r="N21" s="100"/>
      <c r="O21" s="100"/>
    </row>
    <row r="22" ht="16.5" customHeight="1">
      <c r="A22" s="97">
        <f>A20+1</f>
        <v>18</v>
      </c>
      <c r="B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00"/>
      <c r="J22" s="100"/>
      <c r="K22" s="100"/>
      <c r="L22" s="100"/>
      <c r="M22" s="100"/>
      <c r="N22" s="100"/>
      <c r="O22" s="100"/>
    </row>
    <row r="23" ht="16.5" customHeight="1">
      <c r="A23" s="97"/>
      <c r="B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00"/>
      <c r="J23" s="100"/>
      <c r="K23" s="100"/>
      <c r="L23" s="100"/>
      <c r="M23" s="100"/>
      <c r="N23" s="100"/>
      <c r="O23" s="100"/>
    </row>
    <row r="24" ht="16.5" customHeight="1">
      <c r="A24" s="97">
        <f>A22+1</f>
        <v>19</v>
      </c>
      <c r="B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00"/>
      <c r="J24" s="100"/>
      <c r="K24" s="100"/>
      <c r="L24" s="100"/>
      <c r="M24" s="100"/>
      <c r="N24" s="100"/>
      <c r="O24" s="100"/>
    </row>
    <row r="25" ht="16.5" customHeight="1">
      <c r="A25" s="97"/>
      <c r="B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00"/>
      <c r="J25" s="100"/>
      <c r="K25" s="100"/>
      <c r="L25" s="100"/>
      <c r="M25" s="100"/>
      <c r="N25" s="100"/>
      <c r="O25" s="100"/>
    </row>
    <row r="26" ht="16.5" customHeight="1">
      <c r="A26" s="97">
        <f>A24+1</f>
        <v>20</v>
      </c>
      <c r="B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00"/>
      <c r="J26" s="100"/>
      <c r="K26" s="100"/>
      <c r="L26" s="100"/>
      <c r="M26" s="100"/>
      <c r="N26" s="100"/>
      <c r="O26" s="100"/>
    </row>
    <row r="27" ht="16.5" customHeight="1">
      <c r="A27" s="97"/>
      <c r="B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00"/>
      <c r="J27" s="100"/>
      <c r="K27" s="100"/>
      <c r="L27" s="100"/>
      <c r="M27" s="100"/>
      <c r="N27" s="100"/>
      <c r="O27" s="100"/>
    </row>
    <row r="28" ht="16.5" customHeight="1">
      <c r="A28" s="97">
        <f>A26+1</f>
        <v>21</v>
      </c>
      <c r="B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00"/>
      <c r="J28" s="100"/>
      <c r="K28" s="100"/>
      <c r="L28" s="100"/>
      <c r="M28" s="100"/>
      <c r="N28" s="100"/>
      <c r="O28" s="100"/>
    </row>
    <row r="29" ht="16.5" customHeight="1">
      <c r="A29" s="101"/>
      <c r="B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00"/>
      <c r="J29" s="100"/>
      <c r="K29" s="100"/>
      <c r="L29" s="100"/>
      <c r="M29" s="100"/>
      <c r="N29" s="100"/>
      <c r="O29" s="100"/>
    </row>
    <row r="30" ht="15.75" hidden="1" customHeight="1">
      <c r="A30" s="102"/>
      <c r="B30" s="102"/>
      <c r="C30" s="98"/>
      <c r="D30" s="98"/>
      <c r="E30" s="98"/>
      <c r="F30" s="98"/>
      <c r="G30" s="98"/>
      <c r="H30" s="98"/>
      <c r="I30" s="98"/>
      <c r="J30" s="98"/>
      <c r="K30" s="98"/>
      <c r="L30" s="98"/>
      <c r="M30" s="98"/>
      <c r="N30" s="98"/>
      <c r="O30" s="98"/>
    </row>
    <row r="31" ht="15.75" hidden="1" customHeight="1">
      <c r="A31" s="103" t="s">
        <v>83</v>
      </c>
      <c r="B31" s="104" t="s">
        <v>84</v>
      </c>
      <c r="C31" s="104" t="s">
        <v>1072</v>
      </c>
      <c r="D31" s="104" t="s">
        <v>88</v>
      </c>
      <c r="E31" s="104" t="s">
        <v>89</v>
      </c>
      <c r="F31" s="104" t="s">
        <v>1131</v>
      </c>
      <c r="G31" s="104" t="s">
        <v>91</v>
      </c>
      <c r="H31" s="104" t="s">
        <v>662</v>
      </c>
      <c r="I31" s="104" t="s">
        <v>663</v>
      </c>
      <c r="J31" s="104" t="s">
        <v>1132</v>
      </c>
      <c r="K31" s="104" t="s">
        <v>95</v>
      </c>
      <c r="L31" s="104" t="s">
        <v>96</v>
      </c>
      <c r="M31" s="104" t="s">
        <v>97</v>
      </c>
      <c r="N31" s="104" t="s">
        <v>98</v>
      </c>
      <c r="O31" s="104" t="s">
        <v>113</v>
      </c>
    </row>
    <row r="32" ht="15.75" hidden="1" customHeight="1">
      <c r="A32" s="105" t="str">
        <f>IFERROR(__xludf.DUMMYFUNCTION("IFERROR(QUERY({'リスト'!A3:Q50; '新規'!A2:B50, '新規'!E2:Q50}, ""where Col5 = '毎月配信'"", 0), ""対象データなし"")
"),"対象データなし")</f>
        <v>対象データなし</v>
      </c>
      <c r="B32" s="105"/>
      <c r="C32" s="106"/>
      <c r="D32" s="105"/>
      <c r="E32" s="105"/>
      <c r="F32" s="105"/>
      <c r="G32" s="105"/>
      <c r="H32" s="105"/>
      <c r="I32" s="105"/>
      <c r="J32" s="105"/>
      <c r="K32" s="105"/>
      <c r="L32" s="105"/>
      <c r="M32" s="105"/>
      <c r="N32" s="105"/>
      <c r="O32" s="105"/>
    </row>
    <row r="33" ht="15.75" hidden="1" customHeight="1">
      <c r="A33" s="105"/>
      <c r="B33" s="105"/>
      <c r="C33" s="106"/>
      <c r="D33" s="105"/>
      <c r="E33" s="105"/>
      <c r="F33" s="105"/>
      <c r="G33" s="105"/>
      <c r="H33" s="105"/>
      <c r="I33" s="105"/>
      <c r="J33" s="105"/>
      <c r="K33" s="105"/>
      <c r="L33" s="105"/>
      <c r="M33" s="105"/>
      <c r="N33" s="105"/>
      <c r="O33" s="105"/>
    </row>
    <row r="34" ht="15.75" hidden="1" customHeight="1">
      <c r="A34" s="105"/>
      <c r="B34" s="105"/>
      <c r="C34" s="106"/>
      <c r="D34" s="105"/>
      <c r="E34" s="105"/>
      <c r="F34" s="105"/>
      <c r="G34" s="105"/>
      <c r="H34" s="105"/>
      <c r="I34" s="105"/>
      <c r="J34" s="105"/>
      <c r="K34" s="105"/>
      <c r="L34" s="105"/>
      <c r="M34" s="105"/>
      <c r="N34" s="105"/>
      <c r="O34" s="105"/>
    </row>
    <row r="35" ht="15.75" hidden="1" customHeight="1">
      <c r="A35" s="105"/>
      <c r="B35" s="105"/>
      <c r="C35" s="106"/>
      <c r="D35" s="105"/>
      <c r="E35" s="105"/>
      <c r="F35" s="105"/>
      <c r="G35" s="105"/>
      <c r="H35" s="105"/>
      <c r="I35" s="105"/>
      <c r="J35" s="105"/>
      <c r="K35" s="105"/>
      <c r="L35" s="105"/>
      <c r="M35" s="105"/>
      <c r="N35" s="105"/>
      <c r="O35" s="105"/>
    </row>
    <row r="36" ht="15.75" hidden="1" customHeight="1">
      <c r="A36" s="105"/>
      <c r="B36" s="105"/>
      <c r="C36" s="106"/>
      <c r="D36" s="105"/>
      <c r="E36" s="105"/>
      <c r="F36" s="105"/>
      <c r="G36" s="105"/>
      <c r="H36" s="105"/>
      <c r="I36" s="105"/>
      <c r="J36" s="105"/>
      <c r="K36" s="105"/>
      <c r="L36" s="105"/>
      <c r="M36" s="105"/>
      <c r="N36" s="105"/>
      <c r="O36" s="105"/>
    </row>
    <row r="37" ht="15.75" hidden="1" customHeight="1">
      <c r="A37" s="105"/>
      <c r="B37" s="105"/>
      <c r="C37" s="106"/>
      <c r="D37" s="105"/>
      <c r="E37" s="105"/>
      <c r="F37" s="105"/>
      <c r="G37" s="105"/>
      <c r="H37" s="105"/>
      <c r="I37" s="105"/>
      <c r="J37" s="105"/>
      <c r="K37" s="105"/>
      <c r="L37" s="105"/>
      <c r="M37" s="105"/>
      <c r="N37" s="105"/>
      <c r="O37" s="105"/>
    </row>
    <row r="38" ht="15.75" hidden="1" customHeight="1">
      <c r="A38" s="105"/>
      <c r="B38" s="105"/>
      <c r="C38" s="106"/>
      <c r="D38" s="105"/>
      <c r="E38" s="105"/>
      <c r="F38" s="105"/>
      <c r="G38" s="105"/>
      <c r="H38" s="105"/>
      <c r="I38" s="105"/>
      <c r="J38" s="105"/>
      <c r="K38" s="105"/>
      <c r="L38" s="105"/>
      <c r="M38" s="105"/>
      <c r="N38" s="105"/>
      <c r="O38" s="105"/>
    </row>
    <row r="39" ht="15.75" hidden="1" customHeight="1">
      <c r="A39" s="105"/>
      <c r="B39" s="105"/>
      <c r="C39" s="106"/>
      <c r="D39" s="105"/>
      <c r="E39" s="105"/>
      <c r="F39" s="105"/>
      <c r="G39" s="105"/>
      <c r="H39" s="105"/>
      <c r="I39" s="105"/>
      <c r="J39" s="105"/>
      <c r="K39" s="105"/>
      <c r="L39" s="105"/>
      <c r="M39" s="105"/>
      <c r="N39" s="105"/>
      <c r="O39" s="105"/>
    </row>
    <row r="40" ht="15.75" hidden="1" customHeight="1">
      <c r="A40" s="105"/>
      <c r="B40" s="105"/>
      <c r="C40" s="106"/>
      <c r="D40" s="105"/>
      <c r="E40" s="105"/>
      <c r="F40" s="105"/>
      <c r="G40" s="105"/>
      <c r="H40" s="105"/>
      <c r="I40" s="105"/>
      <c r="J40" s="105"/>
      <c r="K40" s="105"/>
      <c r="L40" s="105"/>
      <c r="M40" s="105"/>
      <c r="N40" s="105"/>
      <c r="O40" s="105"/>
    </row>
    <row r="41" ht="15.75" hidden="1" customHeight="1">
      <c r="A41" s="105"/>
      <c r="B41" s="105"/>
      <c r="C41" s="106"/>
      <c r="D41" s="105"/>
      <c r="E41" s="105"/>
      <c r="F41" s="105"/>
      <c r="G41" s="105"/>
      <c r="H41" s="105"/>
      <c r="I41" s="105"/>
      <c r="J41" s="105"/>
      <c r="K41" s="105"/>
      <c r="L41" s="105"/>
      <c r="M41" s="105"/>
      <c r="N41" s="105"/>
      <c r="O41" s="105"/>
    </row>
    <row r="42" ht="15.75" hidden="1" customHeight="1">
      <c r="A42" s="105"/>
      <c r="B42" s="105"/>
      <c r="C42" s="106"/>
      <c r="D42" s="105"/>
      <c r="E42" s="105"/>
      <c r="F42" s="105"/>
      <c r="G42" s="105"/>
      <c r="H42" s="105"/>
      <c r="I42" s="105"/>
      <c r="J42" s="105"/>
      <c r="K42" s="105"/>
      <c r="L42" s="105"/>
      <c r="M42" s="105"/>
      <c r="N42" s="105"/>
      <c r="O42" s="105"/>
    </row>
    <row r="43" ht="15.75" hidden="1" customHeight="1">
      <c r="A43" s="105"/>
      <c r="B43" s="105"/>
      <c r="C43" s="106"/>
      <c r="D43" s="105"/>
      <c r="E43" s="105"/>
      <c r="F43" s="105"/>
      <c r="G43" s="105"/>
      <c r="H43" s="105"/>
      <c r="I43" s="105"/>
      <c r="J43" s="105"/>
      <c r="K43" s="105"/>
      <c r="L43" s="105"/>
      <c r="M43" s="105"/>
      <c r="N43" s="105"/>
      <c r="O43" s="105"/>
    </row>
    <row r="44" ht="15.75" hidden="1" customHeight="1">
      <c r="A44" s="105"/>
      <c r="B44" s="105"/>
      <c r="C44" s="106"/>
      <c r="D44" s="105"/>
      <c r="E44" s="105"/>
      <c r="F44" s="105"/>
      <c r="G44" s="105"/>
      <c r="H44" s="105"/>
      <c r="I44" s="105"/>
      <c r="J44" s="105"/>
      <c r="K44" s="105"/>
      <c r="L44" s="105"/>
      <c r="M44" s="105"/>
      <c r="N44" s="105"/>
      <c r="O44" s="105"/>
    </row>
    <row r="45" ht="15.75" hidden="1" customHeight="1">
      <c r="A45" s="105"/>
      <c r="B45" s="105"/>
      <c r="C45" s="106"/>
      <c r="D45" s="105"/>
      <c r="E45" s="105"/>
      <c r="F45" s="105"/>
      <c r="G45" s="105"/>
      <c r="H45" s="105"/>
      <c r="I45" s="105"/>
      <c r="J45" s="105"/>
      <c r="K45" s="105"/>
      <c r="L45" s="105"/>
      <c r="M45" s="105"/>
      <c r="N45" s="105"/>
      <c r="O45" s="105"/>
    </row>
    <row r="46" ht="15.75" hidden="1" customHeight="1">
      <c r="A46" s="105"/>
      <c r="B46" s="105"/>
      <c r="C46" s="106"/>
      <c r="D46" s="105"/>
      <c r="E46" s="105"/>
      <c r="F46" s="105"/>
      <c r="G46" s="105"/>
      <c r="H46" s="105"/>
      <c r="I46" s="105"/>
      <c r="J46" s="105"/>
      <c r="K46" s="105"/>
      <c r="L46" s="105"/>
      <c r="M46" s="105"/>
      <c r="N46" s="105"/>
      <c r="O46" s="105"/>
    </row>
    <row r="47" ht="15.75" hidden="1" customHeight="1">
      <c r="A47" s="105"/>
      <c r="B47" s="105"/>
      <c r="C47" s="106"/>
      <c r="D47" s="105"/>
      <c r="E47" s="105"/>
      <c r="F47" s="105"/>
      <c r="G47" s="105"/>
      <c r="H47" s="105"/>
      <c r="I47" s="105"/>
      <c r="J47" s="105"/>
      <c r="K47" s="105"/>
      <c r="L47" s="105"/>
      <c r="M47" s="105"/>
      <c r="N47" s="105"/>
      <c r="O47" s="105"/>
    </row>
    <row r="48" ht="15.75" hidden="1" customHeight="1">
      <c r="A48" s="105"/>
      <c r="B48" s="105"/>
      <c r="C48" s="106"/>
      <c r="D48" s="105"/>
      <c r="E48" s="105"/>
      <c r="F48" s="105"/>
      <c r="G48" s="105"/>
      <c r="H48" s="105"/>
      <c r="I48" s="105"/>
      <c r="J48" s="105"/>
      <c r="K48" s="105"/>
      <c r="L48" s="105"/>
      <c r="M48" s="105"/>
      <c r="N48" s="105"/>
      <c r="O48" s="105"/>
    </row>
    <row r="49" ht="15.75" hidden="1" customHeight="1">
      <c r="A49" s="105"/>
      <c r="B49" s="105"/>
      <c r="C49" s="106"/>
      <c r="D49" s="105"/>
      <c r="E49" s="105"/>
      <c r="F49" s="105"/>
      <c r="G49" s="105"/>
      <c r="H49" s="105"/>
      <c r="I49" s="105"/>
      <c r="J49" s="105"/>
      <c r="K49" s="105"/>
      <c r="L49" s="105"/>
      <c r="M49" s="105"/>
      <c r="N49" s="105"/>
      <c r="O49" s="105"/>
    </row>
    <row r="50" ht="15.75" hidden="1" customHeight="1">
      <c r="A50" s="104"/>
      <c r="B50" s="104"/>
      <c r="C50" s="107"/>
      <c r="D50" s="104"/>
      <c r="E50" s="108"/>
      <c r="F50" s="104"/>
      <c r="G50" s="104"/>
      <c r="H50" s="104"/>
      <c r="I50" s="104"/>
      <c r="J50" s="104"/>
      <c r="K50" s="104"/>
      <c r="L50" s="104"/>
      <c r="M50" s="104"/>
      <c r="N50" s="104"/>
      <c r="O50" s="104"/>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109" t="s">
        <v>1133</v>
      </c>
      <c r="B1" s="110" t="s">
        <v>84</v>
      </c>
      <c r="C1" s="110" t="s">
        <v>1072</v>
      </c>
      <c r="D1" s="111" t="s">
        <v>88</v>
      </c>
      <c r="E1" s="111" t="s">
        <v>89</v>
      </c>
      <c r="F1" s="111" t="s">
        <v>1131</v>
      </c>
      <c r="G1" s="110" t="s">
        <v>91</v>
      </c>
      <c r="H1" s="111" t="s">
        <v>95</v>
      </c>
      <c r="I1" s="110" t="s">
        <v>96</v>
      </c>
      <c r="J1" s="110" t="s">
        <v>97</v>
      </c>
      <c r="K1" s="110" t="s">
        <v>98</v>
      </c>
      <c r="L1" s="111" t="s">
        <v>113</v>
      </c>
    </row>
    <row r="2" ht="18.75" customHeight="1">
      <c r="A2" s="112">
        <v>46126.0</v>
      </c>
      <c r="B2" s="104">
        <v>12.0</v>
      </c>
      <c r="C2" s="113" t="s">
        <v>1134</v>
      </c>
      <c r="D2" s="113"/>
      <c r="E2" s="113"/>
      <c r="F2" s="104"/>
      <c r="G2" s="111"/>
      <c r="H2" s="104"/>
      <c r="I2" s="104"/>
      <c r="J2" s="113"/>
      <c r="K2" s="113"/>
      <c r="L2" s="104" t="b">
        <v>0</v>
      </c>
    </row>
    <row r="3" ht="17.25" customHeight="1">
      <c r="A3" s="112">
        <v>46129.0</v>
      </c>
      <c r="B3" s="104">
        <v>12.0</v>
      </c>
      <c r="C3" s="113" t="s">
        <v>1134</v>
      </c>
      <c r="D3" s="113"/>
      <c r="E3" s="113"/>
      <c r="F3" s="104"/>
      <c r="G3" s="111"/>
      <c r="H3" s="104"/>
      <c r="I3" s="104"/>
      <c r="J3" s="113"/>
      <c r="K3" s="113"/>
      <c r="L3" s="104" t="b">
        <v>0</v>
      </c>
    </row>
    <row r="4" ht="17.25" customHeight="1">
      <c r="A4" s="112">
        <v>46126.0</v>
      </c>
      <c r="B4" s="104">
        <v>20.0</v>
      </c>
      <c r="C4" s="114" t="s">
        <v>1135</v>
      </c>
      <c r="D4" s="114"/>
      <c r="E4" s="114"/>
      <c r="F4" s="115"/>
      <c r="G4" s="111"/>
      <c r="H4" s="115"/>
      <c r="I4" s="115"/>
      <c r="J4" s="114"/>
      <c r="K4" s="114"/>
      <c r="L4" s="104" t="b">
        <v>0</v>
      </c>
    </row>
    <row r="5" ht="17.25" customHeight="1">
      <c r="A5" s="112">
        <v>46127.0</v>
      </c>
      <c r="B5" s="104">
        <v>20.0</v>
      </c>
      <c r="C5" s="114" t="s">
        <v>1135</v>
      </c>
      <c r="D5" s="114"/>
      <c r="E5" s="114"/>
      <c r="F5" s="115"/>
      <c r="G5" s="111"/>
      <c r="H5" s="115"/>
      <c r="I5" s="115"/>
      <c r="J5" s="114"/>
      <c r="K5" s="114"/>
      <c r="L5" s="104" t="b">
        <v>0</v>
      </c>
    </row>
    <row r="6" ht="17.25" customHeight="1">
      <c r="A6" s="112">
        <v>46128.0</v>
      </c>
      <c r="B6" s="104">
        <v>20.0</v>
      </c>
      <c r="C6" s="114" t="s">
        <v>1135</v>
      </c>
      <c r="D6" s="114"/>
      <c r="E6" s="114"/>
      <c r="F6" s="115"/>
      <c r="G6" s="111"/>
      <c r="H6" s="115"/>
      <c r="I6" s="115"/>
      <c r="J6" s="114"/>
      <c r="K6" s="114"/>
      <c r="L6" s="104" t="b">
        <v>0</v>
      </c>
    </row>
    <row r="7" ht="17.25" customHeight="1">
      <c r="A7" s="112">
        <v>46129.0</v>
      </c>
      <c r="B7" s="104">
        <v>20.0</v>
      </c>
      <c r="C7" s="114" t="s">
        <v>1135</v>
      </c>
      <c r="D7" s="114"/>
      <c r="E7" s="114"/>
      <c r="F7" s="115"/>
      <c r="G7" s="111"/>
      <c r="H7" s="115"/>
      <c r="I7" s="115"/>
      <c r="J7" s="114"/>
      <c r="K7" s="114"/>
      <c r="L7" s="104" t="b">
        <v>0</v>
      </c>
    </row>
    <row r="8" ht="17.25" customHeight="1">
      <c r="A8" s="112">
        <v>46132.0</v>
      </c>
      <c r="B8" s="104">
        <v>20.0</v>
      </c>
      <c r="C8" s="114" t="s">
        <v>1135</v>
      </c>
      <c r="D8" s="114"/>
      <c r="E8" s="114"/>
      <c r="F8" s="115"/>
      <c r="G8" s="111"/>
      <c r="H8" s="115"/>
      <c r="I8" s="115"/>
      <c r="J8" s="114"/>
      <c r="K8" s="114"/>
      <c r="L8" s="104" t="b">
        <v>0</v>
      </c>
    </row>
    <row r="9" ht="17.25" customHeight="1">
      <c r="A9" s="112">
        <v>46126.0</v>
      </c>
      <c r="B9" s="104">
        <v>18.0</v>
      </c>
      <c r="C9" s="113" t="s">
        <v>1136</v>
      </c>
      <c r="D9" s="113"/>
      <c r="E9" s="113"/>
      <c r="F9" s="104"/>
      <c r="G9" s="111"/>
      <c r="H9" s="104"/>
      <c r="I9" s="104"/>
      <c r="J9" s="113"/>
      <c r="K9" s="113"/>
      <c r="L9" s="104" t="b">
        <v>0</v>
      </c>
    </row>
    <row r="10" ht="17.25" customHeight="1">
      <c r="A10" s="112">
        <v>46129.0</v>
      </c>
      <c r="B10" s="104">
        <v>18.0</v>
      </c>
      <c r="C10" s="113" t="s">
        <v>1136</v>
      </c>
      <c r="D10" s="113"/>
      <c r="E10" s="113"/>
      <c r="F10" s="104"/>
      <c r="G10" s="111"/>
      <c r="H10" s="104"/>
      <c r="I10" s="104"/>
      <c r="J10" s="113"/>
      <c r="K10" s="113"/>
      <c r="L10" s="104" t="b">
        <v>0</v>
      </c>
    </row>
    <row r="11" ht="17.25" customHeight="1">
      <c r="A11" s="112"/>
      <c r="B11" s="104"/>
      <c r="C11" s="116"/>
      <c r="D11" s="117"/>
      <c r="E11" s="117"/>
      <c r="F11" s="104"/>
      <c r="G11" s="105"/>
      <c r="H11" s="104"/>
      <c r="I11" s="104"/>
      <c r="J11" s="117"/>
      <c r="K11" s="116"/>
      <c r="L11" s="104" t="b">
        <v>0</v>
      </c>
    </row>
    <row r="12" ht="17.25" customHeight="1">
      <c r="A12" s="112"/>
      <c r="B12" s="104"/>
      <c r="C12" s="116"/>
      <c r="D12" s="117"/>
      <c r="E12" s="117"/>
      <c r="F12" s="104"/>
      <c r="G12" s="105"/>
      <c r="H12" s="104"/>
      <c r="I12" s="104"/>
      <c r="J12" s="117"/>
      <c r="K12" s="116"/>
      <c r="L12" s="104" t="b">
        <v>0</v>
      </c>
    </row>
    <row r="13" ht="17.25" customHeight="1">
      <c r="A13" s="112"/>
      <c r="B13" s="104"/>
      <c r="C13" s="116"/>
      <c r="D13" s="117"/>
      <c r="E13" s="117"/>
      <c r="F13" s="104"/>
      <c r="G13" s="105"/>
      <c r="H13" s="104"/>
      <c r="I13" s="104"/>
      <c r="J13" s="117"/>
      <c r="K13" s="116"/>
      <c r="L13" s="104" t="b">
        <v>0</v>
      </c>
    </row>
    <row r="14" ht="17.25" customHeight="1">
      <c r="A14" s="112"/>
      <c r="B14" s="104"/>
      <c r="C14" s="116"/>
      <c r="D14" s="117"/>
      <c r="E14" s="117"/>
      <c r="F14" s="104"/>
      <c r="G14" s="105"/>
      <c r="H14" s="104"/>
      <c r="I14" s="104"/>
      <c r="J14" s="117"/>
      <c r="K14" s="116"/>
      <c r="L14" s="104" t="b">
        <v>0</v>
      </c>
    </row>
    <row r="15" ht="17.25" customHeight="1">
      <c r="A15" s="112"/>
      <c r="B15" s="104"/>
      <c r="C15" s="116"/>
      <c r="D15" s="117"/>
      <c r="E15" s="117"/>
      <c r="F15" s="104"/>
      <c r="G15" s="105"/>
      <c r="H15" s="104"/>
      <c r="I15" s="104"/>
      <c r="J15" s="117"/>
      <c r="K15" s="116"/>
      <c r="L15" s="104" t="b">
        <v>0</v>
      </c>
    </row>
    <row r="16" ht="17.25" customHeight="1">
      <c r="A16" s="112"/>
      <c r="B16" s="104"/>
      <c r="C16" s="116"/>
      <c r="D16" s="117"/>
      <c r="E16" s="117"/>
      <c r="F16" s="104"/>
      <c r="G16" s="105"/>
      <c r="H16" s="104"/>
      <c r="I16" s="104"/>
      <c r="J16" s="117"/>
      <c r="K16" s="116"/>
      <c r="L16" s="104"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
    <sortState ref="A1:L1">
      <sortCondition ref="F1"/>
      <sortCondition ref="A1"/>
      <sortCondition ref="E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118"/>
      <c r="C1" s="118"/>
    </row>
    <row r="2" ht="15.75" customHeight="1">
      <c r="B2" s="119" t="s">
        <v>1137</v>
      </c>
      <c r="C2" s="118"/>
    </row>
    <row r="3" ht="15.75" customHeight="1">
      <c r="B3" s="118"/>
      <c r="C3" s="118"/>
    </row>
    <row r="4" ht="42.75" customHeight="1">
      <c r="A4" s="120"/>
      <c r="B4" s="121" t="s">
        <v>83</v>
      </c>
      <c r="C4" s="121" t="s">
        <v>84</v>
      </c>
      <c r="D4" s="121" t="s">
        <v>1072</v>
      </c>
      <c r="E4" s="121" t="s">
        <v>1138</v>
      </c>
      <c r="F4" s="121" t="s">
        <v>1139</v>
      </c>
      <c r="G4" s="121" t="s">
        <v>1140</v>
      </c>
      <c r="H4" s="122" t="s">
        <v>1141</v>
      </c>
      <c r="I4" s="122" t="s">
        <v>1142</v>
      </c>
      <c r="J4" s="121" t="s">
        <v>95</v>
      </c>
      <c r="K4" s="120"/>
      <c r="L4" s="120"/>
      <c r="M4" s="120"/>
      <c r="N4" s="120"/>
      <c r="O4" s="120"/>
      <c r="P4" s="120"/>
      <c r="Q4" s="120"/>
      <c r="R4" s="120"/>
      <c r="S4" s="120"/>
      <c r="T4" s="120"/>
      <c r="U4" s="120"/>
      <c r="V4" s="120"/>
      <c r="W4" s="120"/>
      <c r="X4" s="120"/>
      <c r="Y4" s="120"/>
      <c r="Z4" s="120"/>
    </row>
    <row r="5" ht="30.0" customHeight="1">
      <c r="B5" s="123" t="s">
        <v>263</v>
      </c>
      <c r="C5" s="124">
        <v>12.0</v>
      </c>
      <c r="D5" s="125" t="s">
        <v>520</v>
      </c>
      <c r="E5" s="126" t="s">
        <v>1143</v>
      </c>
      <c r="F5" s="125" t="s">
        <v>1144</v>
      </c>
      <c r="G5" s="126" t="s">
        <v>1145</v>
      </c>
      <c r="H5" s="127" t="s">
        <v>1146</v>
      </c>
      <c r="I5" s="128" t="s">
        <v>1147</v>
      </c>
      <c r="J5" s="129"/>
      <c r="K5" s="130" t="s">
        <v>1148</v>
      </c>
    </row>
    <row r="6" ht="30.0" customHeight="1">
      <c r="B6" s="123" t="s">
        <v>217</v>
      </c>
      <c r="C6" s="124">
        <v>13.0</v>
      </c>
      <c r="D6" s="125" t="s">
        <v>498</v>
      </c>
      <c r="E6" s="126">
        <v>4.0</v>
      </c>
      <c r="F6" s="125" t="s">
        <v>1149</v>
      </c>
      <c r="G6" s="126" t="s">
        <v>1150</v>
      </c>
      <c r="H6" s="125" t="s">
        <v>1151</v>
      </c>
      <c r="I6" s="128" t="s">
        <v>1152</v>
      </c>
      <c r="J6" s="129"/>
      <c r="K6" s="130" t="s">
        <v>1153</v>
      </c>
    </row>
    <row r="7" ht="30.0" customHeight="1">
      <c r="B7" s="123" t="s">
        <v>271</v>
      </c>
      <c r="C7" s="124">
        <v>8.0</v>
      </c>
      <c r="D7" s="125" t="s">
        <v>272</v>
      </c>
      <c r="E7" s="126">
        <v>5.0</v>
      </c>
      <c r="F7" s="125" t="s">
        <v>1154</v>
      </c>
      <c r="G7" s="126" t="s">
        <v>1150</v>
      </c>
      <c r="H7" s="125" t="s">
        <v>1155</v>
      </c>
      <c r="I7" s="128" t="s">
        <v>1147</v>
      </c>
      <c r="J7" s="129"/>
      <c r="K7" s="130" t="s">
        <v>1156</v>
      </c>
    </row>
    <row r="8" ht="30.0" customHeight="1">
      <c r="B8" s="123" t="s">
        <v>232</v>
      </c>
      <c r="C8" s="124">
        <v>13.0</v>
      </c>
      <c r="D8" s="125" t="s">
        <v>501</v>
      </c>
      <c r="E8" s="126">
        <v>12.0</v>
      </c>
      <c r="F8" s="125" t="s">
        <v>1157</v>
      </c>
      <c r="G8" s="126" t="s">
        <v>1150</v>
      </c>
      <c r="H8" s="125" t="s">
        <v>1158</v>
      </c>
      <c r="I8" s="128" t="s">
        <v>1152</v>
      </c>
      <c r="J8" s="129"/>
      <c r="K8" s="130" t="s">
        <v>1159</v>
      </c>
    </row>
    <row r="9" ht="30.0" customHeight="1">
      <c r="B9" s="123" t="s">
        <v>276</v>
      </c>
      <c r="C9" s="124">
        <v>8.0</v>
      </c>
      <c r="D9" s="125" t="s">
        <v>1160</v>
      </c>
      <c r="E9" s="126">
        <v>4.0</v>
      </c>
      <c r="F9" s="125" t="s">
        <v>1154</v>
      </c>
      <c r="G9" s="126" t="s">
        <v>1150</v>
      </c>
      <c r="H9" s="125" t="s">
        <v>1161</v>
      </c>
      <c r="I9" s="128" t="s">
        <v>1147</v>
      </c>
      <c r="J9" s="129"/>
      <c r="K9" s="130" t="s">
        <v>1162</v>
      </c>
    </row>
    <row r="10" ht="30.0" customHeight="1">
      <c r="B10" s="123" t="s">
        <v>226</v>
      </c>
      <c r="C10" s="124">
        <v>12.0</v>
      </c>
      <c r="D10" s="125" t="s">
        <v>495</v>
      </c>
      <c r="E10" s="126">
        <v>7.0</v>
      </c>
      <c r="F10" s="129"/>
      <c r="G10" s="126" t="s">
        <v>1150</v>
      </c>
      <c r="H10" s="127" t="s">
        <v>1163</v>
      </c>
      <c r="I10" s="128" t="s">
        <v>1164</v>
      </c>
      <c r="J10" s="129"/>
      <c r="K10" s="130" t="s">
        <v>1165</v>
      </c>
    </row>
    <row r="11" ht="30.0" customHeight="1">
      <c r="B11" s="123" t="s">
        <v>226</v>
      </c>
      <c r="C11" s="124">
        <v>17.0</v>
      </c>
      <c r="D11" s="125" t="s">
        <v>704</v>
      </c>
      <c r="E11" s="126" t="s">
        <v>1166</v>
      </c>
      <c r="F11" s="125" t="s">
        <v>1167</v>
      </c>
      <c r="G11" s="126" t="s">
        <v>1150</v>
      </c>
      <c r="H11" s="125" t="s">
        <v>1168</v>
      </c>
      <c r="I11" s="128" t="s">
        <v>1169</v>
      </c>
      <c r="J11" s="125" t="s">
        <v>1170</v>
      </c>
    </row>
    <row r="12" ht="15.75" customHeight="1">
      <c r="B12" s="118"/>
      <c r="C12" s="118"/>
    </row>
    <row r="13" ht="15.75" customHeight="1">
      <c r="B13" s="118"/>
      <c r="C13" s="118"/>
    </row>
    <row r="14" ht="15.75" customHeight="1">
      <c r="B14" s="118"/>
      <c r="C14" s="118"/>
    </row>
    <row r="15" ht="15.75" customHeight="1">
      <c r="B15" s="118"/>
      <c r="C15" s="118"/>
    </row>
    <row r="16" ht="15.75" customHeight="1">
      <c r="B16" s="118"/>
      <c r="C16" s="118"/>
    </row>
    <row r="17" ht="15.75" customHeight="1">
      <c r="B17" s="118"/>
      <c r="C17" s="118"/>
    </row>
    <row r="18" ht="15.75" customHeight="1">
      <c r="B18" s="118"/>
      <c r="C18" s="118"/>
    </row>
    <row r="19" ht="15.75" customHeight="1">
      <c r="B19" s="118"/>
      <c r="C19" s="118"/>
    </row>
    <row r="20" ht="15.75" customHeight="1">
      <c r="B20" s="118"/>
      <c r="C20" s="118"/>
    </row>
    <row r="21" ht="15.75" customHeight="1">
      <c r="B21" s="118"/>
      <c r="C21" s="118"/>
    </row>
    <row r="22" ht="15.75" customHeight="1">
      <c r="B22" s="118"/>
      <c r="C22" s="118"/>
    </row>
    <row r="23" ht="15.75" customHeight="1">
      <c r="B23" s="118"/>
      <c r="C23" s="118"/>
    </row>
    <row r="24" ht="15.75" customHeight="1">
      <c r="B24" s="118"/>
      <c r="C24" s="118"/>
    </row>
    <row r="25" ht="15.75" customHeight="1">
      <c r="B25" s="118"/>
      <c r="C25" s="118"/>
    </row>
    <row r="26" ht="15.75" customHeight="1">
      <c r="B26" s="118"/>
      <c r="C26" s="118"/>
    </row>
    <row r="27" ht="15.75" customHeight="1">
      <c r="B27" s="118"/>
      <c r="C27" s="118"/>
    </row>
    <row r="28" ht="15.75" customHeight="1">
      <c r="B28" s="118"/>
      <c r="C28" s="118"/>
    </row>
    <row r="29" ht="15.75" customHeight="1">
      <c r="B29" s="118"/>
      <c r="C29" s="118"/>
    </row>
    <row r="30" ht="15.75" customHeight="1">
      <c r="B30" s="118"/>
      <c r="C30" s="118"/>
    </row>
    <row r="31" ht="15.75" customHeight="1">
      <c r="B31" s="118"/>
      <c r="C31" s="118"/>
    </row>
    <row r="32" ht="15.75" customHeight="1">
      <c r="B32" s="118"/>
      <c r="C32" s="118"/>
    </row>
    <row r="33" ht="15.75" customHeight="1">
      <c r="B33" s="118"/>
      <c r="C33" s="118"/>
    </row>
    <row r="34" ht="15.75" customHeight="1">
      <c r="B34" s="118"/>
      <c r="C34" s="118"/>
    </row>
    <row r="35" ht="15.75" customHeight="1">
      <c r="B35" s="118"/>
      <c r="C35" s="118"/>
    </row>
    <row r="36" ht="15.75" customHeight="1">
      <c r="B36" s="118"/>
      <c r="C36" s="118"/>
    </row>
    <row r="37" ht="15.75" customHeight="1">
      <c r="B37" s="118"/>
      <c r="C37" s="118"/>
    </row>
    <row r="38" ht="15.75" customHeight="1">
      <c r="B38" s="118"/>
      <c r="C38" s="118"/>
    </row>
    <row r="39" ht="15.75" customHeight="1">
      <c r="B39" s="118"/>
      <c r="C39" s="118"/>
    </row>
    <row r="40" ht="15.75" customHeight="1">
      <c r="B40" s="118"/>
      <c r="C40" s="118"/>
    </row>
    <row r="41" ht="15.75" customHeight="1">
      <c r="B41" s="118"/>
      <c r="C41" s="118"/>
    </row>
    <row r="42" ht="15.75" customHeight="1">
      <c r="B42" s="118"/>
      <c r="C42" s="118"/>
    </row>
    <row r="43" ht="15.75" customHeight="1">
      <c r="B43" s="118"/>
      <c r="C43" s="118"/>
    </row>
    <row r="44" ht="15.75" customHeight="1">
      <c r="B44" s="118"/>
      <c r="C44" s="118"/>
    </row>
    <row r="45" ht="15.75" customHeight="1">
      <c r="B45" s="118"/>
      <c r="C45" s="118"/>
    </row>
    <row r="46" ht="15.75" customHeight="1">
      <c r="B46" s="118"/>
      <c r="C46" s="118"/>
    </row>
    <row r="47" ht="15.75" customHeight="1">
      <c r="B47" s="118"/>
      <c r="C47" s="118"/>
    </row>
    <row r="48" ht="15.75" customHeight="1">
      <c r="B48" s="118"/>
      <c r="C48" s="118"/>
    </row>
    <row r="49" ht="15.75" customHeight="1">
      <c r="B49" s="118"/>
      <c r="C49" s="118"/>
    </row>
    <row r="50" ht="15.75" customHeight="1">
      <c r="B50" s="118"/>
      <c r="C50" s="118"/>
    </row>
    <row r="51" ht="15.75" customHeight="1">
      <c r="B51" s="118"/>
      <c r="C51" s="118"/>
    </row>
    <row r="52" ht="15.75" customHeight="1">
      <c r="B52" s="118"/>
      <c r="C52" s="118"/>
    </row>
    <row r="53" ht="15.75" customHeight="1">
      <c r="B53" s="118"/>
      <c r="C53" s="118"/>
    </row>
    <row r="54" ht="15.75" customHeight="1">
      <c r="B54" s="118"/>
      <c r="C54" s="118"/>
    </row>
    <row r="55" ht="15.75" customHeight="1">
      <c r="B55" s="118"/>
      <c r="C55" s="118"/>
    </row>
    <row r="56" ht="15.75" customHeight="1">
      <c r="B56" s="118"/>
      <c r="C56" s="118"/>
    </row>
    <row r="57" ht="15.75" customHeight="1">
      <c r="B57" s="118"/>
      <c r="C57" s="118"/>
    </row>
    <row r="58" ht="15.75" customHeight="1">
      <c r="B58" s="118"/>
      <c r="C58" s="118"/>
    </row>
    <row r="59" ht="15.75" customHeight="1">
      <c r="B59" s="118"/>
      <c r="C59" s="118"/>
    </row>
    <row r="60" ht="15.75" customHeight="1">
      <c r="B60" s="118"/>
      <c r="C60" s="118"/>
    </row>
    <row r="61" ht="15.75" customHeight="1">
      <c r="B61" s="118"/>
      <c r="C61" s="118"/>
    </row>
    <row r="62" ht="15.75" customHeight="1">
      <c r="B62" s="118"/>
      <c r="C62" s="118"/>
    </row>
    <row r="63" ht="15.75" customHeight="1">
      <c r="B63" s="118"/>
      <c r="C63" s="118"/>
    </row>
    <row r="64" ht="15.75" customHeight="1">
      <c r="B64" s="118"/>
      <c r="C64" s="118"/>
    </row>
    <row r="65" ht="15.75" customHeight="1">
      <c r="B65" s="118"/>
      <c r="C65" s="118"/>
    </row>
    <row r="66" ht="15.75" customHeight="1">
      <c r="B66" s="118"/>
      <c r="C66" s="118"/>
    </row>
    <row r="67" ht="15.75" customHeight="1">
      <c r="B67" s="118"/>
      <c r="C67" s="118"/>
    </row>
    <row r="68" ht="15.75" customHeight="1">
      <c r="B68" s="118"/>
      <c r="C68" s="118"/>
    </row>
    <row r="69" ht="15.75" customHeight="1">
      <c r="B69" s="118"/>
      <c r="C69" s="118"/>
    </row>
    <row r="70" ht="15.75" customHeight="1">
      <c r="B70" s="118"/>
      <c r="C70" s="118"/>
    </row>
    <row r="71" ht="15.75" customHeight="1">
      <c r="B71" s="118"/>
      <c r="C71" s="118"/>
    </row>
    <row r="72" ht="15.75" customHeight="1">
      <c r="B72" s="118"/>
      <c r="C72" s="118"/>
    </row>
    <row r="73" ht="15.75" customHeight="1">
      <c r="B73" s="118"/>
      <c r="C73" s="118"/>
    </row>
    <row r="74" ht="15.75" customHeight="1">
      <c r="B74" s="118"/>
      <c r="C74" s="118"/>
    </row>
    <row r="75" ht="15.75" customHeight="1">
      <c r="B75" s="118"/>
      <c r="C75" s="118"/>
    </row>
    <row r="76" ht="15.75" customHeight="1">
      <c r="B76" s="118"/>
      <c r="C76" s="118"/>
    </row>
    <row r="77" ht="15.75" customHeight="1">
      <c r="B77" s="118"/>
      <c r="C77" s="118"/>
    </row>
    <row r="78" ht="15.75" customHeight="1">
      <c r="B78" s="118"/>
      <c r="C78" s="118"/>
    </row>
    <row r="79" ht="15.75" customHeight="1">
      <c r="B79" s="118"/>
      <c r="C79" s="118"/>
    </row>
    <row r="80" ht="15.75" customHeight="1">
      <c r="B80" s="118"/>
      <c r="C80" s="118"/>
    </row>
    <row r="81" ht="15.75" customHeight="1">
      <c r="B81" s="118"/>
      <c r="C81" s="118"/>
    </row>
    <row r="82" ht="15.75" customHeight="1">
      <c r="B82" s="118"/>
      <c r="C82" s="118"/>
    </row>
    <row r="83" ht="15.75" customHeight="1">
      <c r="B83" s="118"/>
      <c r="C83" s="118"/>
    </row>
    <row r="84" ht="15.75" customHeight="1">
      <c r="B84" s="118"/>
      <c r="C84" s="118"/>
    </row>
    <row r="85" ht="15.75" customHeight="1">
      <c r="B85" s="118"/>
      <c r="C85" s="118"/>
    </row>
    <row r="86" ht="15.75" customHeight="1">
      <c r="B86" s="118"/>
      <c r="C86" s="118"/>
    </row>
    <row r="87" ht="15.75" customHeight="1">
      <c r="B87" s="118"/>
      <c r="C87" s="118"/>
    </row>
    <row r="88" ht="15.75" customHeight="1">
      <c r="B88" s="118"/>
      <c r="C88" s="118"/>
    </row>
    <row r="89" ht="15.75" customHeight="1">
      <c r="B89" s="118"/>
      <c r="C89" s="118"/>
    </row>
    <row r="90" ht="15.75" customHeight="1">
      <c r="B90" s="118"/>
      <c r="C90" s="118"/>
    </row>
    <row r="91" ht="15.75" customHeight="1">
      <c r="B91" s="118"/>
      <c r="C91" s="118"/>
    </row>
    <row r="92" ht="15.75" customHeight="1">
      <c r="B92" s="118"/>
      <c r="C92" s="118"/>
    </row>
    <row r="93" ht="15.75" customHeight="1">
      <c r="B93" s="118"/>
      <c r="C93" s="118"/>
    </row>
    <row r="94" ht="15.75" customHeight="1">
      <c r="B94" s="118"/>
      <c r="C94" s="118"/>
    </row>
    <row r="95" ht="15.75" customHeight="1">
      <c r="B95" s="118"/>
      <c r="C95" s="118"/>
    </row>
    <row r="96" ht="15.75" customHeight="1">
      <c r="B96" s="118"/>
      <c r="C96" s="118"/>
    </row>
    <row r="97" ht="15.75" customHeight="1">
      <c r="B97" s="118"/>
      <c r="C97" s="118"/>
    </row>
    <row r="98" ht="15.75" customHeight="1">
      <c r="B98" s="118"/>
      <c r="C98" s="118"/>
    </row>
    <row r="99" ht="15.75" customHeight="1">
      <c r="B99" s="118"/>
      <c r="C99" s="118"/>
    </row>
    <row r="100" ht="15.75" customHeight="1">
      <c r="B100" s="118"/>
      <c r="C100" s="118"/>
    </row>
    <row r="101" ht="15.75" customHeight="1">
      <c r="B101" s="118"/>
      <c r="C101" s="118"/>
    </row>
    <row r="102" ht="15.75" customHeight="1">
      <c r="B102" s="118"/>
      <c r="C102" s="118"/>
    </row>
    <row r="103" ht="15.75" customHeight="1">
      <c r="B103" s="118"/>
      <c r="C103" s="118"/>
    </row>
    <row r="104" ht="15.75" customHeight="1">
      <c r="B104" s="118"/>
      <c r="C104" s="118"/>
    </row>
    <row r="105" ht="15.75" customHeight="1">
      <c r="B105" s="118"/>
      <c r="C105" s="118"/>
    </row>
    <row r="106" ht="15.75" customHeight="1">
      <c r="B106" s="118"/>
      <c r="C106" s="118"/>
    </row>
    <row r="107" ht="15.75" customHeight="1">
      <c r="B107" s="118"/>
      <c r="C107" s="118"/>
    </row>
    <row r="108" ht="15.75" customHeight="1">
      <c r="B108" s="118"/>
      <c r="C108" s="118"/>
    </row>
    <row r="109" ht="15.75" customHeight="1">
      <c r="B109" s="118"/>
      <c r="C109" s="118"/>
    </row>
    <row r="110" ht="15.75" customHeight="1">
      <c r="B110" s="118"/>
      <c r="C110" s="118"/>
    </row>
    <row r="111" ht="15.75" customHeight="1">
      <c r="B111" s="118"/>
      <c r="C111" s="118"/>
    </row>
    <row r="112" ht="15.75" customHeight="1">
      <c r="B112" s="118"/>
      <c r="C112" s="118"/>
    </row>
    <row r="113" ht="15.75" customHeight="1">
      <c r="B113" s="118"/>
      <c r="C113" s="118"/>
    </row>
    <row r="114" ht="15.75" customHeight="1">
      <c r="B114" s="118"/>
      <c r="C114" s="118"/>
    </row>
    <row r="115" ht="15.75" customHeight="1">
      <c r="B115" s="118"/>
      <c r="C115" s="118"/>
    </row>
    <row r="116" ht="15.75" customHeight="1">
      <c r="B116" s="118"/>
      <c r="C116" s="118"/>
    </row>
    <row r="117" ht="15.75" customHeight="1">
      <c r="B117" s="118"/>
      <c r="C117" s="118"/>
    </row>
    <row r="118" ht="15.75" customHeight="1">
      <c r="B118" s="118"/>
      <c r="C118" s="118"/>
    </row>
    <row r="119" ht="15.75" customHeight="1">
      <c r="B119" s="118"/>
      <c r="C119" s="118"/>
    </row>
    <row r="120" ht="15.75" customHeight="1">
      <c r="B120" s="118"/>
      <c r="C120" s="118"/>
    </row>
    <row r="121" ht="15.75" customHeight="1">
      <c r="B121" s="118"/>
      <c r="C121" s="118"/>
    </row>
    <row r="122" ht="15.75" customHeight="1">
      <c r="B122" s="118"/>
      <c r="C122" s="118"/>
    </row>
    <row r="123" ht="15.75" customHeight="1">
      <c r="B123" s="118"/>
      <c r="C123" s="118"/>
    </row>
    <row r="124" ht="15.75" customHeight="1">
      <c r="B124" s="118"/>
      <c r="C124" s="118"/>
    </row>
    <row r="125" ht="15.75" customHeight="1">
      <c r="B125" s="118"/>
      <c r="C125" s="118"/>
    </row>
    <row r="126" ht="15.75" customHeight="1">
      <c r="B126" s="118"/>
      <c r="C126" s="118"/>
    </row>
    <row r="127" ht="15.75" customHeight="1">
      <c r="B127" s="118"/>
      <c r="C127" s="118"/>
    </row>
    <row r="128" ht="15.75" customHeight="1">
      <c r="B128" s="118"/>
      <c r="C128" s="118"/>
    </row>
    <row r="129" ht="15.75" customHeight="1">
      <c r="B129" s="118"/>
      <c r="C129" s="118"/>
    </row>
    <row r="130" ht="15.75" customHeight="1">
      <c r="B130" s="118"/>
      <c r="C130" s="118"/>
    </row>
    <row r="131" ht="15.75" customHeight="1">
      <c r="B131" s="118"/>
      <c r="C131" s="118"/>
    </row>
    <row r="132" ht="15.75" customHeight="1">
      <c r="B132" s="118"/>
      <c r="C132" s="118"/>
    </row>
    <row r="133" ht="15.75" customHeight="1">
      <c r="B133" s="118"/>
      <c r="C133" s="118"/>
    </row>
    <row r="134" ht="15.75" customHeight="1">
      <c r="B134" s="118"/>
      <c r="C134" s="118"/>
    </row>
    <row r="135" ht="15.75" customHeight="1">
      <c r="B135" s="118"/>
      <c r="C135" s="118"/>
    </row>
    <row r="136" ht="15.75" customHeight="1">
      <c r="B136" s="118"/>
      <c r="C136" s="118"/>
    </row>
    <row r="137" ht="15.75" customHeight="1">
      <c r="B137" s="118"/>
      <c r="C137" s="118"/>
    </row>
    <row r="138" ht="15.75" customHeight="1">
      <c r="B138" s="118"/>
      <c r="C138" s="118"/>
    </row>
    <row r="139" ht="15.75" customHeight="1">
      <c r="B139" s="118"/>
      <c r="C139" s="118"/>
    </row>
    <row r="140" ht="15.75" customHeight="1">
      <c r="B140" s="118"/>
      <c r="C140" s="118"/>
    </row>
    <row r="141" ht="15.75" customHeight="1">
      <c r="B141" s="118"/>
      <c r="C141" s="118"/>
    </row>
    <row r="142" ht="15.75" customHeight="1">
      <c r="B142" s="118"/>
      <c r="C142" s="118"/>
    </row>
    <row r="143" ht="15.75" customHeight="1">
      <c r="B143" s="118"/>
      <c r="C143" s="118"/>
    </row>
    <row r="144" ht="15.75" customHeight="1">
      <c r="B144" s="118"/>
      <c r="C144" s="118"/>
    </row>
    <row r="145" ht="15.75" customHeight="1">
      <c r="B145" s="118"/>
      <c r="C145" s="118"/>
    </row>
    <row r="146" ht="15.75" customHeight="1">
      <c r="B146" s="118"/>
      <c r="C146" s="118"/>
    </row>
    <row r="147" ht="15.75" customHeight="1">
      <c r="B147" s="118"/>
      <c r="C147" s="118"/>
    </row>
    <row r="148" ht="15.75" customHeight="1">
      <c r="B148" s="118"/>
      <c r="C148" s="118"/>
    </row>
    <row r="149" ht="15.75" customHeight="1">
      <c r="B149" s="118"/>
      <c r="C149" s="118"/>
    </row>
    <row r="150" ht="15.75" customHeight="1">
      <c r="B150" s="118"/>
      <c r="C150" s="118"/>
    </row>
    <row r="151" ht="15.75" customHeight="1">
      <c r="B151" s="118"/>
      <c r="C151" s="118"/>
    </row>
    <row r="152" ht="15.75" customHeight="1">
      <c r="B152" s="118"/>
      <c r="C152" s="118"/>
    </row>
    <row r="153" ht="15.75" customHeight="1">
      <c r="B153" s="118"/>
      <c r="C153" s="118"/>
    </row>
    <row r="154" ht="15.75" customHeight="1">
      <c r="B154" s="118"/>
      <c r="C154" s="118"/>
    </row>
    <row r="155" ht="15.75" customHeight="1">
      <c r="B155" s="118"/>
      <c r="C155" s="118"/>
    </row>
    <row r="156" ht="15.75" customHeight="1">
      <c r="B156" s="118"/>
      <c r="C156" s="118"/>
    </row>
    <row r="157" ht="15.75" customHeight="1">
      <c r="B157" s="118"/>
      <c r="C157" s="118"/>
    </row>
    <row r="158" ht="15.75" customHeight="1">
      <c r="B158" s="118"/>
      <c r="C158" s="118"/>
    </row>
    <row r="159" ht="15.75" customHeight="1">
      <c r="B159" s="118"/>
      <c r="C159" s="118"/>
    </row>
    <row r="160" ht="15.75" customHeight="1">
      <c r="B160" s="118"/>
      <c r="C160" s="118"/>
    </row>
    <row r="161" ht="15.75" customHeight="1">
      <c r="B161" s="118"/>
      <c r="C161" s="118"/>
    </row>
    <row r="162" ht="15.75" customHeight="1">
      <c r="B162" s="118"/>
      <c r="C162" s="118"/>
    </row>
    <row r="163" ht="15.75" customHeight="1">
      <c r="B163" s="118"/>
      <c r="C163" s="118"/>
    </row>
    <row r="164" ht="15.75" customHeight="1">
      <c r="B164" s="118"/>
      <c r="C164" s="118"/>
    </row>
    <row r="165" ht="15.75" customHeight="1">
      <c r="B165" s="118"/>
      <c r="C165" s="118"/>
    </row>
    <row r="166" ht="15.75" customHeight="1">
      <c r="B166" s="118"/>
      <c r="C166" s="118"/>
    </row>
    <row r="167" ht="15.75" customHeight="1">
      <c r="B167" s="118"/>
      <c r="C167" s="118"/>
    </row>
    <row r="168" ht="15.75" customHeight="1">
      <c r="B168" s="118"/>
      <c r="C168" s="118"/>
    </row>
    <row r="169" ht="15.75" customHeight="1">
      <c r="B169" s="118"/>
      <c r="C169" s="118"/>
    </row>
    <row r="170" ht="15.75" customHeight="1">
      <c r="B170" s="118"/>
      <c r="C170" s="118"/>
    </row>
    <row r="171" ht="15.75" customHeight="1">
      <c r="B171" s="118"/>
      <c r="C171" s="118"/>
    </row>
    <row r="172" ht="15.75" customHeight="1">
      <c r="B172" s="118"/>
      <c r="C172" s="118"/>
    </row>
    <row r="173" ht="15.75" customHeight="1">
      <c r="B173" s="118"/>
      <c r="C173" s="118"/>
    </row>
    <row r="174" ht="15.75" customHeight="1">
      <c r="B174" s="118"/>
      <c r="C174" s="118"/>
    </row>
    <row r="175" ht="15.75" customHeight="1">
      <c r="B175" s="118"/>
      <c r="C175" s="118"/>
    </row>
    <row r="176" ht="15.75" customHeight="1">
      <c r="B176" s="118"/>
      <c r="C176" s="118"/>
    </row>
    <row r="177" ht="15.75" customHeight="1">
      <c r="B177" s="118"/>
      <c r="C177" s="118"/>
    </row>
    <row r="178" ht="15.75" customHeight="1">
      <c r="B178" s="118"/>
      <c r="C178" s="118"/>
    </row>
    <row r="179" ht="15.75" customHeight="1">
      <c r="B179" s="118"/>
      <c r="C179" s="118"/>
    </row>
    <row r="180" ht="15.75" customHeight="1">
      <c r="B180" s="118"/>
      <c r="C180" s="118"/>
    </row>
    <row r="181" ht="15.75" customHeight="1">
      <c r="B181" s="118"/>
      <c r="C181" s="118"/>
    </row>
    <row r="182" ht="15.75" customHeight="1">
      <c r="B182" s="118"/>
      <c r="C182" s="118"/>
    </row>
    <row r="183" ht="15.75" customHeight="1">
      <c r="B183" s="118"/>
      <c r="C183" s="118"/>
    </row>
    <row r="184" ht="15.75" customHeight="1">
      <c r="B184" s="118"/>
      <c r="C184" s="118"/>
    </row>
    <row r="185" ht="15.75" customHeight="1">
      <c r="B185" s="118"/>
      <c r="C185" s="118"/>
    </row>
    <row r="186" ht="15.75" customHeight="1">
      <c r="B186" s="118"/>
      <c r="C186" s="118"/>
    </row>
    <row r="187" ht="15.75" customHeight="1">
      <c r="B187" s="118"/>
      <c r="C187" s="118"/>
    </row>
    <row r="188" ht="15.75" customHeight="1">
      <c r="B188" s="118"/>
      <c r="C188" s="118"/>
    </row>
    <row r="189" ht="15.75" customHeight="1">
      <c r="B189" s="118"/>
      <c r="C189" s="118"/>
    </row>
    <row r="190" ht="15.75" customHeight="1">
      <c r="B190" s="118"/>
      <c r="C190" s="118"/>
    </row>
    <row r="191" ht="15.75" customHeight="1">
      <c r="B191" s="118"/>
      <c r="C191" s="118"/>
    </row>
    <row r="192" ht="15.75" customHeight="1">
      <c r="B192" s="118"/>
      <c r="C192" s="118"/>
    </row>
    <row r="193" ht="15.75" customHeight="1">
      <c r="B193" s="118"/>
      <c r="C193" s="118"/>
    </row>
    <row r="194" ht="15.75" customHeight="1">
      <c r="B194" s="118"/>
      <c r="C194" s="118"/>
    </row>
    <row r="195" ht="15.75" customHeight="1">
      <c r="B195" s="118"/>
      <c r="C195" s="118"/>
    </row>
    <row r="196" ht="15.75" customHeight="1">
      <c r="B196" s="118"/>
      <c r="C196" s="118"/>
    </row>
    <row r="197" ht="15.75" customHeight="1">
      <c r="B197" s="118"/>
      <c r="C197" s="118"/>
    </row>
    <row r="198" ht="15.75" customHeight="1">
      <c r="B198" s="118"/>
      <c r="C198" s="118"/>
    </row>
    <row r="199" ht="15.75" customHeight="1">
      <c r="B199" s="118"/>
      <c r="C199" s="118"/>
    </row>
    <row r="200" ht="15.75" customHeight="1">
      <c r="B200" s="118"/>
      <c r="C200" s="118"/>
    </row>
    <row r="201" ht="15.75" customHeight="1">
      <c r="B201" s="118"/>
      <c r="C201" s="118"/>
    </row>
    <row r="202" ht="15.75" customHeight="1">
      <c r="B202" s="118"/>
      <c r="C202" s="118"/>
    </row>
    <row r="203" ht="15.75" customHeight="1">
      <c r="B203" s="118"/>
      <c r="C203" s="118"/>
    </row>
    <row r="204" ht="15.75" customHeight="1">
      <c r="B204" s="118"/>
      <c r="C204" s="118"/>
    </row>
    <row r="205" ht="15.75" customHeight="1">
      <c r="B205" s="118"/>
      <c r="C205" s="118"/>
    </row>
    <row r="206" ht="15.75" customHeight="1">
      <c r="B206" s="118"/>
      <c r="C206" s="118"/>
    </row>
    <row r="207" ht="15.75" customHeight="1">
      <c r="B207" s="118"/>
      <c r="C207" s="118"/>
    </row>
    <row r="208" ht="15.75" customHeight="1">
      <c r="B208" s="118"/>
      <c r="C208" s="118"/>
    </row>
    <row r="209" ht="15.75" customHeight="1">
      <c r="B209" s="118"/>
      <c r="C209" s="118"/>
    </row>
    <row r="210" ht="15.75" customHeight="1">
      <c r="B210" s="118"/>
      <c r="C210" s="118"/>
    </row>
    <row r="211" ht="15.75" customHeight="1">
      <c r="B211" s="118"/>
      <c r="C211" s="118"/>
    </row>
    <row r="212" ht="15.75" customHeight="1">
      <c r="B212" s="118"/>
      <c r="C212" s="118"/>
    </row>
    <row r="213" ht="15.75" customHeight="1">
      <c r="B213" s="118"/>
      <c r="C213" s="118"/>
    </row>
    <row r="214" ht="15.75" customHeight="1">
      <c r="B214" s="118"/>
      <c r="C214" s="118"/>
    </row>
    <row r="215" ht="15.75" customHeight="1">
      <c r="B215" s="118"/>
      <c r="C215" s="118"/>
    </row>
    <row r="216" ht="15.75" customHeight="1">
      <c r="B216" s="118"/>
      <c r="C216" s="118"/>
    </row>
    <row r="217" ht="15.75" customHeight="1">
      <c r="B217" s="118"/>
      <c r="C217" s="118"/>
    </row>
    <row r="218" ht="15.75" customHeight="1">
      <c r="B218" s="118"/>
      <c r="C218" s="118"/>
    </row>
    <row r="219" ht="15.75" customHeight="1">
      <c r="B219" s="118"/>
      <c r="C219" s="118"/>
    </row>
    <row r="220" ht="15.75" customHeight="1">
      <c r="B220" s="118"/>
      <c r="C220" s="11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131" t="str">
        <f>IF(ISODD(INT((B$1 - '特殊配信マスタ'!$A$1)/7)), "隔週B", "隔週A")</f>
        <v>#REF!</v>
      </c>
      <c r="B1" s="132">
        <v>46154.0</v>
      </c>
      <c r="C1" s="133"/>
      <c r="D1" s="133"/>
      <c r="E1" s="133"/>
      <c r="F1" s="133"/>
      <c r="G1" s="134"/>
      <c r="H1" s="132">
        <f>B1+1</f>
        <v>46155</v>
      </c>
      <c r="I1" s="133"/>
      <c r="J1" s="133"/>
      <c r="K1" s="133"/>
      <c r="L1" s="133"/>
      <c r="M1" s="134"/>
      <c r="N1" s="132">
        <f>H1+1</f>
        <v>46156</v>
      </c>
      <c r="O1" s="133"/>
      <c r="P1" s="133"/>
      <c r="Q1" s="133"/>
      <c r="R1" s="133"/>
      <c r="S1" s="134"/>
      <c r="T1" s="132">
        <f>N1+1</f>
        <v>46157</v>
      </c>
      <c r="U1" s="133"/>
      <c r="V1" s="133"/>
      <c r="W1" s="133"/>
      <c r="X1" s="133"/>
      <c r="Y1" s="134"/>
      <c r="Z1" s="132">
        <f>T1+1</f>
        <v>46158</v>
      </c>
      <c r="AA1" s="133"/>
      <c r="AB1" s="133"/>
      <c r="AC1" s="133"/>
      <c r="AD1" s="133"/>
      <c r="AE1" s="134"/>
      <c r="AF1" s="132">
        <f>Z1+1</f>
        <v>46159</v>
      </c>
      <c r="AG1" s="133"/>
      <c r="AH1" s="133"/>
      <c r="AI1" s="133"/>
      <c r="AJ1" s="133"/>
      <c r="AK1" s="134"/>
      <c r="AL1" s="132">
        <f>AF1+1</f>
        <v>46160</v>
      </c>
      <c r="AM1" s="133"/>
      <c r="AN1" s="133"/>
      <c r="AO1" s="133"/>
      <c r="AP1" s="133"/>
      <c r="AQ1" s="134"/>
    </row>
    <row r="2" ht="15.75" customHeight="1">
      <c r="A2" s="135" t="str">
        <f>MOD(INT((B$1 - '特殊配信マスタ'!$A$1)/7), 3) + 1</f>
        <v>#REF!</v>
      </c>
      <c r="B2" s="136" t="s">
        <v>1072</v>
      </c>
      <c r="C2" s="137" t="s">
        <v>1131</v>
      </c>
      <c r="D2" s="134"/>
      <c r="E2" s="136" t="s">
        <v>88</v>
      </c>
      <c r="F2" s="136" t="s">
        <v>97</v>
      </c>
      <c r="G2" s="136" t="s">
        <v>98</v>
      </c>
      <c r="H2" s="136" t="s">
        <v>1072</v>
      </c>
      <c r="I2" s="137" t="s">
        <v>1131</v>
      </c>
      <c r="J2" s="134"/>
      <c r="K2" s="136" t="s">
        <v>88</v>
      </c>
      <c r="L2" s="136" t="s">
        <v>97</v>
      </c>
      <c r="M2" s="136" t="s">
        <v>98</v>
      </c>
      <c r="N2" s="136" t="s">
        <v>1072</v>
      </c>
      <c r="O2" s="137" t="s">
        <v>1131</v>
      </c>
      <c r="P2" s="134"/>
      <c r="Q2" s="136" t="s">
        <v>88</v>
      </c>
      <c r="R2" s="136" t="s">
        <v>97</v>
      </c>
      <c r="S2" s="136" t="s">
        <v>98</v>
      </c>
      <c r="T2" s="136" t="s">
        <v>1072</v>
      </c>
      <c r="U2" s="137" t="s">
        <v>1131</v>
      </c>
      <c r="V2" s="134"/>
      <c r="W2" s="136" t="s">
        <v>88</v>
      </c>
      <c r="X2" s="136" t="s">
        <v>97</v>
      </c>
      <c r="Y2" s="136" t="s">
        <v>98</v>
      </c>
      <c r="Z2" s="136" t="s">
        <v>1072</v>
      </c>
      <c r="AA2" s="137" t="s">
        <v>1131</v>
      </c>
      <c r="AB2" s="134"/>
      <c r="AC2" s="136" t="s">
        <v>88</v>
      </c>
      <c r="AD2" s="136" t="s">
        <v>97</v>
      </c>
      <c r="AE2" s="136" t="s">
        <v>98</v>
      </c>
      <c r="AF2" s="136" t="s">
        <v>1072</v>
      </c>
      <c r="AG2" s="137" t="s">
        <v>1131</v>
      </c>
      <c r="AH2" s="134"/>
      <c r="AI2" s="136" t="s">
        <v>88</v>
      </c>
      <c r="AJ2" s="136" t="s">
        <v>97</v>
      </c>
      <c r="AK2" s="136" t="s">
        <v>98</v>
      </c>
      <c r="AL2" s="136" t="s">
        <v>1072</v>
      </c>
      <c r="AM2" s="137" t="s">
        <v>1131</v>
      </c>
      <c r="AN2" s="134"/>
      <c r="AO2" s="136" t="s">
        <v>88</v>
      </c>
      <c r="AP2" s="136" t="s">
        <v>97</v>
      </c>
      <c r="AQ2" s="136" t="s">
        <v>98</v>
      </c>
    </row>
    <row r="3" ht="17.25" customHeight="1">
      <c r="A3" s="138">
        <v>8.0</v>
      </c>
      <c r="B3" s="139"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140" t="str">
        <f t="array" ref="C3">IF(B3="", "", 
  LET(
    targetRow, IFERROR(MATCH(TRUE, BYROW('PR管理'!$J$4:$T$101, LAMBDA(r, COUNTIF(r, B3)&gt;0)), 0), 0),
    IF(targetRow=0, "",
      LET(
        startDate, INDEX('PR管理'!$C$4:$C$101, targetRow),
        delLimit, INDEX('PR管理'!$F$4:$F$101, targetRow),
        prID, INDEX('PR管理'!$A$4:$A$101, targetRow),
        IF(AND('26414_編集版 のコピー 2'!B$1 &gt;= startDate, '26414_編集版 のコピー 2'!B$1 &lt;= delLimit), 
          IFERROR(VLOOKUP(B3, '新規'!$E$2:$H142, 4, 0), 
          IFERROR(VLOOKUP(B3, '特殊配信マスタ'!$E$3:$H142, 4, 0), 
          IFERROR(VLOOKUP(B3, '自動求人✅'!$C$3:$F142, 4, 0), prID))), 
        "")
      )
    )
  )
)</f>
        <v/>
      </c>
      <c r="D3" s="141"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141"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141"/>
      <c r="G3" s="141"/>
      <c r="H3" s="139"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140" t="str">
        <f t="array" ref="I3">IF(H3="", "", 
  LET(
    targetRow, IFERROR(MATCH(TRUE, BYROW('PR管理'!$J$4:$T$101, LAMBDA(r, COUNTIF(r, H3)&gt;0)), 0), 0),
    IF(targetRow=0, "",
      LET(
        startDate, INDEX('PR管理'!$C$4:$C$101, targetRow),
        delLimit, INDEX('PR管理'!$F$4:$F$101, targetRow),
        prID, INDEX('PR管理'!$A$4:$A$101, targetRow),
        IF(AND('26414_編集版 のコピー 2'!H$1 &gt;= startDate, '26414_編集版 のコピー 2'!H$1 &lt;= delLimit), 
          IFERROR(VLOOKUP(H3, '新規'!$E$2:$H142, 4, 0), 
          IFERROR(VLOOKUP(H3, '特殊配信マスタ'!$E$3:$H142, 4, 0), 
          IFERROR(VLOOKUP(H3, '自動求人✅'!$C$3:$F142, 4, 0), prID))), 
        "")
      )
    )
  )
)</f>
        <v/>
      </c>
      <c r="J3" s="141"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141"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141"/>
      <c r="M3" s="141"/>
      <c r="N3" s="139"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140" t="str">
        <f t="array" ref="O3">IF(N3="", "", 
  LET(
    targetRow, IFERROR(MATCH(TRUE, BYROW('PR管理'!$J$4:$T$101, LAMBDA(r, COUNTIF(r, N3)&gt;0)), 0), 0),
    IF(targetRow=0, "",
      LET(
        startDate, INDEX('PR管理'!$C$4:$C$101, targetRow),
        delLimit, INDEX('PR管理'!$F$4:$F$101, targetRow),
        prID, INDEX('PR管理'!$A$4:$A$101, targetRow),
        IF(AND('26414_編集版 のコピー 2'!N$1 &gt;= startDate, '26414_編集版 のコピー 2'!N$1 &lt;= delLimit), 
          IFERROR(VLOOKUP(N3, '新規'!$E$2:$H142, 4, 0), 
          IFERROR(VLOOKUP(N3, '特殊配信マスタ'!$E$3:$H142, 4, 0), 
          IFERROR(VLOOKUP(N3, '自動求人✅'!$C$3:$F142, 4, 0), prID))), 
        "")
      )
    )
  )
)</f>
        <v/>
      </c>
      <c r="P3" s="141"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141"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141"/>
      <c r="S3" s="141"/>
      <c r="T3" s="139"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140" t="str">
        <f t="array" ref="U3">IF(T3="", "", 
  LET(
    targetRow, IFERROR(MATCH(TRUE, BYROW('PR管理'!$J$4:$T$101, LAMBDA(r, COUNTIF(r, T3)&gt;0)), 0), 0),
    IF(targetRow=0, "",
      LET(
        startDate, INDEX('PR管理'!$C$4:$C$101, targetRow),
        delLimit, INDEX('PR管理'!$F$4:$F$101, targetRow),
        prID, INDEX('PR管理'!$A$4:$A$101, targetRow),
        IF(AND('26414_編集版 のコピー 2'!T$1 &gt;= startDate, '26414_編集版 のコピー 2'!T$1 &lt;= delLimit), 
          IFERROR(VLOOKUP(T3, '新規'!$E$2:$H142, 4, 0), 
          IFERROR(VLOOKUP(T3, '特殊配信マスタ'!$E$3:$H142, 4, 0), 
          IFERROR(VLOOKUP(T3, '自動求人✅'!$C$3:$F142, 4, 0), prID))), 
        "")
      )
    )
  )
)</f>
        <v/>
      </c>
      <c r="V3" s="141"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141"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141"/>
      <c r="Y3" s="141"/>
      <c r="Z3" s="139"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140" t="str">
        <f t="array" ref="AA3">IF(Z3="", "", 
  LET(
    targetRow, IFERROR(MATCH(TRUE, BYROW('PR管理'!$J$4:$T$101, LAMBDA(r, COUNTIF(r, Z3)&gt;0)), 0), 0),
    IF(targetRow=0, "",
      LET(
        startDate, INDEX('PR管理'!$C$4:$C$101, targetRow),
        delLimit, INDEX('PR管理'!$F$4:$F$101, targetRow),
        prID, INDEX('PR管理'!$A$4:$A$101, targetRow),
        IF(AND('26414_編集版 のコピー 2'!Z$1 &gt;= startDate, '26414_編集版 のコピー 2'!Z$1 &lt;= delLimit), 
          IFERROR(VLOOKUP(Z3, '新規'!$E$2:$H142, 4, 0), 
          IFERROR(VLOOKUP(Z3, '特殊配信マスタ'!$E$3:$H142, 4, 0), 
          IFERROR(VLOOKUP(Z3, '自動求人✅'!$C$3:$F142, 4, 0), prID))), 
        "")
      )
    )
  )
)</f>
        <v/>
      </c>
      <c r="AB3" s="141"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141"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141"/>
      <c r="AE3" s="141"/>
      <c r="AF3" s="139"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140" t="str">
        <f t="array" ref="AG3">IF(AF3="", "", 
  LET(
    targetRow, IFERROR(MATCH(TRUE, BYROW('PR管理'!$J$4:$T$101, LAMBDA(r, COUNTIF(r, AF3)&gt;0)), 0), 0),
    IF(targetRow=0, "",
      LET(
        startDate, INDEX('PR管理'!$C$4:$C$101, targetRow),
        delLimit, INDEX('PR管理'!$F$4:$F$101, targetRow),
        prID, INDEX('PR管理'!$A$4:$A$101, targetRow),
        IF(AND('26414_編集版 のコピー 2'!AF$1 &gt;= startDate, '26414_編集版 のコピー 2'!AF$1 &lt;= delLimit), 
          IFERROR(VLOOKUP(AF3, '新規'!$E$2:$H142, 4, 0), 
          IFERROR(VLOOKUP(AF3, '特殊配信マスタ'!$E$3:$H142, 4, 0), 
          IFERROR(VLOOKUP(AF3, '自動求人✅'!$C$3:$F142, 4, 0), prID))), 
        "")
      )
    )
  )
)</f>
        <v/>
      </c>
      <c r="AH3" s="141"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141"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141"/>
      <c r="AK3" s="141"/>
      <c r="AL3" s="139"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140" t="str">
        <f t="array" ref="AM3">IF(AL3="", "", 
  LET(
    targetRow, IFERROR(MATCH(TRUE, BYROW('PR管理'!$J$4:$T$101, LAMBDA(r, COUNTIF(r, AL3)&gt;0)), 0), 0),
    IF(targetRow=0, "",
      LET(
        startDate, INDEX('PR管理'!$C$4:$C$101, targetRow),
        delLimit, INDEX('PR管理'!$F$4:$F$101, targetRow),
        prID, INDEX('PR管理'!$A$4:$A$101, targetRow),
        IF(AND('26414_編集版 のコピー 2'!AL$1 &gt;= startDate, '26414_編集版 のコピー 2'!AL$1 &lt;= delLimit), 
          IFERROR(VLOOKUP(AL3, '新規'!$E$2:$H142, 4, 0), 
          IFERROR(VLOOKUP(AL3, '特殊配信マスタ'!$E$3:$H142, 4, 0), 
          IFERROR(VLOOKUP(AL3, '自動求人✅'!$C$3:$F142, 4, 0), prID))), 
        "")
      )
    )
  )
)</f>
        <v/>
      </c>
      <c r="AN3" s="141"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141"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141"/>
      <c r="AQ3" s="141"/>
    </row>
    <row r="4" ht="17.25" customHeight="1">
      <c r="A4" s="142"/>
      <c r="B4" s="139"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140" t="str">
        <f t="array" ref="C4">IF(B4="", "", 
  LET(
    targetRow, IFERROR(MATCH(TRUE, BYROW('PR管理'!$J$4:$T$101, LAMBDA(r, COUNTIF(r, B4)&gt;0)), 0), 0),
    IF(targetRow=0, "",
      LET(
        startDate, INDEX('PR管理'!$C$4:$C$101, targetRow),
        delLimit, INDEX('PR管理'!$F$4:$F$101, targetRow),
        prID, INDEX('PR管理'!$A$4:$A$101, targetRow),
        IF(AND('26414_編集版 のコピー 2'!B$1 &gt;= startDate, '26414_編集版 のコピー 2'!B$1 &lt;= delLimit), 
          IFERROR(VLOOKUP(B4, '新規'!$E$2:$H142, 4, 0), 
          IFERROR(VLOOKUP(B4, '特殊配信マスタ'!$E$3:$H142, 4, 0), 
          IFERROR(VLOOKUP(B4, '自動求人✅'!$C$3:$F142, 4, 0), prID))), 
        "")
      )
    )
  )
)</f>
        <v/>
      </c>
      <c r="D4" s="141" t="str">
        <f t="shared" si="1"/>
        <v/>
      </c>
      <c r="E4" s="141"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141"/>
      <c r="G4" s="141"/>
      <c r="H4" s="139"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140" t="str">
        <f t="array" ref="I4">IF(H4="", "", 
  LET(
    targetRow, IFERROR(MATCH(TRUE, BYROW('PR管理'!$J$4:$T$101, LAMBDA(r, COUNTIF(r, H4)&gt;0)), 0), 0),
    IF(targetRow=0, "",
      LET(
        startDate, INDEX('PR管理'!$C$4:$C$101, targetRow),
        delLimit, INDEX('PR管理'!$F$4:$F$101, targetRow),
        prID, INDEX('PR管理'!$A$4:$A$101, targetRow),
        IF(AND('26414_編集版 のコピー 2'!H$1 &gt;= startDate, '26414_編集版 のコピー 2'!H$1 &lt;= delLimit), 
          IFERROR(VLOOKUP(H4, '新規'!$E$2:$H142, 4, 0), 
          IFERROR(VLOOKUP(H4, '特殊配信マスタ'!$E$3:$H142, 4, 0), 
          IFERROR(VLOOKUP(H4, '自動求人✅'!$C$3:$F142, 4, 0), prID))), 
        "")
      )
    )
  )
)</f>
        <v/>
      </c>
      <c r="J4" s="141" t="str">
        <f t="shared" si="2"/>
        <v/>
      </c>
      <c r="K4" s="141"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141"/>
      <c r="M4" s="141"/>
      <c r="N4" s="139"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140" t="str">
        <f t="array" ref="O4">IF(N4="", "", 
  LET(
    targetRow, IFERROR(MATCH(TRUE, BYROW('PR管理'!$J$4:$T$101, LAMBDA(r, COUNTIF(r, N4)&gt;0)), 0), 0),
    IF(targetRow=0, "",
      LET(
        startDate, INDEX('PR管理'!$C$4:$C$101, targetRow),
        delLimit, INDEX('PR管理'!$F$4:$F$101, targetRow),
        prID, INDEX('PR管理'!$A$4:$A$101, targetRow),
        IF(AND('26414_編集版 のコピー 2'!N$1 &gt;= startDate, '26414_編集版 のコピー 2'!N$1 &lt;= delLimit), 
          IFERROR(VLOOKUP(N4, '新規'!$E$2:$H142, 4, 0), 
          IFERROR(VLOOKUP(N4, '特殊配信マスタ'!$E$3:$H142, 4, 0), 
          IFERROR(VLOOKUP(N4, '自動求人✅'!$C$3:$F142, 4, 0), prID))), 
        "")
      )
    )
  )
)</f>
        <v/>
      </c>
      <c r="P4" s="141" t="str">
        <f t="shared" si="3"/>
        <v/>
      </c>
      <c r="Q4" s="141"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141"/>
      <c r="S4" s="141"/>
      <c r="T4" s="139"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140" t="str">
        <f t="array" ref="U4">IF(T4="", "", 
  LET(
    targetRow, IFERROR(MATCH(TRUE, BYROW('PR管理'!$J$4:$T$101, LAMBDA(r, COUNTIF(r, T4)&gt;0)), 0), 0),
    IF(targetRow=0, "",
      LET(
        startDate, INDEX('PR管理'!$C$4:$C$101, targetRow),
        delLimit, INDEX('PR管理'!$F$4:$F$101, targetRow),
        prID, INDEX('PR管理'!$A$4:$A$101, targetRow),
        IF(AND('26414_編集版 のコピー 2'!T$1 &gt;= startDate, '26414_編集版 のコピー 2'!T$1 &lt;= delLimit), 
          IFERROR(VLOOKUP(T4, '新規'!$E$2:$H142, 4, 0), 
          IFERROR(VLOOKUP(T4, '特殊配信マスタ'!$E$3:$H142, 4, 0), 
          IFERROR(VLOOKUP(T4, '自動求人✅'!$C$3:$F142, 4, 0), prID))), 
        "")
      )
    )
  )
)</f>
        <v/>
      </c>
      <c r="V4" s="141" t="str">
        <f t="shared" si="4"/>
        <v/>
      </c>
      <c r="W4" s="141"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141"/>
      <c r="Y4" s="141"/>
      <c r="Z4" s="139"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140" t="str">
        <f t="array" ref="AA4">IF(Z4="", "", 
  LET(
    targetRow, IFERROR(MATCH(TRUE, BYROW('PR管理'!$J$4:$T$101, LAMBDA(r, COUNTIF(r, Z4)&gt;0)), 0), 0),
    IF(targetRow=0, "",
      LET(
        startDate, INDEX('PR管理'!$C$4:$C$101, targetRow),
        delLimit, INDEX('PR管理'!$F$4:$F$101, targetRow),
        prID, INDEX('PR管理'!$A$4:$A$101, targetRow),
        IF(AND('26414_編集版 のコピー 2'!Z$1 &gt;= startDate, '26414_編集版 のコピー 2'!Z$1 &lt;= delLimit), 
          IFERROR(VLOOKUP(Z4, '新規'!$E$2:$H142, 4, 0), 
          IFERROR(VLOOKUP(Z4, '特殊配信マスタ'!$E$3:$H142, 4, 0), 
          IFERROR(VLOOKUP(Z4, '自動求人✅'!$C$3:$F142, 4, 0), prID))), 
        "")
      )
    )
  )
)</f>
        <v/>
      </c>
      <c r="AB4" s="141" t="str">
        <f t="shared" si="5"/>
        <v/>
      </c>
      <c r="AC4" s="141"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141"/>
      <c r="AE4" s="141"/>
      <c r="AF4" s="139"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140" t="str">
        <f t="array" ref="AG4">IF(AF4="", "", 
  LET(
    targetRow, IFERROR(MATCH(TRUE, BYROW('PR管理'!$J$4:$T$101, LAMBDA(r, COUNTIF(r, AF4)&gt;0)), 0), 0),
    IF(targetRow=0, "",
      LET(
        startDate, INDEX('PR管理'!$C$4:$C$101, targetRow),
        delLimit, INDEX('PR管理'!$F$4:$F$101, targetRow),
        prID, INDEX('PR管理'!$A$4:$A$101, targetRow),
        IF(AND('26414_編集版 のコピー 2'!AF$1 &gt;= startDate, '26414_編集版 のコピー 2'!AF$1 &lt;= delLimit), 
          IFERROR(VLOOKUP(AF4, '新規'!$E$2:$H142, 4, 0), 
          IFERROR(VLOOKUP(AF4, '特殊配信マスタ'!$E$3:$H142, 4, 0), 
          IFERROR(VLOOKUP(AF4, '自動求人✅'!$C$3:$F142, 4, 0), prID))), 
        "")
      )
    )
  )
)</f>
        <v/>
      </c>
      <c r="AH4" s="141" t="str">
        <f t="shared" si="6"/>
        <v/>
      </c>
      <c r="AI4" s="141"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141"/>
      <c r="AK4" s="141"/>
      <c r="AL4" s="139"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140" t="str">
        <f t="array" ref="AM4">IF(AL4="", "", 
  LET(
    targetRow, IFERROR(MATCH(TRUE, BYROW('PR管理'!$J$4:$T$101, LAMBDA(r, COUNTIF(r, AL4)&gt;0)), 0), 0),
    IF(targetRow=0, "",
      LET(
        startDate, INDEX('PR管理'!$C$4:$C$101, targetRow),
        delLimit, INDEX('PR管理'!$F$4:$F$101, targetRow),
        prID, INDEX('PR管理'!$A$4:$A$101, targetRow),
        IF(AND('26414_編集版 のコピー 2'!AL$1 &gt;= startDate, '26414_編集版 のコピー 2'!AL$1 &lt;= delLimit), 
          IFERROR(VLOOKUP(AL4, '新規'!$E$2:$H142, 4, 0), 
          IFERROR(VLOOKUP(AL4, '特殊配信マスタ'!$E$3:$H142, 4, 0), 
          IFERROR(VLOOKUP(AL4, '自動求人✅'!$C$3:$F142, 4, 0), prID))), 
        "")
      )
    )
  )
)</f>
        <v/>
      </c>
      <c r="AN4" s="141" t="str">
        <f t="shared" si="7"/>
        <v/>
      </c>
      <c r="AO4" s="141"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141"/>
      <c r="AQ4" s="141"/>
    </row>
    <row r="5" ht="17.25" customHeight="1">
      <c r="A5" s="142"/>
      <c r="B5" s="139"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140" t="str">
        <f t="array" ref="C5">IF(B5="", "", 
  LET(
    targetRow, IFERROR(MATCH(TRUE, BYROW('PR管理'!$J$4:$T$101, LAMBDA(r, COUNTIF(r, B5)&gt;0)), 0), 0),
    IF(targetRow=0, "",
      LET(
        startDate, INDEX('PR管理'!$C$4:$C$101, targetRow),
        delLimit, INDEX('PR管理'!$F$4:$F$101, targetRow),
        prID, INDEX('PR管理'!$A$4:$A$101, targetRow),
        IF(AND('26414_編集版 のコピー 2'!B$1 &gt;= startDate, '26414_編集版 のコピー 2'!B$1 &lt;= delLimit), 
          IFERROR(VLOOKUP(B5, '新規'!$E$2:$H142, 4, 0), 
          IFERROR(VLOOKUP(B5, '特殊配信マスタ'!$E$3:$H142, 4, 0), 
          IFERROR(VLOOKUP(B5, '自動求人✅'!$C$3:$F142, 4, 0), prID))), 
        "")
      )
    )
  )
)</f>
        <v/>
      </c>
      <c r="D5" s="141" t="str">
        <f t="shared" si="1"/>
        <v/>
      </c>
      <c r="E5" s="141"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141"/>
      <c r="G5" s="141"/>
      <c r="H5" s="139"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140" t="str">
        <f t="array" ref="I5">IF(H5="", "", 
  LET(
    targetRow, IFERROR(MATCH(TRUE, BYROW('PR管理'!$J$4:$T$101, LAMBDA(r, COUNTIF(r, H5)&gt;0)), 0), 0),
    IF(targetRow=0, "",
      LET(
        startDate, INDEX('PR管理'!$C$4:$C$101, targetRow),
        delLimit, INDEX('PR管理'!$F$4:$F$101, targetRow),
        prID, INDEX('PR管理'!$A$4:$A$101, targetRow),
        IF(AND('26414_編集版 のコピー 2'!H$1 &gt;= startDate, '26414_編集版 のコピー 2'!H$1 &lt;= delLimit), 
          IFERROR(VLOOKUP(H5, '新規'!$E$2:$H142, 4, 0), 
          IFERROR(VLOOKUP(H5, '特殊配信マスタ'!$E$3:$H142, 4, 0), 
          IFERROR(VLOOKUP(H5, '自動求人✅'!$C$3:$F142, 4, 0), prID))), 
        "")
      )
    )
  )
)</f>
        <v/>
      </c>
      <c r="J5" s="141" t="str">
        <f t="shared" si="2"/>
        <v/>
      </c>
      <c r="K5" s="141"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141"/>
      <c r="M5" s="141"/>
      <c r="N5" s="139"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140" t="str">
        <f t="array" ref="O5">IF(N5="", "", 
  LET(
    targetRow, IFERROR(MATCH(TRUE, BYROW('PR管理'!$J$4:$T$101, LAMBDA(r, COUNTIF(r, N5)&gt;0)), 0), 0),
    IF(targetRow=0, "",
      LET(
        startDate, INDEX('PR管理'!$C$4:$C$101, targetRow),
        delLimit, INDEX('PR管理'!$F$4:$F$101, targetRow),
        prID, INDEX('PR管理'!$A$4:$A$101, targetRow),
        IF(AND('26414_編集版 のコピー 2'!N$1 &gt;= startDate, '26414_編集版 のコピー 2'!N$1 &lt;= delLimit), 
          IFERROR(VLOOKUP(N5, '新規'!$E$2:$H142, 4, 0), 
          IFERROR(VLOOKUP(N5, '特殊配信マスタ'!$E$3:$H142, 4, 0), 
          IFERROR(VLOOKUP(N5, '自動求人✅'!$C$3:$F142, 4, 0), prID))), 
        "")
      )
    )
  )
)</f>
        <v/>
      </c>
      <c r="P5" s="141" t="str">
        <f t="shared" si="3"/>
        <v/>
      </c>
      <c r="Q5" s="141"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141"/>
      <c r="S5" s="141"/>
      <c r="T5" s="139"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140" t="str">
        <f t="array" ref="U5">IF(T5="", "", 
  LET(
    targetRow, IFERROR(MATCH(TRUE, BYROW('PR管理'!$J$4:$T$101, LAMBDA(r, COUNTIF(r, T5)&gt;0)), 0), 0),
    IF(targetRow=0, "",
      LET(
        startDate, INDEX('PR管理'!$C$4:$C$101, targetRow),
        delLimit, INDEX('PR管理'!$F$4:$F$101, targetRow),
        prID, INDEX('PR管理'!$A$4:$A$101, targetRow),
        IF(AND('26414_編集版 のコピー 2'!T$1 &gt;= startDate, '26414_編集版 のコピー 2'!T$1 &lt;= delLimit), 
          IFERROR(VLOOKUP(T5, '新規'!$E$2:$H142, 4, 0), 
          IFERROR(VLOOKUP(T5, '特殊配信マスタ'!$E$3:$H142, 4, 0), 
          IFERROR(VLOOKUP(T5, '自動求人✅'!$C$3:$F142, 4, 0), prID))), 
        "")
      )
    )
  )
)</f>
        <v/>
      </c>
      <c r="V5" s="141" t="str">
        <f t="shared" si="4"/>
        <v/>
      </c>
      <c r="W5" s="141"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141"/>
      <c r="Y5" s="141"/>
      <c r="Z5" s="139"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140" t="str">
        <f t="array" ref="AA5">IF(Z5="", "", 
  LET(
    targetRow, IFERROR(MATCH(TRUE, BYROW('PR管理'!$J$4:$T$101, LAMBDA(r, COUNTIF(r, Z5)&gt;0)), 0), 0),
    IF(targetRow=0, "",
      LET(
        startDate, INDEX('PR管理'!$C$4:$C$101, targetRow),
        delLimit, INDEX('PR管理'!$F$4:$F$101, targetRow),
        prID, INDEX('PR管理'!$A$4:$A$101, targetRow),
        IF(AND('26414_編集版 のコピー 2'!Z$1 &gt;= startDate, '26414_編集版 のコピー 2'!Z$1 &lt;= delLimit), 
          IFERROR(VLOOKUP(Z5, '新規'!$E$2:$H142, 4, 0), 
          IFERROR(VLOOKUP(Z5, '特殊配信マスタ'!$E$3:$H142, 4, 0), 
          IFERROR(VLOOKUP(Z5, '自動求人✅'!$C$3:$F142, 4, 0), prID))), 
        "")
      )
    )
  )
)</f>
        <v/>
      </c>
      <c r="AB5" s="141" t="str">
        <f t="shared" si="5"/>
        <v/>
      </c>
      <c r="AC5" s="141"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141"/>
      <c r="AE5" s="141"/>
      <c r="AF5" s="139"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140" t="str">
        <f t="array" ref="AG5">IF(AF5="", "", 
  LET(
    targetRow, IFERROR(MATCH(TRUE, BYROW('PR管理'!$J$4:$T$101, LAMBDA(r, COUNTIF(r, AF5)&gt;0)), 0), 0),
    IF(targetRow=0, "",
      LET(
        startDate, INDEX('PR管理'!$C$4:$C$101, targetRow),
        delLimit, INDEX('PR管理'!$F$4:$F$101, targetRow),
        prID, INDEX('PR管理'!$A$4:$A$101, targetRow),
        IF(AND('26414_編集版 のコピー 2'!AF$1 &gt;= startDate, '26414_編集版 のコピー 2'!AF$1 &lt;= delLimit), 
          IFERROR(VLOOKUP(AF5, '新規'!$E$2:$H142, 4, 0), 
          IFERROR(VLOOKUP(AF5, '特殊配信マスタ'!$E$3:$H142, 4, 0), 
          IFERROR(VLOOKUP(AF5, '自動求人✅'!$C$3:$F142, 4, 0), prID))), 
        "")
      )
    )
  )
)</f>
        <v/>
      </c>
      <c r="AH5" s="141" t="str">
        <f t="shared" si="6"/>
        <v/>
      </c>
      <c r="AI5" s="141"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141"/>
      <c r="AK5" s="141"/>
      <c r="AL5" s="139"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140" t="str">
        <f t="array" ref="AM5">IF(AL5="", "", 
  LET(
    targetRow, IFERROR(MATCH(TRUE, BYROW('PR管理'!$J$4:$T$101, LAMBDA(r, COUNTIF(r, AL5)&gt;0)), 0), 0),
    IF(targetRow=0, "",
      LET(
        startDate, INDEX('PR管理'!$C$4:$C$101, targetRow),
        delLimit, INDEX('PR管理'!$F$4:$F$101, targetRow),
        prID, INDEX('PR管理'!$A$4:$A$101, targetRow),
        IF(AND('26414_編集版 のコピー 2'!AL$1 &gt;= startDate, '26414_編集版 のコピー 2'!AL$1 &lt;= delLimit), 
          IFERROR(VLOOKUP(AL5, '新規'!$E$2:$H142, 4, 0), 
          IFERROR(VLOOKUP(AL5, '特殊配信マスタ'!$E$3:$H142, 4, 0), 
          IFERROR(VLOOKUP(AL5, '自動求人✅'!$C$3:$F142, 4, 0), prID))), 
        "")
      )
    )
  )
)</f>
        <v/>
      </c>
      <c r="AN5" s="141" t="str">
        <f t="shared" si="7"/>
        <v/>
      </c>
      <c r="AO5" s="141"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141"/>
      <c r="AQ5" s="141"/>
    </row>
    <row r="6" ht="17.25" customHeight="1">
      <c r="A6" s="142"/>
      <c r="B6" s="139"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140" t="str">
        <f t="array" ref="C6">IF(B6="", "", 
  LET(
    targetRow, IFERROR(MATCH(TRUE, BYROW('PR管理'!$J$4:$T$101, LAMBDA(r, COUNTIF(r, B6)&gt;0)), 0), 0),
    IF(targetRow=0, "",
      LET(
        startDate, INDEX('PR管理'!$C$4:$C$101, targetRow),
        delLimit, INDEX('PR管理'!$F$4:$F$101, targetRow),
        prID, INDEX('PR管理'!$A$4:$A$101, targetRow),
        IF(AND('26414_編集版 のコピー 2'!B$1 &gt;= startDate, '26414_編集版 のコピー 2'!B$1 &lt;= delLimit), 
          IFERROR(VLOOKUP(B6, '新規'!$E$2:$H142, 4, 0), 
          IFERROR(VLOOKUP(B6, '特殊配信マスタ'!$E$3:$H142, 4, 0), 
          IFERROR(VLOOKUP(B6, '自動求人✅'!$C$3:$F142, 4, 0), prID))), 
        "")
      )
    )
  )
)</f>
        <v/>
      </c>
      <c r="D6" s="141" t="str">
        <f t="shared" si="1"/>
        <v/>
      </c>
      <c r="E6" s="141"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141"/>
      <c r="G6" s="141"/>
      <c r="H6" s="139"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140" t="str">
        <f t="array" ref="I6">IF(H6="", "", 
  LET(
    targetRow, IFERROR(MATCH(TRUE, BYROW('PR管理'!$J$4:$T$101, LAMBDA(r, COUNTIF(r, H6)&gt;0)), 0), 0),
    IF(targetRow=0, "",
      LET(
        startDate, INDEX('PR管理'!$C$4:$C$101, targetRow),
        delLimit, INDEX('PR管理'!$F$4:$F$101, targetRow),
        prID, INDEX('PR管理'!$A$4:$A$101, targetRow),
        IF(AND('26414_編集版 のコピー 2'!H$1 &gt;= startDate, '26414_編集版 のコピー 2'!H$1 &lt;= delLimit), 
          IFERROR(VLOOKUP(H6, '新規'!$E$2:$H142, 4, 0), 
          IFERROR(VLOOKUP(H6, '特殊配信マスタ'!$E$3:$H142, 4, 0), 
          IFERROR(VLOOKUP(H6, '自動求人✅'!$C$3:$F142, 4, 0), prID))), 
        "")
      )
    )
  )
)</f>
        <v/>
      </c>
      <c r="J6" s="141" t="str">
        <f t="shared" si="2"/>
        <v/>
      </c>
      <c r="K6" s="141"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141"/>
      <c r="M6" s="141"/>
      <c r="N6" s="139"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140" t="str">
        <f t="array" ref="O6">IF(N6="", "", 
  LET(
    targetRow, IFERROR(MATCH(TRUE, BYROW('PR管理'!$J$4:$T$101, LAMBDA(r, COUNTIF(r, N6)&gt;0)), 0), 0),
    IF(targetRow=0, "",
      LET(
        startDate, INDEX('PR管理'!$C$4:$C$101, targetRow),
        delLimit, INDEX('PR管理'!$F$4:$F$101, targetRow),
        prID, INDEX('PR管理'!$A$4:$A$101, targetRow),
        IF(AND('26414_編集版 のコピー 2'!N$1 &gt;= startDate, '26414_編集版 のコピー 2'!N$1 &lt;= delLimit), 
          IFERROR(VLOOKUP(N6, '新規'!$E$2:$H142, 4, 0), 
          IFERROR(VLOOKUP(N6, '特殊配信マスタ'!$E$3:$H142, 4, 0), 
          IFERROR(VLOOKUP(N6, '自動求人✅'!$C$3:$F142, 4, 0), prID))), 
        "")
      )
    )
  )
)</f>
        <v/>
      </c>
      <c r="P6" s="141" t="str">
        <f t="shared" si="3"/>
        <v/>
      </c>
      <c r="Q6" s="141"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141"/>
      <c r="S6" s="141"/>
      <c r="T6" s="139"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140" t="str">
        <f t="array" ref="U6">IF(T6="", "", 
  LET(
    targetRow, IFERROR(MATCH(TRUE, BYROW('PR管理'!$J$4:$T$101, LAMBDA(r, COUNTIF(r, T6)&gt;0)), 0), 0),
    IF(targetRow=0, "",
      LET(
        startDate, INDEX('PR管理'!$C$4:$C$101, targetRow),
        delLimit, INDEX('PR管理'!$F$4:$F$101, targetRow),
        prID, INDEX('PR管理'!$A$4:$A$101, targetRow),
        IF(AND('26414_編集版 のコピー 2'!T$1 &gt;= startDate, '26414_編集版 のコピー 2'!T$1 &lt;= delLimit), 
          IFERROR(VLOOKUP(T6, '新規'!$E$2:$H142, 4, 0), 
          IFERROR(VLOOKUP(T6, '特殊配信マスタ'!$E$3:$H142, 4, 0), 
          IFERROR(VLOOKUP(T6, '自動求人✅'!$C$3:$F142, 4, 0), prID))), 
        "")
      )
    )
  )
)</f>
        <v/>
      </c>
      <c r="V6" s="141" t="str">
        <f t="shared" si="4"/>
        <v/>
      </c>
      <c r="W6" s="141"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141"/>
      <c r="Y6" s="141"/>
      <c r="Z6" s="139"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140" t="str">
        <f t="array" ref="AA6">IF(Z6="", "", 
  LET(
    targetRow, IFERROR(MATCH(TRUE, BYROW('PR管理'!$J$4:$T$101, LAMBDA(r, COUNTIF(r, Z6)&gt;0)), 0), 0),
    IF(targetRow=0, "",
      LET(
        startDate, INDEX('PR管理'!$C$4:$C$101, targetRow),
        delLimit, INDEX('PR管理'!$F$4:$F$101, targetRow),
        prID, INDEX('PR管理'!$A$4:$A$101, targetRow),
        IF(AND('26414_編集版 のコピー 2'!Z$1 &gt;= startDate, '26414_編集版 のコピー 2'!Z$1 &lt;= delLimit), 
          IFERROR(VLOOKUP(Z6, '新規'!$E$2:$H142, 4, 0), 
          IFERROR(VLOOKUP(Z6, '特殊配信マスタ'!$E$3:$H142, 4, 0), 
          IFERROR(VLOOKUP(Z6, '自動求人✅'!$C$3:$F142, 4, 0), prID))), 
        "")
      )
    )
  )
)</f>
        <v/>
      </c>
      <c r="AB6" s="141" t="str">
        <f t="shared" si="5"/>
        <v/>
      </c>
      <c r="AC6" s="141"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141"/>
      <c r="AE6" s="141"/>
      <c r="AF6" s="139"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140" t="str">
        <f t="array" ref="AG6">IF(AF6="", "", 
  LET(
    targetRow, IFERROR(MATCH(TRUE, BYROW('PR管理'!$J$4:$T$101, LAMBDA(r, COUNTIF(r, AF6)&gt;0)), 0), 0),
    IF(targetRow=0, "",
      LET(
        startDate, INDEX('PR管理'!$C$4:$C$101, targetRow),
        delLimit, INDEX('PR管理'!$F$4:$F$101, targetRow),
        prID, INDEX('PR管理'!$A$4:$A$101, targetRow),
        IF(AND('26414_編集版 のコピー 2'!AF$1 &gt;= startDate, '26414_編集版 のコピー 2'!AF$1 &lt;= delLimit), 
          IFERROR(VLOOKUP(AF6, '新規'!$E$2:$H142, 4, 0), 
          IFERROR(VLOOKUP(AF6, '特殊配信マスタ'!$E$3:$H142, 4, 0), 
          IFERROR(VLOOKUP(AF6, '自動求人✅'!$C$3:$F142, 4, 0), prID))), 
        "")
      )
    )
  )
)</f>
        <v/>
      </c>
      <c r="AH6" s="141" t="str">
        <f t="shared" si="6"/>
        <v/>
      </c>
      <c r="AI6" s="141"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141"/>
      <c r="AK6" s="141"/>
      <c r="AL6" s="139"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140" t="str">
        <f t="array" ref="AM6">IF(AL6="", "", 
  LET(
    targetRow, IFERROR(MATCH(TRUE, BYROW('PR管理'!$J$4:$T$101, LAMBDA(r, COUNTIF(r, AL6)&gt;0)), 0), 0),
    IF(targetRow=0, "",
      LET(
        startDate, INDEX('PR管理'!$C$4:$C$101, targetRow),
        delLimit, INDEX('PR管理'!$F$4:$F$101, targetRow),
        prID, INDEX('PR管理'!$A$4:$A$101, targetRow),
        IF(AND('26414_編集版 のコピー 2'!AL$1 &gt;= startDate, '26414_編集版 のコピー 2'!AL$1 &lt;= delLimit), 
          IFERROR(VLOOKUP(AL6, '新規'!$E$2:$H142, 4, 0), 
          IFERROR(VLOOKUP(AL6, '特殊配信マスタ'!$E$3:$H142, 4, 0), 
          IFERROR(VLOOKUP(AL6, '自動求人✅'!$C$3:$F142, 4, 0), prID))), 
        "")
      )
    )
  )
)</f>
        <v/>
      </c>
      <c r="AN6" s="141" t="str">
        <f t="shared" si="7"/>
        <v/>
      </c>
      <c r="AO6" s="141"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141"/>
      <c r="AQ6" s="141"/>
    </row>
    <row r="7" ht="17.25" customHeight="1">
      <c r="A7" s="142"/>
      <c r="B7" s="139"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140" t="str">
        <f t="array" ref="C7">IF(B7="", "", 
  LET(
    targetRow, IFERROR(MATCH(TRUE, BYROW('PR管理'!$J$4:$T$101, LAMBDA(r, COUNTIF(r, B7)&gt;0)), 0), 0),
    IF(targetRow=0, "",
      LET(
        startDate, INDEX('PR管理'!$C$4:$C$101, targetRow),
        delLimit, INDEX('PR管理'!$F$4:$F$101, targetRow),
        prID, INDEX('PR管理'!$A$4:$A$101, targetRow),
        IF(AND('26414_編集版 のコピー 2'!B$1 &gt;= startDate, '26414_編集版 のコピー 2'!B$1 &lt;= delLimit), 
          IFERROR(VLOOKUP(B7, '新規'!$E$2:$H142, 4, 0), 
          IFERROR(VLOOKUP(B7, '特殊配信マスタ'!$E$3:$H142, 4, 0), 
          IFERROR(VLOOKUP(B7, '自動求人✅'!$C$3:$F142, 4, 0), prID))), 
        "")
      )
    )
  )
)</f>
        <v/>
      </c>
      <c r="D7" s="141" t="str">
        <f t="shared" si="1"/>
        <v/>
      </c>
      <c r="E7" s="141"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141"/>
      <c r="G7" s="141"/>
      <c r="H7" s="139"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140" t="str">
        <f t="array" ref="I7">IF(H7="", "", 
  LET(
    targetRow, IFERROR(MATCH(TRUE, BYROW('PR管理'!$J$4:$T$101, LAMBDA(r, COUNTIF(r, H7)&gt;0)), 0), 0),
    IF(targetRow=0, "",
      LET(
        startDate, INDEX('PR管理'!$C$4:$C$101, targetRow),
        delLimit, INDEX('PR管理'!$F$4:$F$101, targetRow),
        prID, INDEX('PR管理'!$A$4:$A$101, targetRow),
        IF(AND('26414_編集版 のコピー 2'!H$1 &gt;= startDate, '26414_編集版 のコピー 2'!H$1 &lt;= delLimit), 
          IFERROR(VLOOKUP(H7, '新規'!$E$2:$H142, 4, 0), 
          IFERROR(VLOOKUP(H7, '特殊配信マスタ'!$E$3:$H142, 4, 0), 
          IFERROR(VLOOKUP(H7, '自動求人✅'!$C$3:$F142, 4, 0), prID))), 
        "")
      )
    )
  )
)</f>
        <v/>
      </c>
      <c r="J7" s="141" t="str">
        <f t="shared" si="2"/>
        <v/>
      </c>
      <c r="K7" s="141"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141"/>
      <c r="M7" s="141"/>
      <c r="N7" s="139"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140" t="str">
        <f t="array" ref="O7">IF(N7="", "", 
  LET(
    targetRow, IFERROR(MATCH(TRUE, BYROW('PR管理'!$J$4:$T$101, LAMBDA(r, COUNTIF(r, N7)&gt;0)), 0), 0),
    IF(targetRow=0, "",
      LET(
        startDate, INDEX('PR管理'!$C$4:$C$101, targetRow),
        delLimit, INDEX('PR管理'!$F$4:$F$101, targetRow),
        prID, INDEX('PR管理'!$A$4:$A$101, targetRow),
        IF(AND('26414_編集版 のコピー 2'!N$1 &gt;= startDate, '26414_編集版 のコピー 2'!N$1 &lt;= delLimit), 
          IFERROR(VLOOKUP(N7, '新規'!$E$2:$H142, 4, 0), 
          IFERROR(VLOOKUP(N7, '特殊配信マスタ'!$E$3:$H142, 4, 0), 
          IFERROR(VLOOKUP(N7, '自動求人✅'!$C$3:$F142, 4, 0), prID))), 
        "")
      )
    )
  )
)</f>
        <v/>
      </c>
      <c r="P7" s="141" t="str">
        <f t="shared" si="3"/>
        <v/>
      </c>
      <c r="Q7" s="141"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141"/>
      <c r="S7" s="141"/>
      <c r="T7" s="139"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140" t="str">
        <f t="array" ref="U7">IF(T7="", "", 
  LET(
    targetRow, IFERROR(MATCH(TRUE, BYROW('PR管理'!$J$4:$T$101, LAMBDA(r, COUNTIF(r, T7)&gt;0)), 0), 0),
    IF(targetRow=0, "",
      LET(
        startDate, INDEX('PR管理'!$C$4:$C$101, targetRow),
        delLimit, INDEX('PR管理'!$F$4:$F$101, targetRow),
        prID, INDEX('PR管理'!$A$4:$A$101, targetRow),
        IF(AND('26414_編集版 のコピー 2'!T$1 &gt;= startDate, '26414_編集版 のコピー 2'!T$1 &lt;= delLimit), 
          IFERROR(VLOOKUP(T7, '新規'!$E$2:$H142, 4, 0), 
          IFERROR(VLOOKUP(T7, '特殊配信マスタ'!$E$3:$H142, 4, 0), 
          IFERROR(VLOOKUP(T7, '自動求人✅'!$C$3:$F142, 4, 0), prID))), 
        "")
      )
    )
  )
)</f>
        <v/>
      </c>
      <c r="V7" s="141" t="str">
        <f t="shared" si="4"/>
        <v/>
      </c>
      <c r="W7" s="141"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141"/>
      <c r="Y7" s="141"/>
      <c r="Z7" s="139"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140" t="str">
        <f t="array" ref="AA7">IF(Z7="", "", 
  LET(
    targetRow, IFERROR(MATCH(TRUE, BYROW('PR管理'!$J$4:$T$101, LAMBDA(r, COUNTIF(r, Z7)&gt;0)), 0), 0),
    IF(targetRow=0, "",
      LET(
        startDate, INDEX('PR管理'!$C$4:$C$101, targetRow),
        delLimit, INDEX('PR管理'!$F$4:$F$101, targetRow),
        prID, INDEX('PR管理'!$A$4:$A$101, targetRow),
        IF(AND('26414_編集版 のコピー 2'!Z$1 &gt;= startDate, '26414_編集版 のコピー 2'!Z$1 &lt;= delLimit), 
          IFERROR(VLOOKUP(Z7, '新規'!$E$2:$H142, 4, 0), 
          IFERROR(VLOOKUP(Z7, '特殊配信マスタ'!$E$3:$H142, 4, 0), 
          IFERROR(VLOOKUP(Z7, '自動求人✅'!$C$3:$F142, 4, 0), prID))), 
        "")
      )
    )
  )
)</f>
        <v/>
      </c>
      <c r="AB7" s="141" t="str">
        <f t="shared" si="5"/>
        <v/>
      </c>
      <c r="AC7" s="141"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141"/>
      <c r="AE7" s="141"/>
      <c r="AF7" s="139"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140" t="str">
        <f t="array" ref="AG7">IF(AF7="", "", 
  LET(
    targetRow, IFERROR(MATCH(TRUE, BYROW('PR管理'!$J$4:$T$101, LAMBDA(r, COUNTIF(r, AF7)&gt;0)), 0), 0),
    IF(targetRow=0, "",
      LET(
        startDate, INDEX('PR管理'!$C$4:$C$101, targetRow),
        delLimit, INDEX('PR管理'!$F$4:$F$101, targetRow),
        prID, INDEX('PR管理'!$A$4:$A$101, targetRow),
        IF(AND('26414_編集版 のコピー 2'!AF$1 &gt;= startDate, '26414_編集版 のコピー 2'!AF$1 &lt;= delLimit), 
          IFERROR(VLOOKUP(AF7, '新規'!$E$2:$H142, 4, 0), 
          IFERROR(VLOOKUP(AF7, '特殊配信マスタ'!$E$3:$H142, 4, 0), 
          IFERROR(VLOOKUP(AF7, '自動求人✅'!$C$3:$F142, 4, 0), prID))), 
        "")
      )
    )
  )
)</f>
        <v/>
      </c>
      <c r="AH7" s="141" t="str">
        <f t="shared" si="6"/>
        <v/>
      </c>
      <c r="AI7" s="141"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141"/>
      <c r="AK7" s="141"/>
      <c r="AL7" s="139"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140" t="str">
        <f t="array" ref="AM7">IF(AL7="", "", 
  LET(
    targetRow, IFERROR(MATCH(TRUE, BYROW('PR管理'!$J$4:$T$101, LAMBDA(r, COUNTIF(r, AL7)&gt;0)), 0), 0),
    IF(targetRow=0, "",
      LET(
        startDate, INDEX('PR管理'!$C$4:$C$101, targetRow),
        delLimit, INDEX('PR管理'!$F$4:$F$101, targetRow),
        prID, INDEX('PR管理'!$A$4:$A$101, targetRow),
        IF(AND('26414_編集版 のコピー 2'!AL$1 &gt;= startDate, '26414_編集版 のコピー 2'!AL$1 &lt;= delLimit), 
          IFERROR(VLOOKUP(AL7, '新規'!$E$2:$H142, 4, 0), 
          IFERROR(VLOOKUP(AL7, '特殊配信マスタ'!$E$3:$H142, 4, 0), 
          IFERROR(VLOOKUP(AL7, '自動求人✅'!$C$3:$F142, 4, 0), prID))), 
        "")
      )
    )
  )
)</f>
        <v/>
      </c>
      <c r="AN7" s="141" t="str">
        <f t="shared" si="7"/>
        <v/>
      </c>
      <c r="AO7" s="141"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141"/>
      <c r="AQ7" s="141"/>
    </row>
    <row r="8" ht="17.25" customHeight="1">
      <c r="A8" s="142"/>
      <c r="B8" s="139"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140" t="str">
        <f t="array" ref="C8">IF(B8="", "", 
  LET(
    targetRow, IFERROR(MATCH(TRUE, BYROW('PR管理'!$J$4:$T$101, LAMBDA(r, COUNTIF(r, B8)&gt;0)), 0), 0),
    IF(targetRow=0, "",
      LET(
        startDate, INDEX('PR管理'!$C$4:$C$101, targetRow),
        delLimit, INDEX('PR管理'!$F$4:$F$101, targetRow),
        prID, INDEX('PR管理'!$A$4:$A$101, targetRow),
        IF(AND('26414_編集版 のコピー 2'!B$1 &gt;= startDate, '26414_編集版 のコピー 2'!B$1 &lt;= delLimit), 
          IFERROR(VLOOKUP(B8, '新規'!$E$2:$H142, 4, 0), 
          IFERROR(VLOOKUP(B8, '特殊配信マスタ'!$E$3:$H142, 4, 0), 
          IFERROR(VLOOKUP(B8, '自動求人✅'!$C$3:$F142, 4, 0), prID))), 
        "")
      )
    )
  )
)</f>
        <v/>
      </c>
      <c r="D8" s="141" t="str">
        <f t="shared" si="1"/>
        <v/>
      </c>
      <c r="E8" s="141"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141"/>
      <c r="G8" s="141"/>
      <c r="H8" s="139"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140" t="str">
        <f t="array" ref="I8">IF(H8="", "", 
  LET(
    targetRow, IFERROR(MATCH(TRUE, BYROW('PR管理'!$J$4:$T$101, LAMBDA(r, COUNTIF(r, H8)&gt;0)), 0), 0),
    IF(targetRow=0, "",
      LET(
        startDate, INDEX('PR管理'!$C$4:$C$101, targetRow),
        delLimit, INDEX('PR管理'!$F$4:$F$101, targetRow),
        prID, INDEX('PR管理'!$A$4:$A$101, targetRow),
        IF(AND('26414_編集版 のコピー 2'!H$1 &gt;= startDate, '26414_編集版 のコピー 2'!H$1 &lt;= delLimit), 
          IFERROR(VLOOKUP(H8, '新規'!$E$2:$H142, 4, 0), 
          IFERROR(VLOOKUP(H8, '特殊配信マスタ'!$E$3:$H142, 4, 0), 
          IFERROR(VLOOKUP(H8, '自動求人✅'!$C$3:$F142, 4, 0), prID))), 
        "")
      )
    )
  )
)</f>
        <v/>
      </c>
      <c r="J8" s="141" t="str">
        <f t="shared" si="2"/>
        <v/>
      </c>
      <c r="K8" s="141"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141"/>
      <c r="M8" s="141"/>
      <c r="N8" s="139"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140" t="str">
        <f t="array" ref="O8">IF(N8="", "", 
  LET(
    targetRow, IFERROR(MATCH(TRUE, BYROW('PR管理'!$J$4:$T$101, LAMBDA(r, COUNTIF(r, N8)&gt;0)), 0), 0),
    IF(targetRow=0, "",
      LET(
        startDate, INDEX('PR管理'!$C$4:$C$101, targetRow),
        delLimit, INDEX('PR管理'!$F$4:$F$101, targetRow),
        prID, INDEX('PR管理'!$A$4:$A$101, targetRow),
        IF(AND('26414_編集版 のコピー 2'!N$1 &gt;= startDate, '26414_編集版 のコピー 2'!N$1 &lt;= delLimit), 
          IFERROR(VLOOKUP(N8, '新規'!$E$2:$H142, 4, 0), 
          IFERROR(VLOOKUP(N8, '特殊配信マスタ'!$E$3:$H142, 4, 0), 
          IFERROR(VLOOKUP(N8, '自動求人✅'!$C$3:$F142, 4, 0), prID))), 
        "")
      )
    )
  )
)</f>
        <v/>
      </c>
      <c r="P8" s="141" t="str">
        <f t="shared" si="3"/>
        <v/>
      </c>
      <c r="Q8" s="141"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141"/>
      <c r="S8" s="141"/>
      <c r="T8" s="139"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140" t="str">
        <f t="array" ref="U8">IF(T8="", "", 
  LET(
    targetRow, IFERROR(MATCH(TRUE, BYROW('PR管理'!$J$4:$T$101, LAMBDA(r, COUNTIF(r, T8)&gt;0)), 0), 0),
    IF(targetRow=0, "",
      LET(
        startDate, INDEX('PR管理'!$C$4:$C$101, targetRow),
        delLimit, INDEX('PR管理'!$F$4:$F$101, targetRow),
        prID, INDEX('PR管理'!$A$4:$A$101, targetRow),
        IF(AND('26414_編集版 のコピー 2'!T$1 &gt;= startDate, '26414_編集版 のコピー 2'!T$1 &lt;= delLimit), 
          IFERROR(VLOOKUP(T8, '新規'!$E$2:$H142, 4, 0), 
          IFERROR(VLOOKUP(T8, '特殊配信マスタ'!$E$3:$H142, 4, 0), 
          IFERROR(VLOOKUP(T8, '自動求人✅'!$C$3:$F142, 4, 0), prID))), 
        "")
      )
    )
  )
)</f>
        <v/>
      </c>
      <c r="V8" s="141" t="str">
        <f t="shared" si="4"/>
        <v/>
      </c>
      <c r="W8" s="141"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141"/>
      <c r="Y8" s="141"/>
      <c r="Z8" s="139"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140" t="str">
        <f t="array" ref="AA8">IF(Z8="", "", 
  LET(
    targetRow, IFERROR(MATCH(TRUE, BYROW('PR管理'!$J$4:$T$101, LAMBDA(r, COUNTIF(r, Z8)&gt;0)), 0), 0),
    IF(targetRow=0, "",
      LET(
        startDate, INDEX('PR管理'!$C$4:$C$101, targetRow),
        delLimit, INDEX('PR管理'!$F$4:$F$101, targetRow),
        prID, INDEX('PR管理'!$A$4:$A$101, targetRow),
        IF(AND('26414_編集版 のコピー 2'!Z$1 &gt;= startDate, '26414_編集版 のコピー 2'!Z$1 &lt;= delLimit), 
          IFERROR(VLOOKUP(Z8, '新規'!$E$2:$H142, 4, 0), 
          IFERROR(VLOOKUP(Z8, '特殊配信マスタ'!$E$3:$H142, 4, 0), 
          IFERROR(VLOOKUP(Z8, '自動求人✅'!$C$3:$F142, 4, 0), prID))), 
        "")
      )
    )
  )
)</f>
        <v/>
      </c>
      <c r="AB8" s="141" t="str">
        <f t="shared" si="5"/>
        <v/>
      </c>
      <c r="AC8" s="141"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141"/>
      <c r="AE8" s="141"/>
      <c r="AF8" s="139"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140" t="str">
        <f t="array" ref="AG8">IF(AF8="", "", 
  LET(
    targetRow, IFERROR(MATCH(TRUE, BYROW('PR管理'!$J$4:$T$101, LAMBDA(r, COUNTIF(r, AF8)&gt;0)), 0), 0),
    IF(targetRow=0, "",
      LET(
        startDate, INDEX('PR管理'!$C$4:$C$101, targetRow),
        delLimit, INDEX('PR管理'!$F$4:$F$101, targetRow),
        prID, INDEX('PR管理'!$A$4:$A$101, targetRow),
        IF(AND('26414_編集版 のコピー 2'!AF$1 &gt;= startDate, '26414_編集版 のコピー 2'!AF$1 &lt;= delLimit), 
          IFERROR(VLOOKUP(AF8, '新規'!$E$2:$H142, 4, 0), 
          IFERROR(VLOOKUP(AF8, '特殊配信マスタ'!$E$3:$H142, 4, 0), 
          IFERROR(VLOOKUP(AF8, '自動求人✅'!$C$3:$F142, 4, 0), prID))), 
        "")
      )
    )
  )
)</f>
        <v/>
      </c>
      <c r="AH8" s="141" t="str">
        <f t="shared" si="6"/>
        <v/>
      </c>
      <c r="AI8" s="141"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141"/>
      <c r="AK8" s="141"/>
      <c r="AL8" s="139"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140" t="str">
        <f t="array" ref="AM8">IF(AL8="", "", 
  LET(
    targetRow, IFERROR(MATCH(TRUE, BYROW('PR管理'!$J$4:$T$101, LAMBDA(r, COUNTIF(r, AL8)&gt;0)), 0), 0),
    IF(targetRow=0, "",
      LET(
        startDate, INDEX('PR管理'!$C$4:$C$101, targetRow),
        delLimit, INDEX('PR管理'!$F$4:$F$101, targetRow),
        prID, INDEX('PR管理'!$A$4:$A$101, targetRow),
        IF(AND('26414_編集版 のコピー 2'!AL$1 &gt;= startDate, '26414_編集版 のコピー 2'!AL$1 &lt;= delLimit), 
          IFERROR(VLOOKUP(AL8, '新規'!$E$2:$H142, 4, 0), 
          IFERROR(VLOOKUP(AL8, '特殊配信マスタ'!$E$3:$H142, 4, 0), 
          IFERROR(VLOOKUP(AL8, '自動求人✅'!$C$3:$F142, 4, 0), prID))), 
        "")
      )
    )
  )
)</f>
        <v/>
      </c>
      <c r="AN8" s="141" t="str">
        <f t="shared" si="7"/>
        <v/>
      </c>
      <c r="AO8" s="141"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141"/>
      <c r="AQ8" s="141"/>
    </row>
    <row r="9" ht="17.25" customHeight="1">
      <c r="A9" s="142"/>
      <c r="B9" s="139"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140" t="str">
        <f t="array" ref="C9">IF(B9="", "", 
  LET(
    targetRow, IFERROR(MATCH(TRUE, BYROW('PR管理'!$J$4:$T$101, LAMBDA(r, COUNTIF(r, B9)&gt;0)), 0), 0),
    IF(targetRow=0, "",
      LET(
        startDate, INDEX('PR管理'!$C$4:$C$101, targetRow),
        delLimit, INDEX('PR管理'!$F$4:$F$101, targetRow),
        prID, INDEX('PR管理'!$A$4:$A$101, targetRow),
        IF(AND('26414_編集版 のコピー 2'!B$1 &gt;= startDate, '26414_編集版 のコピー 2'!B$1 &lt;= delLimit), 
          IFERROR(VLOOKUP(B9, '新規'!$E$2:$H142, 4, 0), 
          IFERROR(VLOOKUP(B9, '特殊配信マスタ'!$E$3:$H142, 4, 0), 
          IFERROR(VLOOKUP(B9, '自動求人✅'!$C$3:$F142, 4, 0), prID))), 
        "")
      )
    )
  )
)</f>
        <v/>
      </c>
      <c r="D9" s="141" t="str">
        <f t="shared" si="1"/>
        <v/>
      </c>
      <c r="E9" s="141"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141"/>
      <c r="G9" s="141"/>
      <c r="H9" s="139"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140" t="str">
        <f t="array" ref="I9">IF(H9="", "", 
  LET(
    targetRow, IFERROR(MATCH(TRUE, BYROW('PR管理'!$J$4:$T$101, LAMBDA(r, COUNTIF(r, H9)&gt;0)), 0), 0),
    IF(targetRow=0, "",
      LET(
        startDate, INDEX('PR管理'!$C$4:$C$101, targetRow),
        delLimit, INDEX('PR管理'!$F$4:$F$101, targetRow),
        prID, INDEX('PR管理'!$A$4:$A$101, targetRow),
        IF(AND('26414_編集版 のコピー 2'!H$1 &gt;= startDate, '26414_編集版 のコピー 2'!H$1 &lt;= delLimit), 
          IFERROR(VLOOKUP(H9, '新規'!$E$2:$H142, 4, 0), 
          IFERROR(VLOOKUP(H9, '特殊配信マスタ'!$E$3:$H142, 4, 0), 
          IFERROR(VLOOKUP(H9, '自動求人✅'!$C$3:$F142, 4, 0), prID))), 
        "")
      )
    )
  )
)</f>
        <v/>
      </c>
      <c r="J9" s="141" t="str">
        <f t="shared" si="2"/>
        <v/>
      </c>
      <c r="K9" s="141"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141"/>
      <c r="M9" s="141"/>
      <c r="N9" s="139"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140" t="str">
        <f t="array" ref="O9">IF(N9="", "", 
  LET(
    targetRow, IFERROR(MATCH(TRUE, BYROW('PR管理'!$J$4:$T$101, LAMBDA(r, COUNTIF(r, N9)&gt;0)), 0), 0),
    IF(targetRow=0, "",
      LET(
        startDate, INDEX('PR管理'!$C$4:$C$101, targetRow),
        delLimit, INDEX('PR管理'!$F$4:$F$101, targetRow),
        prID, INDEX('PR管理'!$A$4:$A$101, targetRow),
        IF(AND('26414_編集版 のコピー 2'!N$1 &gt;= startDate, '26414_編集版 のコピー 2'!N$1 &lt;= delLimit), 
          IFERROR(VLOOKUP(N9, '新規'!$E$2:$H142, 4, 0), 
          IFERROR(VLOOKUP(N9, '特殊配信マスタ'!$E$3:$H142, 4, 0), 
          IFERROR(VLOOKUP(N9, '自動求人✅'!$C$3:$F142, 4, 0), prID))), 
        "")
      )
    )
  )
)</f>
        <v/>
      </c>
      <c r="P9" s="141" t="str">
        <f t="shared" si="3"/>
        <v/>
      </c>
      <c r="Q9" s="141"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141"/>
      <c r="S9" s="141"/>
      <c r="T9" s="139"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140" t="str">
        <f t="array" ref="U9">IF(T9="", "", 
  LET(
    targetRow, IFERROR(MATCH(TRUE, BYROW('PR管理'!$J$4:$T$101, LAMBDA(r, COUNTIF(r, T9)&gt;0)), 0), 0),
    IF(targetRow=0, "",
      LET(
        startDate, INDEX('PR管理'!$C$4:$C$101, targetRow),
        delLimit, INDEX('PR管理'!$F$4:$F$101, targetRow),
        prID, INDEX('PR管理'!$A$4:$A$101, targetRow),
        IF(AND('26414_編集版 のコピー 2'!T$1 &gt;= startDate, '26414_編集版 のコピー 2'!T$1 &lt;= delLimit), 
          IFERROR(VLOOKUP(T9, '新規'!$E$2:$H142, 4, 0), 
          IFERROR(VLOOKUP(T9, '特殊配信マスタ'!$E$3:$H142, 4, 0), 
          IFERROR(VLOOKUP(T9, '自動求人✅'!$C$3:$F142, 4, 0), prID))), 
        "")
      )
    )
  )
)</f>
        <v/>
      </c>
      <c r="V9" s="141" t="str">
        <f t="shared" si="4"/>
        <v/>
      </c>
      <c r="W9" s="141"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141"/>
      <c r="Y9" s="141"/>
      <c r="Z9" s="139"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140" t="str">
        <f t="array" ref="AA9">IF(Z9="", "", 
  LET(
    targetRow, IFERROR(MATCH(TRUE, BYROW('PR管理'!$J$4:$T$101, LAMBDA(r, COUNTIF(r, Z9)&gt;0)), 0), 0),
    IF(targetRow=0, "",
      LET(
        startDate, INDEX('PR管理'!$C$4:$C$101, targetRow),
        delLimit, INDEX('PR管理'!$F$4:$F$101, targetRow),
        prID, INDEX('PR管理'!$A$4:$A$101, targetRow),
        IF(AND('26414_編集版 のコピー 2'!Z$1 &gt;= startDate, '26414_編集版 のコピー 2'!Z$1 &lt;= delLimit), 
          IFERROR(VLOOKUP(Z9, '新規'!$E$2:$H142, 4, 0), 
          IFERROR(VLOOKUP(Z9, '特殊配信マスタ'!$E$3:$H142, 4, 0), 
          IFERROR(VLOOKUP(Z9, '自動求人✅'!$C$3:$F142, 4, 0), prID))), 
        "")
      )
    )
  )
)</f>
        <v/>
      </c>
      <c r="AB9" s="141" t="str">
        <f t="shared" si="5"/>
        <v/>
      </c>
      <c r="AC9" s="141"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141"/>
      <c r="AE9" s="141"/>
      <c r="AF9" s="139"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140" t="str">
        <f t="array" ref="AG9">IF(AF9="", "", 
  LET(
    targetRow, IFERROR(MATCH(TRUE, BYROW('PR管理'!$J$4:$T$101, LAMBDA(r, COUNTIF(r, AF9)&gt;0)), 0), 0),
    IF(targetRow=0, "",
      LET(
        startDate, INDEX('PR管理'!$C$4:$C$101, targetRow),
        delLimit, INDEX('PR管理'!$F$4:$F$101, targetRow),
        prID, INDEX('PR管理'!$A$4:$A$101, targetRow),
        IF(AND('26414_編集版 のコピー 2'!AF$1 &gt;= startDate, '26414_編集版 のコピー 2'!AF$1 &lt;= delLimit), 
          IFERROR(VLOOKUP(AF9, '新規'!$E$2:$H142, 4, 0), 
          IFERROR(VLOOKUP(AF9, '特殊配信マスタ'!$E$3:$H142, 4, 0), 
          IFERROR(VLOOKUP(AF9, '自動求人✅'!$C$3:$F142, 4, 0), prID))), 
        "")
      )
    )
  )
)</f>
        <v/>
      </c>
      <c r="AH9" s="141" t="str">
        <f t="shared" si="6"/>
        <v/>
      </c>
      <c r="AI9" s="141"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141"/>
      <c r="AK9" s="141"/>
      <c r="AL9" s="139"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140" t="str">
        <f t="array" ref="AM9">IF(AL9="", "", 
  LET(
    targetRow, IFERROR(MATCH(TRUE, BYROW('PR管理'!$J$4:$T$101, LAMBDA(r, COUNTIF(r, AL9)&gt;0)), 0), 0),
    IF(targetRow=0, "",
      LET(
        startDate, INDEX('PR管理'!$C$4:$C$101, targetRow),
        delLimit, INDEX('PR管理'!$F$4:$F$101, targetRow),
        prID, INDEX('PR管理'!$A$4:$A$101, targetRow),
        IF(AND('26414_編集版 のコピー 2'!AL$1 &gt;= startDate, '26414_編集版 のコピー 2'!AL$1 &lt;= delLimit), 
          IFERROR(VLOOKUP(AL9, '新規'!$E$2:$H142, 4, 0), 
          IFERROR(VLOOKUP(AL9, '特殊配信マスタ'!$E$3:$H142, 4, 0), 
          IFERROR(VLOOKUP(AL9, '自動求人✅'!$C$3:$F142, 4, 0), prID))), 
        "")
      )
    )
  )
)</f>
        <v/>
      </c>
      <c r="AN9" s="141" t="str">
        <f t="shared" si="7"/>
        <v/>
      </c>
      <c r="AO9" s="141"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141"/>
      <c r="AQ9" s="141"/>
    </row>
    <row r="10" ht="17.25" customHeight="1">
      <c r="A10" s="142"/>
      <c r="B10" s="139"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140" t="str">
        <f t="array" ref="C10">IF(B10="", "", 
  LET(
    targetRow, IFERROR(MATCH(TRUE, BYROW('PR管理'!$J$4:$T$101, LAMBDA(r, COUNTIF(r, B10)&gt;0)), 0), 0),
    IF(targetRow=0, "",
      LET(
        startDate, INDEX('PR管理'!$C$4:$C$101, targetRow),
        delLimit, INDEX('PR管理'!$F$4:$F$101, targetRow),
        prID, INDEX('PR管理'!$A$4:$A$101, targetRow),
        IF(AND('26414_編集版 のコピー 2'!B$1 &gt;= startDate, '26414_編集版 のコピー 2'!B$1 &lt;= delLimit), 
          IFERROR(VLOOKUP(B10, '新規'!$E$2:$H142, 4, 0), 
          IFERROR(VLOOKUP(B10, '特殊配信マスタ'!$E$3:$H142, 4, 0), 
          IFERROR(VLOOKUP(B10, '自動求人✅'!$C$3:$F142, 4, 0), prID))), 
        "")
      )
    )
  )
)</f>
        <v/>
      </c>
      <c r="D10" s="141" t="str">
        <f t="shared" si="1"/>
        <v/>
      </c>
      <c r="E10" s="141"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141"/>
      <c r="G10" s="141"/>
      <c r="H10" s="139"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140" t="str">
        <f t="array" ref="I10">IF(H10="", "", 
  LET(
    targetRow, IFERROR(MATCH(TRUE, BYROW('PR管理'!$J$4:$T$101, LAMBDA(r, COUNTIF(r, H10)&gt;0)), 0), 0),
    IF(targetRow=0, "",
      LET(
        startDate, INDEX('PR管理'!$C$4:$C$101, targetRow),
        delLimit, INDEX('PR管理'!$F$4:$F$101, targetRow),
        prID, INDEX('PR管理'!$A$4:$A$101, targetRow),
        IF(AND('26414_編集版 のコピー 2'!H$1 &gt;= startDate, '26414_編集版 のコピー 2'!H$1 &lt;= delLimit), 
          IFERROR(VLOOKUP(H10, '新規'!$E$2:$H142, 4, 0), 
          IFERROR(VLOOKUP(H10, '特殊配信マスタ'!$E$3:$H142, 4, 0), 
          IFERROR(VLOOKUP(H10, '自動求人✅'!$C$3:$F142, 4, 0), prID))), 
        "")
      )
    )
  )
)</f>
        <v/>
      </c>
      <c r="J10" s="141" t="str">
        <f t="shared" si="2"/>
        <v/>
      </c>
      <c r="K10" s="141"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141"/>
      <c r="M10" s="141"/>
      <c r="N10" s="139"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140" t="str">
        <f t="array" ref="O10">IF(N10="", "", 
  LET(
    targetRow, IFERROR(MATCH(TRUE, BYROW('PR管理'!$J$4:$T$101, LAMBDA(r, COUNTIF(r, N10)&gt;0)), 0), 0),
    IF(targetRow=0, "",
      LET(
        startDate, INDEX('PR管理'!$C$4:$C$101, targetRow),
        delLimit, INDEX('PR管理'!$F$4:$F$101, targetRow),
        prID, INDEX('PR管理'!$A$4:$A$101, targetRow),
        IF(AND('26414_編集版 のコピー 2'!N$1 &gt;= startDate, '26414_編集版 のコピー 2'!N$1 &lt;= delLimit), 
          IFERROR(VLOOKUP(N10, '新規'!$E$2:$H142, 4, 0), 
          IFERROR(VLOOKUP(N10, '特殊配信マスタ'!$E$3:$H142, 4, 0), 
          IFERROR(VLOOKUP(N10, '自動求人✅'!$C$3:$F142, 4, 0), prID))), 
        "")
      )
    )
  )
)</f>
        <v/>
      </c>
      <c r="P10" s="141" t="str">
        <f t="shared" si="3"/>
        <v/>
      </c>
      <c r="Q10" s="141"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141"/>
      <c r="S10" s="141"/>
      <c r="T10" s="139"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140" t="str">
        <f t="array" ref="U10">IF(T10="", "", 
  LET(
    targetRow, IFERROR(MATCH(TRUE, BYROW('PR管理'!$J$4:$T$101, LAMBDA(r, COUNTIF(r, T10)&gt;0)), 0), 0),
    IF(targetRow=0, "",
      LET(
        startDate, INDEX('PR管理'!$C$4:$C$101, targetRow),
        delLimit, INDEX('PR管理'!$F$4:$F$101, targetRow),
        prID, INDEX('PR管理'!$A$4:$A$101, targetRow),
        IF(AND('26414_編集版 のコピー 2'!T$1 &gt;= startDate, '26414_編集版 のコピー 2'!T$1 &lt;= delLimit), 
          IFERROR(VLOOKUP(T10, '新規'!$E$2:$H142, 4, 0), 
          IFERROR(VLOOKUP(T10, '特殊配信マスタ'!$E$3:$H142, 4, 0), 
          IFERROR(VLOOKUP(T10, '自動求人✅'!$C$3:$F142, 4, 0), prID))), 
        "")
      )
    )
  )
)</f>
        <v/>
      </c>
      <c r="V10" s="141" t="str">
        <f t="shared" si="4"/>
        <v/>
      </c>
      <c r="W10" s="141"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141"/>
      <c r="Y10" s="141"/>
      <c r="Z10" s="139"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140" t="str">
        <f t="array" ref="AA10">IF(Z10="", "", 
  LET(
    targetRow, IFERROR(MATCH(TRUE, BYROW('PR管理'!$J$4:$T$101, LAMBDA(r, COUNTIF(r, Z10)&gt;0)), 0), 0),
    IF(targetRow=0, "",
      LET(
        startDate, INDEX('PR管理'!$C$4:$C$101, targetRow),
        delLimit, INDEX('PR管理'!$F$4:$F$101, targetRow),
        prID, INDEX('PR管理'!$A$4:$A$101, targetRow),
        IF(AND('26414_編集版 のコピー 2'!Z$1 &gt;= startDate, '26414_編集版 のコピー 2'!Z$1 &lt;= delLimit), 
          IFERROR(VLOOKUP(Z10, '新規'!$E$2:$H142, 4, 0), 
          IFERROR(VLOOKUP(Z10, '特殊配信マスタ'!$E$3:$H142, 4, 0), 
          IFERROR(VLOOKUP(Z10, '自動求人✅'!$C$3:$F142, 4, 0), prID))), 
        "")
      )
    )
  )
)</f>
        <v/>
      </c>
      <c r="AB10" s="141" t="str">
        <f t="shared" si="5"/>
        <v/>
      </c>
      <c r="AC10" s="141"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141"/>
      <c r="AE10" s="141"/>
      <c r="AF10" s="139"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140" t="str">
        <f t="array" ref="AG10">IF(AF10="", "", 
  LET(
    targetRow, IFERROR(MATCH(TRUE, BYROW('PR管理'!$J$4:$T$101, LAMBDA(r, COUNTIF(r, AF10)&gt;0)), 0), 0),
    IF(targetRow=0, "",
      LET(
        startDate, INDEX('PR管理'!$C$4:$C$101, targetRow),
        delLimit, INDEX('PR管理'!$F$4:$F$101, targetRow),
        prID, INDEX('PR管理'!$A$4:$A$101, targetRow),
        IF(AND('26414_編集版 のコピー 2'!AF$1 &gt;= startDate, '26414_編集版 のコピー 2'!AF$1 &lt;= delLimit), 
          IFERROR(VLOOKUP(AF10, '新規'!$E$2:$H142, 4, 0), 
          IFERROR(VLOOKUP(AF10, '特殊配信マスタ'!$E$3:$H142, 4, 0), 
          IFERROR(VLOOKUP(AF10, '自動求人✅'!$C$3:$F142, 4, 0), prID))), 
        "")
      )
    )
  )
)</f>
        <v/>
      </c>
      <c r="AH10" s="141" t="str">
        <f t="shared" si="6"/>
        <v/>
      </c>
      <c r="AI10" s="141"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141"/>
      <c r="AK10" s="141"/>
      <c r="AL10" s="139"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140" t="str">
        <f t="array" ref="AM10">IF(AL10="", "", 
  LET(
    targetRow, IFERROR(MATCH(TRUE, BYROW('PR管理'!$J$4:$T$101, LAMBDA(r, COUNTIF(r, AL10)&gt;0)), 0), 0),
    IF(targetRow=0, "",
      LET(
        startDate, INDEX('PR管理'!$C$4:$C$101, targetRow),
        delLimit, INDEX('PR管理'!$F$4:$F$101, targetRow),
        prID, INDEX('PR管理'!$A$4:$A$101, targetRow),
        IF(AND('26414_編集版 のコピー 2'!AL$1 &gt;= startDate, '26414_編集版 のコピー 2'!AL$1 &lt;= delLimit), 
          IFERROR(VLOOKUP(AL10, '新規'!$E$2:$H142, 4, 0), 
          IFERROR(VLOOKUP(AL10, '特殊配信マスタ'!$E$3:$H142, 4, 0), 
          IFERROR(VLOOKUP(AL10, '自動求人✅'!$C$3:$F142, 4, 0), prID))), 
        "")
      )
    )
  )
)</f>
        <v/>
      </c>
      <c r="AN10" s="141" t="str">
        <f t="shared" si="7"/>
        <v/>
      </c>
      <c r="AO10" s="141"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141"/>
      <c r="AQ10" s="141"/>
    </row>
    <row r="11" ht="17.25" customHeight="1">
      <c r="A11" s="142"/>
      <c r="B11" s="139"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140" t="str">
        <f t="array" ref="C11">IF(B11="", "", 
  LET(
    targetRow, IFERROR(MATCH(TRUE, BYROW('PR管理'!$J$4:$T$101, LAMBDA(r, COUNTIF(r, B11)&gt;0)), 0), 0),
    IF(targetRow=0, "",
      LET(
        startDate, INDEX('PR管理'!$C$4:$C$101, targetRow),
        delLimit, INDEX('PR管理'!$F$4:$F$101, targetRow),
        prID, INDEX('PR管理'!$A$4:$A$101, targetRow),
        IF(AND('26414_編集版 のコピー 2'!B$1 &gt;= startDate, '26414_編集版 のコピー 2'!B$1 &lt;= delLimit), 
          IFERROR(VLOOKUP(B11, '新規'!$E$2:$H142, 4, 0), 
          IFERROR(VLOOKUP(B11, '特殊配信マスタ'!$E$3:$H142, 4, 0), 
          IFERROR(VLOOKUP(B11, '自動求人✅'!$C$3:$F142, 4, 0), prID))), 
        "")
      )
    )
  )
)</f>
        <v/>
      </c>
      <c r="D11" s="141" t="str">
        <f t="shared" si="1"/>
        <v/>
      </c>
      <c r="E11" s="141"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141"/>
      <c r="G11" s="141"/>
      <c r="H11" s="139"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140" t="str">
        <f t="array" ref="I11">IF(H11="", "", 
  LET(
    targetRow, IFERROR(MATCH(TRUE, BYROW('PR管理'!$J$4:$T$101, LAMBDA(r, COUNTIF(r, H11)&gt;0)), 0), 0),
    IF(targetRow=0, "",
      LET(
        startDate, INDEX('PR管理'!$C$4:$C$101, targetRow),
        delLimit, INDEX('PR管理'!$F$4:$F$101, targetRow),
        prID, INDEX('PR管理'!$A$4:$A$101, targetRow),
        IF(AND('26414_編集版 のコピー 2'!H$1 &gt;= startDate, '26414_編集版 のコピー 2'!H$1 &lt;= delLimit), 
          IFERROR(VLOOKUP(H11, '新規'!$E$2:$H142, 4, 0), 
          IFERROR(VLOOKUP(H11, '特殊配信マスタ'!$E$3:$H142, 4, 0), 
          IFERROR(VLOOKUP(H11, '自動求人✅'!$C$3:$F142, 4, 0), prID))), 
        "")
      )
    )
  )
)</f>
        <v/>
      </c>
      <c r="J11" s="141" t="str">
        <f t="shared" si="2"/>
        <v/>
      </c>
      <c r="K11" s="141"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141"/>
      <c r="M11" s="141"/>
      <c r="N11" s="139"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140" t="str">
        <f t="array" ref="O11">IF(N11="", "", 
  LET(
    targetRow, IFERROR(MATCH(TRUE, BYROW('PR管理'!$J$4:$T$101, LAMBDA(r, COUNTIF(r, N11)&gt;0)), 0), 0),
    IF(targetRow=0, "",
      LET(
        startDate, INDEX('PR管理'!$C$4:$C$101, targetRow),
        delLimit, INDEX('PR管理'!$F$4:$F$101, targetRow),
        prID, INDEX('PR管理'!$A$4:$A$101, targetRow),
        IF(AND('26414_編集版 のコピー 2'!N$1 &gt;= startDate, '26414_編集版 のコピー 2'!N$1 &lt;= delLimit), 
          IFERROR(VLOOKUP(N11, '新規'!$E$2:$H142, 4, 0), 
          IFERROR(VLOOKUP(N11, '特殊配信マスタ'!$E$3:$H142, 4, 0), 
          IFERROR(VLOOKUP(N11, '自動求人✅'!$C$3:$F142, 4, 0), prID))), 
        "")
      )
    )
  )
)</f>
        <v/>
      </c>
      <c r="P11" s="141" t="str">
        <f t="shared" si="3"/>
        <v/>
      </c>
      <c r="Q11" s="141"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141"/>
      <c r="S11" s="141"/>
      <c r="T11" s="139"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140" t="str">
        <f t="array" ref="U11">IF(T11="", "", 
  LET(
    targetRow, IFERROR(MATCH(TRUE, BYROW('PR管理'!$J$4:$T$101, LAMBDA(r, COUNTIF(r, T11)&gt;0)), 0), 0),
    IF(targetRow=0, "",
      LET(
        startDate, INDEX('PR管理'!$C$4:$C$101, targetRow),
        delLimit, INDEX('PR管理'!$F$4:$F$101, targetRow),
        prID, INDEX('PR管理'!$A$4:$A$101, targetRow),
        IF(AND('26414_編集版 のコピー 2'!T$1 &gt;= startDate, '26414_編集版 のコピー 2'!T$1 &lt;= delLimit), 
          IFERROR(VLOOKUP(T11, '新規'!$E$2:$H142, 4, 0), 
          IFERROR(VLOOKUP(T11, '特殊配信マスタ'!$E$3:$H142, 4, 0), 
          IFERROR(VLOOKUP(T11, '自動求人✅'!$C$3:$F142, 4, 0), prID))), 
        "")
      )
    )
  )
)</f>
        <v/>
      </c>
      <c r="V11" s="141" t="str">
        <f t="shared" si="4"/>
        <v/>
      </c>
      <c r="W11" s="141"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141"/>
      <c r="Y11" s="141"/>
      <c r="Z11" s="139"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140" t="str">
        <f t="array" ref="AA11">IF(Z11="", "", 
  LET(
    targetRow, IFERROR(MATCH(TRUE, BYROW('PR管理'!$J$4:$T$101, LAMBDA(r, COUNTIF(r, Z11)&gt;0)), 0), 0),
    IF(targetRow=0, "",
      LET(
        startDate, INDEX('PR管理'!$C$4:$C$101, targetRow),
        delLimit, INDEX('PR管理'!$F$4:$F$101, targetRow),
        prID, INDEX('PR管理'!$A$4:$A$101, targetRow),
        IF(AND('26414_編集版 のコピー 2'!Z$1 &gt;= startDate, '26414_編集版 のコピー 2'!Z$1 &lt;= delLimit), 
          IFERROR(VLOOKUP(Z11, '新規'!$E$2:$H142, 4, 0), 
          IFERROR(VLOOKUP(Z11, '特殊配信マスタ'!$E$3:$H142, 4, 0), 
          IFERROR(VLOOKUP(Z11, '自動求人✅'!$C$3:$F142, 4, 0), prID))), 
        "")
      )
    )
  )
)</f>
        <v/>
      </c>
      <c r="AB11" s="141" t="str">
        <f t="shared" si="5"/>
        <v/>
      </c>
      <c r="AC11" s="141"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141"/>
      <c r="AE11" s="141"/>
      <c r="AF11" s="139"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140" t="str">
        <f t="array" ref="AG11">IF(AF11="", "", 
  LET(
    targetRow, IFERROR(MATCH(TRUE, BYROW('PR管理'!$J$4:$T$101, LAMBDA(r, COUNTIF(r, AF11)&gt;0)), 0), 0),
    IF(targetRow=0, "",
      LET(
        startDate, INDEX('PR管理'!$C$4:$C$101, targetRow),
        delLimit, INDEX('PR管理'!$F$4:$F$101, targetRow),
        prID, INDEX('PR管理'!$A$4:$A$101, targetRow),
        IF(AND('26414_編集版 のコピー 2'!AF$1 &gt;= startDate, '26414_編集版 のコピー 2'!AF$1 &lt;= delLimit), 
          IFERROR(VLOOKUP(AF11, '新規'!$E$2:$H142, 4, 0), 
          IFERROR(VLOOKUP(AF11, '特殊配信マスタ'!$E$3:$H142, 4, 0), 
          IFERROR(VLOOKUP(AF11, '自動求人✅'!$C$3:$F142, 4, 0), prID))), 
        "")
      )
    )
  )
)</f>
        <v/>
      </c>
      <c r="AH11" s="141" t="str">
        <f t="shared" si="6"/>
        <v/>
      </c>
      <c r="AI11" s="141"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141"/>
      <c r="AK11" s="141"/>
      <c r="AL11" s="139"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140" t="str">
        <f t="array" ref="AM11">IF(AL11="", "", 
  LET(
    targetRow, IFERROR(MATCH(TRUE, BYROW('PR管理'!$J$4:$T$101, LAMBDA(r, COUNTIF(r, AL11)&gt;0)), 0), 0),
    IF(targetRow=0, "",
      LET(
        startDate, INDEX('PR管理'!$C$4:$C$101, targetRow),
        delLimit, INDEX('PR管理'!$F$4:$F$101, targetRow),
        prID, INDEX('PR管理'!$A$4:$A$101, targetRow),
        IF(AND('26414_編集版 のコピー 2'!AL$1 &gt;= startDate, '26414_編集版 のコピー 2'!AL$1 &lt;= delLimit), 
          IFERROR(VLOOKUP(AL11, '新規'!$E$2:$H142, 4, 0), 
          IFERROR(VLOOKUP(AL11, '特殊配信マスタ'!$E$3:$H142, 4, 0), 
          IFERROR(VLOOKUP(AL11, '自動求人✅'!$C$3:$F142, 4, 0), prID))), 
        "")
      )
    )
  )
)</f>
        <v/>
      </c>
      <c r="AN11" s="141" t="str">
        <f t="shared" si="7"/>
        <v/>
      </c>
      <c r="AO11" s="141"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141"/>
      <c r="AQ11" s="141"/>
    </row>
    <row r="12" ht="17.25" customHeight="1">
      <c r="A12" s="142"/>
      <c r="B12" s="139"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140" t="str">
        <f t="array" ref="C12">IF(B12="", "", 
  LET(
    targetRow, IFERROR(MATCH(TRUE, BYROW('PR管理'!$J$4:$T$101, LAMBDA(r, COUNTIF(r, B12)&gt;0)), 0), 0),
    IF(targetRow=0, "",
      LET(
        startDate, INDEX('PR管理'!$C$4:$C$101, targetRow),
        delLimit, INDEX('PR管理'!$F$4:$F$101, targetRow),
        prID, INDEX('PR管理'!$A$4:$A$101, targetRow),
        IF(AND('26414_編集版 のコピー 2'!B$1 &gt;= startDate, '26414_編集版 のコピー 2'!B$1 &lt;= delLimit), 
          IFERROR(VLOOKUP(B12, '新規'!$E$2:$H142, 4, 0), 
          IFERROR(VLOOKUP(B12, '特殊配信マスタ'!$E$3:$H142, 4, 0), 
          IFERROR(VLOOKUP(B12, '自動求人✅'!$C$3:$F142, 4, 0), prID))), 
        "")
      )
    )
  )
)</f>
        <v/>
      </c>
      <c r="D12" s="141" t="str">
        <f t="shared" si="1"/>
        <v/>
      </c>
      <c r="E12" s="141"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141"/>
      <c r="G12" s="141"/>
      <c r="H12" s="139"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140" t="str">
        <f t="array" ref="I12">IF(H12="", "", 
  LET(
    targetRow, IFERROR(MATCH(TRUE, BYROW('PR管理'!$J$4:$T$101, LAMBDA(r, COUNTIF(r, H12)&gt;0)), 0), 0),
    IF(targetRow=0, "",
      LET(
        startDate, INDEX('PR管理'!$C$4:$C$101, targetRow),
        delLimit, INDEX('PR管理'!$F$4:$F$101, targetRow),
        prID, INDEX('PR管理'!$A$4:$A$101, targetRow),
        IF(AND('26414_編集版 のコピー 2'!H$1 &gt;= startDate, '26414_編集版 のコピー 2'!H$1 &lt;= delLimit), 
          IFERROR(VLOOKUP(H12, '新規'!$E$2:$H142, 4, 0), 
          IFERROR(VLOOKUP(H12, '特殊配信マスタ'!$E$3:$H142, 4, 0), 
          IFERROR(VLOOKUP(H12, '自動求人✅'!$C$3:$F142, 4, 0), prID))), 
        "")
      )
    )
  )
)</f>
        <v/>
      </c>
      <c r="J12" s="141" t="str">
        <f t="shared" si="2"/>
        <v/>
      </c>
      <c r="K12" s="141"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141"/>
      <c r="M12" s="141"/>
      <c r="N12" s="139"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140" t="str">
        <f t="array" ref="O12">IF(N12="", "", 
  LET(
    targetRow, IFERROR(MATCH(TRUE, BYROW('PR管理'!$J$4:$T$101, LAMBDA(r, COUNTIF(r, N12)&gt;0)), 0), 0),
    IF(targetRow=0, "",
      LET(
        startDate, INDEX('PR管理'!$C$4:$C$101, targetRow),
        delLimit, INDEX('PR管理'!$F$4:$F$101, targetRow),
        prID, INDEX('PR管理'!$A$4:$A$101, targetRow),
        IF(AND('26414_編集版 のコピー 2'!N$1 &gt;= startDate, '26414_編集版 のコピー 2'!N$1 &lt;= delLimit), 
          IFERROR(VLOOKUP(N12, '新規'!$E$2:$H142, 4, 0), 
          IFERROR(VLOOKUP(N12, '特殊配信マスタ'!$E$3:$H142, 4, 0), 
          IFERROR(VLOOKUP(N12, '自動求人✅'!$C$3:$F142, 4, 0), prID))), 
        "")
      )
    )
  )
)</f>
        <v/>
      </c>
      <c r="P12" s="141" t="str">
        <f t="shared" si="3"/>
        <v/>
      </c>
      <c r="Q12" s="141"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141"/>
      <c r="S12" s="141"/>
      <c r="T12" s="139"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140" t="str">
        <f t="array" ref="U12">IF(T12="", "", 
  LET(
    targetRow, IFERROR(MATCH(TRUE, BYROW('PR管理'!$J$4:$T$101, LAMBDA(r, COUNTIF(r, T12)&gt;0)), 0), 0),
    IF(targetRow=0, "",
      LET(
        startDate, INDEX('PR管理'!$C$4:$C$101, targetRow),
        delLimit, INDEX('PR管理'!$F$4:$F$101, targetRow),
        prID, INDEX('PR管理'!$A$4:$A$101, targetRow),
        IF(AND('26414_編集版 のコピー 2'!T$1 &gt;= startDate, '26414_編集版 のコピー 2'!T$1 &lt;= delLimit), 
          IFERROR(VLOOKUP(T12, '新規'!$E$2:$H142, 4, 0), 
          IFERROR(VLOOKUP(T12, '特殊配信マスタ'!$E$3:$H142, 4, 0), 
          IFERROR(VLOOKUP(T12, '自動求人✅'!$C$3:$F142, 4, 0), prID))), 
        "")
      )
    )
  )
)</f>
        <v/>
      </c>
      <c r="V12" s="141" t="str">
        <f t="shared" si="4"/>
        <v/>
      </c>
      <c r="W12" s="141"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141"/>
      <c r="Y12" s="141"/>
      <c r="Z12" s="139"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140" t="str">
        <f t="array" ref="AA12">IF(Z12="", "", 
  LET(
    targetRow, IFERROR(MATCH(TRUE, BYROW('PR管理'!$J$4:$T$101, LAMBDA(r, COUNTIF(r, Z12)&gt;0)), 0), 0),
    IF(targetRow=0, "",
      LET(
        startDate, INDEX('PR管理'!$C$4:$C$101, targetRow),
        delLimit, INDEX('PR管理'!$F$4:$F$101, targetRow),
        prID, INDEX('PR管理'!$A$4:$A$101, targetRow),
        IF(AND('26414_編集版 のコピー 2'!Z$1 &gt;= startDate, '26414_編集版 のコピー 2'!Z$1 &lt;= delLimit), 
          IFERROR(VLOOKUP(Z12, '新規'!$E$2:$H142, 4, 0), 
          IFERROR(VLOOKUP(Z12, '特殊配信マスタ'!$E$3:$H142, 4, 0), 
          IFERROR(VLOOKUP(Z12, '自動求人✅'!$C$3:$F142, 4, 0), prID))), 
        "")
      )
    )
  )
)</f>
        <v/>
      </c>
      <c r="AB12" s="141" t="str">
        <f t="shared" si="5"/>
        <v/>
      </c>
      <c r="AC12" s="141"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141"/>
      <c r="AE12" s="141"/>
      <c r="AF12" s="139"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140" t="str">
        <f t="array" ref="AG12">IF(AF12="", "", 
  LET(
    targetRow, IFERROR(MATCH(TRUE, BYROW('PR管理'!$J$4:$T$101, LAMBDA(r, COUNTIF(r, AF12)&gt;0)), 0), 0),
    IF(targetRow=0, "",
      LET(
        startDate, INDEX('PR管理'!$C$4:$C$101, targetRow),
        delLimit, INDEX('PR管理'!$F$4:$F$101, targetRow),
        prID, INDEX('PR管理'!$A$4:$A$101, targetRow),
        IF(AND('26414_編集版 のコピー 2'!AF$1 &gt;= startDate, '26414_編集版 のコピー 2'!AF$1 &lt;= delLimit), 
          IFERROR(VLOOKUP(AF12, '新規'!$E$2:$H142, 4, 0), 
          IFERROR(VLOOKUP(AF12, '特殊配信マスタ'!$E$3:$H142, 4, 0), 
          IFERROR(VLOOKUP(AF12, '自動求人✅'!$C$3:$F142, 4, 0), prID))), 
        "")
      )
    )
  )
)</f>
        <v/>
      </c>
      <c r="AH12" s="141" t="str">
        <f t="shared" si="6"/>
        <v/>
      </c>
      <c r="AI12" s="141"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141"/>
      <c r="AK12" s="141"/>
      <c r="AL12" s="139"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140" t="str">
        <f t="array" ref="AM12">IF(AL12="", "", 
  LET(
    targetRow, IFERROR(MATCH(TRUE, BYROW('PR管理'!$J$4:$T$101, LAMBDA(r, COUNTIF(r, AL12)&gt;0)), 0), 0),
    IF(targetRow=0, "",
      LET(
        startDate, INDEX('PR管理'!$C$4:$C$101, targetRow),
        delLimit, INDEX('PR管理'!$F$4:$F$101, targetRow),
        prID, INDEX('PR管理'!$A$4:$A$101, targetRow),
        IF(AND('26414_編集版 のコピー 2'!AL$1 &gt;= startDate, '26414_編集版 のコピー 2'!AL$1 &lt;= delLimit), 
          IFERROR(VLOOKUP(AL12, '新規'!$E$2:$H142, 4, 0), 
          IFERROR(VLOOKUP(AL12, '特殊配信マスタ'!$E$3:$H142, 4, 0), 
          IFERROR(VLOOKUP(AL12, '自動求人✅'!$C$3:$F142, 4, 0), prID))), 
        "")
      )
    )
  )
)</f>
        <v/>
      </c>
      <c r="AN12" s="141" t="str">
        <f t="shared" si="7"/>
        <v/>
      </c>
      <c r="AO12" s="141"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141"/>
      <c r="AQ12" s="141"/>
    </row>
    <row r="13" ht="17.25" customHeight="1">
      <c r="A13" s="138">
        <f>A3+1</f>
        <v>9</v>
      </c>
      <c r="B13" s="139"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140" t="str">
        <f t="array" ref="C13">IF(B13="", "", 
  LET(
    targetRow, IFERROR(MATCH(TRUE, BYROW('PR管理'!$J$4:$T$101, LAMBDA(r, COUNTIF(r, B13)&gt;0)), 0), 0),
    IF(targetRow=0, "",
      LET(
        startDate, INDEX('PR管理'!$C$4:$C$101, targetRow),
        delLimit, INDEX('PR管理'!$F$4:$F$101, targetRow),
        prID, INDEX('PR管理'!$A$4:$A$101, targetRow),
        IF(AND('26414_編集版 のコピー 2'!B$1 &gt;= startDate, '26414_編集版 のコピー 2'!B$1 &lt;= delLimit), 
          IFERROR(VLOOKUP(B13, '新規'!$E$2:$H142, 4, 0), 
          IFERROR(VLOOKUP(B13, '特殊配信マスタ'!$E$3:$H142, 4, 0), 
          IFERROR(VLOOKUP(B13, '自動求人✅'!$C$3:$F142, 4, 0), prID))), 
        "")
      )
    )
  )
)</f>
        <v/>
      </c>
      <c r="D13" s="141" t="str">
        <f t="shared" si="1"/>
        <v/>
      </c>
      <c r="E13" s="141"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141"/>
      <c r="G13" s="141"/>
      <c r="H13" s="139"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140" t="str">
        <f t="array" ref="I13">IF(H13="", "", 
  LET(
    targetRow, IFERROR(MATCH(TRUE, BYROW('PR管理'!$J$4:$T$101, LAMBDA(r, COUNTIF(r, H13)&gt;0)), 0), 0),
    IF(targetRow=0, "",
      LET(
        startDate, INDEX('PR管理'!$C$4:$C$101, targetRow),
        delLimit, INDEX('PR管理'!$F$4:$F$101, targetRow),
        prID, INDEX('PR管理'!$A$4:$A$101, targetRow),
        IF(AND('26414_編集版 のコピー 2'!H$1 &gt;= startDate, '26414_編集版 のコピー 2'!H$1 &lt;= delLimit), 
          IFERROR(VLOOKUP(H13, '新規'!$E$2:$H142, 4, 0), 
          IFERROR(VLOOKUP(H13, '特殊配信マスタ'!$E$3:$H142, 4, 0), 
          IFERROR(VLOOKUP(H13, '自動求人✅'!$C$3:$F142, 4, 0), prID))), 
        "")
      )
    )
  )
)</f>
        <v/>
      </c>
      <c r="J13" s="141" t="str">
        <f t="shared" si="2"/>
        <v/>
      </c>
      <c r="K13" s="141"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141"/>
      <c r="M13" s="141"/>
      <c r="N13" s="139"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140" t="str">
        <f t="array" ref="O13">IF(N13="", "", 
  LET(
    targetRow, IFERROR(MATCH(TRUE, BYROW('PR管理'!$J$4:$T$101, LAMBDA(r, COUNTIF(r, N13)&gt;0)), 0), 0),
    IF(targetRow=0, "",
      LET(
        startDate, INDEX('PR管理'!$C$4:$C$101, targetRow),
        delLimit, INDEX('PR管理'!$F$4:$F$101, targetRow),
        prID, INDEX('PR管理'!$A$4:$A$101, targetRow),
        IF(AND('26414_編集版 のコピー 2'!N$1 &gt;= startDate, '26414_編集版 のコピー 2'!N$1 &lt;= delLimit), 
          IFERROR(VLOOKUP(N13, '新規'!$E$2:$H142, 4, 0), 
          IFERROR(VLOOKUP(N13, '特殊配信マスタ'!$E$3:$H142, 4, 0), 
          IFERROR(VLOOKUP(N13, '自動求人✅'!$C$3:$F142, 4, 0), prID))), 
        "")
      )
    )
  )
)</f>
        <v/>
      </c>
      <c r="P13" s="141" t="str">
        <f t="shared" si="3"/>
        <v/>
      </c>
      <c r="Q13" s="141"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141"/>
      <c r="S13" s="141"/>
      <c r="T13" s="139"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140" t="str">
        <f t="array" ref="U13">IF(T13="", "", 
  LET(
    targetRow, IFERROR(MATCH(TRUE, BYROW('PR管理'!$J$4:$T$101, LAMBDA(r, COUNTIF(r, T13)&gt;0)), 0), 0),
    IF(targetRow=0, "",
      LET(
        startDate, INDEX('PR管理'!$C$4:$C$101, targetRow),
        delLimit, INDEX('PR管理'!$F$4:$F$101, targetRow),
        prID, INDEX('PR管理'!$A$4:$A$101, targetRow),
        IF(AND('26414_編集版 のコピー 2'!T$1 &gt;= startDate, '26414_編集版 のコピー 2'!T$1 &lt;= delLimit), 
          IFERROR(VLOOKUP(T13, '新規'!$E$2:$H142, 4, 0), 
          IFERROR(VLOOKUP(T13, '特殊配信マスタ'!$E$3:$H142, 4, 0), 
          IFERROR(VLOOKUP(T13, '自動求人✅'!$C$3:$F142, 4, 0), prID))), 
        "")
      )
    )
  )
)</f>
        <v/>
      </c>
      <c r="V13" s="141" t="str">
        <f t="shared" si="4"/>
        <v/>
      </c>
      <c r="W13" s="141"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141"/>
      <c r="Y13" s="141"/>
      <c r="Z13" s="139"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140" t="str">
        <f t="array" ref="AA13">IF(Z13="", "", 
  LET(
    targetRow, IFERROR(MATCH(TRUE, BYROW('PR管理'!$J$4:$T$101, LAMBDA(r, COUNTIF(r, Z13)&gt;0)), 0), 0),
    IF(targetRow=0, "",
      LET(
        startDate, INDEX('PR管理'!$C$4:$C$101, targetRow),
        delLimit, INDEX('PR管理'!$F$4:$F$101, targetRow),
        prID, INDEX('PR管理'!$A$4:$A$101, targetRow),
        IF(AND('26414_編集版 のコピー 2'!Z$1 &gt;= startDate, '26414_編集版 のコピー 2'!Z$1 &lt;= delLimit), 
          IFERROR(VLOOKUP(Z13, '新規'!$E$2:$H142, 4, 0), 
          IFERROR(VLOOKUP(Z13, '特殊配信マスタ'!$E$3:$H142, 4, 0), 
          IFERROR(VLOOKUP(Z13, '自動求人✅'!$C$3:$F142, 4, 0), prID))), 
        "")
      )
    )
  )
)</f>
        <v/>
      </c>
      <c r="AB13" s="141" t="str">
        <f t="shared" si="5"/>
        <v/>
      </c>
      <c r="AC13" s="141"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141"/>
      <c r="AE13" s="141"/>
      <c r="AF13" s="139"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140" t="str">
        <f t="array" ref="AG13">IF(AF13="", "", 
  LET(
    targetRow, IFERROR(MATCH(TRUE, BYROW('PR管理'!$J$4:$T$101, LAMBDA(r, COUNTIF(r, AF13)&gt;0)), 0), 0),
    IF(targetRow=0, "",
      LET(
        startDate, INDEX('PR管理'!$C$4:$C$101, targetRow),
        delLimit, INDEX('PR管理'!$F$4:$F$101, targetRow),
        prID, INDEX('PR管理'!$A$4:$A$101, targetRow),
        IF(AND('26414_編集版 のコピー 2'!AF$1 &gt;= startDate, '26414_編集版 のコピー 2'!AF$1 &lt;= delLimit), 
          IFERROR(VLOOKUP(AF13, '新規'!$E$2:$H142, 4, 0), 
          IFERROR(VLOOKUP(AF13, '特殊配信マスタ'!$E$3:$H142, 4, 0), 
          IFERROR(VLOOKUP(AF13, '自動求人✅'!$C$3:$F142, 4, 0), prID))), 
        "")
      )
    )
  )
)</f>
        <v/>
      </c>
      <c r="AH13" s="141" t="str">
        <f t="shared" si="6"/>
        <v/>
      </c>
      <c r="AI13" s="141"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141"/>
      <c r="AK13" s="141"/>
      <c r="AL13" s="139"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140" t="str">
        <f t="array" ref="AM13">IF(AL13="", "", 
  LET(
    targetRow, IFERROR(MATCH(TRUE, BYROW('PR管理'!$J$4:$T$101, LAMBDA(r, COUNTIF(r, AL13)&gt;0)), 0), 0),
    IF(targetRow=0, "",
      LET(
        startDate, INDEX('PR管理'!$C$4:$C$101, targetRow),
        delLimit, INDEX('PR管理'!$F$4:$F$101, targetRow),
        prID, INDEX('PR管理'!$A$4:$A$101, targetRow),
        IF(AND('26414_編集版 のコピー 2'!AL$1 &gt;= startDate, '26414_編集版 のコピー 2'!AL$1 &lt;= delLimit), 
          IFERROR(VLOOKUP(AL13, '新規'!$E$2:$H142, 4, 0), 
          IFERROR(VLOOKUP(AL13, '特殊配信マスタ'!$E$3:$H142, 4, 0), 
          IFERROR(VLOOKUP(AL13, '自動求人✅'!$C$3:$F142, 4, 0), prID))), 
        "")
      )
    )
  )
)</f>
        <v/>
      </c>
      <c r="AN13" s="141" t="str">
        <f t="shared" si="7"/>
        <v/>
      </c>
      <c r="AO13" s="141"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141"/>
      <c r="AQ13" s="141"/>
    </row>
    <row r="14" ht="17.25" customHeight="1">
      <c r="A14" s="142"/>
      <c r="B14" s="139"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140" t="str">
        <f t="array" ref="C14">IF(B14="", "", 
  LET(
    targetRow, IFERROR(MATCH(TRUE, BYROW('PR管理'!$J$4:$T$101, LAMBDA(r, COUNTIF(r, B14)&gt;0)), 0), 0),
    IF(targetRow=0, "",
      LET(
        startDate, INDEX('PR管理'!$C$4:$C$101, targetRow),
        delLimit, INDEX('PR管理'!$F$4:$F$101, targetRow),
        prID, INDEX('PR管理'!$A$4:$A$101, targetRow),
        IF(AND('26414_編集版 のコピー 2'!B$1 &gt;= startDate, '26414_編集版 のコピー 2'!B$1 &lt;= delLimit), 
          IFERROR(VLOOKUP(B14, '新規'!$E$2:$H142, 4, 0), 
          IFERROR(VLOOKUP(B14, '特殊配信マスタ'!$E$3:$H142, 4, 0), 
          IFERROR(VLOOKUP(B14, '自動求人✅'!$C$3:$F142, 4, 0), prID))), 
        "")
      )
    )
  )
)</f>
        <v/>
      </c>
      <c r="D14" s="141" t="str">
        <f t="shared" si="1"/>
        <v/>
      </c>
      <c r="E14" s="141"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141"/>
      <c r="G14" s="141"/>
      <c r="H14" s="139"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140" t="str">
        <f t="array" ref="I14">IF(H14="", "", 
  LET(
    targetRow, IFERROR(MATCH(TRUE, BYROW('PR管理'!$J$4:$T$101, LAMBDA(r, COUNTIF(r, H14)&gt;0)), 0), 0),
    IF(targetRow=0, "",
      LET(
        startDate, INDEX('PR管理'!$C$4:$C$101, targetRow),
        delLimit, INDEX('PR管理'!$F$4:$F$101, targetRow),
        prID, INDEX('PR管理'!$A$4:$A$101, targetRow),
        IF(AND('26414_編集版 のコピー 2'!H$1 &gt;= startDate, '26414_編集版 のコピー 2'!H$1 &lt;= delLimit), 
          IFERROR(VLOOKUP(H14, '新規'!$E$2:$H142, 4, 0), 
          IFERROR(VLOOKUP(H14, '特殊配信マスタ'!$E$3:$H142, 4, 0), 
          IFERROR(VLOOKUP(H14, '自動求人✅'!$C$3:$F142, 4, 0), prID))), 
        "")
      )
    )
  )
)</f>
        <v/>
      </c>
      <c r="J14" s="141" t="str">
        <f t="shared" si="2"/>
        <v/>
      </c>
      <c r="K14" s="141"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141"/>
      <c r="M14" s="141"/>
      <c r="N14" s="139"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140" t="str">
        <f t="array" ref="O14">IF(N14="", "", 
  LET(
    targetRow, IFERROR(MATCH(TRUE, BYROW('PR管理'!$J$4:$T$101, LAMBDA(r, COUNTIF(r, N14)&gt;0)), 0), 0),
    IF(targetRow=0, "",
      LET(
        startDate, INDEX('PR管理'!$C$4:$C$101, targetRow),
        delLimit, INDEX('PR管理'!$F$4:$F$101, targetRow),
        prID, INDEX('PR管理'!$A$4:$A$101, targetRow),
        IF(AND('26414_編集版 のコピー 2'!N$1 &gt;= startDate, '26414_編集版 のコピー 2'!N$1 &lt;= delLimit), 
          IFERROR(VLOOKUP(N14, '新規'!$E$2:$H142, 4, 0), 
          IFERROR(VLOOKUP(N14, '特殊配信マスタ'!$E$3:$H142, 4, 0), 
          IFERROR(VLOOKUP(N14, '自動求人✅'!$C$3:$F142, 4, 0), prID))), 
        "")
      )
    )
  )
)</f>
        <v/>
      </c>
      <c r="P14" s="141" t="str">
        <f t="shared" si="3"/>
        <v/>
      </c>
      <c r="Q14" s="141"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141"/>
      <c r="S14" s="141"/>
      <c r="T14" s="139"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140" t="str">
        <f t="array" ref="U14">IF(T14="", "", 
  LET(
    targetRow, IFERROR(MATCH(TRUE, BYROW('PR管理'!$J$4:$T$101, LAMBDA(r, COUNTIF(r, T14)&gt;0)), 0), 0),
    IF(targetRow=0, "",
      LET(
        startDate, INDEX('PR管理'!$C$4:$C$101, targetRow),
        delLimit, INDEX('PR管理'!$F$4:$F$101, targetRow),
        prID, INDEX('PR管理'!$A$4:$A$101, targetRow),
        IF(AND('26414_編集版 のコピー 2'!T$1 &gt;= startDate, '26414_編集版 のコピー 2'!T$1 &lt;= delLimit), 
          IFERROR(VLOOKUP(T14, '新規'!$E$2:$H142, 4, 0), 
          IFERROR(VLOOKUP(T14, '特殊配信マスタ'!$E$3:$H142, 4, 0), 
          IFERROR(VLOOKUP(T14, '自動求人✅'!$C$3:$F142, 4, 0), prID))), 
        "")
      )
    )
  )
)</f>
        <v/>
      </c>
      <c r="V14" s="141" t="str">
        <f t="shared" si="4"/>
        <v/>
      </c>
      <c r="W14" s="141"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141"/>
      <c r="Y14" s="141"/>
      <c r="Z14" s="139"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140" t="str">
        <f t="array" ref="AA14">IF(Z14="", "", 
  LET(
    targetRow, IFERROR(MATCH(TRUE, BYROW('PR管理'!$J$4:$T$101, LAMBDA(r, COUNTIF(r, Z14)&gt;0)), 0), 0),
    IF(targetRow=0, "",
      LET(
        startDate, INDEX('PR管理'!$C$4:$C$101, targetRow),
        delLimit, INDEX('PR管理'!$F$4:$F$101, targetRow),
        prID, INDEX('PR管理'!$A$4:$A$101, targetRow),
        IF(AND('26414_編集版 のコピー 2'!Z$1 &gt;= startDate, '26414_編集版 のコピー 2'!Z$1 &lt;= delLimit), 
          IFERROR(VLOOKUP(Z14, '新規'!$E$2:$H142, 4, 0), 
          IFERROR(VLOOKUP(Z14, '特殊配信マスタ'!$E$3:$H142, 4, 0), 
          IFERROR(VLOOKUP(Z14, '自動求人✅'!$C$3:$F142, 4, 0), prID))), 
        "")
      )
    )
  )
)</f>
        <v/>
      </c>
      <c r="AB14" s="141" t="str">
        <f t="shared" si="5"/>
        <v/>
      </c>
      <c r="AC14" s="141"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141"/>
      <c r="AE14" s="141"/>
      <c r="AF14" s="139"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140" t="str">
        <f t="array" ref="AG14">IF(AF14="", "", 
  LET(
    targetRow, IFERROR(MATCH(TRUE, BYROW('PR管理'!$J$4:$T$101, LAMBDA(r, COUNTIF(r, AF14)&gt;0)), 0), 0),
    IF(targetRow=0, "",
      LET(
        startDate, INDEX('PR管理'!$C$4:$C$101, targetRow),
        delLimit, INDEX('PR管理'!$F$4:$F$101, targetRow),
        prID, INDEX('PR管理'!$A$4:$A$101, targetRow),
        IF(AND('26414_編集版 のコピー 2'!AF$1 &gt;= startDate, '26414_編集版 のコピー 2'!AF$1 &lt;= delLimit), 
          IFERROR(VLOOKUP(AF14, '新規'!$E$2:$H142, 4, 0), 
          IFERROR(VLOOKUP(AF14, '特殊配信マスタ'!$E$3:$H142, 4, 0), 
          IFERROR(VLOOKUP(AF14, '自動求人✅'!$C$3:$F142, 4, 0), prID))), 
        "")
      )
    )
  )
)</f>
        <v/>
      </c>
      <c r="AH14" s="141" t="str">
        <f t="shared" si="6"/>
        <v/>
      </c>
      <c r="AI14" s="141"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141"/>
      <c r="AK14" s="141"/>
      <c r="AL14" s="139"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140" t="str">
        <f t="array" ref="AM14">IF(AL14="", "", 
  LET(
    targetRow, IFERROR(MATCH(TRUE, BYROW('PR管理'!$J$4:$T$101, LAMBDA(r, COUNTIF(r, AL14)&gt;0)), 0), 0),
    IF(targetRow=0, "",
      LET(
        startDate, INDEX('PR管理'!$C$4:$C$101, targetRow),
        delLimit, INDEX('PR管理'!$F$4:$F$101, targetRow),
        prID, INDEX('PR管理'!$A$4:$A$101, targetRow),
        IF(AND('26414_編集版 のコピー 2'!AL$1 &gt;= startDate, '26414_編集版 のコピー 2'!AL$1 &lt;= delLimit), 
          IFERROR(VLOOKUP(AL14, '新規'!$E$2:$H142, 4, 0), 
          IFERROR(VLOOKUP(AL14, '特殊配信マスタ'!$E$3:$H142, 4, 0), 
          IFERROR(VLOOKUP(AL14, '自動求人✅'!$C$3:$F142, 4, 0), prID))), 
        "")
      )
    )
  )
)</f>
        <v/>
      </c>
      <c r="AN14" s="141" t="str">
        <f t="shared" si="7"/>
        <v/>
      </c>
      <c r="AO14" s="141"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141"/>
      <c r="AQ14" s="141"/>
    </row>
    <row r="15" ht="17.25" customHeight="1">
      <c r="A15" s="142"/>
      <c r="B15" s="139"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140" t="str">
        <f t="array" ref="C15">IF(B15="", "", 
  LET(
    targetRow, IFERROR(MATCH(TRUE, BYROW('PR管理'!$J$4:$T$101, LAMBDA(r, COUNTIF(r, B15)&gt;0)), 0), 0),
    IF(targetRow=0, "",
      LET(
        startDate, INDEX('PR管理'!$C$4:$C$101, targetRow),
        delLimit, INDEX('PR管理'!$F$4:$F$101, targetRow),
        prID, INDEX('PR管理'!$A$4:$A$101, targetRow),
        IF(AND('26414_編集版 のコピー 2'!B$1 &gt;= startDate, '26414_編集版 のコピー 2'!B$1 &lt;= delLimit), 
          IFERROR(VLOOKUP(B15, '新規'!$E$2:$H142, 4, 0), 
          IFERROR(VLOOKUP(B15, '特殊配信マスタ'!$E$3:$H142, 4, 0), 
          IFERROR(VLOOKUP(B15, '自動求人✅'!$C$3:$F142, 4, 0), prID))), 
        "")
      )
    )
  )
)</f>
        <v/>
      </c>
      <c r="D15" s="141" t="str">
        <f t="shared" si="1"/>
        <v/>
      </c>
      <c r="E15" s="141"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141"/>
      <c r="G15" s="141"/>
      <c r="H15" s="139"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140" t="str">
        <f t="array" ref="I15">IF(H15="", "", 
  LET(
    targetRow, IFERROR(MATCH(TRUE, BYROW('PR管理'!$J$4:$T$101, LAMBDA(r, COUNTIF(r, H15)&gt;0)), 0), 0),
    IF(targetRow=0, "",
      LET(
        startDate, INDEX('PR管理'!$C$4:$C$101, targetRow),
        delLimit, INDEX('PR管理'!$F$4:$F$101, targetRow),
        prID, INDEX('PR管理'!$A$4:$A$101, targetRow),
        IF(AND('26414_編集版 のコピー 2'!H$1 &gt;= startDate, '26414_編集版 のコピー 2'!H$1 &lt;= delLimit), 
          IFERROR(VLOOKUP(H15, '新規'!$E$2:$H142, 4, 0), 
          IFERROR(VLOOKUP(H15, '特殊配信マスタ'!$E$3:$H142, 4, 0), 
          IFERROR(VLOOKUP(H15, '自動求人✅'!$C$3:$F142, 4, 0), prID))), 
        "")
      )
    )
  )
)</f>
        <v/>
      </c>
      <c r="J15" s="141" t="str">
        <f t="shared" si="2"/>
        <v/>
      </c>
      <c r="K15" s="141"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141"/>
      <c r="M15" s="141"/>
      <c r="N15" s="139"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140" t="str">
        <f t="array" ref="O15">IF(N15="", "", 
  LET(
    targetRow, IFERROR(MATCH(TRUE, BYROW('PR管理'!$J$4:$T$101, LAMBDA(r, COUNTIF(r, N15)&gt;0)), 0), 0),
    IF(targetRow=0, "",
      LET(
        startDate, INDEX('PR管理'!$C$4:$C$101, targetRow),
        delLimit, INDEX('PR管理'!$F$4:$F$101, targetRow),
        prID, INDEX('PR管理'!$A$4:$A$101, targetRow),
        IF(AND('26414_編集版 のコピー 2'!N$1 &gt;= startDate, '26414_編集版 のコピー 2'!N$1 &lt;= delLimit), 
          IFERROR(VLOOKUP(N15, '新規'!$E$2:$H142, 4, 0), 
          IFERROR(VLOOKUP(N15, '特殊配信マスタ'!$E$3:$H142, 4, 0), 
          IFERROR(VLOOKUP(N15, '自動求人✅'!$C$3:$F142, 4, 0), prID))), 
        "")
      )
    )
  )
)</f>
        <v/>
      </c>
      <c r="P15" s="141" t="str">
        <f t="shared" si="3"/>
        <v/>
      </c>
      <c r="Q15" s="141"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141"/>
      <c r="S15" s="141"/>
      <c r="T15" s="139"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140" t="str">
        <f t="array" ref="U15">IF(T15="", "", 
  LET(
    targetRow, IFERROR(MATCH(TRUE, BYROW('PR管理'!$J$4:$T$101, LAMBDA(r, COUNTIF(r, T15)&gt;0)), 0), 0),
    IF(targetRow=0, "",
      LET(
        startDate, INDEX('PR管理'!$C$4:$C$101, targetRow),
        delLimit, INDEX('PR管理'!$F$4:$F$101, targetRow),
        prID, INDEX('PR管理'!$A$4:$A$101, targetRow),
        IF(AND('26414_編集版 のコピー 2'!T$1 &gt;= startDate, '26414_編集版 のコピー 2'!T$1 &lt;= delLimit), 
          IFERROR(VLOOKUP(T15, '新規'!$E$2:$H142, 4, 0), 
          IFERROR(VLOOKUP(T15, '特殊配信マスタ'!$E$3:$H142, 4, 0), 
          IFERROR(VLOOKUP(T15, '自動求人✅'!$C$3:$F142, 4, 0), prID))), 
        "")
      )
    )
  )
)</f>
        <v/>
      </c>
      <c r="V15" s="141" t="str">
        <f t="shared" si="4"/>
        <v/>
      </c>
      <c r="W15" s="141"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141"/>
      <c r="Y15" s="141"/>
      <c r="Z15" s="139"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140" t="str">
        <f t="array" ref="AA15">IF(Z15="", "", 
  LET(
    targetRow, IFERROR(MATCH(TRUE, BYROW('PR管理'!$J$4:$T$101, LAMBDA(r, COUNTIF(r, Z15)&gt;0)), 0), 0),
    IF(targetRow=0, "",
      LET(
        startDate, INDEX('PR管理'!$C$4:$C$101, targetRow),
        delLimit, INDEX('PR管理'!$F$4:$F$101, targetRow),
        prID, INDEX('PR管理'!$A$4:$A$101, targetRow),
        IF(AND('26414_編集版 のコピー 2'!Z$1 &gt;= startDate, '26414_編集版 のコピー 2'!Z$1 &lt;= delLimit), 
          IFERROR(VLOOKUP(Z15, '新規'!$E$2:$H142, 4, 0), 
          IFERROR(VLOOKUP(Z15, '特殊配信マスタ'!$E$3:$H142, 4, 0), 
          IFERROR(VLOOKUP(Z15, '自動求人✅'!$C$3:$F142, 4, 0), prID))), 
        "")
      )
    )
  )
)</f>
        <v/>
      </c>
      <c r="AB15" s="141" t="str">
        <f t="shared" si="5"/>
        <v/>
      </c>
      <c r="AC15" s="141"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141"/>
      <c r="AE15" s="141"/>
      <c r="AF15" s="139"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140" t="str">
        <f t="array" ref="AG15">IF(AF15="", "", 
  LET(
    targetRow, IFERROR(MATCH(TRUE, BYROW('PR管理'!$J$4:$T$101, LAMBDA(r, COUNTIF(r, AF15)&gt;0)), 0), 0),
    IF(targetRow=0, "",
      LET(
        startDate, INDEX('PR管理'!$C$4:$C$101, targetRow),
        delLimit, INDEX('PR管理'!$F$4:$F$101, targetRow),
        prID, INDEX('PR管理'!$A$4:$A$101, targetRow),
        IF(AND('26414_編集版 のコピー 2'!AF$1 &gt;= startDate, '26414_編集版 のコピー 2'!AF$1 &lt;= delLimit), 
          IFERROR(VLOOKUP(AF15, '新規'!$E$2:$H142, 4, 0), 
          IFERROR(VLOOKUP(AF15, '特殊配信マスタ'!$E$3:$H142, 4, 0), 
          IFERROR(VLOOKUP(AF15, '自動求人✅'!$C$3:$F142, 4, 0), prID))), 
        "")
      )
    )
  )
)</f>
        <v/>
      </c>
      <c r="AH15" s="141" t="str">
        <f t="shared" si="6"/>
        <v/>
      </c>
      <c r="AI15" s="141"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141"/>
      <c r="AK15" s="141"/>
      <c r="AL15" s="139"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140" t="str">
        <f t="array" ref="AM15">IF(AL15="", "", 
  LET(
    targetRow, IFERROR(MATCH(TRUE, BYROW('PR管理'!$J$4:$T$101, LAMBDA(r, COUNTIF(r, AL15)&gt;0)), 0), 0),
    IF(targetRow=0, "",
      LET(
        startDate, INDEX('PR管理'!$C$4:$C$101, targetRow),
        delLimit, INDEX('PR管理'!$F$4:$F$101, targetRow),
        prID, INDEX('PR管理'!$A$4:$A$101, targetRow),
        IF(AND('26414_編集版 のコピー 2'!AL$1 &gt;= startDate, '26414_編集版 のコピー 2'!AL$1 &lt;= delLimit), 
          IFERROR(VLOOKUP(AL15, '新規'!$E$2:$H142, 4, 0), 
          IFERROR(VLOOKUP(AL15, '特殊配信マスタ'!$E$3:$H142, 4, 0), 
          IFERROR(VLOOKUP(AL15, '自動求人✅'!$C$3:$F142, 4, 0), prID))), 
        "")
      )
    )
  )
)</f>
        <v/>
      </c>
      <c r="AN15" s="141" t="str">
        <f t="shared" si="7"/>
        <v/>
      </c>
      <c r="AO15" s="141"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141"/>
      <c r="AQ15" s="141"/>
    </row>
    <row r="16" ht="17.25" customHeight="1">
      <c r="A16" s="142"/>
      <c r="B16" s="139"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140" t="str">
        <f t="array" ref="C16">IF(B16="", "", 
  LET(
    targetRow, IFERROR(MATCH(TRUE, BYROW('PR管理'!$J$4:$T$101, LAMBDA(r, COUNTIF(r, B16)&gt;0)), 0), 0),
    IF(targetRow=0, "",
      LET(
        startDate, INDEX('PR管理'!$C$4:$C$101, targetRow),
        delLimit, INDEX('PR管理'!$F$4:$F$101, targetRow),
        prID, INDEX('PR管理'!$A$4:$A$101, targetRow),
        IF(AND('26414_編集版 のコピー 2'!B$1 &gt;= startDate, '26414_編集版 のコピー 2'!B$1 &lt;= delLimit), 
          IFERROR(VLOOKUP(B16, '新規'!$E$2:$H142, 4, 0), 
          IFERROR(VLOOKUP(B16, '特殊配信マスタ'!$E$3:$H142, 4, 0), 
          IFERROR(VLOOKUP(B16, '自動求人✅'!$C$3:$F142, 4, 0), prID))), 
        "")
      )
    )
  )
)</f>
        <v/>
      </c>
      <c r="D16" s="141" t="str">
        <f t="shared" si="1"/>
        <v/>
      </c>
      <c r="E16" s="141"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141"/>
      <c r="G16" s="141"/>
      <c r="H16" s="139"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140" t="str">
        <f t="array" ref="I16">IF(H16="", "", 
  LET(
    targetRow, IFERROR(MATCH(TRUE, BYROW('PR管理'!$J$4:$T$101, LAMBDA(r, COUNTIF(r, H16)&gt;0)), 0), 0),
    IF(targetRow=0, "",
      LET(
        startDate, INDEX('PR管理'!$C$4:$C$101, targetRow),
        delLimit, INDEX('PR管理'!$F$4:$F$101, targetRow),
        prID, INDEX('PR管理'!$A$4:$A$101, targetRow),
        IF(AND('26414_編集版 のコピー 2'!H$1 &gt;= startDate, '26414_編集版 のコピー 2'!H$1 &lt;= delLimit), 
          IFERROR(VLOOKUP(H16, '新規'!$E$2:$H142, 4, 0), 
          IFERROR(VLOOKUP(H16, '特殊配信マスタ'!$E$3:$H142, 4, 0), 
          IFERROR(VLOOKUP(H16, '自動求人✅'!$C$3:$F142, 4, 0), prID))), 
        "")
      )
    )
  )
)</f>
        <v/>
      </c>
      <c r="J16" s="141" t="str">
        <f t="shared" si="2"/>
        <v/>
      </c>
      <c r="K16" s="141"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141"/>
      <c r="M16" s="141"/>
      <c r="N16" s="139"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140" t="str">
        <f t="array" ref="O16">IF(N16="", "", 
  LET(
    targetRow, IFERROR(MATCH(TRUE, BYROW('PR管理'!$J$4:$T$101, LAMBDA(r, COUNTIF(r, N16)&gt;0)), 0), 0),
    IF(targetRow=0, "",
      LET(
        startDate, INDEX('PR管理'!$C$4:$C$101, targetRow),
        delLimit, INDEX('PR管理'!$F$4:$F$101, targetRow),
        prID, INDEX('PR管理'!$A$4:$A$101, targetRow),
        IF(AND('26414_編集版 のコピー 2'!N$1 &gt;= startDate, '26414_編集版 のコピー 2'!N$1 &lt;= delLimit), 
          IFERROR(VLOOKUP(N16, '新規'!$E$2:$H142, 4, 0), 
          IFERROR(VLOOKUP(N16, '特殊配信マスタ'!$E$3:$H142, 4, 0), 
          IFERROR(VLOOKUP(N16, '自動求人✅'!$C$3:$F142, 4, 0), prID))), 
        "")
      )
    )
  )
)</f>
        <v/>
      </c>
      <c r="P16" s="141" t="str">
        <f t="shared" si="3"/>
        <v/>
      </c>
      <c r="Q16" s="141"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141"/>
      <c r="S16" s="141"/>
      <c r="T16" s="139"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140" t="str">
        <f t="array" ref="U16">IF(T16="", "", 
  LET(
    targetRow, IFERROR(MATCH(TRUE, BYROW('PR管理'!$J$4:$T$101, LAMBDA(r, COUNTIF(r, T16)&gt;0)), 0), 0),
    IF(targetRow=0, "",
      LET(
        startDate, INDEX('PR管理'!$C$4:$C$101, targetRow),
        delLimit, INDEX('PR管理'!$F$4:$F$101, targetRow),
        prID, INDEX('PR管理'!$A$4:$A$101, targetRow),
        IF(AND('26414_編集版 のコピー 2'!T$1 &gt;= startDate, '26414_編集版 のコピー 2'!T$1 &lt;= delLimit), 
          IFERROR(VLOOKUP(T16, '新規'!$E$2:$H142, 4, 0), 
          IFERROR(VLOOKUP(T16, '特殊配信マスタ'!$E$3:$H142, 4, 0), 
          IFERROR(VLOOKUP(T16, '自動求人✅'!$C$3:$F142, 4, 0), prID))), 
        "")
      )
    )
  )
)</f>
        <v/>
      </c>
      <c r="V16" s="141" t="str">
        <f t="shared" si="4"/>
        <v/>
      </c>
      <c r="W16" s="141"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141"/>
      <c r="Y16" s="141"/>
      <c r="Z16" s="139"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140" t="str">
        <f t="array" ref="AA16">IF(Z16="", "", 
  LET(
    targetRow, IFERROR(MATCH(TRUE, BYROW('PR管理'!$J$4:$T$101, LAMBDA(r, COUNTIF(r, Z16)&gt;0)), 0), 0),
    IF(targetRow=0, "",
      LET(
        startDate, INDEX('PR管理'!$C$4:$C$101, targetRow),
        delLimit, INDEX('PR管理'!$F$4:$F$101, targetRow),
        prID, INDEX('PR管理'!$A$4:$A$101, targetRow),
        IF(AND('26414_編集版 のコピー 2'!Z$1 &gt;= startDate, '26414_編集版 のコピー 2'!Z$1 &lt;= delLimit), 
          IFERROR(VLOOKUP(Z16, '新規'!$E$2:$H142, 4, 0), 
          IFERROR(VLOOKUP(Z16, '特殊配信マスタ'!$E$3:$H142, 4, 0), 
          IFERROR(VLOOKUP(Z16, '自動求人✅'!$C$3:$F142, 4, 0), prID))), 
        "")
      )
    )
  )
)</f>
        <v/>
      </c>
      <c r="AB16" s="141" t="str">
        <f t="shared" si="5"/>
        <v/>
      </c>
      <c r="AC16" s="141"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141"/>
      <c r="AE16" s="141"/>
      <c r="AF16" s="139"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140" t="str">
        <f t="array" ref="AG16">IF(AF16="", "", 
  LET(
    targetRow, IFERROR(MATCH(TRUE, BYROW('PR管理'!$J$4:$T$101, LAMBDA(r, COUNTIF(r, AF16)&gt;0)), 0), 0),
    IF(targetRow=0, "",
      LET(
        startDate, INDEX('PR管理'!$C$4:$C$101, targetRow),
        delLimit, INDEX('PR管理'!$F$4:$F$101, targetRow),
        prID, INDEX('PR管理'!$A$4:$A$101, targetRow),
        IF(AND('26414_編集版 のコピー 2'!AF$1 &gt;= startDate, '26414_編集版 のコピー 2'!AF$1 &lt;= delLimit), 
          IFERROR(VLOOKUP(AF16, '新規'!$E$2:$H142, 4, 0), 
          IFERROR(VLOOKUP(AF16, '特殊配信マスタ'!$E$3:$H142, 4, 0), 
          IFERROR(VLOOKUP(AF16, '自動求人✅'!$C$3:$F142, 4, 0), prID))), 
        "")
      )
    )
  )
)</f>
        <v/>
      </c>
      <c r="AH16" s="141" t="str">
        <f t="shared" si="6"/>
        <v/>
      </c>
      <c r="AI16" s="141"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141"/>
      <c r="AK16" s="141"/>
      <c r="AL16" s="139"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140" t="str">
        <f t="array" ref="AM16">IF(AL16="", "", 
  LET(
    targetRow, IFERROR(MATCH(TRUE, BYROW('PR管理'!$J$4:$T$101, LAMBDA(r, COUNTIF(r, AL16)&gt;0)), 0), 0),
    IF(targetRow=0, "",
      LET(
        startDate, INDEX('PR管理'!$C$4:$C$101, targetRow),
        delLimit, INDEX('PR管理'!$F$4:$F$101, targetRow),
        prID, INDEX('PR管理'!$A$4:$A$101, targetRow),
        IF(AND('26414_編集版 のコピー 2'!AL$1 &gt;= startDate, '26414_編集版 のコピー 2'!AL$1 &lt;= delLimit), 
          IFERROR(VLOOKUP(AL16, '新規'!$E$2:$H142, 4, 0), 
          IFERROR(VLOOKUP(AL16, '特殊配信マスタ'!$E$3:$H142, 4, 0), 
          IFERROR(VLOOKUP(AL16, '自動求人✅'!$C$3:$F142, 4, 0), prID))), 
        "")
      )
    )
  )
)</f>
        <v/>
      </c>
      <c r="AN16" s="141" t="str">
        <f t="shared" si="7"/>
        <v/>
      </c>
      <c r="AO16" s="141"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141"/>
      <c r="AQ16" s="141"/>
    </row>
    <row r="17" ht="17.25" customHeight="1">
      <c r="A17" s="142"/>
      <c r="B17" s="139"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140" t="str">
        <f t="array" ref="C17">IF(B17="", "", 
  LET(
    targetRow, IFERROR(MATCH(TRUE, BYROW('PR管理'!$J$4:$T$101, LAMBDA(r, COUNTIF(r, B17)&gt;0)), 0), 0),
    IF(targetRow=0, "",
      LET(
        startDate, INDEX('PR管理'!$C$4:$C$101, targetRow),
        delLimit, INDEX('PR管理'!$F$4:$F$101, targetRow),
        prID, INDEX('PR管理'!$A$4:$A$101, targetRow),
        IF(AND('26414_編集版 のコピー 2'!B$1 &gt;= startDate, '26414_編集版 のコピー 2'!B$1 &lt;= delLimit), 
          IFERROR(VLOOKUP(B17, '新規'!$E$2:$H142, 4, 0), 
          IFERROR(VLOOKUP(B17, '特殊配信マスタ'!$E$3:$H142, 4, 0), 
          IFERROR(VLOOKUP(B17, '自動求人✅'!$C$3:$F142, 4, 0), prID))), 
        "")
      )
    )
  )
)</f>
        <v/>
      </c>
      <c r="D17" s="141" t="str">
        <f t="shared" si="1"/>
        <v/>
      </c>
      <c r="E17" s="141"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141"/>
      <c r="G17" s="141"/>
      <c r="H17" s="139"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140" t="str">
        <f t="array" ref="I17">IF(H17="", "", 
  LET(
    targetRow, IFERROR(MATCH(TRUE, BYROW('PR管理'!$J$4:$T$101, LAMBDA(r, COUNTIF(r, H17)&gt;0)), 0), 0),
    IF(targetRow=0, "",
      LET(
        startDate, INDEX('PR管理'!$C$4:$C$101, targetRow),
        delLimit, INDEX('PR管理'!$F$4:$F$101, targetRow),
        prID, INDEX('PR管理'!$A$4:$A$101, targetRow),
        IF(AND('26414_編集版 のコピー 2'!H$1 &gt;= startDate, '26414_編集版 のコピー 2'!H$1 &lt;= delLimit), 
          IFERROR(VLOOKUP(H17, '新規'!$E$2:$H142, 4, 0), 
          IFERROR(VLOOKUP(H17, '特殊配信マスタ'!$E$3:$H142, 4, 0), 
          IFERROR(VLOOKUP(H17, '自動求人✅'!$C$3:$F142, 4, 0), prID))), 
        "")
      )
    )
  )
)</f>
        <v/>
      </c>
      <c r="J17" s="141" t="str">
        <f t="shared" si="2"/>
        <v/>
      </c>
      <c r="K17" s="141"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141"/>
      <c r="M17" s="141"/>
      <c r="N17" s="139"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140" t="str">
        <f t="array" ref="O17">IF(N17="", "", 
  LET(
    targetRow, IFERROR(MATCH(TRUE, BYROW('PR管理'!$J$4:$T$101, LAMBDA(r, COUNTIF(r, N17)&gt;0)), 0), 0),
    IF(targetRow=0, "",
      LET(
        startDate, INDEX('PR管理'!$C$4:$C$101, targetRow),
        delLimit, INDEX('PR管理'!$F$4:$F$101, targetRow),
        prID, INDEX('PR管理'!$A$4:$A$101, targetRow),
        IF(AND('26414_編集版 のコピー 2'!N$1 &gt;= startDate, '26414_編集版 のコピー 2'!N$1 &lt;= delLimit), 
          IFERROR(VLOOKUP(N17, '新規'!$E$2:$H142, 4, 0), 
          IFERROR(VLOOKUP(N17, '特殊配信マスタ'!$E$3:$H142, 4, 0), 
          IFERROR(VLOOKUP(N17, '自動求人✅'!$C$3:$F142, 4, 0), prID))), 
        "")
      )
    )
  )
)</f>
        <v/>
      </c>
      <c r="P17" s="141" t="str">
        <f t="shared" si="3"/>
        <v/>
      </c>
      <c r="Q17" s="141"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141"/>
      <c r="S17" s="141"/>
      <c r="T17" s="139"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140" t="str">
        <f t="array" ref="U17">IF(T17="", "", 
  LET(
    targetRow, IFERROR(MATCH(TRUE, BYROW('PR管理'!$J$4:$T$101, LAMBDA(r, COUNTIF(r, T17)&gt;0)), 0), 0),
    IF(targetRow=0, "",
      LET(
        startDate, INDEX('PR管理'!$C$4:$C$101, targetRow),
        delLimit, INDEX('PR管理'!$F$4:$F$101, targetRow),
        prID, INDEX('PR管理'!$A$4:$A$101, targetRow),
        IF(AND('26414_編集版 のコピー 2'!T$1 &gt;= startDate, '26414_編集版 のコピー 2'!T$1 &lt;= delLimit), 
          IFERROR(VLOOKUP(T17, '新規'!$E$2:$H142, 4, 0), 
          IFERROR(VLOOKUP(T17, '特殊配信マスタ'!$E$3:$H142, 4, 0), 
          IFERROR(VLOOKUP(T17, '自動求人✅'!$C$3:$F142, 4, 0), prID))), 
        "")
      )
    )
  )
)</f>
        <v/>
      </c>
      <c r="V17" s="141" t="str">
        <f t="shared" si="4"/>
        <v/>
      </c>
      <c r="W17" s="141"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141"/>
      <c r="Y17" s="141"/>
      <c r="Z17" s="139"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140" t="str">
        <f t="array" ref="AA17">IF(Z17="", "", 
  LET(
    targetRow, IFERROR(MATCH(TRUE, BYROW('PR管理'!$J$4:$T$101, LAMBDA(r, COUNTIF(r, Z17)&gt;0)), 0), 0),
    IF(targetRow=0, "",
      LET(
        startDate, INDEX('PR管理'!$C$4:$C$101, targetRow),
        delLimit, INDEX('PR管理'!$F$4:$F$101, targetRow),
        prID, INDEX('PR管理'!$A$4:$A$101, targetRow),
        IF(AND('26414_編集版 のコピー 2'!Z$1 &gt;= startDate, '26414_編集版 のコピー 2'!Z$1 &lt;= delLimit), 
          IFERROR(VLOOKUP(Z17, '新規'!$E$2:$H142, 4, 0), 
          IFERROR(VLOOKUP(Z17, '特殊配信マスタ'!$E$3:$H142, 4, 0), 
          IFERROR(VLOOKUP(Z17, '自動求人✅'!$C$3:$F142, 4, 0), prID))), 
        "")
      )
    )
  )
)</f>
        <v/>
      </c>
      <c r="AB17" s="141" t="str">
        <f t="shared" si="5"/>
        <v/>
      </c>
      <c r="AC17" s="141"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141"/>
      <c r="AE17" s="141"/>
      <c r="AF17" s="139"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140" t="str">
        <f t="array" ref="AG17">IF(AF17="", "", 
  LET(
    targetRow, IFERROR(MATCH(TRUE, BYROW('PR管理'!$J$4:$T$101, LAMBDA(r, COUNTIF(r, AF17)&gt;0)), 0), 0),
    IF(targetRow=0, "",
      LET(
        startDate, INDEX('PR管理'!$C$4:$C$101, targetRow),
        delLimit, INDEX('PR管理'!$F$4:$F$101, targetRow),
        prID, INDEX('PR管理'!$A$4:$A$101, targetRow),
        IF(AND('26414_編集版 のコピー 2'!AF$1 &gt;= startDate, '26414_編集版 のコピー 2'!AF$1 &lt;= delLimit), 
          IFERROR(VLOOKUP(AF17, '新規'!$E$2:$H142, 4, 0), 
          IFERROR(VLOOKUP(AF17, '特殊配信マスタ'!$E$3:$H142, 4, 0), 
          IFERROR(VLOOKUP(AF17, '自動求人✅'!$C$3:$F142, 4, 0), prID))), 
        "")
      )
    )
  )
)</f>
        <v/>
      </c>
      <c r="AH17" s="141" t="str">
        <f t="shared" si="6"/>
        <v/>
      </c>
      <c r="AI17" s="141"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141"/>
      <c r="AK17" s="141"/>
      <c r="AL17" s="139"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140" t="str">
        <f t="array" ref="AM17">IF(AL17="", "", 
  LET(
    targetRow, IFERROR(MATCH(TRUE, BYROW('PR管理'!$J$4:$T$101, LAMBDA(r, COUNTIF(r, AL17)&gt;0)), 0), 0),
    IF(targetRow=0, "",
      LET(
        startDate, INDEX('PR管理'!$C$4:$C$101, targetRow),
        delLimit, INDEX('PR管理'!$F$4:$F$101, targetRow),
        prID, INDEX('PR管理'!$A$4:$A$101, targetRow),
        IF(AND('26414_編集版 のコピー 2'!AL$1 &gt;= startDate, '26414_編集版 のコピー 2'!AL$1 &lt;= delLimit), 
          IFERROR(VLOOKUP(AL17, '新規'!$E$2:$H142, 4, 0), 
          IFERROR(VLOOKUP(AL17, '特殊配信マスタ'!$E$3:$H142, 4, 0), 
          IFERROR(VLOOKUP(AL17, '自動求人✅'!$C$3:$F142, 4, 0), prID))), 
        "")
      )
    )
  )
)</f>
        <v/>
      </c>
      <c r="AN17" s="141" t="str">
        <f t="shared" si="7"/>
        <v/>
      </c>
      <c r="AO17" s="141"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141"/>
      <c r="AQ17" s="141"/>
    </row>
    <row r="18" ht="17.25" customHeight="1">
      <c r="A18" s="142"/>
      <c r="B18" s="139"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140" t="str">
        <f t="array" ref="C18">IF(B18="", "", 
  LET(
    targetRow, IFERROR(MATCH(TRUE, BYROW('PR管理'!$J$4:$T$101, LAMBDA(r, COUNTIF(r, B18)&gt;0)), 0), 0),
    IF(targetRow=0, "",
      LET(
        startDate, INDEX('PR管理'!$C$4:$C$101, targetRow),
        delLimit, INDEX('PR管理'!$F$4:$F$101, targetRow),
        prID, INDEX('PR管理'!$A$4:$A$101, targetRow),
        IF(AND('26414_編集版 のコピー 2'!B$1 &gt;= startDate, '26414_編集版 のコピー 2'!B$1 &lt;= delLimit), 
          IFERROR(VLOOKUP(B18, '新規'!$E$2:$H142, 4, 0), 
          IFERROR(VLOOKUP(B18, '特殊配信マスタ'!$E$3:$H142, 4, 0), 
          IFERROR(VLOOKUP(B18, '自動求人✅'!$C$3:$F142, 4, 0), prID))), 
        "")
      )
    )
  )
)</f>
        <v/>
      </c>
      <c r="D18" s="141" t="str">
        <f t="shared" si="1"/>
        <v/>
      </c>
      <c r="E18" s="141"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141"/>
      <c r="G18" s="141"/>
      <c r="H18" s="139"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140" t="str">
        <f t="array" ref="I18">IF(H18="", "", 
  LET(
    targetRow, IFERROR(MATCH(TRUE, BYROW('PR管理'!$J$4:$T$101, LAMBDA(r, COUNTIF(r, H18)&gt;0)), 0), 0),
    IF(targetRow=0, "",
      LET(
        startDate, INDEX('PR管理'!$C$4:$C$101, targetRow),
        delLimit, INDEX('PR管理'!$F$4:$F$101, targetRow),
        prID, INDEX('PR管理'!$A$4:$A$101, targetRow),
        IF(AND('26414_編集版 のコピー 2'!H$1 &gt;= startDate, '26414_編集版 のコピー 2'!H$1 &lt;= delLimit), 
          IFERROR(VLOOKUP(H18, '新規'!$E$2:$H142, 4, 0), 
          IFERROR(VLOOKUP(H18, '特殊配信マスタ'!$E$3:$H142, 4, 0), 
          IFERROR(VLOOKUP(H18, '自動求人✅'!$C$3:$F142, 4, 0), prID))), 
        "")
      )
    )
  )
)</f>
        <v/>
      </c>
      <c r="J18" s="141" t="str">
        <f t="shared" si="2"/>
        <v/>
      </c>
      <c r="K18" s="141"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141"/>
      <c r="M18" s="141"/>
      <c r="N18" s="139"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140" t="str">
        <f t="array" ref="O18">IF(N18="", "", 
  LET(
    targetRow, IFERROR(MATCH(TRUE, BYROW('PR管理'!$J$4:$T$101, LAMBDA(r, COUNTIF(r, N18)&gt;0)), 0), 0),
    IF(targetRow=0, "",
      LET(
        startDate, INDEX('PR管理'!$C$4:$C$101, targetRow),
        delLimit, INDEX('PR管理'!$F$4:$F$101, targetRow),
        prID, INDEX('PR管理'!$A$4:$A$101, targetRow),
        IF(AND('26414_編集版 のコピー 2'!N$1 &gt;= startDate, '26414_編集版 のコピー 2'!N$1 &lt;= delLimit), 
          IFERROR(VLOOKUP(N18, '新規'!$E$2:$H142, 4, 0), 
          IFERROR(VLOOKUP(N18, '特殊配信マスタ'!$E$3:$H142, 4, 0), 
          IFERROR(VLOOKUP(N18, '自動求人✅'!$C$3:$F142, 4, 0), prID))), 
        "")
      )
    )
  )
)</f>
        <v/>
      </c>
      <c r="P18" s="141" t="str">
        <f t="shared" si="3"/>
        <v/>
      </c>
      <c r="Q18" s="141"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141"/>
      <c r="S18" s="141"/>
      <c r="T18" s="139"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140" t="str">
        <f t="array" ref="U18">IF(T18="", "", 
  LET(
    targetRow, IFERROR(MATCH(TRUE, BYROW('PR管理'!$J$4:$T$101, LAMBDA(r, COUNTIF(r, T18)&gt;0)), 0), 0),
    IF(targetRow=0, "",
      LET(
        startDate, INDEX('PR管理'!$C$4:$C$101, targetRow),
        delLimit, INDEX('PR管理'!$F$4:$F$101, targetRow),
        prID, INDEX('PR管理'!$A$4:$A$101, targetRow),
        IF(AND('26414_編集版 のコピー 2'!T$1 &gt;= startDate, '26414_編集版 のコピー 2'!T$1 &lt;= delLimit), 
          IFERROR(VLOOKUP(T18, '新規'!$E$2:$H142, 4, 0), 
          IFERROR(VLOOKUP(T18, '特殊配信マスタ'!$E$3:$H142, 4, 0), 
          IFERROR(VLOOKUP(T18, '自動求人✅'!$C$3:$F142, 4, 0), prID))), 
        "")
      )
    )
  )
)</f>
        <v/>
      </c>
      <c r="V18" s="141" t="str">
        <f t="shared" si="4"/>
        <v/>
      </c>
      <c r="W18" s="141"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141"/>
      <c r="Y18" s="141"/>
      <c r="Z18" s="139"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140" t="str">
        <f t="array" ref="AA18">IF(Z18="", "", 
  LET(
    targetRow, IFERROR(MATCH(TRUE, BYROW('PR管理'!$J$4:$T$101, LAMBDA(r, COUNTIF(r, Z18)&gt;0)), 0), 0),
    IF(targetRow=0, "",
      LET(
        startDate, INDEX('PR管理'!$C$4:$C$101, targetRow),
        delLimit, INDEX('PR管理'!$F$4:$F$101, targetRow),
        prID, INDEX('PR管理'!$A$4:$A$101, targetRow),
        IF(AND('26414_編集版 のコピー 2'!Z$1 &gt;= startDate, '26414_編集版 のコピー 2'!Z$1 &lt;= delLimit), 
          IFERROR(VLOOKUP(Z18, '新規'!$E$2:$H142, 4, 0), 
          IFERROR(VLOOKUP(Z18, '特殊配信マスタ'!$E$3:$H142, 4, 0), 
          IFERROR(VLOOKUP(Z18, '自動求人✅'!$C$3:$F142, 4, 0), prID))), 
        "")
      )
    )
  )
)</f>
        <v/>
      </c>
      <c r="AB18" s="141" t="str">
        <f t="shared" si="5"/>
        <v/>
      </c>
      <c r="AC18" s="141"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141"/>
      <c r="AE18" s="141"/>
      <c r="AF18" s="139"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140" t="str">
        <f t="array" ref="AG18">IF(AF18="", "", 
  LET(
    targetRow, IFERROR(MATCH(TRUE, BYROW('PR管理'!$J$4:$T$101, LAMBDA(r, COUNTIF(r, AF18)&gt;0)), 0), 0),
    IF(targetRow=0, "",
      LET(
        startDate, INDEX('PR管理'!$C$4:$C$101, targetRow),
        delLimit, INDEX('PR管理'!$F$4:$F$101, targetRow),
        prID, INDEX('PR管理'!$A$4:$A$101, targetRow),
        IF(AND('26414_編集版 のコピー 2'!AF$1 &gt;= startDate, '26414_編集版 のコピー 2'!AF$1 &lt;= delLimit), 
          IFERROR(VLOOKUP(AF18, '新規'!$E$2:$H142, 4, 0), 
          IFERROR(VLOOKUP(AF18, '特殊配信マスタ'!$E$3:$H142, 4, 0), 
          IFERROR(VLOOKUP(AF18, '自動求人✅'!$C$3:$F142, 4, 0), prID))), 
        "")
      )
    )
  )
)</f>
        <v/>
      </c>
      <c r="AH18" s="141" t="str">
        <f t="shared" si="6"/>
        <v/>
      </c>
      <c r="AI18" s="141"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141"/>
      <c r="AK18" s="141"/>
      <c r="AL18" s="139"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140" t="str">
        <f t="array" ref="AM18">IF(AL18="", "", 
  LET(
    targetRow, IFERROR(MATCH(TRUE, BYROW('PR管理'!$J$4:$T$101, LAMBDA(r, COUNTIF(r, AL18)&gt;0)), 0), 0),
    IF(targetRow=0, "",
      LET(
        startDate, INDEX('PR管理'!$C$4:$C$101, targetRow),
        delLimit, INDEX('PR管理'!$F$4:$F$101, targetRow),
        prID, INDEX('PR管理'!$A$4:$A$101, targetRow),
        IF(AND('26414_編集版 のコピー 2'!AL$1 &gt;= startDate, '26414_編集版 のコピー 2'!AL$1 &lt;= delLimit), 
          IFERROR(VLOOKUP(AL18, '新規'!$E$2:$H142, 4, 0), 
          IFERROR(VLOOKUP(AL18, '特殊配信マスタ'!$E$3:$H142, 4, 0), 
          IFERROR(VLOOKUP(AL18, '自動求人✅'!$C$3:$F142, 4, 0), prID))), 
        "")
      )
    )
  )
)</f>
        <v/>
      </c>
      <c r="AN18" s="141" t="str">
        <f t="shared" si="7"/>
        <v/>
      </c>
      <c r="AO18" s="141"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141"/>
      <c r="AQ18" s="141"/>
    </row>
    <row r="19" ht="17.25" customHeight="1">
      <c r="A19" s="142"/>
      <c r="B19" s="139"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140" t="str">
        <f t="array" ref="C19">IF(B19="", "", 
  LET(
    targetRow, IFERROR(MATCH(TRUE, BYROW('PR管理'!$J$4:$T$101, LAMBDA(r, COUNTIF(r, B19)&gt;0)), 0), 0),
    IF(targetRow=0, "",
      LET(
        startDate, INDEX('PR管理'!$C$4:$C$101, targetRow),
        delLimit, INDEX('PR管理'!$F$4:$F$101, targetRow),
        prID, INDEX('PR管理'!$A$4:$A$101, targetRow),
        IF(AND('26414_編集版 のコピー 2'!B$1 &gt;= startDate, '26414_編集版 のコピー 2'!B$1 &lt;= delLimit), 
          IFERROR(VLOOKUP(B19, '新規'!$E$2:$H142, 4, 0), 
          IFERROR(VLOOKUP(B19, '特殊配信マスタ'!$E$3:$H142, 4, 0), 
          IFERROR(VLOOKUP(B19, '自動求人✅'!$C$3:$F142, 4, 0), prID))), 
        "")
      )
    )
  )
)</f>
        <v/>
      </c>
      <c r="D19" s="141" t="str">
        <f t="shared" si="1"/>
        <v/>
      </c>
      <c r="E19" s="141"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141"/>
      <c r="G19" s="141"/>
      <c r="H19" s="139"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140" t="str">
        <f t="array" ref="I19">IF(H19="", "", 
  LET(
    targetRow, IFERROR(MATCH(TRUE, BYROW('PR管理'!$J$4:$T$101, LAMBDA(r, COUNTIF(r, H19)&gt;0)), 0), 0),
    IF(targetRow=0, "",
      LET(
        startDate, INDEX('PR管理'!$C$4:$C$101, targetRow),
        delLimit, INDEX('PR管理'!$F$4:$F$101, targetRow),
        prID, INDEX('PR管理'!$A$4:$A$101, targetRow),
        IF(AND('26414_編集版 のコピー 2'!H$1 &gt;= startDate, '26414_編集版 のコピー 2'!H$1 &lt;= delLimit), 
          IFERROR(VLOOKUP(H19, '新規'!$E$2:$H142, 4, 0), 
          IFERROR(VLOOKUP(H19, '特殊配信マスタ'!$E$3:$H142, 4, 0), 
          IFERROR(VLOOKUP(H19, '自動求人✅'!$C$3:$F142, 4, 0), prID))), 
        "")
      )
    )
  )
)</f>
        <v/>
      </c>
      <c r="J19" s="141" t="str">
        <f t="shared" si="2"/>
        <v/>
      </c>
      <c r="K19" s="141"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141"/>
      <c r="M19" s="141"/>
      <c r="N19" s="139"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140" t="str">
        <f t="array" ref="O19">IF(N19="", "", 
  LET(
    targetRow, IFERROR(MATCH(TRUE, BYROW('PR管理'!$J$4:$T$101, LAMBDA(r, COUNTIF(r, N19)&gt;0)), 0), 0),
    IF(targetRow=0, "",
      LET(
        startDate, INDEX('PR管理'!$C$4:$C$101, targetRow),
        delLimit, INDEX('PR管理'!$F$4:$F$101, targetRow),
        prID, INDEX('PR管理'!$A$4:$A$101, targetRow),
        IF(AND('26414_編集版 のコピー 2'!N$1 &gt;= startDate, '26414_編集版 のコピー 2'!N$1 &lt;= delLimit), 
          IFERROR(VLOOKUP(N19, '新規'!$E$2:$H142, 4, 0), 
          IFERROR(VLOOKUP(N19, '特殊配信マスタ'!$E$3:$H142, 4, 0), 
          IFERROR(VLOOKUP(N19, '自動求人✅'!$C$3:$F142, 4, 0), prID))), 
        "")
      )
    )
  )
)</f>
        <v/>
      </c>
      <c r="P19" s="141" t="str">
        <f t="shared" si="3"/>
        <v/>
      </c>
      <c r="Q19" s="141"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141"/>
      <c r="S19" s="141"/>
      <c r="T19" s="139"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140" t="str">
        <f t="array" ref="U19">IF(T19="", "", 
  LET(
    targetRow, IFERROR(MATCH(TRUE, BYROW('PR管理'!$J$4:$T$101, LAMBDA(r, COUNTIF(r, T19)&gt;0)), 0), 0),
    IF(targetRow=0, "",
      LET(
        startDate, INDEX('PR管理'!$C$4:$C$101, targetRow),
        delLimit, INDEX('PR管理'!$F$4:$F$101, targetRow),
        prID, INDEX('PR管理'!$A$4:$A$101, targetRow),
        IF(AND('26414_編集版 のコピー 2'!T$1 &gt;= startDate, '26414_編集版 のコピー 2'!T$1 &lt;= delLimit), 
          IFERROR(VLOOKUP(T19, '新規'!$E$2:$H142, 4, 0), 
          IFERROR(VLOOKUP(T19, '特殊配信マスタ'!$E$3:$H142, 4, 0), 
          IFERROR(VLOOKUP(T19, '自動求人✅'!$C$3:$F142, 4, 0), prID))), 
        "")
      )
    )
  )
)</f>
        <v/>
      </c>
      <c r="V19" s="141" t="str">
        <f t="shared" si="4"/>
        <v/>
      </c>
      <c r="W19" s="141"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141"/>
      <c r="Y19" s="141"/>
      <c r="Z19" s="139"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140" t="str">
        <f t="array" ref="AA19">IF(Z19="", "", 
  LET(
    targetRow, IFERROR(MATCH(TRUE, BYROW('PR管理'!$J$4:$T$101, LAMBDA(r, COUNTIF(r, Z19)&gt;0)), 0), 0),
    IF(targetRow=0, "",
      LET(
        startDate, INDEX('PR管理'!$C$4:$C$101, targetRow),
        delLimit, INDEX('PR管理'!$F$4:$F$101, targetRow),
        prID, INDEX('PR管理'!$A$4:$A$101, targetRow),
        IF(AND('26414_編集版 のコピー 2'!Z$1 &gt;= startDate, '26414_編集版 のコピー 2'!Z$1 &lt;= delLimit), 
          IFERROR(VLOOKUP(Z19, '新規'!$E$2:$H142, 4, 0), 
          IFERROR(VLOOKUP(Z19, '特殊配信マスタ'!$E$3:$H142, 4, 0), 
          IFERROR(VLOOKUP(Z19, '自動求人✅'!$C$3:$F142, 4, 0), prID))), 
        "")
      )
    )
  )
)</f>
        <v/>
      </c>
      <c r="AB19" s="141" t="str">
        <f t="shared" si="5"/>
        <v/>
      </c>
      <c r="AC19" s="141"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141"/>
      <c r="AE19" s="141"/>
      <c r="AF19" s="139"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140" t="str">
        <f t="array" ref="AG19">IF(AF19="", "", 
  LET(
    targetRow, IFERROR(MATCH(TRUE, BYROW('PR管理'!$J$4:$T$101, LAMBDA(r, COUNTIF(r, AF19)&gt;0)), 0), 0),
    IF(targetRow=0, "",
      LET(
        startDate, INDEX('PR管理'!$C$4:$C$101, targetRow),
        delLimit, INDEX('PR管理'!$F$4:$F$101, targetRow),
        prID, INDEX('PR管理'!$A$4:$A$101, targetRow),
        IF(AND('26414_編集版 のコピー 2'!AF$1 &gt;= startDate, '26414_編集版 のコピー 2'!AF$1 &lt;= delLimit), 
          IFERROR(VLOOKUP(AF19, '新規'!$E$2:$H142, 4, 0), 
          IFERROR(VLOOKUP(AF19, '特殊配信マスタ'!$E$3:$H142, 4, 0), 
          IFERROR(VLOOKUP(AF19, '自動求人✅'!$C$3:$F142, 4, 0), prID))), 
        "")
      )
    )
  )
)</f>
        <v/>
      </c>
      <c r="AH19" s="141" t="str">
        <f t="shared" si="6"/>
        <v/>
      </c>
      <c r="AI19" s="141"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141"/>
      <c r="AK19" s="141"/>
      <c r="AL19" s="139"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140" t="str">
        <f t="array" ref="AM19">IF(AL19="", "", 
  LET(
    targetRow, IFERROR(MATCH(TRUE, BYROW('PR管理'!$J$4:$T$101, LAMBDA(r, COUNTIF(r, AL19)&gt;0)), 0), 0),
    IF(targetRow=0, "",
      LET(
        startDate, INDEX('PR管理'!$C$4:$C$101, targetRow),
        delLimit, INDEX('PR管理'!$F$4:$F$101, targetRow),
        prID, INDEX('PR管理'!$A$4:$A$101, targetRow),
        IF(AND('26414_編集版 のコピー 2'!AL$1 &gt;= startDate, '26414_編集版 のコピー 2'!AL$1 &lt;= delLimit), 
          IFERROR(VLOOKUP(AL19, '新規'!$E$2:$H142, 4, 0), 
          IFERROR(VLOOKUP(AL19, '特殊配信マスタ'!$E$3:$H142, 4, 0), 
          IFERROR(VLOOKUP(AL19, '自動求人✅'!$C$3:$F142, 4, 0), prID))), 
        "")
      )
    )
  )
)</f>
        <v/>
      </c>
      <c r="AN19" s="141" t="str">
        <f t="shared" si="7"/>
        <v/>
      </c>
      <c r="AO19" s="141"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141"/>
      <c r="AQ19" s="141"/>
    </row>
    <row r="20" ht="17.25" customHeight="1">
      <c r="A20" s="142"/>
      <c r="B20" s="139"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140" t="str">
        <f t="array" ref="C20">IF(B20="", "", 
  LET(
    targetRow, IFERROR(MATCH(TRUE, BYROW('PR管理'!$J$4:$T$101, LAMBDA(r, COUNTIF(r, B20)&gt;0)), 0), 0),
    IF(targetRow=0, "",
      LET(
        startDate, INDEX('PR管理'!$C$4:$C$101, targetRow),
        delLimit, INDEX('PR管理'!$F$4:$F$101, targetRow),
        prID, INDEX('PR管理'!$A$4:$A$101, targetRow),
        IF(AND('26414_編集版 のコピー 2'!B$1 &gt;= startDate, '26414_編集版 のコピー 2'!B$1 &lt;= delLimit), 
          IFERROR(VLOOKUP(B20, '新規'!$E$2:$H142, 4, 0), 
          IFERROR(VLOOKUP(B20, '特殊配信マスタ'!$E$3:$H142, 4, 0), 
          IFERROR(VLOOKUP(B20, '自動求人✅'!$C$3:$F142, 4, 0), prID))), 
        "")
      )
    )
  )
)</f>
        <v/>
      </c>
      <c r="D20" s="141" t="str">
        <f t="shared" si="1"/>
        <v/>
      </c>
      <c r="E20" s="141"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141"/>
      <c r="G20" s="141"/>
      <c r="H20" s="139"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140" t="str">
        <f t="array" ref="I20">IF(H20="", "", 
  LET(
    targetRow, IFERROR(MATCH(TRUE, BYROW('PR管理'!$J$4:$T$101, LAMBDA(r, COUNTIF(r, H20)&gt;0)), 0), 0),
    IF(targetRow=0, "",
      LET(
        startDate, INDEX('PR管理'!$C$4:$C$101, targetRow),
        delLimit, INDEX('PR管理'!$F$4:$F$101, targetRow),
        prID, INDEX('PR管理'!$A$4:$A$101, targetRow),
        IF(AND('26414_編集版 のコピー 2'!H$1 &gt;= startDate, '26414_編集版 のコピー 2'!H$1 &lt;= delLimit), 
          IFERROR(VLOOKUP(H20, '新規'!$E$2:$H142, 4, 0), 
          IFERROR(VLOOKUP(H20, '特殊配信マスタ'!$E$3:$H142, 4, 0), 
          IFERROR(VLOOKUP(H20, '自動求人✅'!$C$3:$F142, 4, 0), prID))), 
        "")
      )
    )
  )
)</f>
        <v/>
      </c>
      <c r="J20" s="141" t="str">
        <f t="shared" si="2"/>
        <v/>
      </c>
      <c r="K20" s="141"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141"/>
      <c r="M20" s="141"/>
      <c r="N20" s="139"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140" t="str">
        <f t="array" ref="O20">IF(N20="", "", 
  LET(
    targetRow, IFERROR(MATCH(TRUE, BYROW('PR管理'!$J$4:$T$101, LAMBDA(r, COUNTIF(r, N20)&gt;0)), 0), 0),
    IF(targetRow=0, "",
      LET(
        startDate, INDEX('PR管理'!$C$4:$C$101, targetRow),
        delLimit, INDEX('PR管理'!$F$4:$F$101, targetRow),
        prID, INDEX('PR管理'!$A$4:$A$101, targetRow),
        IF(AND('26414_編集版 のコピー 2'!N$1 &gt;= startDate, '26414_編集版 のコピー 2'!N$1 &lt;= delLimit), 
          IFERROR(VLOOKUP(N20, '新規'!$E$2:$H142, 4, 0), 
          IFERROR(VLOOKUP(N20, '特殊配信マスタ'!$E$3:$H142, 4, 0), 
          IFERROR(VLOOKUP(N20, '自動求人✅'!$C$3:$F142, 4, 0), prID))), 
        "")
      )
    )
  )
)</f>
        <v/>
      </c>
      <c r="P20" s="141" t="str">
        <f t="shared" si="3"/>
        <v/>
      </c>
      <c r="Q20" s="141"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141"/>
      <c r="S20" s="141"/>
      <c r="T20" s="139"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140" t="str">
        <f t="array" ref="U20">IF(T20="", "", 
  LET(
    targetRow, IFERROR(MATCH(TRUE, BYROW('PR管理'!$J$4:$T$101, LAMBDA(r, COUNTIF(r, T20)&gt;0)), 0), 0),
    IF(targetRow=0, "",
      LET(
        startDate, INDEX('PR管理'!$C$4:$C$101, targetRow),
        delLimit, INDEX('PR管理'!$F$4:$F$101, targetRow),
        prID, INDEX('PR管理'!$A$4:$A$101, targetRow),
        IF(AND('26414_編集版 のコピー 2'!T$1 &gt;= startDate, '26414_編集版 のコピー 2'!T$1 &lt;= delLimit), 
          IFERROR(VLOOKUP(T20, '新規'!$E$2:$H142, 4, 0), 
          IFERROR(VLOOKUP(T20, '特殊配信マスタ'!$E$3:$H142, 4, 0), 
          IFERROR(VLOOKUP(T20, '自動求人✅'!$C$3:$F142, 4, 0), prID))), 
        "")
      )
    )
  )
)</f>
        <v/>
      </c>
      <c r="V20" s="141" t="str">
        <f t="shared" si="4"/>
        <v/>
      </c>
      <c r="W20" s="141"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141"/>
      <c r="Y20" s="141"/>
      <c r="Z20" s="139"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140" t="str">
        <f t="array" ref="AA20">IF(Z20="", "", 
  LET(
    targetRow, IFERROR(MATCH(TRUE, BYROW('PR管理'!$J$4:$T$101, LAMBDA(r, COUNTIF(r, Z20)&gt;0)), 0), 0),
    IF(targetRow=0, "",
      LET(
        startDate, INDEX('PR管理'!$C$4:$C$101, targetRow),
        delLimit, INDEX('PR管理'!$F$4:$F$101, targetRow),
        prID, INDEX('PR管理'!$A$4:$A$101, targetRow),
        IF(AND('26414_編集版 のコピー 2'!Z$1 &gt;= startDate, '26414_編集版 のコピー 2'!Z$1 &lt;= delLimit), 
          IFERROR(VLOOKUP(Z20, '新規'!$E$2:$H142, 4, 0), 
          IFERROR(VLOOKUP(Z20, '特殊配信マスタ'!$E$3:$H142, 4, 0), 
          IFERROR(VLOOKUP(Z20, '自動求人✅'!$C$3:$F142, 4, 0), prID))), 
        "")
      )
    )
  )
)</f>
        <v/>
      </c>
      <c r="AB20" s="141" t="str">
        <f t="shared" si="5"/>
        <v/>
      </c>
      <c r="AC20" s="141"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141"/>
      <c r="AE20" s="141"/>
      <c r="AF20" s="139"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140" t="str">
        <f t="array" ref="AG20">IF(AF20="", "", 
  LET(
    targetRow, IFERROR(MATCH(TRUE, BYROW('PR管理'!$J$4:$T$101, LAMBDA(r, COUNTIF(r, AF20)&gt;0)), 0), 0),
    IF(targetRow=0, "",
      LET(
        startDate, INDEX('PR管理'!$C$4:$C$101, targetRow),
        delLimit, INDEX('PR管理'!$F$4:$F$101, targetRow),
        prID, INDEX('PR管理'!$A$4:$A$101, targetRow),
        IF(AND('26414_編集版 のコピー 2'!AF$1 &gt;= startDate, '26414_編集版 のコピー 2'!AF$1 &lt;= delLimit), 
          IFERROR(VLOOKUP(AF20, '新規'!$E$2:$H142, 4, 0), 
          IFERROR(VLOOKUP(AF20, '特殊配信マスタ'!$E$3:$H142, 4, 0), 
          IFERROR(VLOOKUP(AF20, '自動求人✅'!$C$3:$F142, 4, 0), prID))), 
        "")
      )
    )
  )
)</f>
        <v/>
      </c>
      <c r="AH20" s="141" t="str">
        <f t="shared" si="6"/>
        <v/>
      </c>
      <c r="AI20" s="141"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141"/>
      <c r="AK20" s="141"/>
      <c r="AL20" s="139"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140" t="str">
        <f t="array" ref="AM20">IF(AL20="", "", 
  LET(
    targetRow, IFERROR(MATCH(TRUE, BYROW('PR管理'!$J$4:$T$101, LAMBDA(r, COUNTIF(r, AL20)&gt;0)), 0), 0),
    IF(targetRow=0, "",
      LET(
        startDate, INDEX('PR管理'!$C$4:$C$101, targetRow),
        delLimit, INDEX('PR管理'!$F$4:$F$101, targetRow),
        prID, INDEX('PR管理'!$A$4:$A$101, targetRow),
        IF(AND('26414_編集版 のコピー 2'!AL$1 &gt;= startDate, '26414_編集版 のコピー 2'!AL$1 &lt;= delLimit), 
          IFERROR(VLOOKUP(AL20, '新規'!$E$2:$H142, 4, 0), 
          IFERROR(VLOOKUP(AL20, '特殊配信マスタ'!$E$3:$H142, 4, 0), 
          IFERROR(VLOOKUP(AL20, '自動求人✅'!$C$3:$F142, 4, 0), prID))), 
        "")
      )
    )
  )
)</f>
        <v/>
      </c>
      <c r="AN20" s="141" t="str">
        <f t="shared" si="7"/>
        <v/>
      </c>
      <c r="AO20" s="141"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141"/>
      <c r="AQ20" s="141"/>
    </row>
    <row r="21" ht="17.25" customHeight="1">
      <c r="A21" s="142"/>
      <c r="B21" s="139"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140" t="str">
        <f t="array" ref="C21">IF(B21="", "", 
  LET(
    targetRow, IFERROR(MATCH(TRUE, BYROW('PR管理'!$J$4:$T$101, LAMBDA(r, COUNTIF(r, B21)&gt;0)), 0), 0),
    IF(targetRow=0, "",
      LET(
        startDate, INDEX('PR管理'!$C$4:$C$101, targetRow),
        delLimit, INDEX('PR管理'!$F$4:$F$101, targetRow),
        prID, INDEX('PR管理'!$A$4:$A$101, targetRow),
        IF(AND('26414_編集版 のコピー 2'!B$1 &gt;= startDate, '26414_編集版 のコピー 2'!B$1 &lt;= delLimit), 
          IFERROR(VLOOKUP(B21, '新規'!$E$2:$H142, 4, 0), 
          IFERROR(VLOOKUP(B21, '特殊配信マスタ'!$E$3:$H142, 4, 0), 
          IFERROR(VLOOKUP(B21, '自動求人✅'!$C$3:$F142, 4, 0), prID))), 
        "")
      )
    )
  )
)</f>
        <v/>
      </c>
      <c r="D21" s="141" t="str">
        <f t="shared" si="1"/>
        <v/>
      </c>
      <c r="E21" s="141"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141"/>
      <c r="G21" s="141"/>
      <c r="H21" s="139"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140" t="str">
        <f t="array" ref="I21">IF(H21="", "", 
  LET(
    targetRow, IFERROR(MATCH(TRUE, BYROW('PR管理'!$J$4:$T$101, LAMBDA(r, COUNTIF(r, H21)&gt;0)), 0), 0),
    IF(targetRow=0, "",
      LET(
        startDate, INDEX('PR管理'!$C$4:$C$101, targetRow),
        delLimit, INDEX('PR管理'!$F$4:$F$101, targetRow),
        prID, INDEX('PR管理'!$A$4:$A$101, targetRow),
        IF(AND('26414_編集版 のコピー 2'!H$1 &gt;= startDate, '26414_編集版 のコピー 2'!H$1 &lt;= delLimit), 
          IFERROR(VLOOKUP(H21, '新規'!$E$2:$H142, 4, 0), 
          IFERROR(VLOOKUP(H21, '特殊配信マスタ'!$E$3:$H142, 4, 0), 
          IFERROR(VLOOKUP(H21, '自動求人✅'!$C$3:$F142, 4, 0), prID))), 
        "")
      )
    )
  )
)</f>
        <v/>
      </c>
      <c r="J21" s="141" t="str">
        <f t="shared" si="2"/>
        <v/>
      </c>
      <c r="K21" s="141"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141"/>
      <c r="M21" s="141"/>
      <c r="N21" s="139"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140" t="str">
        <f t="array" ref="O21">IF(N21="", "", 
  LET(
    targetRow, IFERROR(MATCH(TRUE, BYROW('PR管理'!$J$4:$T$101, LAMBDA(r, COUNTIF(r, N21)&gt;0)), 0), 0),
    IF(targetRow=0, "",
      LET(
        startDate, INDEX('PR管理'!$C$4:$C$101, targetRow),
        delLimit, INDEX('PR管理'!$F$4:$F$101, targetRow),
        prID, INDEX('PR管理'!$A$4:$A$101, targetRow),
        IF(AND('26414_編集版 のコピー 2'!N$1 &gt;= startDate, '26414_編集版 のコピー 2'!N$1 &lt;= delLimit), 
          IFERROR(VLOOKUP(N21, '新規'!$E$2:$H142, 4, 0), 
          IFERROR(VLOOKUP(N21, '特殊配信マスタ'!$E$3:$H142, 4, 0), 
          IFERROR(VLOOKUP(N21, '自動求人✅'!$C$3:$F142, 4, 0), prID))), 
        "")
      )
    )
  )
)</f>
        <v/>
      </c>
      <c r="P21" s="141" t="str">
        <f t="shared" si="3"/>
        <v/>
      </c>
      <c r="Q21" s="141"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141"/>
      <c r="S21" s="141"/>
      <c r="T21" s="139"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140" t="str">
        <f t="array" ref="U21">IF(T21="", "", 
  LET(
    targetRow, IFERROR(MATCH(TRUE, BYROW('PR管理'!$J$4:$T$101, LAMBDA(r, COUNTIF(r, T21)&gt;0)), 0), 0),
    IF(targetRow=0, "",
      LET(
        startDate, INDEX('PR管理'!$C$4:$C$101, targetRow),
        delLimit, INDEX('PR管理'!$F$4:$F$101, targetRow),
        prID, INDEX('PR管理'!$A$4:$A$101, targetRow),
        IF(AND('26414_編集版 のコピー 2'!T$1 &gt;= startDate, '26414_編集版 のコピー 2'!T$1 &lt;= delLimit), 
          IFERROR(VLOOKUP(T21, '新規'!$E$2:$H142, 4, 0), 
          IFERROR(VLOOKUP(T21, '特殊配信マスタ'!$E$3:$H142, 4, 0), 
          IFERROR(VLOOKUP(T21, '自動求人✅'!$C$3:$F142, 4, 0), prID))), 
        "")
      )
    )
  )
)</f>
        <v/>
      </c>
      <c r="V21" s="141" t="str">
        <f t="shared" si="4"/>
        <v/>
      </c>
      <c r="W21" s="141"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141"/>
      <c r="Y21" s="141"/>
      <c r="Z21" s="139"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140" t="str">
        <f t="array" ref="AA21">IF(Z21="", "", 
  LET(
    targetRow, IFERROR(MATCH(TRUE, BYROW('PR管理'!$J$4:$T$101, LAMBDA(r, COUNTIF(r, Z21)&gt;0)), 0), 0),
    IF(targetRow=0, "",
      LET(
        startDate, INDEX('PR管理'!$C$4:$C$101, targetRow),
        delLimit, INDEX('PR管理'!$F$4:$F$101, targetRow),
        prID, INDEX('PR管理'!$A$4:$A$101, targetRow),
        IF(AND('26414_編集版 のコピー 2'!Z$1 &gt;= startDate, '26414_編集版 のコピー 2'!Z$1 &lt;= delLimit), 
          IFERROR(VLOOKUP(Z21, '新規'!$E$2:$H142, 4, 0), 
          IFERROR(VLOOKUP(Z21, '特殊配信マスタ'!$E$3:$H142, 4, 0), 
          IFERROR(VLOOKUP(Z21, '自動求人✅'!$C$3:$F142, 4, 0), prID))), 
        "")
      )
    )
  )
)</f>
        <v/>
      </c>
      <c r="AB21" s="141" t="str">
        <f t="shared" si="5"/>
        <v/>
      </c>
      <c r="AC21" s="141"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141"/>
      <c r="AE21" s="141"/>
      <c r="AF21" s="139"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140" t="str">
        <f t="array" ref="AG21">IF(AF21="", "", 
  LET(
    targetRow, IFERROR(MATCH(TRUE, BYROW('PR管理'!$J$4:$T$101, LAMBDA(r, COUNTIF(r, AF21)&gt;0)), 0), 0),
    IF(targetRow=0, "",
      LET(
        startDate, INDEX('PR管理'!$C$4:$C$101, targetRow),
        delLimit, INDEX('PR管理'!$F$4:$F$101, targetRow),
        prID, INDEX('PR管理'!$A$4:$A$101, targetRow),
        IF(AND('26414_編集版 のコピー 2'!AF$1 &gt;= startDate, '26414_編集版 のコピー 2'!AF$1 &lt;= delLimit), 
          IFERROR(VLOOKUP(AF21, '新規'!$E$2:$H142, 4, 0), 
          IFERROR(VLOOKUP(AF21, '特殊配信マスタ'!$E$3:$H142, 4, 0), 
          IFERROR(VLOOKUP(AF21, '自動求人✅'!$C$3:$F142, 4, 0), prID))), 
        "")
      )
    )
  )
)</f>
        <v/>
      </c>
      <c r="AH21" s="141" t="str">
        <f t="shared" si="6"/>
        <v/>
      </c>
      <c r="AI21" s="141"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141"/>
      <c r="AK21" s="141"/>
      <c r="AL21" s="139"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140" t="str">
        <f t="array" ref="AM21">IF(AL21="", "", 
  LET(
    targetRow, IFERROR(MATCH(TRUE, BYROW('PR管理'!$J$4:$T$101, LAMBDA(r, COUNTIF(r, AL21)&gt;0)), 0), 0),
    IF(targetRow=0, "",
      LET(
        startDate, INDEX('PR管理'!$C$4:$C$101, targetRow),
        delLimit, INDEX('PR管理'!$F$4:$F$101, targetRow),
        prID, INDEX('PR管理'!$A$4:$A$101, targetRow),
        IF(AND('26414_編集版 のコピー 2'!AL$1 &gt;= startDate, '26414_編集版 のコピー 2'!AL$1 &lt;= delLimit), 
          IFERROR(VLOOKUP(AL21, '新規'!$E$2:$H142, 4, 0), 
          IFERROR(VLOOKUP(AL21, '特殊配信マスタ'!$E$3:$H142, 4, 0), 
          IFERROR(VLOOKUP(AL21, '自動求人✅'!$C$3:$F142, 4, 0), prID))), 
        "")
      )
    )
  )
)</f>
        <v/>
      </c>
      <c r="AN21" s="141" t="str">
        <f t="shared" si="7"/>
        <v/>
      </c>
      <c r="AO21" s="141"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141"/>
      <c r="AQ21" s="141"/>
    </row>
    <row r="22" ht="17.25" customHeight="1">
      <c r="A22" s="142"/>
      <c r="B22" s="139"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140" t="str">
        <f t="array" ref="C22">IF(B22="", "", 
  LET(
    targetRow, IFERROR(MATCH(TRUE, BYROW('PR管理'!$J$4:$T$101, LAMBDA(r, COUNTIF(r, B22)&gt;0)), 0), 0),
    IF(targetRow=0, "",
      LET(
        startDate, INDEX('PR管理'!$C$4:$C$101, targetRow),
        delLimit, INDEX('PR管理'!$F$4:$F$101, targetRow),
        prID, INDEX('PR管理'!$A$4:$A$101, targetRow),
        IF(AND('26414_編集版 のコピー 2'!B$1 &gt;= startDate, '26414_編集版 のコピー 2'!B$1 &lt;= delLimit), 
          IFERROR(VLOOKUP(B22, '新規'!$E$2:$H142, 4, 0), 
          IFERROR(VLOOKUP(B22, '特殊配信マスタ'!$E$3:$H142, 4, 0), 
          IFERROR(VLOOKUP(B22, '自動求人✅'!$C$3:$F142, 4, 0), prID))), 
        "")
      )
    )
  )
)</f>
        <v/>
      </c>
      <c r="D22" s="141" t="str">
        <f t="shared" si="1"/>
        <v/>
      </c>
      <c r="E22" s="141"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141"/>
      <c r="G22" s="141"/>
      <c r="H22" s="139"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140" t="str">
        <f t="array" ref="I22">IF(H22="", "", 
  LET(
    targetRow, IFERROR(MATCH(TRUE, BYROW('PR管理'!$J$4:$T$101, LAMBDA(r, COUNTIF(r, H22)&gt;0)), 0), 0),
    IF(targetRow=0, "",
      LET(
        startDate, INDEX('PR管理'!$C$4:$C$101, targetRow),
        delLimit, INDEX('PR管理'!$F$4:$F$101, targetRow),
        prID, INDEX('PR管理'!$A$4:$A$101, targetRow),
        IF(AND('26414_編集版 のコピー 2'!H$1 &gt;= startDate, '26414_編集版 のコピー 2'!H$1 &lt;= delLimit), 
          IFERROR(VLOOKUP(H22, '新規'!$E$2:$H142, 4, 0), 
          IFERROR(VLOOKUP(H22, '特殊配信マスタ'!$E$3:$H142, 4, 0), 
          IFERROR(VLOOKUP(H22, '自動求人✅'!$C$3:$F142, 4, 0), prID))), 
        "")
      )
    )
  )
)</f>
        <v/>
      </c>
      <c r="J22" s="141" t="str">
        <f t="shared" si="2"/>
        <v/>
      </c>
      <c r="K22" s="141"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141"/>
      <c r="M22" s="141"/>
      <c r="N22" s="139"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140" t="str">
        <f t="array" ref="O22">IF(N22="", "", 
  LET(
    targetRow, IFERROR(MATCH(TRUE, BYROW('PR管理'!$J$4:$T$101, LAMBDA(r, COUNTIF(r, N22)&gt;0)), 0), 0),
    IF(targetRow=0, "",
      LET(
        startDate, INDEX('PR管理'!$C$4:$C$101, targetRow),
        delLimit, INDEX('PR管理'!$F$4:$F$101, targetRow),
        prID, INDEX('PR管理'!$A$4:$A$101, targetRow),
        IF(AND('26414_編集版 のコピー 2'!N$1 &gt;= startDate, '26414_編集版 のコピー 2'!N$1 &lt;= delLimit), 
          IFERROR(VLOOKUP(N22, '新規'!$E$2:$H142, 4, 0), 
          IFERROR(VLOOKUP(N22, '特殊配信マスタ'!$E$3:$H142, 4, 0), 
          IFERROR(VLOOKUP(N22, '自動求人✅'!$C$3:$F142, 4, 0), prID))), 
        "")
      )
    )
  )
)</f>
        <v/>
      </c>
      <c r="P22" s="141" t="str">
        <f t="shared" si="3"/>
        <v/>
      </c>
      <c r="Q22" s="141"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141"/>
      <c r="S22" s="141"/>
      <c r="T22" s="139"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140" t="str">
        <f t="array" ref="U22">IF(T22="", "", 
  LET(
    targetRow, IFERROR(MATCH(TRUE, BYROW('PR管理'!$J$4:$T$101, LAMBDA(r, COUNTIF(r, T22)&gt;0)), 0), 0),
    IF(targetRow=0, "",
      LET(
        startDate, INDEX('PR管理'!$C$4:$C$101, targetRow),
        delLimit, INDEX('PR管理'!$F$4:$F$101, targetRow),
        prID, INDEX('PR管理'!$A$4:$A$101, targetRow),
        IF(AND('26414_編集版 のコピー 2'!T$1 &gt;= startDate, '26414_編集版 のコピー 2'!T$1 &lt;= delLimit), 
          IFERROR(VLOOKUP(T22, '新規'!$E$2:$H142, 4, 0), 
          IFERROR(VLOOKUP(T22, '特殊配信マスタ'!$E$3:$H142, 4, 0), 
          IFERROR(VLOOKUP(T22, '自動求人✅'!$C$3:$F142, 4, 0), prID))), 
        "")
      )
    )
  )
)</f>
        <v/>
      </c>
      <c r="V22" s="141" t="str">
        <f t="shared" si="4"/>
        <v/>
      </c>
      <c r="W22" s="141"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141"/>
      <c r="Y22" s="141"/>
      <c r="Z22" s="139"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140" t="str">
        <f t="array" ref="AA22">IF(Z22="", "", 
  LET(
    targetRow, IFERROR(MATCH(TRUE, BYROW('PR管理'!$J$4:$T$101, LAMBDA(r, COUNTIF(r, Z22)&gt;0)), 0), 0),
    IF(targetRow=0, "",
      LET(
        startDate, INDEX('PR管理'!$C$4:$C$101, targetRow),
        delLimit, INDEX('PR管理'!$F$4:$F$101, targetRow),
        prID, INDEX('PR管理'!$A$4:$A$101, targetRow),
        IF(AND('26414_編集版 のコピー 2'!Z$1 &gt;= startDate, '26414_編集版 のコピー 2'!Z$1 &lt;= delLimit), 
          IFERROR(VLOOKUP(Z22, '新規'!$E$2:$H142, 4, 0), 
          IFERROR(VLOOKUP(Z22, '特殊配信マスタ'!$E$3:$H142, 4, 0), 
          IFERROR(VLOOKUP(Z22, '自動求人✅'!$C$3:$F142, 4, 0), prID))), 
        "")
      )
    )
  )
)</f>
        <v/>
      </c>
      <c r="AB22" s="141" t="str">
        <f t="shared" si="5"/>
        <v/>
      </c>
      <c r="AC22" s="141"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141"/>
      <c r="AE22" s="141"/>
      <c r="AF22" s="139"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140" t="str">
        <f t="array" ref="AG22">IF(AF22="", "", 
  LET(
    targetRow, IFERROR(MATCH(TRUE, BYROW('PR管理'!$J$4:$T$101, LAMBDA(r, COUNTIF(r, AF22)&gt;0)), 0), 0),
    IF(targetRow=0, "",
      LET(
        startDate, INDEX('PR管理'!$C$4:$C$101, targetRow),
        delLimit, INDEX('PR管理'!$F$4:$F$101, targetRow),
        prID, INDEX('PR管理'!$A$4:$A$101, targetRow),
        IF(AND('26414_編集版 のコピー 2'!AF$1 &gt;= startDate, '26414_編集版 のコピー 2'!AF$1 &lt;= delLimit), 
          IFERROR(VLOOKUP(AF22, '新規'!$E$2:$H142, 4, 0), 
          IFERROR(VLOOKUP(AF22, '特殊配信マスタ'!$E$3:$H142, 4, 0), 
          IFERROR(VLOOKUP(AF22, '自動求人✅'!$C$3:$F142, 4, 0), prID))), 
        "")
      )
    )
  )
)</f>
        <v/>
      </c>
      <c r="AH22" s="141" t="str">
        <f t="shared" si="6"/>
        <v/>
      </c>
      <c r="AI22" s="141"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141"/>
      <c r="AK22" s="141"/>
      <c r="AL22" s="139"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140" t="str">
        <f t="array" ref="AM22">IF(AL22="", "", 
  LET(
    targetRow, IFERROR(MATCH(TRUE, BYROW('PR管理'!$J$4:$T$101, LAMBDA(r, COUNTIF(r, AL22)&gt;0)), 0), 0),
    IF(targetRow=0, "",
      LET(
        startDate, INDEX('PR管理'!$C$4:$C$101, targetRow),
        delLimit, INDEX('PR管理'!$F$4:$F$101, targetRow),
        prID, INDEX('PR管理'!$A$4:$A$101, targetRow),
        IF(AND('26414_編集版 のコピー 2'!AL$1 &gt;= startDate, '26414_編集版 のコピー 2'!AL$1 &lt;= delLimit), 
          IFERROR(VLOOKUP(AL22, '新規'!$E$2:$H142, 4, 0), 
          IFERROR(VLOOKUP(AL22, '特殊配信マスタ'!$E$3:$H142, 4, 0), 
          IFERROR(VLOOKUP(AL22, '自動求人✅'!$C$3:$F142, 4, 0), prID))), 
        "")
      )
    )
  )
)</f>
        <v/>
      </c>
      <c r="AN22" s="141" t="str">
        <f t="shared" si="7"/>
        <v/>
      </c>
      <c r="AO22" s="141"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141"/>
      <c r="AQ22" s="141"/>
    </row>
    <row r="23" ht="17.25" customHeight="1">
      <c r="A23" s="138">
        <f>A13+1</f>
        <v>10</v>
      </c>
      <c r="B23" s="139"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140" t="str">
        <f t="array" ref="C23">IF(B23="", "", 
  LET(
    targetRow, IFERROR(MATCH(TRUE, BYROW('PR管理'!$J$4:$T$101, LAMBDA(r, COUNTIF(r, B23)&gt;0)), 0), 0),
    IF(targetRow=0, "",
      LET(
        startDate, INDEX('PR管理'!$C$4:$C$101, targetRow),
        delLimit, INDEX('PR管理'!$F$4:$F$101, targetRow),
        prID, INDEX('PR管理'!$A$4:$A$101, targetRow),
        IF(AND('26414_編集版 のコピー 2'!B$1 &gt;= startDate, '26414_編集版 のコピー 2'!B$1 &lt;= delLimit), 
          IFERROR(VLOOKUP(B23, '新規'!$E$2:$H142, 4, 0), 
          IFERROR(VLOOKUP(B23, '特殊配信マスタ'!$E$3:$H142, 4, 0), 
          IFERROR(VLOOKUP(B23, '自動求人✅'!$C$3:$F142, 4, 0), prID))), 
        "")
      )
    )
  )
)</f>
        <v/>
      </c>
      <c r="D23" s="141" t="str">
        <f t="shared" si="1"/>
        <v/>
      </c>
      <c r="E23" s="141"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141"/>
      <c r="G23" s="141"/>
      <c r="H23" s="139"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140" t="str">
        <f t="array" ref="I23">IF(H23="", "", 
  LET(
    targetRow, IFERROR(MATCH(TRUE, BYROW('PR管理'!$J$4:$T$101, LAMBDA(r, COUNTIF(r, H23)&gt;0)), 0), 0),
    IF(targetRow=0, "",
      LET(
        startDate, INDEX('PR管理'!$C$4:$C$101, targetRow),
        delLimit, INDEX('PR管理'!$F$4:$F$101, targetRow),
        prID, INDEX('PR管理'!$A$4:$A$101, targetRow),
        IF(AND('26414_編集版 のコピー 2'!H$1 &gt;= startDate, '26414_編集版 のコピー 2'!H$1 &lt;= delLimit), 
          IFERROR(VLOOKUP(H23, '新規'!$E$2:$H142, 4, 0), 
          IFERROR(VLOOKUP(H23, '特殊配信マスタ'!$E$3:$H142, 4, 0), 
          IFERROR(VLOOKUP(H23, '自動求人✅'!$C$3:$F142, 4, 0), prID))), 
        "")
      )
    )
  )
)</f>
        <v/>
      </c>
      <c r="J23" s="141" t="str">
        <f t="shared" si="2"/>
        <v/>
      </c>
      <c r="K23" s="141"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141"/>
      <c r="M23" s="141"/>
      <c r="N23" s="139"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140" t="str">
        <f t="array" ref="O23">IF(N23="", "", 
  LET(
    targetRow, IFERROR(MATCH(TRUE, BYROW('PR管理'!$J$4:$T$101, LAMBDA(r, COUNTIF(r, N23)&gt;0)), 0), 0),
    IF(targetRow=0, "",
      LET(
        startDate, INDEX('PR管理'!$C$4:$C$101, targetRow),
        delLimit, INDEX('PR管理'!$F$4:$F$101, targetRow),
        prID, INDEX('PR管理'!$A$4:$A$101, targetRow),
        IF(AND('26414_編集版 のコピー 2'!N$1 &gt;= startDate, '26414_編集版 のコピー 2'!N$1 &lt;= delLimit), 
          IFERROR(VLOOKUP(N23, '新規'!$E$2:$H142, 4, 0), 
          IFERROR(VLOOKUP(N23, '特殊配信マスタ'!$E$3:$H142, 4, 0), 
          IFERROR(VLOOKUP(N23, '自動求人✅'!$C$3:$F142, 4, 0), prID))), 
        "")
      )
    )
  )
)</f>
        <v/>
      </c>
      <c r="P23" s="141" t="str">
        <f t="shared" si="3"/>
        <v/>
      </c>
      <c r="Q23" s="141"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141"/>
      <c r="S23" s="141"/>
      <c r="T23" s="139"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140" t="str">
        <f t="array" ref="U23">IF(T23="", "", 
  LET(
    targetRow, IFERROR(MATCH(TRUE, BYROW('PR管理'!$J$4:$T$101, LAMBDA(r, COUNTIF(r, T23)&gt;0)), 0), 0),
    IF(targetRow=0, "",
      LET(
        startDate, INDEX('PR管理'!$C$4:$C$101, targetRow),
        delLimit, INDEX('PR管理'!$F$4:$F$101, targetRow),
        prID, INDEX('PR管理'!$A$4:$A$101, targetRow),
        IF(AND('26414_編集版 のコピー 2'!T$1 &gt;= startDate, '26414_編集版 のコピー 2'!T$1 &lt;= delLimit), 
          IFERROR(VLOOKUP(T23, '新規'!$E$2:$H142, 4, 0), 
          IFERROR(VLOOKUP(T23, '特殊配信マスタ'!$E$3:$H142, 4, 0), 
          IFERROR(VLOOKUP(T23, '自動求人✅'!$C$3:$F142, 4, 0), prID))), 
        "")
      )
    )
  )
)</f>
        <v/>
      </c>
      <c r="V23" s="141" t="str">
        <f t="shared" si="4"/>
        <v/>
      </c>
      <c r="W23" s="141"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141"/>
      <c r="Y23" s="141"/>
      <c r="Z23" s="139"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140" t="str">
        <f t="array" ref="AA23">IF(Z23="", "", 
  LET(
    targetRow, IFERROR(MATCH(TRUE, BYROW('PR管理'!$J$4:$T$101, LAMBDA(r, COUNTIF(r, Z23)&gt;0)), 0), 0),
    IF(targetRow=0, "",
      LET(
        startDate, INDEX('PR管理'!$C$4:$C$101, targetRow),
        delLimit, INDEX('PR管理'!$F$4:$F$101, targetRow),
        prID, INDEX('PR管理'!$A$4:$A$101, targetRow),
        IF(AND('26414_編集版 のコピー 2'!Z$1 &gt;= startDate, '26414_編集版 のコピー 2'!Z$1 &lt;= delLimit), 
          IFERROR(VLOOKUP(Z23, '新規'!$E$2:$H142, 4, 0), 
          IFERROR(VLOOKUP(Z23, '特殊配信マスタ'!$E$3:$H142, 4, 0), 
          IFERROR(VLOOKUP(Z23, '自動求人✅'!$C$3:$F142, 4, 0), prID))), 
        "")
      )
    )
  )
)</f>
        <v/>
      </c>
      <c r="AB23" s="141" t="str">
        <f t="shared" si="5"/>
        <v/>
      </c>
      <c r="AC23" s="141"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141"/>
      <c r="AE23" s="141"/>
      <c r="AF23" s="139"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140" t="str">
        <f t="array" ref="AG23">IF(AF23="", "", 
  LET(
    targetRow, IFERROR(MATCH(TRUE, BYROW('PR管理'!$J$4:$T$101, LAMBDA(r, COUNTIF(r, AF23)&gt;0)), 0), 0),
    IF(targetRow=0, "",
      LET(
        startDate, INDEX('PR管理'!$C$4:$C$101, targetRow),
        delLimit, INDEX('PR管理'!$F$4:$F$101, targetRow),
        prID, INDEX('PR管理'!$A$4:$A$101, targetRow),
        IF(AND('26414_編集版 のコピー 2'!AF$1 &gt;= startDate, '26414_編集版 のコピー 2'!AF$1 &lt;= delLimit), 
          IFERROR(VLOOKUP(AF23, '新規'!$E$2:$H142, 4, 0), 
          IFERROR(VLOOKUP(AF23, '特殊配信マスタ'!$E$3:$H142, 4, 0), 
          IFERROR(VLOOKUP(AF23, '自動求人✅'!$C$3:$F142, 4, 0), prID))), 
        "")
      )
    )
  )
)</f>
        <v/>
      </c>
      <c r="AH23" s="141" t="str">
        <f t="shared" si="6"/>
        <v/>
      </c>
      <c r="AI23" s="141"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141"/>
      <c r="AK23" s="141"/>
      <c r="AL23" s="139"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140" t="str">
        <f t="array" ref="AM23">IF(AL23="", "", 
  LET(
    targetRow, IFERROR(MATCH(TRUE, BYROW('PR管理'!$J$4:$T$101, LAMBDA(r, COUNTIF(r, AL23)&gt;0)), 0), 0),
    IF(targetRow=0, "",
      LET(
        startDate, INDEX('PR管理'!$C$4:$C$101, targetRow),
        delLimit, INDEX('PR管理'!$F$4:$F$101, targetRow),
        prID, INDEX('PR管理'!$A$4:$A$101, targetRow),
        IF(AND('26414_編集版 のコピー 2'!AL$1 &gt;= startDate, '26414_編集版 のコピー 2'!AL$1 &lt;= delLimit), 
          IFERROR(VLOOKUP(AL23, '新規'!$E$2:$H142, 4, 0), 
          IFERROR(VLOOKUP(AL23, '特殊配信マスタ'!$E$3:$H142, 4, 0), 
          IFERROR(VLOOKUP(AL23, '自動求人✅'!$C$3:$F142, 4, 0), prID))), 
        "")
      )
    )
  )
)</f>
        <v/>
      </c>
      <c r="AN23" s="141" t="str">
        <f t="shared" si="7"/>
        <v/>
      </c>
      <c r="AO23" s="141"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141"/>
      <c r="AQ23" s="141"/>
    </row>
    <row r="24" ht="17.25" customHeight="1">
      <c r="A24" s="142"/>
      <c r="B24" s="139"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140" t="str">
        <f t="array" ref="C24">IF(B24="", "", 
  LET(
    targetRow, IFERROR(MATCH(TRUE, BYROW('PR管理'!$J$4:$T$101, LAMBDA(r, COUNTIF(r, B24)&gt;0)), 0), 0),
    IF(targetRow=0, "",
      LET(
        startDate, INDEX('PR管理'!$C$4:$C$101, targetRow),
        delLimit, INDEX('PR管理'!$F$4:$F$101, targetRow),
        prID, INDEX('PR管理'!$A$4:$A$101, targetRow),
        IF(AND('26414_編集版 のコピー 2'!B$1 &gt;= startDate, '26414_編集版 のコピー 2'!B$1 &lt;= delLimit), 
          IFERROR(VLOOKUP(B24, '新規'!$E$2:$H142, 4, 0), 
          IFERROR(VLOOKUP(B24, '特殊配信マスタ'!$E$3:$H142, 4, 0), 
          IFERROR(VLOOKUP(B24, '自動求人✅'!$C$3:$F142, 4, 0), prID))), 
        "")
      )
    )
  )
)</f>
        <v/>
      </c>
      <c r="D24" s="141" t="str">
        <f t="shared" si="1"/>
        <v/>
      </c>
      <c r="E24" s="141"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141"/>
      <c r="G24" s="141"/>
      <c r="H24" s="139"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140" t="str">
        <f t="array" ref="I24">IF(H24="", "", 
  LET(
    targetRow, IFERROR(MATCH(TRUE, BYROW('PR管理'!$J$4:$T$101, LAMBDA(r, COUNTIF(r, H24)&gt;0)), 0), 0),
    IF(targetRow=0, "",
      LET(
        startDate, INDEX('PR管理'!$C$4:$C$101, targetRow),
        delLimit, INDEX('PR管理'!$F$4:$F$101, targetRow),
        prID, INDEX('PR管理'!$A$4:$A$101, targetRow),
        IF(AND('26414_編集版 のコピー 2'!H$1 &gt;= startDate, '26414_編集版 のコピー 2'!H$1 &lt;= delLimit), 
          IFERROR(VLOOKUP(H24, '新規'!$E$2:$H142, 4, 0), 
          IFERROR(VLOOKUP(H24, '特殊配信マスタ'!$E$3:$H142, 4, 0), 
          IFERROR(VLOOKUP(H24, '自動求人✅'!$C$3:$F142, 4, 0), prID))), 
        "")
      )
    )
  )
)</f>
        <v/>
      </c>
      <c r="J24" s="141" t="str">
        <f t="shared" si="2"/>
        <v/>
      </c>
      <c r="K24" s="141"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141"/>
      <c r="M24" s="141"/>
      <c r="N24" s="139"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140" t="str">
        <f t="array" ref="O24">IF(N24="", "", 
  LET(
    targetRow, IFERROR(MATCH(TRUE, BYROW('PR管理'!$J$4:$T$101, LAMBDA(r, COUNTIF(r, N24)&gt;0)), 0), 0),
    IF(targetRow=0, "",
      LET(
        startDate, INDEX('PR管理'!$C$4:$C$101, targetRow),
        delLimit, INDEX('PR管理'!$F$4:$F$101, targetRow),
        prID, INDEX('PR管理'!$A$4:$A$101, targetRow),
        IF(AND('26414_編集版 のコピー 2'!N$1 &gt;= startDate, '26414_編集版 のコピー 2'!N$1 &lt;= delLimit), 
          IFERROR(VLOOKUP(N24, '新規'!$E$2:$H142, 4, 0), 
          IFERROR(VLOOKUP(N24, '特殊配信マスタ'!$E$3:$H142, 4, 0), 
          IFERROR(VLOOKUP(N24, '自動求人✅'!$C$3:$F142, 4, 0), prID))), 
        "")
      )
    )
  )
)</f>
        <v/>
      </c>
      <c r="P24" s="141" t="str">
        <f t="shared" si="3"/>
        <v/>
      </c>
      <c r="Q24" s="141"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141"/>
      <c r="S24" s="141"/>
      <c r="T24" s="139"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140" t="str">
        <f t="array" ref="U24">IF(T24="", "", 
  LET(
    targetRow, IFERROR(MATCH(TRUE, BYROW('PR管理'!$J$4:$T$101, LAMBDA(r, COUNTIF(r, T24)&gt;0)), 0), 0),
    IF(targetRow=0, "",
      LET(
        startDate, INDEX('PR管理'!$C$4:$C$101, targetRow),
        delLimit, INDEX('PR管理'!$F$4:$F$101, targetRow),
        prID, INDEX('PR管理'!$A$4:$A$101, targetRow),
        IF(AND('26414_編集版 のコピー 2'!T$1 &gt;= startDate, '26414_編集版 のコピー 2'!T$1 &lt;= delLimit), 
          IFERROR(VLOOKUP(T24, '新規'!$E$2:$H142, 4, 0), 
          IFERROR(VLOOKUP(T24, '特殊配信マスタ'!$E$3:$H142, 4, 0), 
          IFERROR(VLOOKUP(T24, '自動求人✅'!$C$3:$F142, 4, 0), prID))), 
        "")
      )
    )
  )
)</f>
        <v/>
      </c>
      <c r="V24" s="141" t="str">
        <f t="shared" si="4"/>
        <v/>
      </c>
      <c r="W24" s="141"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141"/>
      <c r="Y24" s="141"/>
      <c r="Z24" s="139"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140" t="str">
        <f t="array" ref="AA24">IF(Z24="", "", 
  LET(
    targetRow, IFERROR(MATCH(TRUE, BYROW('PR管理'!$J$4:$T$101, LAMBDA(r, COUNTIF(r, Z24)&gt;0)), 0), 0),
    IF(targetRow=0, "",
      LET(
        startDate, INDEX('PR管理'!$C$4:$C$101, targetRow),
        delLimit, INDEX('PR管理'!$F$4:$F$101, targetRow),
        prID, INDEX('PR管理'!$A$4:$A$101, targetRow),
        IF(AND('26414_編集版 のコピー 2'!Z$1 &gt;= startDate, '26414_編集版 のコピー 2'!Z$1 &lt;= delLimit), 
          IFERROR(VLOOKUP(Z24, '新規'!$E$2:$H142, 4, 0), 
          IFERROR(VLOOKUP(Z24, '特殊配信マスタ'!$E$3:$H142, 4, 0), 
          IFERROR(VLOOKUP(Z24, '自動求人✅'!$C$3:$F142, 4, 0), prID))), 
        "")
      )
    )
  )
)</f>
        <v/>
      </c>
      <c r="AB24" s="141" t="str">
        <f t="shared" si="5"/>
        <v/>
      </c>
      <c r="AC24" s="141"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141"/>
      <c r="AE24" s="141"/>
      <c r="AF24" s="139"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140" t="str">
        <f t="array" ref="AG24">IF(AF24="", "", 
  LET(
    targetRow, IFERROR(MATCH(TRUE, BYROW('PR管理'!$J$4:$T$101, LAMBDA(r, COUNTIF(r, AF24)&gt;0)), 0), 0),
    IF(targetRow=0, "",
      LET(
        startDate, INDEX('PR管理'!$C$4:$C$101, targetRow),
        delLimit, INDEX('PR管理'!$F$4:$F$101, targetRow),
        prID, INDEX('PR管理'!$A$4:$A$101, targetRow),
        IF(AND('26414_編集版 のコピー 2'!AF$1 &gt;= startDate, '26414_編集版 のコピー 2'!AF$1 &lt;= delLimit), 
          IFERROR(VLOOKUP(AF24, '新規'!$E$2:$H142, 4, 0), 
          IFERROR(VLOOKUP(AF24, '特殊配信マスタ'!$E$3:$H142, 4, 0), 
          IFERROR(VLOOKUP(AF24, '自動求人✅'!$C$3:$F142, 4, 0), prID))), 
        "")
      )
    )
  )
)</f>
        <v/>
      </c>
      <c r="AH24" s="141" t="str">
        <f t="shared" si="6"/>
        <v/>
      </c>
      <c r="AI24" s="141"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141"/>
      <c r="AK24" s="141"/>
      <c r="AL24" s="139"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140" t="str">
        <f t="array" ref="AM24">IF(AL24="", "", 
  LET(
    targetRow, IFERROR(MATCH(TRUE, BYROW('PR管理'!$J$4:$T$101, LAMBDA(r, COUNTIF(r, AL24)&gt;0)), 0), 0),
    IF(targetRow=0, "",
      LET(
        startDate, INDEX('PR管理'!$C$4:$C$101, targetRow),
        delLimit, INDEX('PR管理'!$F$4:$F$101, targetRow),
        prID, INDEX('PR管理'!$A$4:$A$101, targetRow),
        IF(AND('26414_編集版 のコピー 2'!AL$1 &gt;= startDate, '26414_編集版 のコピー 2'!AL$1 &lt;= delLimit), 
          IFERROR(VLOOKUP(AL24, '新規'!$E$2:$H142, 4, 0), 
          IFERROR(VLOOKUP(AL24, '特殊配信マスタ'!$E$3:$H142, 4, 0), 
          IFERROR(VLOOKUP(AL24, '自動求人✅'!$C$3:$F142, 4, 0), prID))), 
        "")
      )
    )
  )
)</f>
        <v/>
      </c>
      <c r="AN24" s="141" t="str">
        <f t="shared" si="7"/>
        <v/>
      </c>
      <c r="AO24" s="141"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141"/>
      <c r="AQ24" s="141"/>
    </row>
    <row r="25" ht="17.25" customHeight="1">
      <c r="A25" s="142"/>
      <c r="B25" s="139"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140" t="str">
        <f t="array" ref="C25">IF(B25="", "", 
  LET(
    targetRow, IFERROR(MATCH(TRUE, BYROW('PR管理'!$J$4:$T$101, LAMBDA(r, COUNTIF(r, B25)&gt;0)), 0), 0),
    IF(targetRow=0, "",
      LET(
        startDate, INDEX('PR管理'!$C$4:$C$101, targetRow),
        delLimit, INDEX('PR管理'!$F$4:$F$101, targetRow),
        prID, INDEX('PR管理'!$A$4:$A$101, targetRow),
        IF(AND('26414_編集版 のコピー 2'!B$1 &gt;= startDate, '26414_編集版 のコピー 2'!B$1 &lt;= delLimit), 
          IFERROR(VLOOKUP(B25, '新規'!$E$2:$H142, 4, 0), 
          IFERROR(VLOOKUP(B25, '特殊配信マスタ'!$E$3:$H142, 4, 0), 
          IFERROR(VLOOKUP(B25, '自動求人✅'!$C$3:$F142, 4, 0), prID))), 
        "")
      )
    )
  )
)</f>
        <v/>
      </c>
      <c r="D25" s="141" t="str">
        <f t="shared" si="1"/>
        <v/>
      </c>
      <c r="E25" s="141"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141"/>
      <c r="G25" s="141"/>
      <c r="H25" s="139"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140" t="str">
        <f t="array" ref="I25">IF(H25="", "", 
  LET(
    targetRow, IFERROR(MATCH(TRUE, BYROW('PR管理'!$J$4:$T$101, LAMBDA(r, COUNTIF(r, H25)&gt;0)), 0), 0),
    IF(targetRow=0, "",
      LET(
        startDate, INDEX('PR管理'!$C$4:$C$101, targetRow),
        delLimit, INDEX('PR管理'!$F$4:$F$101, targetRow),
        prID, INDEX('PR管理'!$A$4:$A$101, targetRow),
        IF(AND('26414_編集版 のコピー 2'!H$1 &gt;= startDate, '26414_編集版 のコピー 2'!H$1 &lt;= delLimit), 
          IFERROR(VLOOKUP(H25, '新規'!$E$2:$H142, 4, 0), 
          IFERROR(VLOOKUP(H25, '特殊配信マスタ'!$E$3:$H142, 4, 0), 
          IFERROR(VLOOKUP(H25, '自動求人✅'!$C$3:$F142, 4, 0), prID))), 
        "")
      )
    )
  )
)</f>
        <v/>
      </c>
      <c r="J25" s="141" t="str">
        <f t="shared" si="2"/>
        <v/>
      </c>
      <c r="K25" s="141"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141"/>
      <c r="M25" s="141"/>
      <c r="N25" s="139"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140" t="str">
        <f t="array" ref="O25">IF(N25="", "", 
  LET(
    targetRow, IFERROR(MATCH(TRUE, BYROW('PR管理'!$J$4:$T$101, LAMBDA(r, COUNTIF(r, N25)&gt;0)), 0), 0),
    IF(targetRow=0, "",
      LET(
        startDate, INDEX('PR管理'!$C$4:$C$101, targetRow),
        delLimit, INDEX('PR管理'!$F$4:$F$101, targetRow),
        prID, INDEX('PR管理'!$A$4:$A$101, targetRow),
        IF(AND('26414_編集版 のコピー 2'!N$1 &gt;= startDate, '26414_編集版 のコピー 2'!N$1 &lt;= delLimit), 
          IFERROR(VLOOKUP(N25, '新規'!$E$2:$H142, 4, 0), 
          IFERROR(VLOOKUP(N25, '特殊配信マスタ'!$E$3:$H142, 4, 0), 
          IFERROR(VLOOKUP(N25, '自動求人✅'!$C$3:$F142, 4, 0), prID))), 
        "")
      )
    )
  )
)</f>
        <v/>
      </c>
      <c r="P25" s="141" t="str">
        <f t="shared" si="3"/>
        <v/>
      </c>
      <c r="Q25" s="141"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141"/>
      <c r="S25" s="141"/>
      <c r="T25" s="139"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140" t="str">
        <f t="array" ref="U25">IF(T25="", "", 
  LET(
    targetRow, IFERROR(MATCH(TRUE, BYROW('PR管理'!$J$4:$T$101, LAMBDA(r, COUNTIF(r, T25)&gt;0)), 0), 0),
    IF(targetRow=0, "",
      LET(
        startDate, INDEX('PR管理'!$C$4:$C$101, targetRow),
        delLimit, INDEX('PR管理'!$F$4:$F$101, targetRow),
        prID, INDEX('PR管理'!$A$4:$A$101, targetRow),
        IF(AND('26414_編集版 のコピー 2'!T$1 &gt;= startDate, '26414_編集版 のコピー 2'!T$1 &lt;= delLimit), 
          IFERROR(VLOOKUP(T25, '新規'!$E$2:$H142, 4, 0), 
          IFERROR(VLOOKUP(T25, '特殊配信マスタ'!$E$3:$H142, 4, 0), 
          IFERROR(VLOOKUP(T25, '自動求人✅'!$C$3:$F142, 4, 0), prID))), 
        "")
      )
    )
  )
)</f>
        <v/>
      </c>
      <c r="V25" s="141" t="str">
        <f t="shared" si="4"/>
        <v/>
      </c>
      <c r="W25" s="141"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141"/>
      <c r="Y25" s="141"/>
      <c r="Z25" s="139"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140" t="str">
        <f t="array" ref="AA25">IF(Z25="", "", 
  LET(
    targetRow, IFERROR(MATCH(TRUE, BYROW('PR管理'!$J$4:$T$101, LAMBDA(r, COUNTIF(r, Z25)&gt;0)), 0), 0),
    IF(targetRow=0, "",
      LET(
        startDate, INDEX('PR管理'!$C$4:$C$101, targetRow),
        delLimit, INDEX('PR管理'!$F$4:$F$101, targetRow),
        prID, INDEX('PR管理'!$A$4:$A$101, targetRow),
        IF(AND('26414_編集版 のコピー 2'!Z$1 &gt;= startDate, '26414_編集版 のコピー 2'!Z$1 &lt;= delLimit), 
          IFERROR(VLOOKUP(Z25, '新規'!$E$2:$H142, 4, 0), 
          IFERROR(VLOOKUP(Z25, '特殊配信マスタ'!$E$3:$H142, 4, 0), 
          IFERROR(VLOOKUP(Z25, '自動求人✅'!$C$3:$F142, 4, 0), prID))), 
        "")
      )
    )
  )
)</f>
        <v/>
      </c>
      <c r="AB25" s="141" t="str">
        <f t="shared" si="5"/>
        <v/>
      </c>
      <c r="AC25" s="141"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141"/>
      <c r="AE25" s="141"/>
      <c r="AF25" s="139"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140" t="str">
        <f t="array" ref="AG25">IF(AF25="", "", 
  LET(
    targetRow, IFERROR(MATCH(TRUE, BYROW('PR管理'!$J$4:$T$101, LAMBDA(r, COUNTIF(r, AF25)&gt;0)), 0), 0),
    IF(targetRow=0, "",
      LET(
        startDate, INDEX('PR管理'!$C$4:$C$101, targetRow),
        delLimit, INDEX('PR管理'!$F$4:$F$101, targetRow),
        prID, INDEX('PR管理'!$A$4:$A$101, targetRow),
        IF(AND('26414_編集版 のコピー 2'!AF$1 &gt;= startDate, '26414_編集版 のコピー 2'!AF$1 &lt;= delLimit), 
          IFERROR(VLOOKUP(AF25, '新規'!$E$2:$H142, 4, 0), 
          IFERROR(VLOOKUP(AF25, '特殊配信マスタ'!$E$3:$H142, 4, 0), 
          IFERROR(VLOOKUP(AF25, '自動求人✅'!$C$3:$F142, 4, 0), prID))), 
        "")
      )
    )
  )
)</f>
        <v/>
      </c>
      <c r="AH25" s="141" t="str">
        <f t="shared" si="6"/>
        <v/>
      </c>
      <c r="AI25" s="141"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141"/>
      <c r="AK25" s="141"/>
      <c r="AL25" s="139"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140" t="str">
        <f t="array" ref="AM25">IF(AL25="", "", 
  LET(
    targetRow, IFERROR(MATCH(TRUE, BYROW('PR管理'!$J$4:$T$101, LAMBDA(r, COUNTIF(r, AL25)&gt;0)), 0), 0),
    IF(targetRow=0, "",
      LET(
        startDate, INDEX('PR管理'!$C$4:$C$101, targetRow),
        delLimit, INDEX('PR管理'!$F$4:$F$101, targetRow),
        prID, INDEX('PR管理'!$A$4:$A$101, targetRow),
        IF(AND('26414_編集版 のコピー 2'!AL$1 &gt;= startDate, '26414_編集版 のコピー 2'!AL$1 &lt;= delLimit), 
          IFERROR(VLOOKUP(AL25, '新規'!$E$2:$H142, 4, 0), 
          IFERROR(VLOOKUP(AL25, '特殊配信マスタ'!$E$3:$H142, 4, 0), 
          IFERROR(VLOOKUP(AL25, '自動求人✅'!$C$3:$F142, 4, 0), prID))), 
        "")
      )
    )
  )
)</f>
        <v/>
      </c>
      <c r="AN25" s="141" t="str">
        <f t="shared" si="7"/>
        <v/>
      </c>
      <c r="AO25" s="141"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141"/>
      <c r="AQ25" s="141"/>
    </row>
    <row r="26" ht="17.25" customHeight="1">
      <c r="A26" s="142"/>
      <c r="B26" s="139"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140" t="str">
        <f t="array" ref="C26">IF(B26="", "", 
  LET(
    targetRow, IFERROR(MATCH(TRUE, BYROW('PR管理'!$J$4:$T$101, LAMBDA(r, COUNTIF(r, B26)&gt;0)), 0), 0),
    IF(targetRow=0, "",
      LET(
        startDate, INDEX('PR管理'!$C$4:$C$101, targetRow),
        delLimit, INDEX('PR管理'!$F$4:$F$101, targetRow),
        prID, INDEX('PR管理'!$A$4:$A$101, targetRow),
        IF(AND('26414_編集版 のコピー 2'!B$1 &gt;= startDate, '26414_編集版 のコピー 2'!B$1 &lt;= delLimit), 
          IFERROR(VLOOKUP(B26, '新規'!$E$2:$H142, 4, 0), 
          IFERROR(VLOOKUP(B26, '特殊配信マスタ'!$E$3:$H142, 4, 0), 
          IFERROR(VLOOKUP(B26, '自動求人✅'!$C$3:$F142, 4, 0), prID))), 
        "")
      )
    )
  )
)</f>
        <v/>
      </c>
      <c r="D26" s="141" t="str">
        <f t="shared" si="1"/>
        <v/>
      </c>
      <c r="E26" s="141"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141"/>
      <c r="G26" s="141"/>
      <c r="H26" s="139"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140" t="str">
        <f t="array" ref="I26">IF(H26="", "", 
  LET(
    targetRow, IFERROR(MATCH(TRUE, BYROW('PR管理'!$J$4:$T$101, LAMBDA(r, COUNTIF(r, H26)&gt;0)), 0), 0),
    IF(targetRow=0, "",
      LET(
        startDate, INDEX('PR管理'!$C$4:$C$101, targetRow),
        delLimit, INDEX('PR管理'!$F$4:$F$101, targetRow),
        prID, INDEX('PR管理'!$A$4:$A$101, targetRow),
        IF(AND('26414_編集版 のコピー 2'!H$1 &gt;= startDate, '26414_編集版 のコピー 2'!H$1 &lt;= delLimit), 
          IFERROR(VLOOKUP(H26, '新規'!$E$2:$H142, 4, 0), 
          IFERROR(VLOOKUP(H26, '特殊配信マスタ'!$E$3:$H142, 4, 0), 
          IFERROR(VLOOKUP(H26, '自動求人✅'!$C$3:$F142, 4, 0), prID))), 
        "")
      )
    )
  )
)</f>
        <v/>
      </c>
      <c r="J26" s="141" t="str">
        <f t="shared" si="2"/>
        <v/>
      </c>
      <c r="K26" s="141"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141"/>
      <c r="M26" s="141"/>
      <c r="N26" s="139"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140" t="str">
        <f t="array" ref="O26">IF(N26="", "", 
  LET(
    targetRow, IFERROR(MATCH(TRUE, BYROW('PR管理'!$J$4:$T$101, LAMBDA(r, COUNTIF(r, N26)&gt;0)), 0), 0),
    IF(targetRow=0, "",
      LET(
        startDate, INDEX('PR管理'!$C$4:$C$101, targetRow),
        delLimit, INDEX('PR管理'!$F$4:$F$101, targetRow),
        prID, INDEX('PR管理'!$A$4:$A$101, targetRow),
        IF(AND('26414_編集版 のコピー 2'!N$1 &gt;= startDate, '26414_編集版 のコピー 2'!N$1 &lt;= delLimit), 
          IFERROR(VLOOKUP(N26, '新規'!$E$2:$H142, 4, 0), 
          IFERROR(VLOOKUP(N26, '特殊配信マスタ'!$E$3:$H142, 4, 0), 
          IFERROR(VLOOKUP(N26, '自動求人✅'!$C$3:$F142, 4, 0), prID))), 
        "")
      )
    )
  )
)</f>
        <v/>
      </c>
      <c r="P26" s="141" t="str">
        <f t="shared" si="3"/>
        <v/>
      </c>
      <c r="Q26" s="141"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141"/>
      <c r="S26" s="141"/>
      <c r="T26" s="139"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140" t="str">
        <f t="array" ref="U26">IF(T26="", "", 
  LET(
    targetRow, IFERROR(MATCH(TRUE, BYROW('PR管理'!$J$4:$T$101, LAMBDA(r, COUNTIF(r, T26)&gt;0)), 0), 0),
    IF(targetRow=0, "",
      LET(
        startDate, INDEX('PR管理'!$C$4:$C$101, targetRow),
        delLimit, INDEX('PR管理'!$F$4:$F$101, targetRow),
        prID, INDEX('PR管理'!$A$4:$A$101, targetRow),
        IF(AND('26414_編集版 のコピー 2'!T$1 &gt;= startDate, '26414_編集版 のコピー 2'!T$1 &lt;= delLimit), 
          IFERROR(VLOOKUP(T26, '新規'!$E$2:$H142, 4, 0), 
          IFERROR(VLOOKUP(T26, '特殊配信マスタ'!$E$3:$H142, 4, 0), 
          IFERROR(VLOOKUP(T26, '自動求人✅'!$C$3:$F142, 4, 0), prID))), 
        "")
      )
    )
  )
)</f>
        <v/>
      </c>
      <c r="V26" s="141" t="str">
        <f t="shared" si="4"/>
        <v/>
      </c>
      <c r="W26" s="141"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141"/>
      <c r="Y26" s="141"/>
      <c r="Z26" s="139"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140" t="str">
        <f t="array" ref="AA26">IF(Z26="", "", 
  LET(
    targetRow, IFERROR(MATCH(TRUE, BYROW('PR管理'!$J$4:$T$101, LAMBDA(r, COUNTIF(r, Z26)&gt;0)), 0), 0),
    IF(targetRow=0, "",
      LET(
        startDate, INDEX('PR管理'!$C$4:$C$101, targetRow),
        delLimit, INDEX('PR管理'!$F$4:$F$101, targetRow),
        prID, INDEX('PR管理'!$A$4:$A$101, targetRow),
        IF(AND('26414_編集版 のコピー 2'!Z$1 &gt;= startDate, '26414_編集版 のコピー 2'!Z$1 &lt;= delLimit), 
          IFERROR(VLOOKUP(Z26, '新規'!$E$2:$H142, 4, 0), 
          IFERROR(VLOOKUP(Z26, '特殊配信マスタ'!$E$3:$H142, 4, 0), 
          IFERROR(VLOOKUP(Z26, '自動求人✅'!$C$3:$F142, 4, 0), prID))), 
        "")
      )
    )
  )
)</f>
        <v/>
      </c>
      <c r="AB26" s="141" t="str">
        <f t="shared" si="5"/>
        <v/>
      </c>
      <c r="AC26" s="141"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141"/>
      <c r="AE26" s="141"/>
      <c r="AF26" s="139"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140" t="str">
        <f t="array" ref="AG26">IF(AF26="", "", 
  LET(
    targetRow, IFERROR(MATCH(TRUE, BYROW('PR管理'!$J$4:$T$101, LAMBDA(r, COUNTIF(r, AF26)&gt;0)), 0), 0),
    IF(targetRow=0, "",
      LET(
        startDate, INDEX('PR管理'!$C$4:$C$101, targetRow),
        delLimit, INDEX('PR管理'!$F$4:$F$101, targetRow),
        prID, INDEX('PR管理'!$A$4:$A$101, targetRow),
        IF(AND('26414_編集版 のコピー 2'!AF$1 &gt;= startDate, '26414_編集版 のコピー 2'!AF$1 &lt;= delLimit), 
          IFERROR(VLOOKUP(AF26, '新規'!$E$2:$H142, 4, 0), 
          IFERROR(VLOOKUP(AF26, '特殊配信マスタ'!$E$3:$H142, 4, 0), 
          IFERROR(VLOOKUP(AF26, '自動求人✅'!$C$3:$F142, 4, 0), prID))), 
        "")
      )
    )
  )
)</f>
        <v/>
      </c>
      <c r="AH26" s="141" t="str">
        <f t="shared" si="6"/>
        <v/>
      </c>
      <c r="AI26" s="141"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141"/>
      <c r="AK26" s="141"/>
      <c r="AL26" s="139"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140" t="str">
        <f t="array" ref="AM26">IF(AL26="", "", 
  LET(
    targetRow, IFERROR(MATCH(TRUE, BYROW('PR管理'!$J$4:$T$101, LAMBDA(r, COUNTIF(r, AL26)&gt;0)), 0), 0),
    IF(targetRow=0, "",
      LET(
        startDate, INDEX('PR管理'!$C$4:$C$101, targetRow),
        delLimit, INDEX('PR管理'!$F$4:$F$101, targetRow),
        prID, INDEX('PR管理'!$A$4:$A$101, targetRow),
        IF(AND('26414_編集版 のコピー 2'!AL$1 &gt;= startDate, '26414_編集版 のコピー 2'!AL$1 &lt;= delLimit), 
          IFERROR(VLOOKUP(AL26, '新規'!$E$2:$H142, 4, 0), 
          IFERROR(VLOOKUP(AL26, '特殊配信マスタ'!$E$3:$H142, 4, 0), 
          IFERROR(VLOOKUP(AL26, '自動求人✅'!$C$3:$F142, 4, 0), prID))), 
        "")
      )
    )
  )
)</f>
        <v/>
      </c>
      <c r="AN26" s="141" t="str">
        <f t="shared" si="7"/>
        <v/>
      </c>
      <c r="AO26" s="141"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141"/>
      <c r="AQ26" s="141"/>
    </row>
    <row r="27" ht="17.25" customHeight="1">
      <c r="A27" s="142"/>
      <c r="B27" s="139"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140" t="str">
        <f t="array" ref="C27">IF(B27="", "", 
  LET(
    targetRow, IFERROR(MATCH(TRUE, BYROW('PR管理'!$J$4:$T$101, LAMBDA(r, COUNTIF(r, B27)&gt;0)), 0), 0),
    IF(targetRow=0, "",
      LET(
        startDate, INDEX('PR管理'!$C$4:$C$101, targetRow),
        delLimit, INDEX('PR管理'!$F$4:$F$101, targetRow),
        prID, INDEX('PR管理'!$A$4:$A$101, targetRow),
        IF(AND('26414_編集版 のコピー 2'!B$1 &gt;= startDate, '26414_編集版 のコピー 2'!B$1 &lt;= delLimit), 
          IFERROR(VLOOKUP(B27, '新規'!$E$2:$H142, 4, 0), 
          IFERROR(VLOOKUP(B27, '特殊配信マスタ'!$E$3:$H142, 4, 0), 
          IFERROR(VLOOKUP(B27, '自動求人✅'!$C$3:$F142, 4, 0), prID))), 
        "")
      )
    )
  )
)</f>
        <v/>
      </c>
      <c r="D27" s="141" t="str">
        <f t="shared" si="1"/>
        <v/>
      </c>
      <c r="E27" s="141"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141"/>
      <c r="G27" s="141"/>
      <c r="H27" s="139"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140" t="str">
        <f t="array" ref="I27">IF(H27="", "", 
  LET(
    targetRow, IFERROR(MATCH(TRUE, BYROW('PR管理'!$J$4:$T$101, LAMBDA(r, COUNTIF(r, H27)&gt;0)), 0), 0),
    IF(targetRow=0, "",
      LET(
        startDate, INDEX('PR管理'!$C$4:$C$101, targetRow),
        delLimit, INDEX('PR管理'!$F$4:$F$101, targetRow),
        prID, INDEX('PR管理'!$A$4:$A$101, targetRow),
        IF(AND('26414_編集版 のコピー 2'!H$1 &gt;= startDate, '26414_編集版 のコピー 2'!H$1 &lt;= delLimit), 
          IFERROR(VLOOKUP(H27, '新規'!$E$2:$H142, 4, 0), 
          IFERROR(VLOOKUP(H27, '特殊配信マスタ'!$E$3:$H142, 4, 0), 
          IFERROR(VLOOKUP(H27, '自動求人✅'!$C$3:$F142, 4, 0), prID))), 
        "")
      )
    )
  )
)</f>
        <v/>
      </c>
      <c r="J27" s="141" t="str">
        <f t="shared" si="2"/>
        <v/>
      </c>
      <c r="K27" s="141"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141"/>
      <c r="M27" s="141"/>
      <c r="N27" s="139"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140" t="str">
        <f t="array" ref="O27">IF(N27="", "", 
  LET(
    targetRow, IFERROR(MATCH(TRUE, BYROW('PR管理'!$J$4:$T$101, LAMBDA(r, COUNTIF(r, N27)&gt;0)), 0), 0),
    IF(targetRow=0, "",
      LET(
        startDate, INDEX('PR管理'!$C$4:$C$101, targetRow),
        delLimit, INDEX('PR管理'!$F$4:$F$101, targetRow),
        prID, INDEX('PR管理'!$A$4:$A$101, targetRow),
        IF(AND('26414_編集版 のコピー 2'!N$1 &gt;= startDate, '26414_編集版 のコピー 2'!N$1 &lt;= delLimit), 
          IFERROR(VLOOKUP(N27, '新規'!$E$2:$H142, 4, 0), 
          IFERROR(VLOOKUP(N27, '特殊配信マスタ'!$E$3:$H142, 4, 0), 
          IFERROR(VLOOKUP(N27, '自動求人✅'!$C$3:$F142, 4, 0), prID))), 
        "")
      )
    )
  )
)</f>
        <v/>
      </c>
      <c r="P27" s="141" t="str">
        <f t="shared" si="3"/>
        <v/>
      </c>
      <c r="Q27" s="141"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141"/>
      <c r="S27" s="141"/>
      <c r="T27" s="139"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140" t="str">
        <f t="array" ref="U27">IF(T27="", "", 
  LET(
    targetRow, IFERROR(MATCH(TRUE, BYROW('PR管理'!$J$4:$T$101, LAMBDA(r, COUNTIF(r, T27)&gt;0)), 0), 0),
    IF(targetRow=0, "",
      LET(
        startDate, INDEX('PR管理'!$C$4:$C$101, targetRow),
        delLimit, INDEX('PR管理'!$F$4:$F$101, targetRow),
        prID, INDEX('PR管理'!$A$4:$A$101, targetRow),
        IF(AND('26414_編集版 のコピー 2'!T$1 &gt;= startDate, '26414_編集版 のコピー 2'!T$1 &lt;= delLimit), 
          IFERROR(VLOOKUP(T27, '新規'!$E$2:$H142, 4, 0), 
          IFERROR(VLOOKUP(T27, '特殊配信マスタ'!$E$3:$H142, 4, 0), 
          IFERROR(VLOOKUP(T27, '自動求人✅'!$C$3:$F142, 4, 0), prID))), 
        "")
      )
    )
  )
)</f>
        <v/>
      </c>
      <c r="V27" s="141" t="str">
        <f t="shared" si="4"/>
        <v/>
      </c>
      <c r="W27" s="141"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141"/>
      <c r="Y27" s="141"/>
      <c r="Z27" s="139"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140" t="str">
        <f t="array" ref="AA27">IF(Z27="", "", 
  LET(
    targetRow, IFERROR(MATCH(TRUE, BYROW('PR管理'!$J$4:$T$101, LAMBDA(r, COUNTIF(r, Z27)&gt;0)), 0), 0),
    IF(targetRow=0, "",
      LET(
        startDate, INDEX('PR管理'!$C$4:$C$101, targetRow),
        delLimit, INDEX('PR管理'!$F$4:$F$101, targetRow),
        prID, INDEX('PR管理'!$A$4:$A$101, targetRow),
        IF(AND('26414_編集版 のコピー 2'!Z$1 &gt;= startDate, '26414_編集版 のコピー 2'!Z$1 &lt;= delLimit), 
          IFERROR(VLOOKUP(Z27, '新規'!$E$2:$H142, 4, 0), 
          IFERROR(VLOOKUP(Z27, '特殊配信マスタ'!$E$3:$H142, 4, 0), 
          IFERROR(VLOOKUP(Z27, '自動求人✅'!$C$3:$F142, 4, 0), prID))), 
        "")
      )
    )
  )
)</f>
        <v/>
      </c>
      <c r="AB27" s="141" t="str">
        <f t="shared" si="5"/>
        <v/>
      </c>
      <c r="AC27" s="141"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141"/>
      <c r="AE27" s="141"/>
      <c r="AF27" s="139"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140" t="str">
        <f t="array" ref="AG27">IF(AF27="", "", 
  LET(
    targetRow, IFERROR(MATCH(TRUE, BYROW('PR管理'!$J$4:$T$101, LAMBDA(r, COUNTIF(r, AF27)&gt;0)), 0), 0),
    IF(targetRow=0, "",
      LET(
        startDate, INDEX('PR管理'!$C$4:$C$101, targetRow),
        delLimit, INDEX('PR管理'!$F$4:$F$101, targetRow),
        prID, INDEX('PR管理'!$A$4:$A$101, targetRow),
        IF(AND('26414_編集版 のコピー 2'!AF$1 &gt;= startDate, '26414_編集版 のコピー 2'!AF$1 &lt;= delLimit), 
          IFERROR(VLOOKUP(AF27, '新規'!$E$2:$H142, 4, 0), 
          IFERROR(VLOOKUP(AF27, '特殊配信マスタ'!$E$3:$H142, 4, 0), 
          IFERROR(VLOOKUP(AF27, '自動求人✅'!$C$3:$F142, 4, 0), prID))), 
        "")
      )
    )
  )
)</f>
        <v/>
      </c>
      <c r="AH27" s="141" t="str">
        <f t="shared" si="6"/>
        <v/>
      </c>
      <c r="AI27" s="141"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141"/>
      <c r="AK27" s="141"/>
      <c r="AL27" s="139"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140" t="str">
        <f t="array" ref="AM27">IF(AL27="", "", 
  LET(
    targetRow, IFERROR(MATCH(TRUE, BYROW('PR管理'!$J$4:$T$101, LAMBDA(r, COUNTIF(r, AL27)&gt;0)), 0), 0),
    IF(targetRow=0, "",
      LET(
        startDate, INDEX('PR管理'!$C$4:$C$101, targetRow),
        delLimit, INDEX('PR管理'!$F$4:$F$101, targetRow),
        prID, INDEX('PR管理'!$A$4:$A$101, targetRow),
        IF(AND('26414_編集版 のコピー 2'!AL$1 &gt;= startDate, '26414_編集版 のコピー 2'!AL$1 &lt;= delLimit), 
          IFERROR(VLOOKUP(AL27, '新規'!$E$2:$H142, 4, 0), 
          IFERROR(VLOOKUP(AL27, '特殊配信マスタ'!$E$3:$H142, 4, 0), 
          IFERROR(VLOOKUP(AL27, '自動求人✅'!$C$3:$F142, 4, 0), prID))), 
        "")
      )
    )
  )
)</f>
        <v/>
      </c>
      <c r="AN27" s="141" t="str">
        <f t="shared" si="7"/>
        <v/>
      </c>
      <c r="AO27" s="141"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141"/>
      <c r="AQ27" s="141"/>
    </row>
    <row r="28" ht="17.25" customHeight="1">
      <c r="A28" s="142"/>
      <c r="B28" s="139"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140" t="str">
        <f t="array" ref="C28">IF(B28="", "", 
  LET(
    targetRow, IFERROR(MATCH(TRUE, BYROW('PR管理'!$J$4:$T$101, LAMBDA(r, COUNTIF(r, B28)&gt;0)), 0), 0),
    IF(targetRow=0, "",
      LET(
        startDate, INDEX('PR管理'!$C$4:$C$101, targetRow),
        delLimit, INDEX('PR管理'!$F$4:$F$101, targetRow),
        prID, INDEX('PR管理'!$A$4:$A$101, targetRow),
        IF(AND('26414_編集版 のコピー 2'!B$1 &gt;= startDate, '26414_編集版 のコピー 2'!B$1 &lt;= delLimit), 
          IFERROR(VLOOKUP(B28, '新規'!$E$2:$H142, 4, 0), 
          IFERROR(VLOOKUP(B28, '特殊配信マスタ'!$E$3:$H142, 4, 0), 
          IFERROR(VLOOKUP(B28, '自動求人✅'!$C$3:$F142, 4, 0), prID))), 
        "")
      )
    )
  )
)</f>
        <v/>
      </c>
      <c r="D28" s="141" t="str">
        <f t="shared" si="1"/>
        <v/>
      </c>
      <c r="E28" s="141"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141"/>
      <c r="G28" s="141"/>
      <c r="H28" s="139"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140" t="str">
        <f t="array" ref="I28">IF(H28="", "", 
  LET(
    targetRow, IFERROR(MATCH(TRUE, BYROW('PR管理'!$J$4:$T$101, LAMBDA(r, COUNTIF(r, H28)&gt;0)), 0), 0),
    IF(targetRow=0, "",
      LET(
        startDate, INDEX('PR管理'!$C$4:$C$101, targetRow),
        delLimit, INDEX('PR管理'!$F$4:$F$101, targetRow),
        prID, INDEX('PR管理'!$A$4:$A$101, targetRow),
        IF(AND('26414_編集版 のコピー 2'!H$1 &gt;= startDate, '26414_編集版 のコピー 2'!H$1 &lt;= delLimit), 
          IFERROR(VLOOKUP(H28, '新規'!$E$2:$H142, 4, 0), 
          IFERROR(VLOOKUP(H28, '特殊配信マスタ'!$E$3:$H142, 4, 0), 
          IFERROR(VLOOKUP(H28, '自動求人✅'!$C$3:$F142, 4, 0), prID))), 
        "")
      )
    )
  )
)</f>
        <v/>
      </c>
      <c r="J28" s="141" t="str">
        <f t="shared" si="2"/>
        <v/>
      </c>
      <c r="K28" s="141"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141"/>
      <c r="M28" s="141"/>
      <c r="N28" s="139"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140" t="str">
        <f t="array" ref="O28">IF(N28="", "", 
  LET(
    targetRow, IFERROR(MATCH(TRUE, BYROW('PR管理'!$J$4:$T$101, LAMBDA(r, COUNTIF(r, N28)&gt;0)), 0), 0),
    IF(targetRow=0, "",
      LET(
        startDate, INDEX('PR管理'!$C$4:$C$101, targetRow),
        delLimit, INDEX('PR管理'!$F$4:$F$101, targetRow),
        prID, INDEX('PR管理'!$A$4:$A$101, targetRow),
        IF(AND('26414_編集版 のコピー 2'!N$1 &gt;= startDate, '26414_編集版 のコピー 2'!N$1 &lt;= delLimit), 
          IFERROR(VLOOKUP(N28, '新規'!$E$2:$H142, 4, 0), 
          IFERROR(VLOOKUP(N28, '特殊配信マスタ'!$E$3:$H142, 4, 0), 
          IFERROR(VLOOKUP(N28, '自動求人✅'!$C$3:$F142, 4, 0), prID))), 
        "")
      )
    )
  )
)</f>
        <v/>
      </c>
      <c r="P28" s="141" t="str">
        <f t="shared" si="3"/>
        <v/>
      </c>
      <c r="Q28" s="141"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141"/>
      <c r="S28" s="141"/>
      <c r="T28" s="139"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140" t="str">
        <f t="array" ref="U28">IF(T28="", "", 
  LET(
    targetRow, IFERROR(MATCH(TRUE, BYROW('PR管理'!$J$4:$T$101, LAMBDA(r, COUNTIF(r, T28)&gt;0)), 0), 0),
    IF(targetRow=0, "",
      LET(
        startDate, INDEX('PR管理'!$C$4:$C$101, targetRow),
        delLimit, INDEX('PR管理'!$F$4:$F$101, targetRow),
        prID, INDEX('PR管理'!$A$4:$A$101, targetRow),
        IF(AND('26414_編集版 のコピー 2'!T$1 &gt;= startDate, '26414_編集版 のコピー 2'!T$1 &lt;= delLimit), 
          IFERROR(VLOOKUP(T28, '新規'!$E$2:$H142, 4, 0), 
          IFERROR(VLOOKUP(T28, '特殊配信マスタ'!$E$3:$H142, 4, 0), 
          IFERROR(VLOOKUP(T28, '自動求人✅'!$C$3:$F142, 4, 0), prID))), 
        "")
      )
    )
  )
)</f>
        <v/>
      </c>
      <c r="V28" s="141" t="str">
        <f t="shared" si="4"/>
        <v/>
      </c>
      <c r="W28" s="141"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141"/>
      <c r="Y28" s="141"/>
      <c r="Z28" s="139"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140" t="str">
        <f t="array" ref="AA28">IF(Z28="", "", 
  LET(
    targetRow, IFERROR(MATCH(TRUE, BYROW('PR管理'!$J$4:$T$101, LAMBDA(r, COUNTIF(r, Z28)&gt;0)), 0), 0),
    IF(targetRow=0, "",
      LET(
        startDate, INDEX('PR管理'!$C$4:$C$101, targetRow),
        delLimit, INDEX('PR管理'!$F$4:$F$101, targetRow),
        prID, INDEX('PR管理'!$A$4:$A$101, targetRow),
        IF(AND('26414_編集版 のコピー 2'!Z$1 &gt;= startDate, '26414_編集版 のコピー 2'!Z$1 &lt;= delLimit), 
          IFERROR(VLOOKUP(Z28, '新規'!$E$2:$H142, 4, 0), 
          IFERROR(VLOOKUP(Z28, '特殊配信マスタ'!$E$3:$H142, 4, 0), 
          IFERROR(VLOOKUP(Z28, '自動求人✅'!$C$3:$F142, 4, 0), prID))), 
        "")
      )
    )
  )
)</f>
        <v/>
      </c>
      <c r="AB28" s="141" t="str">
        <f t="shared" si="5"/>
        <v/>
      </c>
      <c r="AC28" s="141"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141"/>
      <c r="AE28" s="141"/>
      <c r="AF28" s="139"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140" t="str">
        <f t="array" ref="AG28">IF(AF28="", "", 
  LET(
    targetRow, IFERROR(MATCH(TRUE, BYROW('PR管理'!$J$4:$T$101, LAMBDA(r, COUNTIF(r, AF28)&gt;0)), 0), 0),
    IF(targetRow=0, "",
      LET(
        startDate, INDEX('PR管理'!$C$4:$C$101, targetRow),
        delLimit, INDEX('PR管理'!$F$4:$F$101, targetRow),
        prID, INDEX('PR管理'!$A$4:$A$101, targetRow),
        IF(AND('26414_編集版 のコピー 2'!AF$1 &gt;= startDate, '26414_編集版 のコピー 2'!AF$1 &lt;= delLimit), 
          IFERROR(VLOOKUP(AF28, '新規'!$E$2:$H142, 4, 0), 
          IFERROR(VLOOKUP(AF28, '特殊配信マスタ'!$E$3:$H142, 4, 0), 
          IFERROR(VLOOKUP(AF28, '自動求人✅'!$C$3:$F142, 4, 0), prID))), 
        "")
      )
    )
  )
)</f>
        <v/>
      </c>
      <c r="AH28" s="141" t="str">
        <f t="shared" si="6"/>
        <v/>
      </c>
      <c r="AI28" s="141"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141"/>
      <c r="AK28" s="141"/>
      <c r="AL28" s="139"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140" t="str">
        <f t="array" ref="AM28">IF(AL28="", "", 
  LET(
    targetRow, IFERROR(MATCH(TRUE, BYROW('PR管理'!$J$4:$T$101, LAMBDA(r, COUNTIF(r, AL28)&gt;0)), 0), 0),
    IF(targetRow=0, "",
      LET(
        startDate, INDEX('PR管理'!$C$4:$C$101, targetRow),
        delLimit, INDEX('PR管理'!$F$4:$F$101, targetRow),
        prID, INDEX('PR管理'!$A$4:$A$101, targetRow),
        IF(AND('26414_編集版 のコピー 2'!AL$1 &gt;= startDate, '26414_編集版 のコピー 2'!AL$1 &lt;= delLimit), 
          IFERROR(VLOOKUP(AL28, '新規'!$E$2:$H142, 4, 0), 
          IFERROR(VLOOKUP(AL28, '特殊配信マスタ'!$E$3:$H142, 4, 0), 
          IFERROR(VLOOKUP(AL28, '自動求人✅'!$C$3:$F142, 4, 0), prID))), 
        "")
      )
    )
  )
)</f>
        <v/>
      </c>
      <c r="AN28" s="141" t="str">
        <f t="shared" si="7"/>
        <v/>
      </c>
      <c r="AO28" s="141"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141"/>
      <c r="AQ28" s="141"/>
    </row>
    <row r="29" ht="17.25" customHeight="1">
      <c r="A29" s="142"/>
      <c r="B29" s="139"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140" t="str">
        <f t="array" ref="C29">IF(B29="", "", 
  LET(
    targetRow, IFERROR(MATCH(TRUE, BYROW('PR管理'!$J$4:$T$101, LAMBDA(r, COUNTIF(r, B29)&gt;0)), 0), 0),
    IF(targetRow=0, "",
      LET(
        startDate, INDEX('PR管理'!$C$4:$C$101, targetRow),
        delLimit, INDEX('PR管理'!$F$4:$F$101, targetRow),
        prID, INDEX('PR管理'!$A$4:$A$101, targetRow),
        IF(AND('26414_編集版 のコピー 2'!B$1 &gt;= startDate, '26414_編集版 のコピー 2'!B$1 &lt;= delLimit), 
          IFERROR(VLOOKUP(B29, '新規'!$E$2:$H142, 4, 0), 
          IFERROR(VLOOKUP(B29, '特殊配信マスタ'!$E$3:$H142, 4, 0), 
          IFERROR(VLOOKUP(B29, '自動求人✅'!$C$3:$F142, 4, 0), prID))), 
        "")
      )
    )
  )
)</f>
        <v/>
      </c>
      <c r="D29" s="141" t="str">
        <f t="shared" si="1"/>
        <v/>
      </c>
      <c r="E29" s="141"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141"/>
      <c r="G29" s="141"/>
      <c r="H29" s="139"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140" t="str">
        <f t="array" ref="I29">IF(H29="", "", 
  LET(
    targetRow, IFERROR(MATCH(TRUE, BYROW('PR管理'!$J$4:$T$101, LAMBDA(r, COUNTIF(r, H29)&gt;0)), 0), 0),
    IF(targetRow=0, "",
      LET(
        startDate, INDEX('PR管理'!$C$4:$C$101, targetRow),
        delLimit, INDEX('PR管理'!$F$4:$F$101, targetRow),
        prID, INDEX('PR管理'!$A$4:$A$101, targetRow),
        IF(AND('26414_編集版 のコピー 2'!H$1 &gt;= startDate, '26414_編集版 のコピー 2'!H$1 &lt;= delLimit), 
          IFERROR(VLOOKUP(H29, '新規'!$E$2:$H142, 4, 0), 
          IFERROR(VLOOKUP(H29, '特殊配信マスタ'!$E$3:$H142, 4, 0), 
          IFERROR(VLOOKUP(H29, '自動求人✅'!$C$3:$F142, 4, 0), prID))), 
        "")
      )
    )
  )
)</f>
        <v/>
      </c>
      <c r="J29" s="141" t="str">
        <f t="shared" si="2"/>
        <v/>
      </c>
      <c r="K29" s="141"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141"/>
      <c r="M29" s="141"/>
      <c r="N29" s="139"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140" t="str">
        <f t="array" ref="O29">IF(N29="", "", 
  LET(
    targetRow, IFERROR(MATCH(TRUE, BYROW('PR管理'!$J$4:$T$101, LAMBDA(r, COUNTIF(r, N29)&gt;0)), 0), 0),
    IF(targetRow=0, "",
      LET(
        startDate, INDEX('PR管理'!$C$4:$C$101, targetRow),
        delLimit, INDEX('PR管理'!$F$4:$F$101, targetRow),
        prID, INDEX('PR管理'!$A$4:$A$101, targetRow),
        IF(AND('26414_編集版 のコピー 2'!N$1 &gt;= startDate, '26414_編集版 のコピー 2'!N$1 &lt;= delLimit), 
          IFERROR(VLOOKUP(N29, '新規'!$E$2:$H142, 4, 0), 
          IFERROR(VLOOKUP(N29, '特殊配信マスタ'!$E$3:$H142, 4, 0), 
          IFERROR(VLOOKUP(N29, '自動求人✅'!$C$3:$F142, 4, 0), prID))), 
        "")
      )
    )
  )
)</f>
        <v/>
      </c>
      <c r="P29" s="141" t="str">
        <f t="shared" si="3"/>
        <v/>
      </c>
      <c r="Q29" s="141"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141"/>
      <c r="S29" s="141"/>
      <c r="T29" s="139"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140" t="str">
        <f t="array" ref="U29">IF(T29="", "", 
  LET(
    targetRow, IFERROR(MATCH(TRUE, BYROW('PR管理'!$J$4:$T$101, LAMBDA(r, COUNTIF(r, T29)&gt;0)), 0), 0),
    IF(targetRow=0, "",
      LET(
        startDate, INDEX('PR管理'!$C$4:$C$101, targetRow),
        delLimit, INDEX('PR管理'!$F$4:$F$101, targetRow),
        prID, INDEX('PR管理'!$A$4:$A$101, targetRow),
        IF(AND('26414_編集版 のコピー 2'!T$1 &gt;= startDate, '26414_編集版 のコピー 2'!T$1 &lt;= delLimit), 
          IFERROR(VLOOKUP(T29, '新規'!$E$2:$H142, 4, 0), 
          IFERROR(VLOOKUP(T29, '特殊配信マスタ'!$E$3:$H142, 4, 0), 
          IFERROR(VLOOKUP(T29, '自動求人✅'!$C$3:$F142, 4, 0), prID))), 
        "")
      )
    )
  )
)</f>
        <v/>
      </c>
      <c r="V29" s="141" t="str">
        <f t="shared" si="4"/>
        <v/>
      </c>
      <c r="W29" s="141"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141"/>
      <c r="Y29" s="141"/>
      <c r="Z29" s="139"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140" t="str">
        <f t="array" ref="AA29">IF(Z29="", "", 
  LET(
    targetRow, IFERROR(MATCH(TRUE, BYROW('PR管理'!$J$4:$T$101, LAMBDA(r, COUNTIF(r, Z29)&gt;0)), 0), 0),
    IF(targetRow=0, "",
      LET(
        startDate, INDEX('PR管理'!$C$4:$C$101, targetRow),
        delLimit, INDEX('PR管理'!$F$4:$F$101, targetRow),
        prID, INDEX('PR管理'!$A$4:$A$101, targetRow),
        IF(AND('26414_編集版 のコピー 2'!Z$1 &gt;= startDate, '26414_編集版 のコピー 2'!Z$1 &lt;= delLimit), 
          IFERROR(VLOOKUP(Z29, '新規'!$E$2:$H142, 4, 0), 
          IFERROR(VLOOKUP(Z29, '特殊配信マスタ'!$E$3:$H142, 4, 0), 
          IFERROR(VLOOKUP(Z29, '自動求人✅'!$C$3:$F142, 4, 0), prID))), 
        "")
      )
    )
  )
)</f>
        <v/>
      </c>
      <c r="AB29" s="141" t="str">
        <f t="shared" si="5"/>
        <v/>
      </c>
      <c r="AC29" s="141"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141"/>
      <c r="AE29" s="141"/>
      <c r="AF29" s="139"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140" t="str">
        <f t="array" ref="AG29">IF(AF29="", "", 
  LET(
    targetRow, IFERROR(MATCH(TRUE, BYROW('PR管理'!$J$4:$T$101, LAMBDA(r, COUNTIF(r, AF29)&gt;0)), 0), 0),
    IF(targetRow=0, "",
      LET(
        startDate, INDEX('PR管理'!$C$4:$C$101, targetRow),
        delLimit, INDEX('PR管理'!$F$4:$F$101, targetRow),
        prID, INDEX('PR管理'!$A$4:$A$101, targetRow),
        IF(AND('26414_編集版 のコピー 2'!AF$1 &gt;= startDate, '26414_編集版 のコピー 2'!AF$1 &lt;= delLimit), 
          IFERROR(VLOOKUP(AF29, '新規'!$E$2:$H142, 4, 0), 
          IFERROR(VLOOKUP(AF29, '特殊配信マスタ'!$E$3:$H142, 4, 0), 
          IFERROR(VLOOKUP(AF29, '自動求人✅'!$C$3:$F142, 4, 0), prID))), 
        "")
      )
    )
  )
)</f>
        <v/>
      </c>
      <c r="AH29" s="141" t="str">
        <f t="shared" si="6"/>
        <v/>
      </c>
      <c r="AI29" s="141"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141"/>
      <c r="AK29" s="141"/>
      <c r="AL29" s="139"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140" t="str">
        <f t="array" ref="AM29">IF(AL29="", "", 
  LET(
    targetRow, IFERROR(MATCH(TRUE, BYROW('PR管理'!$J$4:$T$101, LAMBDA(r, COUNTIF(r, AL29)&gt;0)), 0), 0),
    IF(targetRow=0, "",
      LET(
        startDate, INDEX('PR管理'!$C$4:$C$101, targetRow),
        delLimit, INDEX('PR管理'!$F$4:$F$101, targetRow),
        prID, INDEX('PR管理'!$A$4:$A$101, targetRow),
        IF(AND('26414_編集版 のコピー 2'!AL$1 &gt;= startDate, '26414_編集版 のコピー 2'!AL$1 &lt;= delLimit), 
          IFERROR(VLOOKUP(AL29, '新規'!$E$2:$H142, 4, 0), 
          IFERROR(VLOOKUP(AL29, '特殊配信マスタ'!$E$3:$H142, 4, 0), 
          IFERROR(VLOOKUP(AL29, '自動求人✅'!$C$3:$F142, 4, 0), prID))), 
        "")
      )
    )
  )
)</f>
        <v/>
      </c>
      <c r="AN29" s="141" t="str">
        <f t="shared" si="7"/>
        <v/>
      </c>
      <c r="AO29" s="141"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141"/>
      <c r="AQ29" s="141"/>
    </row>
    <row r="30" ht="17.25" customHeight="1">
      <c r="A30" s="142"/>
      <c r="B30" s="139"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140" t="str">
        <f t="array" ref="C30">IF(B30="", "", 
  LET(
    targetRow, IFERROR(MATCH(TRUE, BYROW('PR管理'!$J$4:$T$101, LAMBDA(r, COUNTIF(r, B30)&gt;0)), 0), 0),
    IF(targetRow=0, "",
      LET(
        startDate, INDEX('PR管理'!$C$4:$C$101, targetRow),
        delLimit, INDEX('PR管理'!$F$4:$F$101, targetRow),
        prID, INDEX('PR管理'!$A$4:$A$101, targetRow),
        IF(AND('26414_編集版 のコピー 2'!B$1 &gt;= startDate, '26414_編集版 のコピー 2'!B$1 &lt;= delLimit), 
          IFERROR(VLOOKUP(B30, '新規'!$E$2:$H142, 4, 0), 
          IFERROR(VLOOKUP(B30, '特殊配信マスタ'!$E$3:$H142, 4, 0), 
          IFERROR(VLOOKUP(B30, '自動求人✅'!$C$3:$F142, 4, 0), prID))), 
        "")
      )
    )
  )
)</f>
        <v/>
      </c>
      <c r="D30" s="141" t="str">
        <f t="shared" si="1"/>
        <v/>
      </c>
      <c r="E30" s="141"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141"/>
      <c r="G30" s="141"/>
      <c r="H30" s="139"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140" t="str">
        <f t="array" ref="I30">IF(H30="", "", 
  LET(
    targetRow, IFERROR(MATCH(TRUE, BYROW('PR管理'!$J$4:$T$101, LAMBDA(r, COUNTIF(r, H30)&gt;0)), 0), 0),
    IF(targetRow=0, "",
      LET(
        startDate, INDEX('PR管理'!$C$4:$C$101, targetRow),
        delLimit, INDEX('PR管理'!$F$4:$F$101, targetRow),
        prID, INDEX('PR管理'!$A$4:$A$101, targetRow),
        IF(AND('26414_編集版 のコピー 2'!H$1 &gt;= startDate, '26414_編集版 のコピー 2'!H$1 &lt;= delLimit), 
          IFERROR(VLOOKUP(H30, '新規'!$E$2:$H142, 4, 0), 
          IFERROR(VLOOKUP(H30, '特殊配信マスタ'!$E$3:$H142, 4, 0), 
          IFERROR(VLOOKUP(H30, '自動求人✅'!$C$3:$F142, 4, 0), prID))), 
        "")
      )
    )
  )
)</f>
        <v/>
      </c>
      <c r="J30" s="141" t="str">
        <f t="shared" si="2"/>
        <v/>
      </c>
      <c r="K30" s="141"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141"/>
      <c r="M30" s="141"/>
      <c r="N30" s="139"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140" t="str">
        <f t="array" ref="O30">IF(N30="", "", 
  LET(
    targetRow, IFERROR(MATCH(TRUE, BYROW('PR管理'!$J$4:$T$101, LAMBDA(r, COUNTIF(r, N30)&gt;0)), 0), 0),
    IF(targetRow=0, "",
      LET(
        startDate, INDEX('PR管理'!$C$4:$C$101, targetRow),
        delLimit, INDEX('PR管理'!$F$4:$F$101, targetRow),
        prID, INDEX('PR管理'!$A$4:$A$101, targetRow),
        IF(AND('26414_編集版 のコピー 2'!N$1 &gt;= startDate, '26414_編集版 のコピー 2'!N$1 &lt;= delLimit), 
          IFERROR(VLOOKUP(N30, '新規'!$E$2:$H142, 4, 0), 
          IFERROR(VLOOKUP(N30, '特殊配信マスタ'!$E$3:$H142, 4, 0), 
          IFERROR(VLOOKUP(N30, '自動求人✅'!$C$3:$F142, 4, 0), prID))), 
        "")
      )
    )
  )
)</f>
        <v/>
      </c>
      <c r="P30" s="141" t="str">
        <f t="shared" si="3"/>
        <v/>
      </c>
      <c r="Q30" s="141"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141"/>
      <c r="S30" s="141"/>
      <c r="T30" s="139"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140" t="str">
        <f t="array" ref="U30">IF(T30="", "", 
  LET(
    targetRow, IFERROR(MATCH(TRUE, BYROW('PR管理'!$J$4:$T$101, LAMBDA(r, COUNTIF(r, T30)&gt;0)), 0), 0),
    IF(targetRow=0, "",
      LET(
        startDate, INDEX('PR管理'!$C$4:$C$101, targetRow),
        delLimit, INDEX('PR管理'!$F$4:$F$101, targetRow),
        prID, INDEX('PR管理'!$A$4:$A$101, targetRow),
        IF(AND('26414_編集版 のコピー 2'!T$1 &gt;= startDate, '26414_編集版 のコピー 2'!T$1 &lt;= delLimit), 
          IFERROR(VLOOKUP(T30, '新規'!$E$2:$H142, 4, 0), 
          IFERROR(VLOOKUP(T30, '特殊配信マスタ'!$E$3:$H142, 4, 0), 
          IFERROR(VLOOKUP(T30, '自動求人✅'!$C$3:$F142, 4, 0), prID))), 
        "")
      )
    )
  )
)</f>
        <v/>
      </c>
      <c r="V30" s="141" t="str">
        <f t="shared" si="4"/>
        <v/>
      </c>
      <c r="W30" s="141"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141"/>
      <c r="Y30" s="141"/>
      <c r="Z30" s="139"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140" t="str">
        <f t="array" ref="AA30">IF(Z30="", "", 
  LET(
    targetRow, IFERROR(MATCH(TRUE, BYROW('PR管理'!$J$4:$T$101, LAMBDA(r, COUNTIF(r, Z30)&gt;0)), 0), 0),
    IF(targetRow=0, "",
      LET(
        startDate, INDEX('PR管理'!$C$4:$C$101, targetRow),
        delLimit, INDEX('PR管理'!$F$4:$F$101, targetRow),
        prID, INDEX('PR管理'!$A$4:$A$101, targetRow),
        IF(AND('26414_編集版 のコピー 2'!Z$1 &gt;= startDate, '26414_編集版 のコピー 2'!Z$1 &lt;= delLimit), 
          IFERROR(VLOOKUP(Z30, '新規'!$E$2:$H142, 4, 0), 
          IFERROR(VLOOKUP(Z30, '特殊配信マスタ'!$E$3:$H142, 4, 0), 
          IFERROR(VLOOKUP(Z30, '自動求人✅'!$C$3:$F142, 4, 0), prID))), 
        "")
      )
    )
  )
)</f>
        <v/>
      </c>
      <c r="AB30" s="141" t="str">
        <f t="shared" si="5"/>
        <v/>
      </c>
      <c r="AC30" s="141"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141"/>
      <c r="AE30" s="141"/>
      <c r="AF30" s="139"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140" t="str">
        <f t="array" ref="AG30">IF(AF30="", "", 
  LET(
    targetRow, IFERROR(MATCH(TRUE, BYROW('PR管理'!$J$4:$T$101, LAMBDA(r, COUNTIF(r, AF30)&gt;0)), 0), 0),
    IF(targetRow=0, "",
      LET(
        startDate, INDEX('PR管理'!$C$4:$C$101, targetRow),
        delLimit, INDEX('PR管理'!$F$4:$F$101, targetRow),
        prID, INDEX('PR管理'!$A$4:$A$101, targetRow),
        IF(AND('26414_編集版 のコピー 2'!AF$1 &gt;= startDate, '26414_編集版 のコピー 2'!AF$1 &lt;= delLimit), 
          IFERROR(VLOOKUP(AF30, '新規'!$E$2:$H142, 4, 0), 
          IFERROR(VLOOKUP(AF30, '特殊配信マスタ'!$E$3:$H142, 4, 0), 
          IFERROR(VLOOKUP(AF30, '自動求人✅'!$C$3:$F142, 4, 0), prID))), 
        "")
      )
    )
  )
)</f>
        <v/>
      </c>
      <c r="AH30" s="141" t="str">
        <f t="shared" si="6"/>
        <v/>
      </c>
      <c r="AI30" s="141"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141"/>
      <c r="AK30" s="141"/>
      <c r="AL30" s="139"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140" t="str">
        <f t="array" ref="AM30">IF(AL30="", "", 
  LET(
    targetRow, IFERROR(MATCH(TRUE, BYROW('PR管理'!$J$4:$T$101, LAMBDA(r, COUNTIF(r, AL30)&gt;0)), 0), 0),
    IF(targetRow=0, "",
      LET(
        startDate, INDEX('PR管理'!$C$4:$C$101, targetRow),
        delLimit, INDEX('PR管理'!$F$4:$F$101, targetRow),
        prID, INDEX('PR管理'!$A$4:$A$101, targetRow),
        IF(AND('26414_編集版 のコピー 2'!AL$1 &gt;= startDate, '26414_編集版 のコピー 2'!AL$1 &lt;= delLimit), 
          IFERROR(VLOOKUP(AL30, '新規'!$E$2:$H142, 4, 0), 
          IFERROR(VLOOKUP(AL30, '特殊配信マスタ'!$E$3:$H142, 4, 0), 
          IFERROR(VLOOKUP(AL30, '自動求人✅'!$C$3:$F142, 4, 0), prID))), 
        "")
      )
    )
  )
)</f>
        <v/>
      </c>
      <c r="AN30" s="141" t="str">
        <f t="shared" si="7"/>
        <v/>
      </c>
      <c r="AO30" s="141"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141"/>
      <c r="AQ30" s="141"/>
    </row>
    <row r="31" ht="17.25" customHeight="1">
      <c r="A31" s="142"/>
      <c r="B31" s="139"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140" t="str">
        <f t="array" ref="C31">IF(B31="", "", 
  LET(
    targetRow, IFERROR(MATCH(TRUE, BYROW('PR管理'!$J$4:$T$101, LAMBDA(r, COUNTIF(r, B31)&gt;0)), 0), 0),
    IF(targetRow=0, "",
      LET(
        startDate, INDEX('PR管理'!$C$4:$C$101, targetRow),
        delLimit, INDEX('PR管理'!$F$4:$F$101, targetRow),
        prID, INDEX('PR管理'!$A$4:$A$101, targetRow),
        IF(AND('26414_編集版 のコピー 2'!B$1 &gt;= startDate, '26414_編集版 のコピー 2'!B$1 &lt;= delLimit), 
          IFERROR(VLOOKUP(B31, '新規'!$E$2:$H142, 4, 0), 
          IFERROR(VLOOKUP(B31, '特殊配信マスタ'!$E$3:$H142, 4, 0), 
          IFERROR(VLOOKUP(B31, '自動求人✅'!$C$3:$F142, 4, 0), prID))), 
        "")
      )
    )
  )
)</f>
        <v/>
      </c>
      <c r="D31" s="141" t="str">
        <f t="shared" si="1"/>
        <v/>
      </c>
      <c r="E31" s="141"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141"/>
      <c r="G31" s="141"/>
      <c r="H31" s="139"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140" t="str">
        <f t="array" ref="I31">IF(H31="", "", 
  LET(
    targetRow, IFERROR(MATCH(TRUE, BYROW('PR管理'!$J$4:$T$101, LAMBDA(r, COUNTIF(r, H31)&gt;0)), 0), 0),
    IF(targetRow=0, "",
      LET(
        startDate, INDEX('PR管理'!$C$4:$C$101, targetRow),
        delLimit, INDEX('PR管理'!$F$4:$F$101, targetRow),
        prID, INDEX('PR管理'!$A$4:$A$101, targetRow),
        IF(AND('26414_編集版 のコピー 2'!H$1 &gt;= startDate, '26414_編集版 のコピー 2'!H$1 &lt;= delLimit), 
          IFERROR(VLOOKUP(H31, '新規'!$E$2:$H142, 4, 0), 
          IFERROR(VLOOKUP(H31, '特殊配信マスタ'!$E$3:$H142, 4, 0), 
          IFERROR(VLOOKUP(H31, '自動求人✅'!$C$3:$F142, 4, 0), prID))), 
        "")
      )
    )
  )
)</f>
        <v/>
      </c>
      <c r="J31" s="141" t="str">
        <f t="shared" si="2"/>
        <v/>
      </c>
      <c r="K31" s="141"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141"/>
      <c r="M31" s="141"/>
      <c r="N31" s="139"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140" t="str">
        <f t="array" ref="O31">IF(N31="", "", 
  LET(
    targetRow, IFERROR(MATCH(TRUE, BYROW('PR管理'!$J$4:$T$101, LAMBDA(r, COUNTIF(r, N31)&gt;0)), 0), 0),
    IF(targetRow=0, "",
      LET(
        startDate, INDEX('PR管理'!$C$4:$C$101, targetRow),
        delLimit, INDEX('PR管理'!$F$4:$F$101, targetRow),
        prID, INDEX('PR管理'!$A$4:$A$101, targetRow),
        IF(AND('26414_編集版 のコピー 2'!N$1 &gt;= startDate, '26414_編集版 のコピー 2'!N$1 &lt;= delLimit), 
          IFERROR(VLOOKUP(N31, '新規'!$E$2:$H142, 4, 0), 
          IFERROR(VLOOKUP(N31, '特殊配信マスタ'!$E$3:$H142, 4, 0), 
          IFERROR(VLOOKUP(N31, '自動求人✅'!$C$3:$F142, 4, 0), prID))), 
        "")
      )
    )
  )
)</f>
        <v/>
      </c>
      <c r="P31" s="141" t="str">
        <f t="shared" si="3"/>
        <v/>
      </c>
      <c r="Q31" s="141"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141"/>
      <c r="S31" s="141"/>
      <c r="T31" s="139"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140" t="str">
        <f t="array" ref="U31">IF(T31="", "", 
  LET(
    targetRow, IFERROR(MATCH(TRUE, BYROW('PR管理'!$J$4:$T$101, LAMBDA(r, COUNTIF(r, T31)&gt;0)), 0), 0),
    IF(targetRow=0, "",
      LET(
        startDate, INDEX('PR管理'!$C$4:$C$101, targetRow),
        delLimit, INDEX('PR管理'!$F$4:$F$101, targetRow),
        prID, INDEX('PR管理'!$A$4:$A$101, targetRow),
        IF(AND('26414_編集版 のコピー 2'!T$1 &gt;= startDate, '26414_編集版 のコピー 2'!T$1 &lt;= delLimit), 
          IFERROR(VLOOKUP(T31, '新規'!$E$2:$H142, 4, 0), 
          IFERROR(VLOOKUP(T31, '特殊配信マスタ'!$E$3:$H142, 4, 0), 
          IFERROR(VLOOKUP(T31, '自動求人✅'!$C$3:$F142, 4, 0), prID))), 
        "")
      )
    )
  )
)</f>
        <v/>
      </c>
      <c r="V31" s="141" t="str">
        <f t="shared" si="4"/>
        <v/>
      </c>
      <c r="W31" s="141"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141"/>
      <c r="Y31" s="141"/>
      <c r="Z31" s="139"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140" t="str">
        <f t="array" ref="AA31">IF(Z31="", "", 
  LET(
    targetRow, IFERROR(MATCH(TRUE, BYROW('PR管理'!$J$4:$T$101, LAMBDA(r, COUNTIF(r, Z31)&gt;0)), 0), 0),
    IF(targetRow=0, "",
      LET(
        startDate, INDEX('PR管理'!$C$4:$C$101, targetRow),
        delLimit, INDEX('PR管理'!$F$4:$F$101, targetRow),
        prID, INDEX('PR管理'!$A$4:$A$101, targetRow),
        IF(AND('26414_編集版 のコピー 2'!Z$1 &gt;= startDate, '26414_編集版 のコピー 2'!Z$1 &lt;= delLimit), 
          IFERROR(VLOOKUP(Z31, '新規'!$E$2:$H142, 4, 0), 
          IFERROR(VLOOKUP(Z31, '特殊配信マスタ'!$E$3:$H142, 4, 0), 
          IFERROR(VLOOKUP(Z31, '自動求人✅'!$C$3:$F142, 4, 0), prID))), 
        "")
      )
    )
  )
)</f>
        <v/>
      </c>
      <c r="AB31" s="141" t="str">
        <f t="shared" si="5"/>
        <v/>
      </c>
      <c r="AC31" s="141"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141"/>
      <c r="AE31" s="141"/>
      <c r="AF31" s="139"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140" t="str">
        <f t="array" ref="AG31">IF(AF31="", "", 
  LET(
    targetRow, IFERROR(MATCH(TRUE, BYROW('PR管理'!$J$4:$T$101, LAMBDA(r, COUNTIF(r, AF31)&gt;0)), 0), 0),
    IF(targetRow=0, "",
      LET(
        startDate, INDEX('PR管理'!$C$4:$C$101, targetRow),
        delLimit, INDEX('PR管理'!$F$4:$F$101, targetRow),
        prID, INDEX('PR管理'!$A$4:$A$101, targetRow),
        IF(AND('26414_編集版 のコピー 2'!AF$1 &gt;= startDate, '26414_編集版 のコピー 2'!AF$1 &lt;= delLimit), 
          IFERROR(VLOOKUP(AF31, '新規'!$E$2:$H142, 4, 0), 
          IFERROR(VLOOKUP(AF31, '特殊配信マスタ'!$E$3:$H142, 4, 0), 
          IFERROR(VLOOKUP(AF31, '自動求人✅'!$C$3:$F142, 4, 0), prID))), 
        "")
      )
    )
  )
)</f>
        <v/>
      </c>
      <c r="AH31" s="141" t="str">
        <f t="shared" si="6"/>
        <v/>
      </c>
      <c r="AI31" s="141"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141"/>
      <c r="AK31" s="141"/>
      <c r="AL31" s="139"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140" t="str">
        <f t="array" ref="AM31">IF(AL31="", "", 
  LET(
    targetRow, IFERROR(MATCH(TRUE, BYROW('PR管理'!$J$4:$T$101, LAMBDA(r, COUNTIF(r, AL31)&gt;0)), 0), 0),
    IF(targetRow=0, "",
      LET(
        startDate, INDEX('PR管理'!$C$4:$C$101, targetRow),
        delLimit, INDEX('PR管理'!$F$4:$F$101, targetRow),
        prID, INDEX('PR管理'!$A$4:$A$101, targetRow),
        IF(AND('26414_編集版 のコピー 2'!AL$1 &gt;= startDate, '26414_編集版 のコピー 2'!AL$1 &lt;= delLimit), 
          IFERROR(VLOOKUP(AL31, '新規'!$E$2:$H142, 4, 0), 
          IFERROR(VLOOKUP(AL31, '特殊配信マスタ'!$E$3:$H142, 4, 0), 
          IFERROR(VLOOKUP(AL31, '自動求人✅'!$C$3:$F142, 4, 0), prID))), 
        "")
      )
    )
  )
)</f>
        <v/>
      </c>
      <c r="AN31" s="141" t="str">
        <f t="shared" si="7"/>
        <v/>
      </c>
      <c r="AO31" s="141"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141"/>
      <c r="AQ31" s="141"/>
    </row>
    <row r="32" ht="17.25" customHeight="1">
      <c r="A32" s="142"/>
      <c r="B32" s="139"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140" t="str">
        <f t="array" ref="C32">IF(B32="", "", 
  LET(
    targetRow, IFERROR(MATCH(TRUE, BYROW('PR管理'!$J$4:$T$101, LAMBDA(r, COUNTIF(r, B32)&gt;0)), 0), 0),
    IF(targetRow=0, "",
      LET(
        startDate, INDEX('PR管理'!$C$4:$C$101, targetRow),
        delLimit, INDEX('PR管理'!$F$4:$F$101, targetRow),
        prID, INDEX('PR管理'!$A$4:$A$101, targetRow),
        IF(AND('26414_編集版 のコピー 2'!B$1 &gt;= startDate, '26414_編集版 のコピー 2'!B$1 &lt;= delLimit), 
          IFERROR(VLOOKUP(B32, '新規'!$E$2:$H142, 4, 0), 
          IFERROR(VLOOKUP(B32, '特殊配信マスタ'!$E$3:$H142, 4, 0), 
          IFERROR(VLOOKUP(B32, '自動求人✅'!$C$3:$F142, 4, 0), prID))), 
        "")
      )
    )
  )
)</f>
        <v/>
      </c>
      <c r="D32" s="141" t="str">
        <f t="shared" si="1"/>
        <v/>
      </c>
      <c r="E32" s="141"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141"/>
      <c r="G32" s="141"/>
      <c r="H32" s="139"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140" t="str">
        <f t="array" ref="I32">IF(H32="", "", 
  LET(
    targetRow, IFERROR(MATCH(TRUE, BYROW('PR管理'!$J$4:$T$101, LAMBDA(r, COUNTIF(r, H32)&gt;0)), 0), 0),
    IF(targetRow=0, "",
      LET(
        startDate, INDEX('PR管理'!$C$4:$C$101, targetRow),
        delLimit, INDEX('PR管理'!$F$4:$F$101, targetRow),
        prID, INDEX('PR管理'!$A$4:$A$101, targetRow),
        IF(AND('26414_編集版 のコピー 2'!H$1 &gt;= startDate, '26414_編集版 のコピー 2'!H$1 &lt;= delLimit), 
          IFERROR(VLOOKUP(H32, '新規'!$E$2:$H142, 4, 0), 
          IFERROR(VLOOKUP(H32, '特殊配信マスタ'!$E$3:$H142, 4, 0), 
          IFERROR(VLOOKUP(H32, '自動求人✅'!$C$3:$F142, 4, 0), prID))), 
        "")
      )
    )
  )
)</f>
        <v/>
      </c>
      <c r="J32" s="141" t="str">
        <f t="shared" si="2"/>
        <v/>
      </c>
      <c r="K32" s="141"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141"/>
      <c r="M32" s="141"/>
      <c r="N32" s="139"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140" t="str">
        <f t="array" ref="O32">IF(N32="", "", 
  LET(
    targetRow, IFERROR(MATCH(TRUE, BYROW('PR管理'!$J$4:$T$101, LAMBDA(r, COUNTIF(r, N32)&gt;0)), 0), 0),
    IF(targetRow=0, "",
      LET(
        startDate, INDEX('PR管理'!$C$4:$C$101, targetRow),
        delLimit, INDEX('PR管理'!$F$4:$F$101, targetRow),
        prID, INDEX('PR管理'!$A$4:$A$101, targetRow),
        IF(AND('26414_編集版 のコピー 2'!N$1 &gt;= startDate, '26414_編集版 のコピー 2'!N$1 &lt;= delLimit), 
          IFERROR(VLOOKUP(N32, '新規'!$E$2:$H142, 4, 0), 
          IFERROR(VLOOKUP(N32, '特殊配信マスタ'!$E$3:$H142, 4, 0), 
          IFERROR(VLOOKUP(N32, '自動求人✅'!$C$3:$F142, 4, 0), prID))), 
        "")
      )
    )
  )
)</f>
        <v/>
      </c>
      <c r="P32" s="141" t="str">
        <f t="shared" si="3"/>
        <v/>
      </c>
      <c r="Q32" s="141"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141"/>
      <c r="S32" s="141"/>
      <c r="T32" s="139"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140" t="str">
        <f t="array" ref="U32">IF(T32="", "", 
  LET(
    targetRow, IFERROR(MATCH(TRUE, BYROW('PR管理'!$J$4:$T$101, LAMBDA(r, COUNTIF(r, T32)&gt;0)), 0), 0),
    IF(targetRow=0, "",
      LET(
        startDate, INDEX('PR管理'!$C$4:$C$101, targetRow),
        delLimit, INDEX('PR管理'!$F$4:$F$101, targetRow),
        prID, INDEX('PR管理'!$A$4:$A$101, targetRow),
        IF(AND('26414_編集版 のコピー 2'!T$1 &gt;= startDate, '26414_編集版 のコピー 2'!T$1 &lt;= delLimit), 
          IFERROR(VLOOKUP(T32, '新規'!$E$2:$H142, 4, 0), 
          IFERROR(VLOOKUP(T32, '特殊配信マスタ'!$E$3:$H142, 4, 0), 
          IFERROR(VLOOKUP(T32, '自動求人✅'!$C$3:$F142, 4, 0), prID))), 
        "")
      )
    )
  )
)</f>
        <v/>
      </c>
      <c r="V32" s="141" t="str">
        <f t="shared" si="4"/>
        <v/>
      </c>
      <c r="W32" s="141"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141"/>
      <c r="Y32" s="141"/>
      <c r="Z32" s="139"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140" t="str">
        <f t="array" ref="AA32">IF(Z32="", "", 
  LET(
    targetRow, IFERROR(MATCH(TRUE, BYROW('PR管理'!$J$4:$T$101, LAMBDA(r, COUNTIF(r, Z32)&gt;0)), 0), 0),
    IF(targetRow=0, "",
      LET(
        startDate, INDEX('PR管理'!$C$4:$C$101, targetRow),
        delLimit, INDEX('PR管理'!$F$4:$F$101, targetRow),
        prID, INDEX('PR管理'!$A$4:$A$101, targetRow),
        IF(AND('26414_編集版 のコピー 2'!Z$1 &gt;= startDate, '26414_編集版 のコピー 2'!Z$1 &lt;= delLimit), 
          IFERROR(VLOOKUP(Z32, '新規'!$E$2:$H142, 4, 0), 
          IFERROR(VLOOKUP(Z32, '特殊配信マスタ'!$E$3:$H142, 4, 0), 
          IFERROR(VLOOKUP(Z32, '自動求人✅'!$C$3:$F142, 4, 0), prID))), 
        "")
      )
    )
  )
)</f>
        <v/>
      </c>
      <c r="AB32" s="141" t="str">
        <f t="shared" si="5"/>
        <v/>
      </c>
      <c r="AC32" s="141"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141"/>
      <c r="AE32" s="141"/>
      <c r="AF32" s="139"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140" t="str">
        <f t="array" ref="AG32">IF(AF32="", "", 
  LET(
    targetRow, IFERROR(MATCH(TRUE, BYROW('PR管理'!$J$4:$T$101, LAMBDA(r, COUNTIF(r, AF32)&gt;0)), 0), 0),
    IF(targetRow=0, "",
      LET(
        startDate, INDEX('PR管理'!$C$4:$C$101, targetRow),
        delLimit, INDEX('PR管理'!$F$4:$F$101, targetRow),
        prID, INDEX('PR管理'!$A$4:$A$101, targetRow),
        IF(AND('26414_編集版 のコピー 2'!AF$1 &gt;= startDate, '26414_編集版 のコピー 2'!AF$1 &lt;= delLimit), 
          IFERROR(VLOOKUP(AF32, '新規'!$E$2:$H142, 4, 0), 
          IFERROR(VLOOKUP(AF32, '特殊配信マスタ'!$E$3:$H142, 4, 0), 
          IFERROR(VLOOKUP(AF32, '自動求人✅'!$C$3:$F142, 4, 0), prID))), 
        "")
      )
    )
  )
)</f>
        <v/>
      </c>
      <c r="AH32" s="141" t="str">
        <f t="shared" si="6"/>
        <v/>
      </c>
      <c r="AI32" s="141"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141"/>
      <c r="AK32" s="141"/>
      <c r="AL32" s="139"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140" t="str">
        <f t="array" ref="AM32">IF(AL32="", "", 
  LET(
    targetRow, IFERROR(MATCH(TRUE, BYROW('PR管理'!$J$4:$T$101, LAMBDA(r, COUNTIF(r, AL32)&gt;0)), 0), 0),
    IF(targetRow=0, "",
      LET(
        startDate, INDEX('PR管理'!$C$4:$C$101, targetRow),
        delLimit, INDEX('PR管理'!$F$4:$F$101, targetRow),
        prID, INDEX('PR管理'!$A$4:$A$101, targetRow),
        IF(AND('26414_編集版 のコピー 2'!AL$1 &gt;= startDate, '26414_編集版 のコピー 2'!AL$1 &lt;= delLimit), 
          IFERROR(VLOOKUP(AL32, '新規'!$E$2:$H142, 4, 0), 
          IFERROR(VLOOKUP(AL32, '特殊配信マスタ'!$E$3:$H142, 4, 0), 
          IFERROR(VLOOKUP(AL32, '自動求人✅'!$C$3:$F142, 4, 0), prID))), 
        "")
      )
    )
  )
)</f>
        <v/>
      </c>
      <c r="AN32" s="141" t="str">
        <f t="shared" si="7"/>
        <v/>
      </c>
      <c r="AO32" s="141"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141"/>
      <c r="AQ32" s="141"/>
    </row>
    <row r="33" ht="17.25" customHeight="1">
      <c r="A33" s="138">
        <f>A23+1</f>
        <v>11</v>
      </c>
      <c r="B33" s="139"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140" t="str">
        <f t="array" ref="C33">IF(B33="", "", 
  LET(
    targetRow, IFERROR(MATCH(TRUE, BYROW('PR管理'!$J$4:$T$101, LAMBDA(r, COUNTIF(r, B33)&gt;0)), 0), 0),
    IF(targetRow=0, "",
      LET(
        startDate, INDEX('PR管理'!$C$4:$C$101, targetRow),
        delLimit, INDEX('PR管理'!$F$4:$F$101, targetRow),
        prID, INDEX('PR管理'!$A$4:$A$101, targetRow),
        IF(AND('26414_編集版 のコピー 2'!B$1 &gt;= startDate, '26414_編集版 のコピー 2'!B$1 &lt;= delLimit), 
          IFERROR(VLOOKUP(B33, '新規'!$E$2:$H142, 4, 0), 
          IFERROR(VLOOKUP(B33, '特殊配信マスタ'!$E$3:$H142, 4, 0), 
          IFERROR(VLOOKUP(B33, '自動求人✅'!$C$3:$F142, 4, 0), prID))), 
        "")
      )
    )
  )
)</f>
        <v/>
      </c>
      <c r="D33" s="141" t="str">
        <f t="shared" si="1"/>
        <v/>
      </c>
      <c r="E33" s="141"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141"/>
      <c r="G33" s="141"/>
      <c r="H33" s="139"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140" t="str">
        <f t="array" ref="I33">IF(H33="", "", 
  LET(
    targetRow, IFERROR(MATCH(TRUE, BYROW('PR管理'!$J$4:$T$101, LAMBDA(r, COUNTIF(r, H33)&gt;0)), 0), 0),
    IF(targetRow=0, "",
      LET(
        startDate, INDEX('PR管理'!$C$4:$C$101, targetRow),
        delLimit, INDEX('PR管理'!$F$4:$F$101, targetRow),
        prID, INDEX('PR管理'!$A$4:$A$101, targetRow),
        IF(AND('26414_編集版 のコピー 2'!H$1 &gt;= startDate, '26414_編集版 のコピー 2'!H$1 &lt;= delLimit), 
          IFERROR(VLOOKUP(H33, '新規'!$E$2:$H142, 4, 0), 
          IFERROR(VLOOKUP(H33, '特殊配信マスタ'!$E$3:$H142, 4, 0), 
          IFERROR(VLOOKUP(H33, '自動求人✅'!$C$3:$F142, 4, 0), prID))), 
        "")
      )
    )
  )
)</f>
        <v/>
      </c>
      <c r="J33" s="141" t="str">
        <f t="shared" si="2"/>
        <v/>
      </c>
      <c r="K33" s="141"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141"/>
      <c r="M33" s="141"/>
      <c r="N33" s="139"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140" t="str">
        <f t="array" ref="O33">IF(N33="", "", 
  LET(
    targetRow, IFERROR(MATCH(TRUE, BYROW('PR管理'!$J$4:$T$101, LAMBDA(r, COUNTIF(r, N33)&gt;0)), 0), 0),
    IF(targetRow=0, "",
      LET(
        startDate, INDEX('PR管理'!$C$4:$C$101, targetRow),
        delLimit, INDEX('PR管理'!$F$4:$F$101, targetRow),
        prID, INDEX('PR管理'!$A$4:$A$101, targetRow),
        IF(AND('26414_編集版 のコピー 2'!N$1 &gt;= startDate, '26414_編集版 のコピー 2'!N$1 &lt;= delLimit), 
          IFERROR(VLOOKUP(N33, '新規'!$E$2:$H142, 4, 0), 
          IFERROR(VLOOKUP(N33, '特殊配信マスタ'!$E$3:$H142, 4, 0), 
          IFERROR(VLOOKUP(N33, '自動求人✅'!$C$3:$F142, 4, 0), prID))), 
        "")
      )
    )
  )
)</f>
        <v/>
      </c>
      <c r="P33" s="141" t="str">
        <f t="shared" si="3"/>
        <v/>
      </c>
      <c r="Q33" s="141"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141"/>
      <c r="S33" s="141"/>
      <c r="T33" s="139"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140" t="str">
        <f t="array" ref="U33">IF(T33="", "", 
  LET(
    targetRow, IFERROR(MATCH(TRUE, BYROW('PR管理'!$J$4:$T$101, LAMBDA(r, COUNTIF(r, T33)&gt;0)), 0), 0),
    IF(targetRow=0, "",
      LET(
        startDate, INDEX('PR管理'!$C$4:$C$101, targetRow),
        delLimit, INDEX('PR管理'!$F$4:$F$101, targetRow),
        prID, INDEX('PR管理'!$A$4:$A$101, targetRow),
        IF(AND('26414_編集版 のコピー 2'!T$1 &gt;= startDate, '26414_編集版 のコピー 2'!T$1 &lt;= delLimit), 
          IFERROR(VLOOKUP(T33, '新規'!$E$2:$H142, 4, 0), 
          IFERROR(VLOOKUP(T33, '特殊配信マスタ'!$E$3:$H142, 4, 0), 
          IFERROR(VLOOKUP(T33, '自動求人✅'!$C$3:$F142, 4, 0), prID))), 
        "")
      )
    )
  )
)</f>
        <v/>
      </c>
      <c r="V33" s="141" t="str">
        <f t="shared" si="4"/>
        <v/>
      </c>
      <c r="W33" s="141"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141"/>
      <c r="Y33" s="141"/>
      <c r="Z33" s="139"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140" t="str">
        <f t="array" ref="AA33">IF(Z33="", "", 
  LET(
    targetRow, IFERROR(MATCH(TRUE, BYROW('PR管理'!$J$4:$T$101, LAMBDA(r, COUNTIF(r, Z33)&gt;0)), 0), 0),
    IF(targetRow=0, "",
      LET(
        startDate, INDEX('PR管理'!$C$4:$C$101, targetRow),
        delLimit, INDEX('PR管理'!$F$4:$F$101, targetRow),
        prID, INDEX('PR管理'!$A$4:$A$101, targetRow),
        IF(AND('26414_編集版 のコピー 2'!Z$1 &gt;= startDate, '26414_編集版 のコピー 2'!Z$1 &lt;= delLimit), 
          IFERROR(VLOOKUP(Z33, '新規'!$E$2:$H142, 4, 0), 
          IFERROR(VLOOKUP(Z33, '特殊配信マスタ'!$E$3:$H142, 4, 0), 
          IFERROR(VLOOKUP(Z33, '自動求人✅'!$C$3:$F142, 4, 0), prID))), 
        "")
      )
    )
  )
)</f>
        <v/>
      </c>
      <c r="AB33" s="141" t="str">
        <f t="shared" si="5"/>
        <v/>
      </c>
      <c r="AC33" s="141"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141"/>
      <c r="AE33" s="141"/>
      <c r="AF33" s="139"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140" t="str">
        <f t="array" ref="AG33">IF(AF33="", "", 
  LET(
    targetRow, IFERROR(MATCH(TRUE, BYROW('PR管理'!$J$4:$T$101, LAMBDA(r, COUNTIF(r, AF33)&gt;0)), 0), 0),
    IF(targetRow=0, "",
      LET(
        startDate, INDEX('PR管理'!$C$4:$C$101, targetRow),
        delLimit, INDEX('PR管理'!$F$4:$F$101, targetRow),
        prID, INDEX('PR管理'!$A$4:$A$101, targetRow),
        IF(AND('26414_編集版 のコピー 2'!AF$1 &gt;= startDate, '26414_編集版 のコピー 2'!AF$1 &lt;= delLimit), 
          IFERROR(VLOOKUP(AF33, '新規'!$E$2:$H142, 4, 0), 
          IFERROR(VLOOKUP(AF33, '特殊配信マスタ'!$E$3:$H142, 4, 0), 
          IFERROR(VLOOKUP(AF33, '自動求人✅'!$C$3:$F142, 4, 0), prID))), 
        "")
      )
    )
  )
)</f>
        <v/>
      </c>
      <c r="AH33" s="141" t="str">
        <f t="shared" si="6"/>
        <v/>
      </c>
      <c r="AI33" s="141"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141"/>
      <c r="AK33" s="141"/>
      <c r="AL33" s="139"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140" t="str">
        <f t="array" ref="AM33">IF(AL33="", "", 
  LET(
    targetRow, IFERROR(MATCH(TRUE, BYROW('PR管理'!$J$4:$T$101, LAMBDA(r, COUNTIF(r, AL33)&gt;0)), 0), 0),
    IF(targetRow=0, "",
      LET(
        startDate, INDEX('PR管理'!$C$4:$C$101, targetRow),
        delLimit, INDEX('PR管理'!$F$4:$F$101, targetRow),
        prID, INDEX('PR管理'!$A$4:$A$101, targetRow),
        IF(AND('26414_編集版 のコピー 2'!AL$1 &gt;= startDate, '26414_編集版 のコピー 2'!AL$1 &lt;= delLimit), 
          IFERROR(VLOOKUP(AL33, '新規'!$E$2:$H142, 4, 0), 
          IFERROR(VLOOKUP(AL33, '特殊配信マスタ'!$E$3:$H142, 4, 0), 
          IFERROR(VLOOKUP(AL33, '自動求人✅'!$C$3:$F142, 4, 0), prID))), 
        "")
      )
    )
  )
)</f>
        <v/>
      </c>
      <c r="AN33" s="141" t="str">
        <f t="shared" si="7"/>
        <v/>
      </c>
      <c r="AO33" s="141"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141"/>
      <c r="AQ33" s="141"/>
    </row>
    <row r="34" ht="17.25" customHeight="1">
      <c r="A34" s="142"/>
      <c r="B34" s="139"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140" t="str">
        <f t="array" ref="C34">IF(B34="", "", 
  LET(
    targetRow, IFERROR(MATCH(TRUE, BYROW('PR管理'!$J$4:$T$101, LAMBDA(r, COUNTIF(r, B34)&gt;0)), 0), 0),
    IF(targetRow=0, "",
      LET(
        startDate, INDEX('PR管理'!$C$4:$C$101, targetRow),
        delLimit, INDEX('PR管理'!$F$4:$F$101, targetRow),
        prID, INDEX('PR管理'!$A$4:$A$101, targetRow),
        IF(AND('26414_編集版 のコピー 2'!B$1 &gt;= startDate, '26414_編集版 のコピー 2'!B$1 &lt;= delLimit), 
          IFERROR(VLOOKUP(B34, '新規'!$E$2:$H142, 4, 0), 
          IFERROR(VLOOKUP(B34, '特殊配信マスタ'!$E$3:$H142, 4, 0), 
          IFERROR(VLOOKUP(B34, '自動求人✅'!$C$3:$F142, 4, 0), prID))), 
        "")
      )
    )
  )
)</f>
        <v/>
      </c>
      <c r="D34" s="141" t="str">
        <f t="shared" si="1"/>
        <v/>
      </c>
      <c r="E34" s="141"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141"/>
      <c r="G34" s="141"/>
      <c r="H34" s="139"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140" t="str">
        <f t="array" ref="I34">IF(H34="", "", 
  LET(
    targetRow, IFERROR(MATCH(TRUE, BYROW('PR管理'!$J$4:$T$101, LAMBDA(r, COUNTIF(r, H34)&gt;0)), 0), 0),
    IF(targetRow=0, "",
      LET(
        startDate, INDEX('PR管理'!$C$4:$C$101, targetRow),
        delLimit, INDEX('PR管理'!$F$4:$F$101, targetRow),
        prID, INDEX('PR管理'!$A$4:$A$101, targetRow),
        IF(AND('26414_編集版 のコピー 2'!H$1 &gt;= startDate, '26414_編集版 のコピー 2'!H$1 &lt;= delLimit), 
          IFERROR(VLOOKUP(H34, '新規'!$E$2:$H142, 4, 0), 
          IFERROR(VLOOKUP(H34, '特殊配信マスタ'!$E$3:$H142, 4, 0), 
          IFERROR(VLOOKUP(H34, '自動求人✅'!$C$3:$F142, 4, 0), prID))), 
        "")
      )
    )
  )
)</f>
        <v/>
      </c>
      <c r="J34" s="141" t="str">
        <f t="shared" si="2"/>
        <v/>
      </c>
      <c r="K34" s="141"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141"/>
      <c r="M34" s="141"/>
      <c r="N34" s="139"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140" t="str">
        <f t="array" ref="O34">IF(N34="", "", 
  LET(
    targetRow, IFERROR(MATCH(TRUE, BYROW('PR管理'!$J$4:$T$101, LAMBDA(r, COUNTIF(r, N34)&gt;0)), 0), 0),
    IF(targetRow=0, "",
      LET(
        startDate, INDEX('PR管理'!$C$4:$C$101, targetRow),
        delLimit, INDEX('PR管理'!$F$4:$F$101, targetRow),
        prID, INDEX('PR管理'!$A$4:$A$101, targetRow),
        IF(AND('26414_編集版 のコピー 2'!N$1 &gt;= startDate, '26414_編集版 のコピー 2'!N$1 &lt;= delLimit), 
          IFERROR(VLOOKUP(N34, '新規'!$E$2:$H142, 4, 0), 
          IFERROR(VLOOKUP(N34, '特殊配信マスタ'!$E$3:$H142, 4, 0), 
          IFERROR(VLOOKUP(N34, '自動求人✅'!$C$3:$F142, 4, 0), prID))), 
        "")
      )
    )
  )
)</f>
        <v/>
      </c>
      <c r="P34" s="141" t="str">
        <f t="shared" si="3"/>
        <v/>
      </c>
      <c r="Q34" s="141"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141"/>
      <c r="S34" s="141"/>
      <c r="T34" s="139"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140" t="str">
        <f t="array" ref="U34">IF(T34="", "", 
  LET(
    targetRow, IFERROR(MATCH(TRUE, BYROW('PR管理'!$J$4:$T$101, LAMBDA(r, COUNTIF(r, T34)&gt;0)), 0), 0),
    IF(targetRow=0, "",
      LET(
        startDate, INDEX('PR管理'!$C$4:$C$101, targetRow),
        delLimit, INDEX('PR管理'!$F$4:$F$101, targetRow),
        prID, INDEX('PR管理'!$A$4:$A$101, targetRow),
        IF(AND('26414_編集版 のコピー 2'!T$1 &gt;= startDate, '26414_編集版 のコピー 2'!T$1 &lt;= delLimit), 
          IFERROR(VLOOKUP(T34, '新規'!$E$2:$H142, 4, 0), 
          IFERROR(VLOOKUP(T34, '特殊配信マスタ'!$E$3:$H142, 4, 0), 
          IFERROR(VLOOKUP(T34, '自動求人✅'!$C$3:$F142, 4, 0), prID))), 
        "")
      )
    )
  )
)</f>
        <v/>
      </c>
      <c r="V34" s="141" t="str">
        <f t="shared" si="4"/>
        <v/>
      </c>
      <c r="W34" s="141"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141"/>
      <c r="Y34" s="141"/>
      <c r="Z34" s="139"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140" t="str">
        <f t="array" ref="AA34">IF(Z34="", "", 
  LET(
    targetRow, IFERROR(MATCH(TRUE, BYROW('PR管理'!$J$4:$T$101, LAMBDA(r, COUNTIF(r, Z34)&gt;0)), 0), 0),
    IF(targetRow=0, "",
      LET(
        startDate, INDEX('PR管理'!$C$4:$C$101, targetRow),
        delLimit, INDEX('PR管理'!$F$4:$F$101, targetRow),
        prID, INDEX('PR管理'!$A$4:$A$101, targetRow),
        IF(AND('26414_編集版 のコピー 2'!Z$1 &gt;= startDate, '26414_編集版 のコピー 2'!Z$1 &lt;= delLimit), 
          IFERROR(VLOOKUP(Z34, '新規'!$E$2:$H142, 4, 0), 
          IFERROR(VLOOKUP(Z34, '特殊配信マスタ'!$E$3:$H142, 4, 0), 
          IFERROR(VLOOKUP(Z34, '自動求人✅'!$C$3:$F142, 4, 0), prID))), 
        "")
      )
    )
  )
)</f>
        <v/>
      </c>
      <c r="AB34" s="141" t="str">
        <f t="shared" si="5"/>
        <v/>
      </c>
      <c r="AC34" s="141"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141"/>
      <c r="AE34" s="141"/>
      <c r="AF34" s="139"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140" t="str">
        <f t="array" ref="AG34">IF(AF34="", "", 
  LET(
    targetRow, IFERROR(MATCH(TRUE, BYROW('PR管理'!$J$4:$T$101, LAMBDA(r, COUNTIF(r, AF34)&gt;0)), 0), 0),
    IF(targetRow=0, "",
      LET(
        startDate, INDEX('PR管理'!$C$4:$C$101, targetRow),
        delLimit, INDEX('PR管理'!$F$4:$F$101, targetRow),
        prID, INDEX('PR管理'!$A$4:$A$101, targetRow),
        IF(AND('26414_編集版 のコピー 2'!AF$1 &gt;= startDate, '26414_編集版 のコピー 2'!AF$1 &lt;= delLimit), 
          IFERROR(VLOOKUP(AF34, '新規'!$E$2:$H142, 4, 0), 
          IFERROR(VLOOKUP(AF34, '特殊配信マスタ'!$E$3:$H142, 4, 0), 
          IFERROR(VLOOKUP(AF34, '自動求人✅'!$C$3:$F142, 4, 0), prID))), 
        "")
      )
    )
  )
)</f>
        <v/>
      </c>
      <c r="AH34" s="141" t="str">
        <f t="shared" si="6"/>
        <v/>
      </c>
      <c r="AI34" s="141"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141"/>
      <c r="AK34" s="141"/>
      <c r="AL34" s="139"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140" t="str">
        <f t="array" ref="AM34">IF(AL34="", "", 
  LET(
    targetRow, IFERROR(MATCH(TRUE, BYROW('PR管理'!$J$4:$T$101, LAMBDA(r, COUNTIF(r, AL34)&gt;0)), 0), 0),
    IF(targetRow=0, "",
      LET(
        startDate, INDEX('PR管理'!$C$4:$C$101, targetRow),
        delLimit, INDEX('PR管理'!$F$4:$F$101, targetRow),
        prID, INDEX('PR管理'!$A$4:$A$101, targetRow),
        IF(AND('26414_編集版 のコピー 2'!AL$1 &gt;= startDate, '26414_編集版 のコピー 2'!AL$1 &lt;= delLimit), 
          IFERROR(VLOOKUP(AL34, '新規'!$E$2:$H142, 4, 0), 
          IFERROR(VLOOKUP(AL34, '特殊配信マスタ'!$E$3:$H142, 4, 0), 
          IFERROR(VLOOKUP(AL34, '自動求人✅'!$C$3:$F142, 4, 0), prID))), 
        "")
      )
    )
  )
)</f>
        <v/>
      </c>
      <c r="AN34" s="141" t="str">
        <f t="shared" si="7"/>
        <v/>
      </c>
      <c r="AO34" s="141"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141"/>
      <c r="AQ34" s="141"/>
    </row>
    <row r="35" ht="17.25" customHeight="1">
      <c r="A35" s="142"/>
      <c r="B35" s="139"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140" t="str">
        <f t="array" ref="C35">IF(B35="", "", 
  LET(
    targetRow, IFERROR(MATCH(TRUE, BYROW('PR管理'!$J$4:$T$101, LAMBDA(r, COUNTIF(r, B35)&gt;0)), 0), 0),
    IF(targetRow=0, "",
      LET(
        startDate, INDEX('PR管理'!$C$4:$C$101, targetRow),
        delLimit, INDEX('PR管理'!$F$4:$F$101, targetRow),
        prID, INDEX('PR管理'!$A$4:$A$101, targetRow),
        IF(AND('26414_編集版 のコピー 2'!B$1 &gt;= startDate, '26414_編集版 のコピー 2'!B$1 &lt;= delLimit), 
          IFERROR(VLOOKUP(B35, '新規'!$E$2:$H142, 4, 0), 
          IFERROR(VLOOKUP(B35, '特殊配信マスタ'!$E$3:$H142, 4, 0), 
          IFERROR(VLOOKUP(B35, '自動求人✅'!$C$3:$F142, 4, 0), prID))), 
        "")
      )
    )
  )
)</f>
        <v/>
      </c>
      <c r="D35" s="141" t="str">
        <f t="shared" si="1"/>
        <v/>
      </c>
      <c r="E35" s="141"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141"/>
      <c r="G35" s="141"/>
      <c r="H35" s="139"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140" t="str">
        <f t="array" ref="I35">IF(H35="", "", 
  LET(
    targetRow, IFERROR(MATCH(TRUE, BYROW('PR管理'!$J$4:$T$101, LAMBDA(r, COUNTIF(r, H35)&gt;0)), 0), 0),
    IF(targetRow=0, "",
      LET(
        startDate, INDEX('PR管理'!$C$4:$C$101, targetRow),
        delLimit, INDEX('PR管理'!$F$4:$F$101, targetRow),
        prID, INDEX('PR管理'!$A$4:$A$101, targetRow),
        IF(AND('26414_編集版 のコピー 2'!H$1 &gt;= startDate, '26414_編集版 のコピー 2'!H$1 &lt;= delLimit), 
          IFERROR(VLOOKUP(H35, '新規'!$E$2:$H142, 4, 0), 
          IFERROR(VLOOKUP(H35, '特殊配信マスタ'!$E$3:$H142, 4, 0), 
          IFERROR(VLOOKUP(H35, '自動求人✅'!$C$3:$F142, 4, 0), prID))), 
        "")
      )
    )
  )
)</f>
        <v/>
      </c>
      <c r="J35" s="141" t="str">
        <f t="shared" si="2"/>
        <v/>
      </c>
      <c r="K35" s="141"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141"/>
      <c r="M35" s="141"/>
      <c r="N35" s="139"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140" t="str">
        <f t="array" ref="O35">IF(N35="", "", 
  LET(
    targetRow, IFERROR(MATCH(TRUE, BYROW('PR管理'!$J$4:$T$101, LAMBDA(r, COUNTIF(r, N35)&gt;0)), 0), 0),
    IF(targetRow=0, "",
      LET(
        startDate, INDEX('PR管理'!$C$4:$C$101, targetRow),
        delLimit, INDEX('PR管理'!$F$4:$F$101, targetRow),
        prID, INDEX('PR管理'!$A$4:$A$101, targetRow),
        IF(AND('26414_編集版 のコピー 2'!N$1 &gt;= startDate, '26414_編集版 のコピー 2'!N$1 &lt;= delLimit), 
          IFERROR(VLOOKUP(N35, '新規'!$E$2:$H142, 4, 0), 
          IFERROR(VLOOKUP(N35, '特殊配信マスタ'!$E$3:$H142, 4, 0), 
          IFERROR(VLOOKUP(N35, '自動求人✅'!$C$3:$F142, 4, 0), prID))), 
        "")
      )
    )
  )
)</f>
        <v/>
      </c>
      <c r="P35" s="141" t="str">
        <f t="shared" si="3"/>
        <v/>
      </c>
      <c r="Q35" s="141"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141"/>
      <c r="S35" s="141"/>
      <c r="T35" s="139"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140" t="str">
        <f t="array" ref="U35">IF(T35="", "", 
  LET(
    targetRow, IFERROR(MATCH(TRUE, BYROW('PR管理'!$J$4:$T$101, LAMBDA(r, COUNTIF(r, T35)&gt;0)), 0), 0),
    IF(targetRow=0, "",
      LET(
        startDate, INDEX('PR管理'!$C$4:$C$101, targetRow),
        delLimit, INDEX('PR管理'!$F$4:$F$101, targetRow),
        prID, INDEX('PR管理'!$A$4:$A$101, targetRow),
        IF(AND('26414_編集版 のコピー 2'!T$1 &gt;= startDate, '26414_編集版 のコピー 2'!T$1 &lt;= delLimit), 
          IFERROR(VLOOKUP(T35, '新規'!$E$2:$H142, 4, 0), 
          IFERROR(VLOOKUP(T35, '特殊配信マスタ'!$E$3:$H142, 4, 0), 
          IFERROR(VLOOKUP(T35, '自動求人✅'!$C$3:$F142, 4, 0), prID))), 
        "")
      )
    )
  )
)</f>
        <v/>
      </c>
      <c r="V35" s="141" t="str">
        <f t="shared" si="4"/>
        <v/>
      </c>
      <c r="W35" s="141"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141"/>
      <c r="Y35" s="141"/>
      <c r="Z35" s="139"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140" t="str">
        <f t="array" ref="AA35">IF(Z35="", "", 
  LET(
    targetRow, IFERROR(MATCH(TRUE, BYROW('PR管理'!$J$4:$T$101, LAMBDA(r, COUNTIF(r, Z35)&gt;0)), 0), 0),
    IF(targetRow=0, "",
      LET(
        startDate, INDEX('PR管理'!$C$4:$C$101, targetRow),
        delLimit, INDEX('PR管理'!$F$4:$F$101, targetRow),
        prID, INDEX('PR管理'!$A$4:$A$101, targetRow),
        IF(AND('26414_編集版 のコピー 2'!Z$1 &gt;= startDate, '26414_編集版 のコピー 2'!Z$1 &lt;= delLimit), 
          IFERROR(VLOOKUP(Z35, '新規'!$E$2:$H142, 4, 0), 
          IFERROR(VLOOKUP(Z35, '特殊配信マスタ'!$E$3:$H142, 4, 0), 
          IFERROR(VLOOKUP(Z35, '自動求人✅'!$C$3:$F142, 4, 0), prID))), 
        "")
      )
    )
  )
)</f>
        <v/>
      </c>
      <c r="AB35" s="141" t="str">
        <f t="shared" si="5"/>
        <v/>
      </c>
      <c r="AC35" s="141"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141"/>
      <c r="AE35" s="141"/>
      <c r="AF35" s="139"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140" t="str">
        <f t="array" ref="AG35">IF(AF35="", "", 
  LET(
    targetRow, IFERROR(MATCH(TRUE, BYROW('PR管理'!$J$4:$T$101, LAMBDA(r, COUNTIF(r, AF35)&gt;0)), 0), 0),
    IF(targetRow=0, "",
      LET(
        startDate, INDEX('PR管理'!$C$4:$C$101, targetRow),
        delLimit, INDEX('PR管理'!$F$4:$F$101, targetRow),
        prID, INDEX('PR管理'!$A$4:$A$101, targetRow),
        IF(AND('26414_編集版 のコピー 2'!AF$1 &gt;= startDate, '26414_編集版 のコピー 2'!AF$1 &lt;= delLimit), 
          IFERROR(VLOOKUP(AF35, '新規'!$E$2:$H142, 4, 0), 
          IFERROR(VLOOKUP(AF35, '特殊配信マスタ'!$E$3:$H142, 4, 0), 
          IFERROR(VLOOKUP(AF35, '自動求人✅'!$C$3:$F142, 4, 0), prID))), 
        "")
      )
    )
  )
)</f>
        <v/>
      </c>
      <c r="AH35" s="141" t="str">
        <f t="shared" si="6"/>
        <v/>
      </c>
      <c r="AI35" s="141"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141"/>
      <c r="AK35" s="141"/>
      <c r="AL35" s="139"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140" t="str">
        <f t="array" ref="AM35">IF(AL35="", "", 
  LET(
    targetRow, IFERROR(MATCH(TRUE, BYROW('PR管理'!$J$4:$T$101, LAMBDA(r, COUNTIF(r, AL35)&gt;0)), 0), 0),
    IF(targetRow=0, "",
      LET(
        startDate, INDEX('PR管理'!$C$4:$C$101, targetRow),
        delLimit, INDEX('PR管理'!$F$4:$F$101, targetRow),
        prID, INDEX('PR管理'!$A$4:$A$101, targetRow),
        IF(AND('26414_編集版 のコピー 2'!AL$1 &gt;= startDate, '26414_編集版 のコピー 2'!AL$1 &lt;= delLimit), 
          IFERROR(VLOOKUP(AL35, '新規'!$E$2:$H142, 4, 0), 
          IFERROR(VLOOKUP(AL35, '特殊配信マスタ'!$E$3:$H142, 4, 0), 
          IFERROR(VLOOKUP(AL35, '自動求人✅'!$C$3:$F142, 4, 0), prID))), 
        "")
      )
    )
  )
)</f>
        <v/>
      </c>
      <c r="AN35" s="141" t="str">
        <f t="shared" si="7"/>
        <v/>
      </c>
      <c r="AO35" s="141"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141"/>
      <c r="AQ35" s="141"/>
    </row>
    <row r="36" ht="17.25" customHeight="1">
      <c r="A36" s="142"/>
      <c r="B36" s="139"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140" t="str">
        <f t="array" ref="C36">IF(B36="", "", 
  LET(
    targetRow, IFERROR(MATCH(TRUE, BYROW('PR管理'!$J$4:$T$101, LAMBDA(r, COUNTIF(r, B36)&gt;0)), 0), 0),
    IF(targetRow=0, "",
      LET(
        startDate, INDEX('PR管理'!$C$4:$C$101, targetRow),
        delLimit, INDEX('PR管理'!$F$4:$F$101, targetRow),
        prID, INDEX('PR管理'!$A$4:$A$101, targetRow),
        IF(AND('26414_編集版 のコピー 2'!B$1 &gt;= startDate, '26414_編集版 のコピー 2'!B$1 &lt;= delLimit), 
          IFERROR(VLOOKUP(B36, '新規'!$E$2:$H142, 4, 0), 
          IFERROR(VLOOKUP(B36, '特殊配信マスタ'!$E$3:$H142, 4, 0), 
          IFERROR(VLOOKUP(B36, '自動求人✅'!$C$3:$F142, 4, 0), prID))), 
        "")
      )
    )
  )
)</f>
        <v/>
      </c>
      <c r="D36" s="141" t="str">
        <f t="shared" si="1"/>
        <v/>
      </c>
      <c r="E36" s="141"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141"/>
      <c r="G36" s="141"/>
      <c r="H36" s="139"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140" t="str">
        <f t="array" ref="I36">IF(H36="", "", 
  LET(
    targetRow, IFERROR(MATCH(TRUE, BYROW('PR管理'!$J$4:$T$101, LAMBDA(r, COUNTIF(r, H36)&gt;0)), 0), 0),
    IF(targetRow=0, "",
      LET(
        startDate, INDEX('PR管理'!$C$4:$C$101, targetRow),
        delLimit, INDEX('PR管理'!$F$4:$F$101, targetRow),
        prID, INDEX('PR管理'!$A$4:$A$101, targetRow),
        IF(AND('26414_編集版 のコピー 2'!H$1 &gt;= startDate, '26414_編集版 のコピー 2'!H$1 &lt;= delLimit), 
          IFERROR(VLOOKUP(H36, '新規'!$E$2:$H142, 4, 0), 
          IFERROR(VLOOKUP(H36, '特殊配信マスタ'!$E$3:$H142, 4, 0), 
          IFERROR(VLOOKUP(H36, '自動求人✅'!$C$3:$F142, 4, 0), prID))), 
        "")
      )
    )
  )
)</f>
        <v/>
      </c>
      <c r="J36" s="141" t="str">
        <f t="shared" si="2"/>
        <v/>
      </c>
      <c r="K36" s="141"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141"/>
      <c r="M36" s="141"/>
      <c r="N36" s="139"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140" t="str">
        <f t="array" ref="O36">IF(N36="", "", 
  LET(
    targetRow, IFERROR(MATCH(TRUE, BYROW('PR管理'!$J$4:$T$101, LAMBDA(r, COUNTIF(r, N36)&gt;0)), 0), 0),
    IF(targetRow=0, "",
      LET(
        startDate, INDEX('PR管理'!$C$4:$C$101, targetRow),
        delLimit, INDEX('PR管理'!$F$4:$F$101, targetRow),
        prID, INDEX('PR管理'!$A$4:$A$101, targetRow),
        IF(AND('26414_編集版 のコピー 2'!N$1 &gt;= startDate, '26414_編集版 のコピー 2'!N$1 &lt;= delLimit), 
          IFERROR(VLOOKUP(N36, '新規'!$E$2:$H142, 4, 0), 
          IFERROR(VLOOKUP(N36, '特殊配信マスタ'!$E$3:$H142, 4, 0), 
          IFERROR(VLOOKUP(N36, '自動求人✅'!$C$3:$F142, 4, 0), prID))), 
        "")
      )
    )
  )
)</f>
        <v/>
      </c>
      <c r="P36" s="141" t="str">
        <f t="shared" si="3"/>
        <v/>
      </c>
      <c r="Q36" s="141"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141"/>
      <c r="S36" s="141"/>
      <c r="T36" s="139"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140" t="str">
        <f t="array" ref="U36">IF(T36="", "", 
  LET(
    targetRow, IFERROR(MATCH(TRUE, BYROW('PR管理'!$J$4:$T$101, LAMBDA(r, COUNTIF(r, T36)&gt;0)), 0), 0),
    IF(targetRow=0, "",
      LET(
        startDate, INDEX('PR管理'!$C$4:$C$101, targetRow),
        delLimit, INDEX('PR管理'!$F$4:$F$101, targetRow),
        prID, INDEX('PR管理'!$A$4:$A$101, targetRow),
        IF(AND('26414_編集版 のコピー 2'!T$1 &gt;= startDate, '26414_編集版 のコピー 2'!T$1 &lt;= delLimit), 
          IFERROR(VLOOKUP(T36, '新規'!$E$2:$H142, 4, 0), 
          IFERROR(VLOOKUP(T36, '特殊配信マスタ'!$E$3:$H142, 4, 0), 
          IFERROR(VLOOKUP(T36, '自動求人✅'!$C$3:$F142, 4, 0), prID))), 
        "")
      )
    )
  )
)</f>
        <v/>
      </c>
      <c r="V36" s="141" t="str">
        <f t="shared" si="4"/>
        <v/>
      </c>
      <c r="W36" s="141"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141"/>
      <c r="Y36" s="141"/>
      <c r="Z36" s="139"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140" t="str">
        <f t="array" ref="AA36">IF(Z36="", "", 
  LET(
    targetRow, IFERROR(MATCH(TRUE, BYROW('PR管理'!$J$4:$T$101, LAMBDA(r, COUNTIF(r, Z36)&gt;0)), 0), 0),
    IF(targetRow=0, "",
      LET(
        startDate, INDEX('PR管理'!$C$4:$C$101, targetRow),
        delLimit, INDEX('PR管理'!$F$4:$F$101, targetRow),
        prID, INDEX('PR管理'!$A$4:$A$101, targetRow),
        IF(AND('26414_編集版 のコピー 2'!Z$1 &gt;= startDate, '26414_編集版 のコピー 2'!Z$1 &lt;= delLimit), 
          IFERROR(VLOOKUP(Z36, '新規'!$E$2:$H142, 4, 0), 
          IFERROR(VLOOKUP(Z36, '特殊配信マスタ'!$E$3:$H142, 4, 0), 
          IFERROR(VLOOKUP(Z36, '自動求人✅'!$C$3:$F142, 4, 0), prID))), 
        "")
      )
    )
  )
)</f>
        <v/>
      </c>
      <c r="AB36" s="141" t="str">
        <f t="shared" si="5"/>
        <v/>
      </c>
      <c r="AC36" s="141"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141"/>
      <c r="AE36" s="141"/>
      <c r="AF36" s="139"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140" t="str">
        <f t="array" ref="AG36">IF(AF36="", "", 
  LET(
    targetRow, IFERROR(MATCH(TRUE, BYROW('PR管理'!$J$4:$T$101, LAMBDA(r, COUNTIF(r, AF36)&gt;0)), 0), 0),
    IF(targetRow=0, "",
      LET(
        startDate, INDEX('PR管理'!$C$4:$C$101, targetRow),
        delLimit, INDEX('PR管理'!$F$4:$F$101, targetRow),
        prID, INDEX('PR管理'!$A$4:$A$101, targetRow),
        IF(AND('26414_編集版 のコピー 2'!AF$1 &gt;= startDate, '26414_編集版 のコピー 2'!AF$1 &lt;= delLimit), 
          IFERROR(VLOOKUP(AF36, '新規'!$E$2:$H142, 4, 0), 
          IFERROR(VLOOKUP(AF36, '特殊配信マスタ'!$E$3:$H142, 4, 0), 
          IFERROR(VLOOKUP(AF36, '自動求人✅'!$C$3:$F142, 4, 0), prID))), 
        "")
      )
    )
  )
)</f>
        <v/>
      </c>
      <c r="AH36" s="141" t="str">
        <f t="shared" si="6"/>
        <v/>
      </c>
      <c r="AI36" s="141"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141"/>
      <c r="AK36" s="141"/>
      <c r="AL36" s="139"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140" t="str">
        <f t="array" ref="AM36">IF(AL36="", "", 
  LET(
    targetRow, IFERROR(MATCH(TRUE, BYROW('PR管理'!$J$4:$T$101, LAMBDA(r, COUNTIF(r, AL36)&gt;0)), 0), 0),
    IF(targetRow=0, "",
      LET(
        startDate, INDEX('PR管理'!$C$4:$C$101, targetRow),
        delLimit, INDEX('PR管理'!$F$4:$F$101, targetRow),
        prID, INDEX('PR管理'!$A$4:$A$101, targetRow),
        IF(AND('26414_編集版 のコピー 2'!AL$1 &gt;= startDate, '26414_編集版 のコピー 2'!AL$1 &lt;= delLimit), 
          IFERROR(VLOOKUP(AL36, '新規'!$E$2:$H142, 4, 0), 
          IFERROR(VLOOKUP(AL36, '特殊配信マスタ'!$E$3:$H142, 4, 0), 
          IFERROR(VLOOKUP(AL36, '自動求人✅'!$C$3:$F142, 4, 0), prID))), 
        "")
      )
    )
  )
)</f>
        <v/>
      </c>
      <c r="AN36" s="141" t="str">
        <f t="shared" si="7"/>
        <v/>
      </c>
      <c r="AO36" s="141"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141"/>
      <c r="AQ36" s="141"/>
    </row>
    <row r="37" ht="17.25" customHeight="1">
      <c r="A37" s="142"/>
      <c r="B37" s="139"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140" t="str">
        <f t="array" ref="C37">IF(B37="", "", 
  LET(
    targetRow, IFERROR(MATCH(TRUE, BYROW('PR管理'!$J$4:$T$101, LAMBDA(r, COUNTIF(r, B37)&gt;0)), 0), 0),
    IF(targetRow=0, "",
      LET(
        startDate, INDEX('PR管理'!$C$4:$C$101, targetRow),
        delLimit, INDEX('PR管理'!$F$4:$F$101, targetRow),
        prID, INDEX('PR管理'!$A$4:$A$101, targetRow),
        IF(AND('26414_編集版 のコピー 2'!B$1 &gt;= startDate, '26414_編集版 のコピー 2'!B$1 &lt;= delLimit), 
          IFERROR(VLOOKUP(B37, '新規'!$E$2:$H142, 4, 0), 
          IFERROR(VLOOKUP(B37, '特殊配信マスタ'!$E$3:$H142, 4, 0), 
          IFERROR(VLOOKUP(B37, '自動求人✅'!$C$3:$F142, 4, 0), prID))), 
        "")
      )
    )
  )
)</f>
        <v/>
      </c>
      <c r="D37" s="141" t="str">
        <f t="shared" si="1"/>
        <v/>
      </c>
      <c r="E37" s="141"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141"/>
      <c r="G37" s="141"/>
      <c r="H37" s="139"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140" t="str">
        <f t="array" ref="I37">IF(H37="", "", 
  LET(
    targetRow, IFERROR(MATCH(TRUE, BYROW('PR管理'!$J$4:$T$101, LAMBDA(r, COUNTIF(r, H37)&gt;0)), 0), 0),
    IF(targetRow=0, "",
      LET(
        startDate, INDEX('PR管理'!$C$4:$C$101, targetRow),
        delLimit, INDEX('PR管理'!$F$4:$F$101, targetRow),
        prID, INDEX('PR管理'!$A$4:$A$101, targetRow),
        IF(AND('26414_編集版 のコピー 2'!H$1 &gt;= startDate, '26414_編集版 のコピー 2'!H$1 &lt;= delLimit), 
          IFERROR(VLOOKUP(H37, '新規'!$E$2:$H142, 4, 0), 
          IFERROR(VLOOKUP(H37, '特殊配信マスタ'!$E$3:$H142, 4, 0), 
          IFERROR(VLOOKUP(H37, '自動求人✅'!$C$3:$F142, 4, 0), prID))), 
        "")
      )
    )
  )
)</f>
        <v/>
      </c>
      <c r="J37" s="141" t="str">
        <f t="shared" si="2"/>
        <v/>
      </c>
      <c r="K37" s="141"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141"/>
      <c r="M37" s="141"/>
      <c r="N37" s="139"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140" t="str">
        <f t="array" ref="O37">IF(N37="", "", 
  LET(
    targetRow, IFERROR(MATCH(TRUE, BYROW('PR管理'!$J$4:$T$101, LAMBDA(r, COUNTIF(r, N37)&gt;0)), 0), 0),
    IF(targetRow=0, "",
      LET(
        startDate, INDEX('PR管理'!$C$4:$C$101, targetRow),
        delLimit, INDEX('PR管理'!$F$4:$F$101, targetRow),
        prID, INDEX('PR管理'!$A$4:$A$101, targetRow),
        IF(AND('26414_編集版 のコピー 2'!N$1 &gt;= startDate, '26414_編集版 のコピー 2'!N$1 &lt;= delLimit), 
          IFERROR(VLOOKUP(N37, '新規'!$E$2:$H142, 4, 0), 
          IFERROR(VLOOKUP(N37, '特殊配信マスタ'!$E$3:$H142, 4, 0), 
          IFERROR(VLOOKUP(N37, '自動求人✅'!$C$3:$F142, 4, 0), prID))), 
        "")
      )
    )
  )
)</f>
        <v/>
      </c>
      <c r="P37" s="141" t="str">
        <f t="shared" si="3"/>
        <v/>
      </c>
      <c r="Q37" s="141"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141"/>
      <c r="S37" s="141"/>
      <c r="T37" s="139"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140" t="str">
        <f t="array" ref="U37">IF(T37="", "", 
  LET(
    targetRow, IFERROR(MATCH(TRUE, BYROW('PR管理'!$J$4:$T$101, LAMBDA(r, COUNTIF(r, T37)&gt;0)), 0), 0),
    IF(targetRow=0, "",
      LET(
        startDate, INDEX('PR管理'!$C$4:$C$101, targetRow),
        delLimit, INDEX('PR管理'!$F$4:$F$101, targetRow),
        prID, INDEX('PR管理'!$A$4:$A$101, targetRow),
        IF(AND('26414_編集版 のコピー 2'!T$1 &gt;= startDate, '26414_編集版 のコピー 2'!T$1 &lt;= delLimit), 
          IFERROR(VLOOKUP(T37, '新規'!$E$2:$H142, 4, 0), 
          IFERROR(VLOOKUP(T37, '特殊配信マスタ'!$E$3:$H142, 4, 0), 
          IFERROR(VLOOKUP(T37, '自動求人✅'!$C$3:$F142, 4, 0), prID))), 
        "")
      )
    )
  )
)</f>
        <v/>
      </c>
      <c r="V37" s="141" t="str">
        <f t="shared" si="4"/>
        <v/>
      </c>
      <c r="W37" s="141"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141"/>
      <c r="Y37" s="141"/>
      <c r="Z37" s="139"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140" t="str">
        <f t="array" ref="AA37">IF(Z37="", "", 
  LET(
    targetRow, IFERROR(MATCH(TRUE, BYROW('PR管理'!$J$4:$T$101, LAMBDA(r, COUNTIF(r, Z37)&gt;0)), 0), 0),
    IF(targetRow=0, "",
      LET(
        startDate, INDEX('PR管理'!$C$4:$C$101, targetRow),
        delLimit, INDEX('PR管理'!$F$4:$F$101, targetRow),
        prID, INDEX('PR管理'!$A$4:$A$101, targetRow),
        IF(AND('26414_編集版 のコピー 2'!Z$1 &gt;= startDate, '26414_編集版 のコピー 2'!Z$1 &lt;= delLimit), 
          IFERROR(VLOOKUP(Z37, '新規'!$E$2:$H142, 4, 0), 
          IFERROR(VLOOKUP(Z37, '特殊配信マスタ'!$E$3:$H142, 4, 0), 
          IFERROR(VLOOKUP(Z37, '自動求人✅'!$C$3:$F142, 4, 0), prID))), 
        "")
      )
    )
  )
)</f>
        <v/>
      </c>
      <c r="AB37" s="141" t="str">
        <f t="shared" si="5"/>
        <v/>
      </c>
      <c r="AC37" s="141"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141"/>
      <c r="AE37" s="141"/>
      <c r="AF37" s="139"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140" t="str">
        <f t="array" ref="AG37">IF(AF37="", "", 
  LET(
    targetRow, IFERROR(MATCH(TRUE, BYROW('PR管理'!$J$4:$T$101, LAMBDA(r, COUNTIF(r, AF37)&gt;0)), 0), 0),
    IF(targetRow=0, "",
      LET(
        startDate, INDEX('PR管理'!$C$4:$C$101, targetRow),
        delLimit, INDEX('PR管理'!$F$4:$F$101, targetRow),
        prID, INDEX('PR管理'!$A$4:$A$101, targetRow),
        IF(AND('26414_編集版 のコピー 2'!AF$1 &gt;= startDate, '26414_編集版 のコピー 2'!AF$1 &lt;= delLimit), 
          IFERROR(VLOOKUP(AF37, '新規'!$E$2:$H142, 4, 0), 
          IFERROR(VLOOKUP(AF37, '特殊配信マスタ'!$E$3:$H142, 4, 0), 
          IFERROR(VLOOKUP(AF37, '自動求人✅'!$C$3:$F142, 4, 0), prID))), 
        "")
      )
    )
  )
)</f>
        <v/>
      </c>
      <c r="AH37" s="141" t="str">
        <f t="shared" si="6"/>
        <v/>
      </c>
      <c r="AI37" s="141"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141"/>
      <c r="AK37" s="141"/>
      <c r="AL37" s="139"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140" t="str">
        <f t="array" ref="AM37">IF(AL37="", "", 
  LET(
    targetRow, IFERROR(MATCH(TRUE, BYROW('PR管理'!$J$4:$T$101, LAMBDA(r, COUNTIF(r, AL37)&gt;0)), 0), 0),
    IF(targetRow=0, "",
      LET(
        startDate, INDEX('PR管理'!$C$4:$C$101, targetRow),
        delLimit, INDEX('PR管理'!$F$4:$F$101, targetRow),
        prID, INDEX('PR管理'!$A$4:$A$101, targetRow),
        IF(AND('26414_編集版 のコピー 2'!AL$1 &gt;= startDate, '26414_編集版 のコピー 2'!AL$1 &lt;= delLimit), 
          IFERROR(VLOOKUP(AL37, '新規'!$E$2:$H142, 4, 0), 
          IFERROR(VLOOKUP(AL37, '特殊配信マスタ'!$E$3:$H142, 4, 0), 
          IFERROR(VLOOKUP(AL37, '自動求人✅'!$C$3:$F142, 4, 0), prID))), 
        "")
      )
    )
  )
)</f>
        <v/>
      </c>
      <c r="AN37" s="141" t="str">
        <f t="shared" si="7"/>
        <v/>
      </c>
      <c r="AO37" s="141"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141"/>
      <c r="AQ37" s="141"/>
    </row>
    <row r="38" ht="17.25" customHeight="1">
      <c r="A38" s="142"/>
      <c r="B38" s="139"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140" t="str">
        <f t="array" ref="C38">IF(B38="", "", 
  LET(
    targetRow, IFERROR(MATCH(TRUE, BYROW('PR管理'!$J$4:$T$101, LAMBDA(r, COUNTIF(r, B38)&gt;0)), 0), 0),
    IF(targetRow=0, "",
      LET(
        startDate, INDEX('PR管理'!$C$4:$C$101, targetRow),
        delLimit, INDEX('PR管理'!$F$4:$F$101, targetRow),
        prID, INDEX('PR管理'!$A$4:$A$101, targetRow),
        IF(AND('26414_編集版 のコピー 2'!B$1 &gt;= startDate, '26414_編集版 のコピー 2'!B$1 &lt;= delLimit), 
          IFERROR(VLOOKUP(B38, '新規'!$E$2:$H142, 4, 0), 
          IFERROR(VLOOKUP(B38, '特殊配信マスタ'!$E$3:$H142, 4, 0), 
          IFERROR(VLOOKUP(B38, '自動求人✅'!$C$3:$F142, 4, 0), prID))), 
        "")
      )
    )
  )
)</f>
        <v/>
      </c>
      <c r="D38" s="141" t="str">
        <f t="shared" si="1"/>
        <v/>
      </c>
      <c r="E38" s="141"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141"/>
      <c r="G38" s="141"/>
      <c r="H38" s="139"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140" t="str">
        <f t="array" ref="I38">IF(H38="", "", 
  LET(
    targetRow, IFERROR(MATCH(TRUE, BYROW('PR管理'!$J$4:$T$101, LAMBDA(r, COUNTIF(r, H38)&gt;0)), 0), 0),
    IF(targetRow=0, "",
      LET(
        startDate, INDEX('PR管理'!$C$4:$C$101, targetRow),
        delLimit, INDEX('PR管理'!$F$4:$F$101, targetRow),
        prID, INDEX('PR管理'!$A$4:$A$101, targetRow),
        IF(AND('26414_編集版 のコピー 2'!H$1 &gt;= startDate, '26414_編集版 のコピー 2'!H$1 &lt;= delLimit), 
          IFERROR(VLOOKUP(H38, '新規'!$E$2:$H142, 4, 0), 
          IFERROR(VLOOKUP(H38, '特殊配信マスタ'!$E$3:$H142, 4, 0), 
          IFERROR(VLOOKUP(H38, '自動求人✅'!$C$3:$F142, 4, 0), prID))), 
        "")
      )
    )
  )
)</f>
        <v/>
      </c>
      <c r="J38" s="141" t="str">
        <f t="shared" si="2"/>
        <v/>
      </c>
      <c r="K38" s="141"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141"/>
      <c r="M38" s="141"/>
      <c r="N38" s="139"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140" t="str">
        <f t="array" ref="O38">IF(N38="", "", 
  LET(
    targetRow, IFERROR(MATCH(TRUE, BYROW('PR管理'!$J$4:$T$101, LAMBDA(r, COUNTIF(r, N38)&gt;0)), 0), 0),
    IF(targetRow=0, "",
      LET(
        startDate, INDEX('PR管理'!$C$4:$C$101, targetRow),
        delLimit, INDEX('PR管理'!$F$4:$F$101, targetRow),
        prID, INDEX('PR管理'!$A$4:$A$101, targetRow),
        IF(AND('26414_編集版 のコピー 2'!N$1 &gt;= startDate, '26414_編集版 のコピー 2'!N$1 &lt;= delLimit), 
          IFERROR(VLOOKUP(N38, '新規'!$E$2:$H142, 4, 0), 
          IFERROR(VLOOKUP(N38, '特殊配信マスタ'!$E$3:$H142, 4, 0), 
          IFERROR(VLOOKUP(N38, '自動求人✅'!$C$3:$F142, 4, 0), prID))), 
        "")
      )
    )
  )
)</f>
        <v/>
      </c>
      <c r="P38" s="141" t="str">
        <f t="shared" si="3"/>
        <v/>
      </c>
      <c r="Q38" s="141"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141"/>
      <c r="S38" s="141"/>
      <c r="T38" s="139"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140" t="str">
        <f t="array" ref="U38">IF(T38="", "", 
  LET(
    targetRow, IFERROR(MATCH(TRUE, BYROW('PR管理'!$J$4:$T$101, LAMBDA(r, COUNTIF(r, T38)&gt;0)), 0), 0),
    IF(targetRow=0, "",
      LET(
        startDate, INDEX('PR管理'!$C$4:$C$101, targetRow),
        delLimit, INDEX('PR管理'!$F$4:$F$101, targetRow),
        prID, INDEX('PR管理'!$A$4:$A$101, targetRow),
        IF(AND('26414_編集版 のコピー 2'!T$1 &gt;= startDate, '26414_編集版 のコピー 2'!T$1 &lt;= delLimit), 
          IFERROR(VLOOKUP(T38, '新規'!$E$2:$H142, 4, 0), 
          IFERROR(VLOOKUP(T38, '特殊配信マスタ'!$E$3:$H142, 4, 0), 
          IFERROR(VLOOKUP(T38, '自動求人✅'!$C$3:$F142, 4, 0), prID))), 
        "")
      )
    )
  )
)</f>
        <v/>
      </c>
      <c r="V38" s="141" t="str">
        <f t="shared" si="4"/>
        <v/>
      </c>
      <c r="W38" s="141"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141"/>
      <c r="Y38" s="141"/>
      <c r="Z38" s="139"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140" t="str">
        <f t="array" ref="AA38">IF(Z38="", "", 
  LET(
    targetRow, IFERROR(MATCH(TRUE, BYROW('PR管理'!$J$4:$T$101, LAMBDA(r, COUNTIF(r, Z38)&gt;0)), 0), 0),
    IF(targetRow=0, "",
      LET(
        startDate, INDEX('PR管理'!$C$4:$C$101, targetRow),
        delLimit, INDEX('PR管理'!$F$4:$F$101, targetRow),
        prID, INDEX('PR管理'!$A$4:$A$101, targetRow),
        IF(AND('26414_編集版 のコピー 2'!Z$1 &gt;= startDate, '26414_編集版 のコピー 2'!Z$1 &lt;= delLimit), 
          IFERROR(VLOOKUP(Z38, '新規'!$E$2:$H142, 4, 0), 
          IFERROR(VLOOKUP(Z38, '特殊配信マスタ'!$E$3:$H142, 4, 0), 
          IFERROR(VLOOKUP(Z38, '自動求人✅'!$C$3:$F142, 4, 0), prID))), 
        "")
      )
    )
  )
)</f>
        <v/>
      </c>
      <c r="AB38" s="141" t="str">
        <f t="shared" si="5"/>
        <v/>
      </c>
      <c r="AC38" s="141"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141"/>
      <c r="AE38" s="141"/>
      <c r="AF38" s="139"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140" t="str">
        <f t="array" ref="AG38">IF(AF38="", "", 
  LET(
    targetRow, IFERROR(MATCH(TRUE, BYROW('PR管理'!$J$4:$T$101, LAMBDA(r, COUNTIF(r, AF38)&gt;0)), 0), 0),
    IF(targetRow=0, "",
      LET(
        startDate, INDEX('PR管理'!$C$4:$C$101, targetRow),
        delLimit, INDEX('PR管理'!$F$4:$F$101, targetRow),
        prID, INDEX('PR管理'!$A$4:$A$101, targetRow),
        IF(AND('26414_編集版 のコピー 2'!AF$1 &gt;= startDate, '26414_編集版 のコピー 2'!AF$1 &lt;= delLimit), 
          IFERROR(VLOOKUP(AF38, '新規'!$E$2:$H142, 4, 0), 
          IFERROR(VLOOKUP(AF38, '特殊配信マスタ'!$E$3:$H142, 4, 0), 
          IFERROR(VLOOKUP(AF38, '自動求人✅'!$C$3:$F142, 4, 0), prID))), 
        "")
      )
    )
  )
)</f>
        <v/>
      </c>
      <c r="AH38" s="141" t="str">
        <f t="shared" si="6"/>
        <v/>
      </c>
      <c r="AI38" s="141"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141"/>
      <c r="AK38" s="141"/>
      <c r="AL38" s="139"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140" t="str">
        <f t="array" ref="AM38">IF(AL38="", "", 
  LET(
    targetRow, IFERROR(MATCH(TRUE, BYROW('PR管理'!$J$4:$T$101, LAMBDA(r, COUNTIF(r, AL38)&gt;0)), 0), 0),
    IF(targetRow=0, "",
      LET(
        startDate, INDEX('PR管理'!$C$4:$C$101, targetRow),
        delLimit, INDEX('PR管理'!$F$4:$F$101, targetRow),
        prID, INDEX('PR管理'!$A$4:$A$101, targetRow),
        IF(AND('26414_編集版 のコピー 2'!AL$1 &gt;= startDate, '26414_編集版 のコピー 2'!AL$1 &lt;= delLimit), 
          IFERROR(VLOOKUP(AL38, '新規'!$E$2:$H142, 4, 0), 
          IFERROR(VLOOKUP(AL38, '特殊配信マスタ'!$E$3:$H142, 4, 0), 
          IFERROR(VLOOKUP(AL38, '自動求人✅'!$C$3:$F142, 4, 0), prID))), 
        "")
      )
    )
  )
)</f>
        <v/>
      </c>
      <c r="AN38" s="141" t="str">
        <f t="shared" si="7"/>
        <v/>
      </c>
      <c r="AO38" s="141"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141"/>
      <c r="AQ38" s="141"/>
    </row>
    <row r="39" ht="17.25" customHeight="1">
      <c r="A39" s="142"/>
      <c r="B39" s="139"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140" t="str">
        <f t="array" ref="C39">IF(B39="", "", 
  LET(
    targetRow, IFERROR(MATCH(TRUE, BYROW('PR管理'!$J$4:$T$101, LAMBDA(r, COUNTIF(r, B39)&gt;0)), 0), 0),
    IF(targetRow=0, "",
      LET(
        startDate, INDEX('PR管理'!$C$4:$C$101, targetRow),
        delLimit, INDEX('PR管理'!$F$4:$F$101, targetRow),
        prID, INDEX('PR管理'!$A$4:$A$101, targetRow),
        IF(AND('26414_編集版 のコピー 2'!B$1 &gt;= startDate, '26414_編集版 のコピー 2'!B$1 &lt;= delLimit), 
          IFERROR(VLOOKUP(B39, '新規'!$E$2:$H142, 4, 0), 
          IFERROR(VLOOKUP(B39, '特殊配信マスタ'!$E$3:$H142, 4, 0), 
          IFERROR(VLOOKUP(B39, '自動求人✅'!$C$3:$F142, 4, 0), prID))), 
        "")
      )
    )
  )
)</f>
        <v/>
      </c>
      <c r="D39" s="141" t="str">
        <f t="shared" si="1"/>
        <v/>
      </c>
      <c r="E39" s="141"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141"/>
      <c r="G39" s="141"/>
      <c r="H39" s="139"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140" t="str">
        <f t="array" ref="I39">IF(H39="", "", 
  LET(
    targetRow, IFERROR(MATCH(TRUE, BYROW('PR管理'!$J$4:$T$101, LAMBDA(r, COUNTIF(r, H39)&gt;0)), 0), 0),
    IF(targetRow=0, "",
      LET(
        startDate, INDEX('PR管理'!$C$4:$C$101, targetRow),
        delLimit, INDEX('PR管理'!$F$4:$F$101, targetRow),
        prID, INDEX('PR管理'!$A$4:$A$101, targetRow),
        IF(AND('26414_編集版 のコピー 2'!H$1 &gt;= startDate, '26414_編集版 のコピー 2'!H$1 &lt;= delLimit), 
          IFERROR(VLOOKUP(H39, '新規'!$E$2:$H142, 4, 0), 
          IFERROR(VLOOKUP(H39, '特殊配信マスタ'!$E$3:$H142, 4, 0), 
          IFERROR(VLOOKUP(H39, '自動求人✅'!$C$3:$F142, 4, 0), prID))), 
        "")
      )
    )
  )
)</f>
        <v/>
      </c>
      <c r="J39" s="141" t="str">
        <f t="shared" si="2"/>
        <v/>
      </c>
      <c r="K39" s="141"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141"/>
      <c r="M39" s="141"/>
      <c r="N39" s="139"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140" t="str">
        <f t="array" ref="O39">IF(N39="", "", 
  LET(
    targetRow, IFERROR(MATCH(TRUE, BYROW('PR管理'!$J$4:$T$101, LAMBDA(r, COUNTIF(r, N39)&gt;0)), 0), 0),
    IF(targetRow=0, "",
      LET(
        startDate, INDEX('PR管理'!$C$4:$C$101, targetRow),
        delLimit, INDEX('PR管理'!$F$4:$F$101, targetRow),
        prID, INDEX('PR管理'!$A$4:$A$101, targetRow),
        IF(AND('26414_編集版 のコピー 2'!N$1 &gt;= startDate, '26414_編集版 のコピー 2'!N$1 &lt;= delLimit), 
          IFERROR(VLOOKUP(N39, '新規'!$E$2:$H142, 4, 0), 
          IFERROR(VLOOKUP(N39, '特殊配信マスタ'!$E$3:$H142, 4, 0), 
          IFERROR(VLOOKUP(N39, '自動求人✅'!$C$3:$F142, 4, 0), prID))), 
        "")
      )
    )
  )
)</f>
        <v/>
      </c>
      <c r="P39" s="141" t="str">
        <f t="shared" si="3"/>
        <v/>
      </c>
      <c r="Q39" s="141"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141"/>
      <c r="S39" s="141"/>
      <c r="T39" s="139"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140" t="str">
        <f t="array" ref="U39">IF(T39="", "", 
  LET(
    targetRow, IFERROR(MATCH(TRUE, BYROW('PR管理'!$J$4:$T$101, LAMBDA(r, COUNTIF(r, T39)&gt;0)), 0), 0),
    IF(targetRow=0, "",
      LET(
        startDate, INDEX('PR管理'!$C$4:$C$101, targetRow),
        delLimit, INDEX('PR管理'!$F$4:$F$101, targetRow),
        prID, INDEX('PR管理'!$A$4:$A$101, targetRow),
        IF(AND('26414_編集版 のコピー 2'!T$1 &gt;= startDate, '26414_編集版 のコピー 2'!T$1 &lt;= delLimit), 
          IFERROR(VLOOKUP(T39, '新規'!$E$2:$H142, 4, 0), 
          IFERROR(VLOOKUP(T39, '特殊配信マスタ'!$E$3:$H142, 4, 0), 
          IFERROR(VLOOKUP(T39, '自動求人✅'!$C$3:$F142, 4, 0), prID))), 
        "")
      )
    )
  )
)</f>
        <v/>
      </c>
      <c r="V39" s="141" t="str">
        <f t="shared" si="4"/>
        <v/>
      </c>
      <c r="W39" s="141"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141"/>
      <c r="Y39" s="141"/>
      <c r="Z39" s="139"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140" t="str">
        <f t="array" ref="AA39">IF(Z39="", "", 
  LET(
    targetRow, IFERROR(MATCH(TRUE, BYROW('PR管理'!$J$4:$T$101, LAMBDA(r, COUNTIF(r, Z39)&gt;0)), 0), 0),
    IF(targetRow=0, "",
      LET(
        startDate, INDEX('PR管理'!$C$4:$C$101, targetRow),
        delLimit, INDEX('PR管理'!$F$4:$F$101, targetRow),
        prID, INDEX('PR管理'!$A$4:$A$101, targetRow),
        IF(AND('26414_編集版 のコピー 2'!Z$1 &gt;= startDate, '26414_編集版 のコピー 2'!Z$1 &lt;= delLimit), 
          IFERROR(VLOOKUP(Z39, '新規'!$E$2:$H142, 4, 0), 
          IFERROR(VLOOKUP(Z39, '特殊配信マスタ'!$E$3:$H142, 4, 0), 
          IFERROR(VLOOKUP(Z39, '自動求人✅'!$C$3:$F142, 4, 0), prID))), 
        "")
      )
    )
  )
)</f>
        <v/>
      </c>
      <c r="AB39" s="141" t="str">
        <f t="shared" si="5"/>
        <v/>
      </c>
      <c r="AC39" s="141"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141"/>
      <c r="AE39" s="141"/>
      <c r="AF39" s="139"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140" t="str">
        <f t="array" ref="AG39">IF(AF39="", "", 
  LET(
    targetRow, IFERROR(MATCH(TRUE, BYROW('PR管理'!$J$4:$T$101, LAMBDA(r, COUNTIF(r, AF39)&gt;0)), 0), 0),
    IF(targetRow=0, "",
      LET(
        startDate, INDEX('PR管理'!$C$4:$C$101, targetRow),
        delLimit, INDEX('PR管理'!$F$4:$F$101, targetRow),
        prID, INDEX('PR管理'!$A$4:$A$101, targetRow),
        IF(AND('26414_編集版 のコピー 2'!AF$1 &gt;= startDate, '26414_編集版 のコピー 2'!AF$1 &lt;= delLimit), 
          IFERROR(VLOOKUP(AF39, '新規'!$E$2:$H142, 4, 0), 
          IFERROR(VLOOKUP(AF39, '特殊配信マスタ'!$E$3:$H142, 4, 0), 
          IFERROR(VLOOKUP(AF39, '自動求人✅'!$C$3:$F142, 4, 0), prID))), 
        "")
      )
    )
  )
)</f>
        <v/>
      </c>
      <c r="AH39" s="141" t="str">
        <f t="shared" si="6"/>
        <v/>
      </c>
      <c r="AI39" s="141"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141"/>
      <c r="AK39" s="141"/>
      <c r="AL39" s="139"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140" t="str">
        <f t="array" ref="AM39">IF(AL39="", "", 
  LET(
    targetRow, IFERROR(MATCH(TRUE, BYROW('PR管理'!$J$4:$T$101, LAMBDA(r, COUNTIF(r, AL39)&gt;0)), 0), 0),
    IF(targetRow=0, "",
      LET(
        startDate, INDEX('PR管理'!$C$4:$C$101, targetRow),
        delLimit, INDEX('PR管理'!$F$4:$F$101, targetRow),
        prID, INDEX('PR管理'!$A$4:$A$101, targetRow),
        IF(AND('26414_編集版 のコピー 2'!AL$1 &gt;= startDate, '26414_編集版 のコピー 2'!AL$1 &lt;= delLimit), 
          IFERROR(VLOOKUP(AL39, '新規'!$E$2:$H142, 4, 0), 
          IFERROR(VLOOKUP(AL39, '特殊配信マスタ'!$E$3:$H142, 4, 0), 
          IFERROR(VLOOKUP(AL39, '自動求人✅'!$C$3:$F142, 4, 0), prID))), 
        "")
      )
    )
  )
)</f>
        <v/>
      </c>
      <c r="AN39" s="141" t="str">
        <f t="shared" si="7"/>
        <v/>
      </c>
      <c r="AO39" s="141"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141"/>
      <c r="AQ39" s="141"/>
    </row>
    <row r="40" ht="17.25" customHeight="1">
      <c r="A40" s="142"/>
      <c r="B40" s="139"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140" t="str">
        <f t="array" ref="C40">IF(B40="", "", 
  LET(
    targetRow, IFERROR(MATCH(TRUE, BYROW('PR管理'!$J$4:$T$101, LAMBDA(r, COUNTIF(r, B40)&gt;0)), 0), 0),
    IF(targetRow=0, "",
      LET(
        startDate, INDEX('PR管理'!$C$4:$C$101, targetRow),
        delLimit, INDEX('PR管理'!$F$4:$F$101, targetRow),
        prID, INDEX('PR管理'!$A$4:$A$101, targetRow),
        IF(AND('26414_編集版 のコピー 2'!B$1 &gt;= startDate, '26414_編集版 のコピー 2'!B$1 &lt;= delLimit), 
          IFERROR(VLOOKUP(B40, '新規'!$E$2:$H142, 4, 0), 
          IFERROR(VLOOKUP(B40, '特殊配信マスタ'!$E$3:$H142, 4, 0), 
          IFERROR(VLOOKUP(B40, '自動求人✅'!$C$3:$F142, 4, 0), prID))), 
        "")
      )
    )
  )
)</f>
        <v/>
      </c>
      <c r="D40" s="141" t="str">
        <f t="shared" si="1"/>
        <v/>
      </c>
      <c r="E40" s="141"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141"/>
      <c r="G40" s="141"/>
      <c r="H40" s="139"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140" t="str">
        <f t="array" ref="I40">IF(H40="", "", 
  LET(
    targetRow, IFERROR(MATCH(TRUE, BYROW('PR管理'!$J$4:$T$101, LAMBDA(r, COUNTIF(r, H40)&gt;0)), 0), 0),
    IF(targetRow=0, "",
      LET(
        startDate, INDEX('PR管理'!$C$4:$C$101, targetRow),
        delLimit, INDEX('PR管理'!$F$4:$F$101, targetRow),
        prID, INDEX('PR管理'!$A$4:$A$101, targetRow),
        IF(AND('26414_編集版 のコピー 2'!H$1 &gt;= startDate, '26414_編集版 のコピー 2'!H$1 &lt;= delLimit), 
          IFERROR(VLOOKUP(H40, '新規'!$E$2:$H142, 4, 0), 
          IFERROR(VLOOKUP(H40, '特殊配信マスタ'!$E$3:$H142, 4, 0), 
          IFERROR(VLOOKUP(H40, '自動求人✅'!$C$3:$F142, 4, 0), prID))), 
        "")
      )
    )
  )
)</f>
        <v/>
      </c>
      <c r="J40" s="141" t="str">
        <f t="shared" si="2"/>
        <v/>
      </c>
      <c r="K40" s="141"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141"/>
      <c r="M40" s="141"/>
      <c r="N40" s="139"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140" t="str">
        <f t="array" ref="O40">IF(N40="", "", 
  LET(
    targetRow, IFERROR(MATCH(TRUE, BYROW('PR管理'!$J$4:$T$101, LAMBDA(r, COUNTIF(r, N40)&gt;0)), 0), 0),
    IF(targetRow=0, "",
      LET(
        startDate, INDEX('PR管理'!$C$4:$C$101, targetRow),
        delLimit, INDEX('PR管理'!$F$4:$F$101, targetRow),
        prID, INDEX('PR管理'!$A$4:$A$101, targetRow),
        IF(AND('26414_編集版 のコピー 2'!N$1 &gt;= startDate, '26414_編集版 のコピー 2'!N$1 &lt;= delLimit), 
          IFERROR(VLOOKUP(N40, '新規'!$E$2:$H142, 4, 0), 
          IFERROR(VLOOKUP(N40, '特殊配信マスタ'!$E$3:$H142, 4, 0), 
          IFERROR(VLOOKUP(N40, '自動求人✅'!$C$3:$F142, 4, 0), prID))), 
        "")
      )
    )
  )
)</f>
        <v/>
      </c>
      <c r="P40" s="141" t="str">
        <f t="shared" si="3"/>
        <v/>
      </c>
      <c r="Q40" s="141"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141"/>
      <c r="S40" s="141"/>
      <c r="T40" s="139"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140" t="str">
        <f t="array" ref="U40">IF(T40="", "", 
  LET(
    targetRow, IFERROR(MATCH(TRUE, BYROW('PR管理'!$J$4:$T$101, LAMBDA(r, COUNTIF(r, T40)&gt;0)), 0), 0),
    IF(targetRow=0, "",
      LET(
        startDate, INDEX('PR管理'!$C$4:$C$101, targetRow),
        delLimit, INDEX('PR管理'!$F$4:$F$101, targetRow),
        prID, INDEX('PR管理'!$A$4:$A$101, targetRow),
        IF(AND('26414_編集版 のコピー 2'!T$1 &gt;= startDate, '26414_編集版 のコピー 2'!T$1 &lt;= delLimit), 
          IFERROR(VLOOKUP(T40, '新規'!$E$2:$H142, 4, 0), 
          IFERROR(VLOOKUP(T40, '特殊配信マスタ'!$E$3:$H142, 4, 0), 
          IFERROR(VLOOKUP(T40, '自動求人✅'!$C$3:$F142, 4, 0), prID))), 
        "")
      )
    )
  )
)</f>
        <v/>
      </c>
      <c r="V40" s="141" t="str">
        <f t="shared" si="4"/>
        <v/>
      </c>
      <c r="W40" s="141"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141"/>
      <c r="Y40" s="141"/>
      <c r="Z40" s="139"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140" t="str">
        <f t="array" ref="AA40">IF(Z40="", "", 
  LET(
    targetRow, IFERROR(MATCH(TRUE, BYROW('PR管理'!$J$4:$T$101, LAMBDA(r, COUNTIF(r, Z40)&gt;0)), 0), 0),
    IF(targetRow=0, "",
      LET(
        startDate, INDEX('PR管理'!$C$4:$C$101, targetRow),
        delLimit, INDEX('PR管理'!$F$4:$F$101, targetRow),
        prID, INDEX('PR管理'!$A$4:$A$101, targetRow),
        IF(AND('26414_編集版 のコピー 2'!Z$1 &gt;= startDate, '26414_編集版 のコピー 2'!Z$1 &lt;= delLimit), 
          IFERROR(VLOOKUP(Z40, '新規'!$E$2:$H142, 4, 0), 
          IFERROR(VLOOKUP(Z40, '特殊配信マスタ'!$E$3:$H142, 4, 0), 
          IFERROR(VLOOKUP(Z40, '自動求人✅'!$C$3:$F142, 4, 0), prID))), 
        "")
      )
    )
  )
)</f>
        <v/>
      </c>
      <c r="AB40" s="141" t="str">
        <f t="shared" si="5"/>
        <v/>
      </c>
      <c r="AC40" s="141"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141"/>
      <c r="AE40" s="141"/>
      <c r="AF40" s="139"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140" t="str">
        <f t="array" ref="AG40">IF(AF40="", "", 
  LET(
    targetRow, IFERROR(MATCH(TRUE, BYROW('PR管理'!$J$4:$T$101, LAMBDA(r, COUNTIF(r, AF40)&gt;0)), 0), 0),
    IF(targetRow=0, "",
      LET(
        startDate, INDEX('PR管理'!$C$4:$C$101, targetRow),
        delLimit, INDEX('PR管理'!$F$4:$F$101, targetRow),
        prID, INDEX('PR管理'!$A$4:$A$101, targetRow),
        IF(AND('26414_編集版 のコピー 2'!AF$1 &gt;= startDate, '26414_編集版 のコピー 2'!AF$1 &lt;= delLimit), 
          IFERROR(VLOOKUP(AF40, '新規'!$E$2:$H142, 4, 0), 
          IFERROR(VLOOKUP(AF40, '特殊配信マスタ'!$E$3:$H142, 4, 0), 
          IFERROR(VLOOKUP(AF40, '自動求人✅'!$C$3:$F142, 4, 0), prID))), 
        "")
      )
    )
  )
)</f>
        <v/>
      </c>
      <c r="AH40" s="141" t="str">
        <f t="shared" si="6"/>
        <v/>
      </c>
      <c r="AI40" s="141"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141"/>
      <c r="AK40" s="141"/>
      <c r="AL40" s="139"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140" t="str">
        <f t="array" ref="AM40">IF(AL40="", "", 
  LET(
    targetRow, IFERROR(MATCH(TRUE, BYROW('PR管理'!$J$4:$T$101, LAMBDA(r, COUNTIF(r, AL40)&gt;0)), 0), 0),
    IF(targetRow=0, "",
      LET(
        startDate, INDEX('PR管理'!$C$4:$C$101, targetRow),
        delLimit, INDEX('PR管理'!$F$4:$F$101, targetRow),
        prID, INDEX('PR管理'!$A$4:$A$101, targetRow),
        IF(AND('26414_編集版 のコピー 2'!AL$1 &gt;= startDate, '26414_編集版 のコピー 2'!AL$1 &lt;= delLimit), 
          IFERROR(VLOOKUP(AL40, '新規'!$E$2:$H142, 4, 0), 
          IFERROR(VLOOKUP(AL40, '特殊配信マスタ'!$E$3:$H142, 4, 0), 
          IFERROR(VLOOKUP(AL40, '自動求人✅'!$C$3:$F142, 4, 0), prID))), 
        "")
      )
    )
  )
)</f>
        <v/>
      </c>
      <c r="AN40" s="141" t="str">
        <f t="shared" si="7"/>
        <v/>
      </c>
      <c r="AO40" s="141"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141"/>
      <c r="AQ40" s="141"/>
    </row>
    <row r="41" ht="17.25" customHeight="1">
      <c r="A41" s="142"/>
      <c r="B41" s="139"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140" t="str">
        <f t="array" ref="C41">IF(B41="", "", 
  LET(
    targetRow, IFERROR(MATCH(TRUE, BYROW('PR管理'!$J$4:$T$101, LAMBDA(r, COUNTIF(r, B41)&gt;0)), 0), 0),
    IF(targetRow=0, "",
      LET(
        startDate, INDEX('PR管理'!$C$4:$C$101, targetRow),
        delLimit, INDEX('PR管理'!$F$4:$F$101, targetRow),
        prID, INDEX('PR管理'!$A$4:$A$101, targetRow),
        IF(AND('26414_編集版 のコピー 2'!B$1 &gt;= startDate, '26414_編集版 のコピー 2'!B$1 &lt;= delLimit), 
          IFERROR(VLOOKUP(B41, '新規'!$E$2:$H142, 4, 0), 
          IFERROR(VLOOKUP(B41, '特殊配信マスタ'!$E$3:$H142, 4, 0), 
          IFERROR(VLOOKUP(B41, '自動求人✅'!$C$3:$F142, 4, 0), prID))), 
        "")
      )
    )
  )
)</f>
        <v/>
      </c>
      <c r="D41" s="141" t="str">
        <f t="shared" si="1"/>
        <v/>
      </c>
      <c r="E41" s="141"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141"/>
      <c r="G41" s="141"/>
      <c r="H41" s="139"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140" t="str">
        <f t="array" ref="I41">IF(H41="", "", 
  LET(
    targetRow, IFERROR(MATCH(TRUE, BYROW('PR管理'!$J$4:$T$101, LAMBDA(r, COUNTIF(r, H41)&gt;0)), 0), 0),
    IF(targetRow=0, "",
      LET(
        startDate, INDEX('PR管理'!$C$4:$C$101, targetRow),
        delLimit, INDEX('PR管理'!$F$4:$F$101, targetRow),
        prID, INDEX('PR管理'!$A$4:$A$101, targetRow),
        IF(AND('26414_編集版 のコピー 2'!H$1 &gt;= startDate, '26414_編集版 のコピー 2'!H$1 &lt;= delLimit), 
          IFERROR(VLOOKUP(H41, '新規'!$E$2:$H142, 4, 0), 
          IFERROR(VLOOKUP(H41, '特殊配信マスタ'!$E$3:$H142, 4, 0), 
          IFERROR(VLOOKUP(H41, '自動求人✅'!$C$3:$F142, 4, 0), prID))), 
        "")
      )
    )
  )
)</f>
        <v/>
      </c>
      <c r="J41" s="141" t="str">
        <f t="shared" si="2"/>
        <v/>
      </c>
      <c r="K41" s="141"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141"/>
      <c r="M41" s="141"/>
      <c r="N41" s="139"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140" t="str">
        <f t="array" ref="O41">IF(N41="", "", 
  LET(
    targetRow, IFERROR(MATCH(TRUE, BYROW('PR管理'!$J$4:$T$101, LAMBDA(r, COUNTIF(r, N41)&gt;0)), 0), 0),
    IF(targetRow=0, "",
      LET(
        startDate, INDEX('PR管理'!$C$4:$C$101, targetRow),
        delLimit, INDEX('PR管理'!$F$4:$F$101, targetRow),
        prID, INDEX('PR管理'!$A$4:$A$101, targetRow),
        IF(AND('26414_編集版 のコピー 2'!N$1 &gt;= startDate, '26414_編集版 のコピー 2'!N$1 &lt;= delLimit), 
          IFERROR(VLOOKUP(N41, '新規'!$E$2:$H142, 4, 0), 
          IFERROR(VLOOKUP(N41, '特殊配信マスタ'!$E$3:$H142, 4, 0), 
          IFERROR(VLOOKUP(N41, '自動求人✅'!$C$3:$F142, 4, 0), prID))), 
        "")
      )
    )
  )
)</f>
        <v/>
      </c>
      <c r="P41" s="141" t="str">
        <f t="shared" si="3"/>
        <v/>
      </c>
      <c r="Q41" s="141"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141"/>
      <c r="S41" s="141"/>
      <c r="T41" s="139"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140" t="str">
        <f t="array" ref="U41">IF(T41="", "", 
  LET(
    targetRow, IFERROR(MATCH(TRUE, BYROW('PR管理'!$J$4:$T$101, LAMBDA(r, COUNTIF(r, T41)&gt;0)), 0), 0),
    IF(targetRow=0, "",
      LET(
        startDate, INDEX('PR管理'!$C$4:$C$101, targetRow),
        delLimit, INDEX('PR管理'!$F$4:$F$101, targetRow),
        prID, INDEX('PR管理'!$A$4:$A$101, targetRow),
        IF(AND('26414_編集版 のコピー 2'!T$1 &gt;= startDate, '26414_編集版 のコピー 2'!T$1 &lt;= delLimit), 
          IFERROR(VLOOKUP(T41, '新規'!$E$2:$H142, 4, 0), 
          IFERROR(VLOOKUP(T41, '特殊配信マスタ'!$E$3:$H142, 4, 0), 
          IFERROR(VLOOKUP(T41, '自動求人✅'!$C$3:$F142, 4, 0), prID))), 
        "")
      )
    )
  )
)</f>
        <v/>
      </c>
      <c r="V41" s="141" t="str">
        <f t="shared" si="4"/>
        <v/>
      </c>
      <c r="W41" s="141"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141"/>
      <c r="Y41" s="141"/>
      <c r="Z41" s="139"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140" t="str">
        <f t="array" ref="AA41">IF(Z41="", "", 
  LET(
    targetRow, IFERROR(MATCH(TRUE, BYROW('PR管理'!$J$4:$T$101, LAMBDA(r, COUNTIF(r, Z41)&gt;0)), 0), 0),
    IF(targetRow=0, "",
      LET(
        startDate, INDEX('PR管理'!$C$4:$C$101, targetRow),
        delLimit, INDEX('PR管理'!$F$4:$F$101, targetRow),
        prID, INDEX('PR管理'!$A$4:$A$101, targetRow),
        IF(AND('26414_編集版 のコピー 2'!Z$1 &gt;= startDate, '26414_編集版 のコピー 2'!Z$1 &lt;= delLimit), 
          IFERROR(VLOOKUP(Z41, '新規'!$E$2:$H142, 4, 0), 
          IFERROR(VLOOKUP(Z41, '特殊配信マスタ'!$E$3:$H142, 4, 0), 
          IFERROR(VLOOKUP(Z41, '自動求人✅'!$C$3:$F142, 4, 0), prID))), 
        "")
      )
    )
  )
)</f>
        <v/>
      </c>
      <c r="AB41" s="141" t="str">
        <f t="shared" si="5"/>
        <v/>
      </c>
      <c r="AC41" s="141"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141"/>
      <c r="AE41" s="141"/>
      <c r="AF41" s="139"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140" t="str">
        <f t="array" ref="AG41">IF(AF41="", "", 
  LET(
    targetRow, IFERROR(MATCH(TRUE, BYROW('PR管理'!$J$4:$T$101, LAMBDA(r, COUNTIF(r, AF41)&gt;0)), 0), 0),
    IF(targetRow=0, "",
      LET(
        startDate, INDEX('PR管理'!$C$4:$C$101, targetRow),
        delLimit, INDEX('PR管理'!$F$4:$F$101, targetRow),
        prID, INDEX('PR管理'!$A$4:$A$101, targetRow),
        IF(AND('26414_編集版 のコピー 2'!AF$1 &gt;= startDate, '26414_編集版 のコピー 2'!AF$1 &lt;= delLimit), 
          IFERROR(VLOOKUP(AF41, '新規'!$E$2:$H142, 4, 0), 
          IFERROR(VLOOKUP(AF41, '特殊配信マスタ'!$E$3:$H142, 4, 0), 
          IFERROR(VLOOKUP(AF41, '自動求人✅'!$C$3:$F142, 4, 0), prID))), 
        "")
      )
    )
  )
)</f>
        <v/>
      </c>
      <c r="AH41" s="141" t="str">
        <f t="shared" si="6"/>
        <v/>
      </c>
      <c r="AI41" s="141"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141"/>
      <c r="AK41" s="141"/>
      <c r="AL41" s="139"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140" t="str">
        <f t="array" ref="AM41">IF(AL41="", "", 
  LET(
    targetRow, IFERROR(MATCH(TRUE, BYROW('PR管理'!$J$4:$T$101, LAMBDA(r, COUNTIF(r, AL41)&gt;0)), 0), 0),
    IF(targetRow=0, "",
      LET(
        startDate, INDEX('PR管理'!$C$4:$C$101, targetRow),
        delLimit, INDEX('PR管理'!$F$4:$F$101, targetRow),
        prID, INDEX('PR管理'!$A$4:$A$101, targetRow),
        IF(AND('26414_編集版 のコピー 2'!AL$1 &gt;= startDate, '26414_編集版 のコピー 2'!AL$1 &lt;= delLimit), 
          IFERROR(VLOOKUP(AL41, '新規'!$E$2:$H142, 4, 0), 
          IFERROR(VLOOKUP(AL41, '特殊配信マスタ'!$E$3:$H142, 4, 0), 
          IFERROR(VLOOKUP(AL41, '自動求人✅'!$C$3:$F142, 4, 0), prID))), 
        "")
      )
    )
  )
)</f>
        <v/>
      </c>
      <c r="AN41" s="141" t="str">
        <f t="shared" si="7"/>
        <v/>
      </c>
      <c r="AO41" s="141"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141"/>
      <c r="AQ41" s="141"/>
    </row>
    <row r="42" ht="17.25" customHeight="1">
      <c r="A42" s="142"/>
      <c r="B42" s="139"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140" t="str">
        <f t="array" ref="C42">IF(B42="", "", 
  LET(
    targetRow, IFERROR(MATCH(TRUE, BYROW('PR管理'!$J$4:$T$101, LAMBDA(r, COUNTIF(r, B42)&gt;0)), 0), 0),
    IF(targetRow=0, "",
      LET(
        startDate, INDEX('PR管理'!$C$4:$C$101, targetRow),
        delLimit, INDEX('PR管理'!$F$4:$F$101, targetRow),
        prID, INDEX('PR管理'!$A$4:$A$101, targetRow),
        IF(AND('26414_編集版 のコピー 2'!B$1 &gt;= startDate, '26414_編集版 のコピー 2'!B$1 &lt;= delLimit), 
          IFERROR(VLOOKUP(B42, '新規'!$E$2:$H142, 4, 0), 
          IFERROR(VLOOKUP(B42, '特殊配信マスタ'!$E$3:$H142, 4, 0), 
          IFERROR(VLOOKUP(B42, '自動求人✅'!$C$3:$F142, 4, 0), prID))), 
        "")
      )
    )
  )
)</f>
        <v/>
      </c>
      <c r="D42" s="141" t="str">
        <f t="shared" si="1"/>
        <v/>
      </c>
      <c r="E42" s="141"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141"/>
      <c r="G42" s="141"/>
      <c r="H42" s="139"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140" t="str">
        <f t="array" ref="I42">IF(H42="", "", 
  LET(
    targetRow, IFERROR(MATCH(TRUE, BYROW('PR管理'!$J$4:$T$101, LAMBDA(r, COUNTIF(r, H42)&gt;0)), 0), 0),
    IF(targetRow=0, "",
      LET(
        startDate, INDEX('PR管理'!$C$4:$C$101, targetRow),
        delLimit, INDEX('PR管理'!$F$4:$F$101, targetRow),
        prID, INDEX('PR管理'!$A$4:$A$101, targetRow),
        IF(AND('26414_編集版 のコピー 2'!H$1 &gt;= startDate, '26414_編集版 のコピー 2'!H$1 &lt;= delLimit), 
          IFERROR(VLOOKUP(H42, '新規'!$E$2:$H142, 4, 0), 
          IFERROR(VLOOKUP(H42, '特殊配信マスタ'!$E$3:$H142, 4, 0), 
          IFERROR(VLOOKUP(H42, '自動求人✅'!$C$3:$F142, 4, 0), prID))), 
        "")
      )
    )
  )
)</f>
        <v/>
      </c>
      <c r="J42" s="141" t="str">
        <f t="shared" si="2"/>
        <v/>
      </c>
      <c r="K42" s="141"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141"/>
      <c r="M42" s="141"/>
      <c r="N42" s="139"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140" t="str">
        <f t="array" ref="O42">IF(N42="", "", 
  LET(
    targetRow, IFERROR(MATCH(TRUE, BYROW('PR管理'!$J$4:$T$101, LAMBDA(r, COUNTIF(r, N42)&gt;0)), 0), 0),
    IF(targetRow=0, "",
      LET(
        startDate, INDEX('PR管理'!$C$4:$C$101, targetRow),
        delLimit, INDEX('PR管理'!$F$4:$F$101, targetRow),
        prID, INDEX('PR管理'!$A$4:$A$101, targetRow),
        IF(AND('26414_編集版 のコピー 2'!N$1 &gt;= startDate, '26414_編集版 のコピー 2'!N$1 &lt;= delLimit), 
          IFERROR(VLOOKUP(N42, '新規'!$E$2:$H142, 4, 0), 
          IFERROR(VLOOKUP(N42, '特殊配信マスタ'!$E$3:$H142, 4, 0), 
          IFERROR(VLOOKUP(N42, '自動求人✅'!$C$3:$F142, 4, 0), prID))), 
        "")
      )
    )
  )
)</f>
        <v/>
      </c>
      <c r="P42" s="141" t="str">
        <f t="shared" si="3"/>
        <v/>
      </c>
      <c r="Q42" s="141"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141"/>
      <c r="S42" s="141"/>
      <c r="T42" s="139"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140" t="str">
        <f t="array" ref="U42">IF(T42="", "", 
  LET(
    targetRow, IFERROR(MATCH(TRUE, BYROW('PR管理'!$J$4:$T$101, LAMBDA(r, COUNTIF(r, T42)&gt;0)), 0), 0),
    IF(targetRow=0, "",
      LET(
        startDate, INDEX('PR管理'!$C$4:$C$101, targetRow),
        delLimit, INDEX('PR管理'!$F$4:$F$101, targetRow),
        prID, INDEX('PR管理'!$A$4:$A$101, targetRow),
        IF(AND('26414_編集版 のコピー 2'!T$1 &gt;= startDate, '26414_編集版 のコピー 2'!T$1 &lt;= delLimit), 
          IFERROR(VLOOKUP(T42, '新規'!$E$2:$H142, 4, 0), 
          IFERROR(VLOOKUP(T42, '特殊配信マスタ'!$E$3:$H142, 4, 0), 
          IFERROR(VLOOKUP(T42, '自動求人✅'!$C$3:$F142, 4, 0), prID))), 
        "")
      )
    )
  )
)</f>
        <v/>
      </c>
      <c r="V42" s="141" t="str">
        <f t="shared" si="4"/>
        <v/>
      </c>
      <c r="W42" s="141"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141"/>
      <c r="Y42" s="141"/>
      <c r="Z42" s="139"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140" t="str">
        <f t="array" ref="AA42">IF(Z42="", "", 
  LET(
    targetRow, IFERROR(MATCH(TRUE, BYROW('PR管理'!$J$4:$T$101, LAMBDA(r, COUNTIF(r, Z42)&gt;0)), 0), 0),
    IF(targetRow=0, "",
      LET(
        startDate, INDEX('PR管理'!$C$4:$C$101, targetRow),
        delLimit, INDEX('PR管理'!$F$4:$F$101, targetRow),
        prID, INDEX('PR管理'!$A$4:$A$101, targetRow),
        IF(AND('26414_編集版 のコピー 2'!Z$1 &gt;= startDate, '26414_編集版 のコピー 2'!Z$1 &lt;= delLimit), 
          IFERROR(VLOOKUP(Z42, '新規'!$E$2:$H142, 4, 0), 
          IFERROR(VLOOKUP(Z42, '特殊配信マスタ'!$E$3:$H142, 4, 0), 
          IFERROR(VLOOKUP(Z42, '自動求人✅'!$C$3:$F142, 4, 0), prID))), 
        "")
      )
    )
  )
)</f>
        <v/>
      </c>
      <c r="AB42" s="141" t="str">
        <f t="shared" si="5"/>
        <v/>
      </c>
      <c r="AC42" s="141"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141"/>
      <c r="AE42" s="141"/>
      <c r="AF42" s="139"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140" t="str">
        <f t="array" ref="AG42">IF(AF42="", "", 
  LET(
    targetRow, IFERROR(MATCH(TRUE, BYROW('PR管理'!$J$4:$T$101, LAMBDA(r, COUNTIF(r, AF42)&gt;0)), 0), 0),
    IF(targetRow=0, "",
      LET(
        startDate, INDEX('PR管理'!$C$4:$C$101, targetRow),
        delLimit, INDEX('PR管理'!$F$4:$F$101, targetRow),
        prID, INDEX('PR管理'!$A$4:$A$101, targetRow),
        IF(AND('26414_編集版 のコピー 2'!AF$1 &gt;= startDate, '26414_編集版 のコピー 2'!AF$1 &lt;= delLimit), 
          IFERROR(VLOOKUP(AF42, '新規'!$E$2:$H142, 4, 0), 
          IFERROR(VLOOKUP(AF42, '特殊配信マスタ'!$E$3:$H142, 4, 0), 
          IFERROR(VLOOKUP(AF42, '自動求人✅'!$C$3:$F142, 4, 0), prID))), 
        "")
      )
    )
  )
)</f>
        <v/>
      </c>
      <c r="AH42" s="141" t="str">
        <f t="shared" si="6"/>
        <v/>
      </c>
      <c r="AI42" s="141"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141"/>
      <c r="AK42" s="141"/>
      <c r="AL42" s="139"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140" t="str">
        <f t="array" ref="AM42">IF(AL42="", "", 
  LET(
    targetRow, IFERROR(MATCH(TRUE, BYROW('PR管理'!$J$4:$T$101, LAMBDA(r, COUNTIF(r, AL42)&gt;0)), 0), 0),
    IF(targetRow=0, "",
      LET(
        startDate, INDEX('PR管理'!$C$4:$C$101, targetRow),
        delLimit, INDEX('PR管理'!$F$4:$F$101, targetRow),
        prID, INDEX('PR管理'!$A$4:$A$101, targetRow),
        IF(AND('26414_編集版 のコピー 2'!AL$1 &gt;= startDate, '26414_編集版 のコピー 2'!AL$1 &lt;= delLimit), 
          IFERROR(VLOOKUP(AL42, '新規'!$E$2:$H142, 4, 0), 
          IFERROR(VLOOKUP(AL42, '特殊配信マスタ'!$E$3:$H142, 4, 0), 
          IFERROR(VLOOKUP(AL42, '自動求人✅'!$C$3:$F142, 4, 0), prID))), 
        "")
      )
    )
  )
)</f>
        <v/>
      </c>
      <c r="AN42" s="141" t="str">
        <f t="shared" si="7"/>
        <v/>
      </c>
      <c r="AO42" s="141"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141"/>
      <c r="AQ42" s="141"/>
    </row>
    <row r="43" ht="17.25" customHeight="1">
      <c r="A43" s="138">
        <f>A33+1</f>
        <v>12</v>
      </c>
      <c r="B43" s="139"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140" t="str">
        <f t="array" ref="C43">IF(B43="", "", 
  LET(
    targetRow, IFERROR(MATCH(TRUE, BYROW('PR管理'!$J$4:$T$101, LAMBDA(r, COUNTIF(r, B43)&gt;0)), 0), 0),
    IF(targetRow=0, "",
      LET(
        startDate, INDEX('PR管理'!$C$4:$C$101, targetRow),
        delLimit, INDEX('PR管理'!$F$4:$F$101, targetRow),
        prID, INDEX('PR管理'!$A$4:$A$101, targetRow),
        IF(AND('26414_編集版 のコピー 2'!B$1 &gt;= startDate, '26414_編集版 のコピー 2'!B$1 &lt;= delLimit), 
          IFERROR(VLOOKUP(B43, '新規'!$E$2:$H142, 4, 0), 
          IFERROR(VLOOKUP(B43, '特殊配信マスタ'!$E$3:$H142, 4, 0), 
          IFERROR(VLOOKUP(B43, '自動求人✅'!$C$3:$F142, 4, 0), prID))), 
        "")
      )
    )
  )
)</f>
        <v/>
      </c>
      <c r="D43" s="141" t="str">
        <f t="shared" si="1"/>
        <v/>
      </c>
      <c r="E43" s="141"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141"/>
      <c r="G43" s="141"/>
      <c r="H43" s="139"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140" t="str">
        <f t="array" ref="I43">IF(H43="", "", 
  LET(
    targetRow, IFERROR(MATCH(TRUE, BYROW('PR管理'!$J$4:$T$101, LAMBDA(r, COUNTIF(r, H43)&gt;0)), 0), 0),
    IF(targetRow=0, "",
      LET(
        startDate, INDEX('PR管理'!$C$4:$C$101, targetRow),
        delLimit, INDEX('PR管理'!$F$4:$F$101, targetRow),
        prID, INDEX('PR管理'!$A$4:$A$101, targetRow),
        IF(AND('26414_編集版 のコピー 2'!H$1 &gt;= startDate, '26414_編集版 のコピー 2'!H$1 &lt;= delLimit), 
          IFERROR(VLOOKUP(H43, '新規'!$E$2:$H142, 4, 0), 
          IFERROR(VLOOKUP(H43, '特殊配信マスタ'!$E$3:$H142, 4, 0), 
          IFERROR(VLOOKUP(H43, '自動求人✅'!$C$3:$F142, 4, 0), prID))), 
        "")
      )
    )
  )
)</f>
        <v/>
      </c>
      <c r="J43" s="141" t="str">
        <f t="shared" si="2"/>
        <v/>
      </c>
      <c r="K43" s="141"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141"/>
      <c r="M43" s="141"/>
      <c r="N43" s="139"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140" t="str">
        <f t="array" ref="O43">IF(N43="", "", 
  LET(
    targetRow, IFERROR(MATCH(TRUE, BYROW('PR管理'!$J$4:$T$101, LAMBDA(r, COUNTIF(r, N43)&gt;0)), 0), 0),
    IF(targetRow=0, "",
      LET(
        startDate, INDEX('PR管理'!$C$4:$C$101, targetRow),
        delLimit, INDEX('PR管理'!$F$4:$F$101, targetRow),
        prID, INDEX('PR管理'!$A$4:$A$101, targetRow),
        IF(AND('26414_編集版 のコピー 2'!N$1 &gt;= startDate, '26414_編集版 のコピー 2'!N$1 &lt;= delLimit), 
          IFERROR(VLOOKUP(N43, '新規'!$E$2:$H142, 4, 0), 
          IFERROR(VLOOKUP(N43, '特殊配信マスタ'!$E$3:$H142, 4, 0), 
          IFERROR(VLOOKUP(N43, '自動求人✅'!$C$3:$F142, 4, 0), prID))), 
        "")
      )
    )
  )
)</f>
        <v/>
      </c>
      <c r="P43" s="141" t="str">
        <f t="shared" si="3"/>
        <v/>
      </c>
      <c r="Q43" s="141"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141"/>
      <c r="S43" s="141"/>
      <c r="T43" s="139"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140" t="str">
        <f t="array" ref="U43">IF(T43="", "", 
  LET(
    targetRow, IFERROR(MATCH(TRUE, BYROW('PR管理'!$J$4:$T$101, LAMBDA(r, COUNTIF(r, T43)&gt;0)), 0), 0),
    IF(targetRow=0, "",
      LET(
        startDate, INDEX('PR管理'!$C$4:$C$101, targetRow),
        delLimit, INDEX('PR管理'!$F$4:$F$101, targetRow),
        prID, INDEX('PR管理'!$A$4:$A$101, targetRow),
        IF(AND('26414_編集版 のコピー 2'!T$1 &gt;= startDate, '26414_編集版 のコピー 2'!T$1 &lt;= delLimit), 
          IFERROR(VLOOKUP(T43, '新規'!$E$2:$H142, 4, 0), 
          IFERROR(VLOOKUP(T43, '特殊配信マスタ'!$E$3:$H142, 4, 0), 
          IFERROR(VLOOKUP(T43, '自動求人✅'!$C$3:$F142, 4, 0), prID))), 
        "")
      )
    )
  )
)</f>
        <v/>
      </c>
      <c r="V43" s="141" t="str">
        <f t="shared" si="4"/>
        <v/>
      </c>
      <c r="W43" s="141"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141"/>
      <c r="Y43" s="141"/>
      <c r="Z43" s="139"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140" t="str">
        <f t="array" ref="AA43">IF(Z43="", "", 
  LET(
    targetRow, IFERROR(MATCH(TRUE, BYROW('PR管理'!$J$4:$T$101, LAMBDA(r, COUNTIF(r, Z43)&gt;0)), 0), 0),
    IF(targetRow=0, "",
      LET(
        startDate, INDEX('PR管理'!$C$4:$C$101, targetRow),
        delLimit, INDEX('PR管理'!$F$4:$F$101, targetRow),
        prID, INDEX('PR管理'!$A$4:$A$101, targetRow),
        IF(AND('26414_編集版 のコピー 2'!Z$1 &gt;= startDate, '26414_編集版 のコピー 2'!Z$1 &lt;= delLimit), 
          IFERROR(VLOOKUP(Z43, '新規'!$E$2:$H142, 4, 0), 
          IFERROR(VLOOKUP(Z43, '特殊配信マスタ'!$E$3:$H142, 4, 0), 
          IFERROR(VLOOKUP(Z43, '自動求人✅'!$C$3:$F142, 4, 0), prID))), 
        "")
      )
    )
  )
)</f>
        <v/>
      </c>
      <c r="AB43" s="141" t="str">
        <f t="shared" si="5"/>
        <v/>
      </c>
      <c r="AC43" s="141"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141"/>
      <c r="AE43" s="141"/>
      <c r="AF43" s="139"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140" t="str">
        <f t="array" ref="AG43">IF(AF43="", "", 
  LET(
    targetRow, IFERROR(MATCH(TRUE, BYROW('PR管理'!$J$4:$T$101, LAMBDA(r, COUNTIF(r, AF43)&gt;0)), 0), 0),
    IF(targetRow=0, "",
      LET(
        startDate, INDEX('PR管理'!$C$4:$C$101, targetRow),
        delLimit, INDEX('PR管理'!$F$4:$F$101, targetRow),
        prID, INDEX('PR管理'!$A$4:$A$101, targetRow),
        IF(AND('26414_編集版 のコピー 2'!AF$1 &gt;= startDate, '26414_編集版 のコピー 2'!AF$1 &lt;= delLimit), 
          IFERROR(VLOOKUP(AF43, '新規'!$E$2:$H142, 4, 0), 
          IFERROR(VLOOKUP(AF43, '特殊配信マスタ'!$E$3:$H142, 4, 0), 
          IFERROR(VLOOKUP(AF43, '自動求人✅'!$C$3:$F142, 4, 0), prID))), 
        "")
      )
    )
  )
)</f>
        <v/>
      </c>
      <c r="AH43" s="141" t="str">
        <f t="shared" si="6"/>
        <v/>
      </c>
      <c r="AI43" s="141"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141"/>
      <c r="AK43" s="141"/>
      <c r="AL43" s="139"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140" t="str">
        <f t="array" ref="AM43">IF(AL43="", "", 
  LET(
    targetRow, IFERROR(MATCH(TRUE, BYROW('PR管理'!$J$4:$T$101, LAMBDA(r, COUNTIF(r, AL43)&gt;0)), 0), 0),
    IF(targetRow=0, "",
      LET(
        startDate, INDEX('PR管理'!$C$4:$C$101, targetRow),
        delLimit, INDEX('PR管理'!$F$4:$F$101, targetRow),
        prID, INDEX('PR管理'!$A$4:$A$101, targetRow),
        IF(AND('26414_編集版 のコピー 2'!AL$1 &gt;= startDate, '26414_編集版 のコピー 2'!AL$1 &lt;= delLimit), 
          IFERROR(VLOOKUP(AL43, '新規'!$E$2:$H142, 4, 0), 
          IFERROR(VLOOKUP(AL43, '特殊配信マスタ'!$E$3:$H142, 4, 0), 
          IFERROR(VLOOKUP(AL43, '自動求人✅'!$C$3:$F142, 4, 0), prID))), 
        "")
      )
    )
  )
)</f>
        <v/>
      </c>
      <c r="AN43" s="141" t="str">
        <f t="shared" si="7"/>
        <v/>
      </c>
      <c r="AO43" s="141"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141"/>
      <c r="AQ43" s="141"/>
    </row>
    <row r="44" ht="17.25" customHeight="1">
      <c r="A44" s="142"/>
      <c r="B44" s="139"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140" t="str">
        <f t="array" ref="C44">IF(B44="", "", 
  LET(
    targetRow, IFERROR(MATCH(TRUE, BYROW('PR管理'!$J$4:$T$101, LAMBDA(r, COUNTIF(r, B44)&gt;0)), 0), 0),
    IF(targetRow=0, "",
      LET(
        startDate, INDEX('PR管理'!$C$4:$C$101, targetRow),
        delLimit, INDEX('PR管理'!$F$4:$F$101, targetRow),
        prID, INDEX('PR管理'!$A$4:$A$101, targetRow),
        IF(AND('26414_編集版 のコピー 2'!B$1 &gt;= startDate, '26414_編集版 のコピー 2'!B$1 &lt;= delLimit), 
          IFERROR(VLOOKUP(B44, '新規'!$E$2:$H142, 4, 0), 
          IFERROR(VLOOKUP(B44, '特殊配信マスタ'!$E$3:$H142, 4, 0), 
          IFERROR(VLOOKUP(B44, '自動求人✅'!$C$3:$F142, 4, 0), prID))), 
        "")
      )
    )
  )
)</f>
        <v/>
      </c>
      <c r="D44" s="141" t="str">
        <f t="shared" si="1"/>
        <v/>
      </c>
      <c r="E44" s="141"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141"/>
      <c r="G44" s="141"/>
      <c r="H44" s="139"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140" t="str">
        <f t="array" ref="I44">IF(H44="", "", 
  LET(
    targetRow, IFERROR(MATCH(TRUE, BYROW('PR管理'!$J$4:$T$101, LAMBDA(r, COUNTIF(r, H44)&gt;0)), 0), 0),
    IF(targetRow=0, "",
      LET(
        startDate, INDEX('PR管理'!$C$4:$C$101, targetRow),
        delLimit, INDEX('PR管理'!$F$4:$F$101, targetRow),
        prID, INDEX('PR管理'!$A$4:$A$101, targetRow),
        IF(AND('26414_編集版 のコピー 2'!H$1 &gt;= startDate, '26414_編集版 のコピー 2'!H$1 &lt;= delLimit), 
          IFERROR(VLOOKUP(H44, '新規'!$E$2:$H142, 4, 0), 
          IFERROR(VLOOKUP(H44, '特殊配信マスタ'!$E$3:$H142, 4, 0), 
          IFERROR(VLOOKUP(H44, '自動求人✅'!$C$3:$F142, 4, 0), prID))), 
        "")
      )
    )
  )
)</f>
        <v/>
      </c>
      <c r="J44" s="141" t="str">
        <f t="shared" si="2"/>
        <v/>
      </c>
      <c r="K44" s="141"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141"/>
      <c r="M44" s="141"/>
      <c r="N44" s="139"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140" t="str">
        <f t="array" ref="O44">IF(N44="", "", 
  LET(
    targetRow, IFERROR(MATCH(TRUE, BYROW('PR管理'!$J$4:$T$101, LAMBDA(r, COUNTIF(r, N44)&gt;0)), 0), 0),
    IF(targetRow=0, "",
      LET(
        startDate, INDEX('PR管理'!$C$4:$C$101, targetRow),
        delLimit, INDEX('PR管理'!$F$4:$F$101, targetRow),
        prID, INDEX('PR管理'!$A$4:$A$101, targetRow),
        IF(AND('26414_編集版 のコピー 2'!N$1 &gt;= startDate, '26414_編集版 のコピー 2'!N$1 &lt;= delLimit), 
          IFERROR(VLOOKUP(N44, '新規'!$E$2:$H142, 4, 0), 
          IFERROR(VLOOKUP(N44, '特殊配信マスタ'!$E$3:$H142, 4, 0), 
          IFERROR(VLOOKUP(N44, '自動求人✅'!$C$3:$F142, 4, 0), prID))), 
        "")
      )
    )
  )
)</f>
        <v/>
      </c>
      <c r="P44" s="141" t="str">
        <f t="shared" si="3"/>
        <v/>
      </c>
      <c r="Q44" s="141"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141"/>
      <c r="S44" s="141"/>
      <c r="T44" s="139"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140" t="str">
        <f t="array" ref="U44">IF(T44="", "", 
  LET(
    targetRow, IFERROR(MATCH(TRUE, BYROW('PR管理'!$J$4:$T$101, LAMBDA(r, COUNTIF(r, T44)&gt;0)), 0), 0),
    IF(targetRow=0, "",
      LET(
        startDate, INDEX('PR管理'!$C$4:$C$101, targetRow),
        delLimit, INDEX('PR管理'!$F$4:$F$101, targetRow),
        prID, INDEX('PR管理'!$A$4:$A$101, targetRow),
        IF(AND('26414_編集版 のコピー 2'!T$1 &gt;= startDate, '26414_編集版 のコピー 2'!T$1 &lt;= delLimit), 
          IFERROR(VLOOKUP(T44, '新規'!$E$2:$H142, 4, 0), 
          IFERROR(VLOOKUP(T44, '特殊配信マスタ'!$E$3:$H142, 4, 0), 
          IFERROR(VLOOKUP(T44, '自動求人✅'!$C$3:$F142, 4, 0), prID))), 
        "")
      )
    )
  )
)</f>
        <v/>
      </c>
      <c r="V44" s="141" t="str">
        <f t="shared" si="4"/>
        <v/>
      </c>
      <c r="W44" s="141"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141"/>
      <c r="Y44" s="141"/>
      <c r="Z44" s="139"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140" t="str">
        <f t="array" ref="AA44">IF(Z44="", "", 
  LET(
    targetRow, IFERROR(MATCH(TRUE, BYROW('PR管理'!$J$4:$T$101, LAMBDA(r, COUNTIF(r, Z44)&gt;0)), 0), 0),
    IF(targetRow=0, "",
      LET(
        startDate, INDEX('PR管理'!$C$4:$C$101, targetRow),
        delLimit, INDEX('PR管理'!$F$4:$F$101, targetRow),
        prID, INDEX('PR管理'!$A$4:$A$101, targetRow),
        IF(AND('26414_編集版 のコピー 2'!Z$1 &gt;= startDate, '26414_編集版 のコピー 2'!Z$1 &lt;= delLimit), 
          IFERROR(VLOOKUP(Z44, '新規'!$E$2:$H142, 4, 0), 
          IFERROR(VLOOKUP(Z44, '特殊配信マスタ'!$E$3:$H142, 4, 0), 
          IFERROR(VLOOKUP(Z44, '自動求人✅'!$C$3:$F142, 4, 0), prID))), 
        "")
      )
    )
  )
)</f>
        <v/>
      </c>
      <c r="AB44" s="141" t="str">
        <f t="shared" si="5"/>
        <v/>
      </c>
      <c r="AC44" s="141"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141"/>
      <c r="AE44" s="141"/>
      <c r="AF44" s="139"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140" t="str">
        <f t="array" ref="AG44">IF(AF44="", "", 
  LET(
    targetRow, IFERROR(MATCH(TRUE, BYROW('PR管理'!$J$4:$T$101, LAMBDA(r, COUNTIF(r, AF44)&gt;0)), 0), 0),
    IF(targetRow=0, "",
      LET(
        startDate, INDEX('PR管理'!$C$4:$C$101, targetRow),
        delLimit, INDEX('PR管理'!$F$4:$F$101, targetRow),
        prID, INDEX('PR管理'!$A$4:$A$101, targetRow),
        IF(AND('26414_編集版 のコピー 2'!AF$1 &gt;= startDate, '26414_編集版 のコピー 2'!AF$1 &lt;= delLimit), 
          IFERROR(VLOOKUP(AF44, '新規'!$E$2:$H142, 4, 0), 
          IFERROR(VLOOKUP(AF44, '特殊配信マスタ'!$E$3:$H142, 4, 0), 
          IFERROR(VLOOKUP(AF44, '自動求人✅'!$C$3:$F142, 4, 0), prID))), 
        "")
      )
    )
  )
)</f>
        <v/>
      </c>
      <c r="AH44" s="141" t="str">
        <f t="shared" si="6"/>
        <v/>
      </c>
      <c r="AI44" s="141"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141"/>
      <c r="AK44" s="141"/>
      <c r="AL44" s="139"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140" t="str">
        <f t="array" ref="AM44">IF(AL44="", "", 
  LET(
    targetRow, IFERROR(MATCH(TRUE, BYROW('PR管理'!$J$4:$T$101, LAMBDA(r, COUNTIF(r, AL44)&gt;0)), 0), 0),
    IF(targetRow=0, "",
      LET(
        startDate, INDEX('PR管理'!$C$4:$C$101, targetRow),
        delLimit, INDEX('PR管理'!$F$4:$F$101, targetRow),
        prID, INDEX('PR管理'!$A$4:$A$101, targetRow),
        IF(AND('26414_編集版 のコピー 2'!AL$1 &gt;= startDate, '26414_編集版 のコピー 2'!AL$1 &lt;= delLimit), 
          IFERROR(VLOOKUP(AL44, '新規'!$E$2:$H142, 4, 0), 
          IFERROR(VLOOKUP(AL44, '特殊配信マスタ'!$E$3:$H142, 4, 0), 
          IFERROR(VLOOKUP(AL44, '自動求人✅'!$C$3:$F142, 4, 0), prID))), 
        "")
      )
    )
  )
)</f>
        <v/>
      </c>
      <c r="AN44" s="141" t="str">
        <f t="shared" si="7"/>
        <v/>
      </c>
      <c r="AO44" s="141"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141"/>
      <c r="AQ44" s="141"/>
    </row>
    <row r="45" ht="17.25" customHeight="1">
      <c r="A45" s="142"/>
      <c r="B45" s="139"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140" t="str">
        <f t="array" ref="C45">IF(B45="", "", 
  LET(
    targetRow, IFERROR(MATCH(TRUE, BYROW('PR管理'!$J$4:$T$101, LAMBDA(r, COUNTIF(r, B45)&gt;0)), 0), 0),
    IF(targetRow=0, "",
      LET(
        startDate, INDEX('PR管理'!$C$4:$C$101, targetRow),
        delLimit, INDEX('PR管理'!$F$4:$F$101, targetRow),
        prID, INDEX('PR管理'!$A$4:$A$101, targetRow),
        IF(AND('26414_編集版 のコピー 2'!B$1 &gt;= startDate, '26414_編集版 のコピー 2'!B$1 &lt;= delLimit), 
          IFERROR(VLOOKUP(B45, '新規'!$E$2:$H142, 4, 0), 
          IFERROR(VLOOKUP(B45, '特殊配信マスタ'!$E$3:$H142, 4, 0), 
          IFERROR(VLOOKUP(B45, '自動求人✅'!$C$3:$F142, 4, 0), prID))), 
        "")
      )
    )
  )
)</f>
        <v/>
      </c>
      <c r="D45" s="141" t="str">
        <f t="shared" si="1"/>
        <v/>
      </c>
      <c r="E45" s="141"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141"/>
      <c r="G45" s="141"/>
      <c r="H45" s="139"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140" t="str">
        <f t="array" ref="I45">IF(H45="", "", 
  LET(
    targetRow, IFERROR(MATCH(TRUE, BYROW('PR管理'!$J$4:$T$101, LAMBDA(r, COUNTIF(r, H45)&gt;0)), 0), 0),
    IF(targetRow=0, "",
      LET(
        startDate, INDEX('PR管理'!$C$4:$C$101, targetRow),
        delLimit, INDEX('PR管理'!$F$4:$F$101, targetRow),
        prID, INDEX('PR管理'!$A$4:$A$101, targetRow),
        IF(AND('26414_編集版 のコピー 2'!H$1 &gt;= startDate, '26414_編集版 のコピー 2'!H$1 &lt;= delLimit), 
          IFERROR(VLOOKUP(H45, '新規'!$E$2:$H142, 4, 0), 
          IFERROR(VLOOKUP(H45, '特殊配信マスタ'!$E$3:$H142, 4, 0), 
          IFERROR(VLOOKUP(H45, '自動求人✅'!$C$3:$F142, 4, 0), prID))), 
        "")
      )
    )
  )
)</f>
        <v/>
      </c>
      <c r="J45" s="141" t="str">
        <f t="shared" si="2"/>
        <v/>
      </c>
      <c r="K45" s="141"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141"/>
      <c r="M45" s="141"/>
      <c r="N45" s="139"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140" t="str">
        <f t="array" ref="O45">IF(N45="", "", 
  LET(
    targetRow, IFERROR(MATCH(TRUE, BYROW('PR管理'!$J$4:$T$101, LAMBDA(r, COUNTIF(r, N45)&gt;0)), 0), 0),
    IF(targetRow=0, "",
      LET(
        startDate, INDEX('PR管理'!$C$4:$C$101, targetRow),
        delLimit, INDEX('PR管理'!$F$4:$F$101, targetRow),
        prID, INDEX('PR管理'!$A$4:$A$101, targetRow),
        IF(AND('26414_編集版 のコピー 2'!N$1 &gt;= startDate, '26414_編集版 のコピー 2'!N$1 &lt;= delLimit), 
          IFERROR(VLOOKUP(N45, '新規'!$E$2:$H142, 4, 0), 
          IFERROR(VLOOKUP(N45, '特殊配信マスタ'!$E$3:$H142, 4, 0), 
          IFERROR(VLOOKUP(N45, '自動求人✅'!$C$3:$F142, 4, 0), prID))), 
        "")
      )
    )
  )
)</f>
        <v/>
      </c>
      <c r="P45" s="141" t="str">
        <f t="shared" si="3"/>
        <v/>
      </c>
      <c r="Q45" s="141"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141"/>
      <c r="S45" s="141"/>
      <c r="T45" s="139"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140" t="str">
        <f t="array" ref="U45">IF(T45="", "", 
  LET(
    targetRow, IFERROR(MATCH(TRUE, BYROW('PR管理'!$J$4:$T$101, LAMBDA(r, COUNTIF(r, T45)&gt;0)), 0), 0),
    IF(targetRow=0, "",
      LET(
        startDate, INDEX('PR管理'!$C$4:$C$101, targetRow),
        delLimit, INDEX('PR管理'!$F$4:$F$101, targetRow),
        prID, INDEX('PR管理'!$A$4:$A$101, targetRow),
        IF(AND('26414_編集版 のコピー 2'!T$1 &gt;= startDate, '26414_編集版 のコピー 2'!T$1 &lt;= delLimit), 
          IFERROR(VLOOKUP(T45, '新規'!$E$2:$H142, 4, 0), 
          IFERROR(VLOOKUP(T45, '特殊配信マスタ'!$E$3:$H142, 4, 0), 
          IFERROR(VLOOKUP(T45, '自動求人✅'!$C$3:$F142, 4, 0), prID))), 
        "")
      )
    )
  )
)</f>
        <v/>
      </c>
      <c r="V45" s="141" t="str">
        <f t="shared" si="4"/>
        <v/>
      </c>
      <c r="W45" s="141"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141"/>
      <c r="Y45" s="141"/>
      <c r="Z45" s="139"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140" t="str">
        <f t="array" ref="AA45">IF(Z45="", "", 
  LET(
    targetRow, IFERROR(MATCH(TRUE, BYROW('PR管理'!$J$4:$T$101, LAMBDA(r, COUNTIF(r, Z45)&gt;0)), 0), 0),
    IF(targetRow=0, "",
      LET(
        startDate, INDEX('PR管理'!$C$4:$C$101, targetRow),
        delLimit, INDEX('PR管理'!$F$4:$F$101, targetRow),
        prID, INDEX('PR管理'!$A$4:$A$101, targetRow),
        IF(AND('26414_編集版 のコピー 2'!Z$1 &gt;= startDate, '26414_編集版 のコピー 2'!Z$1 &lt;= delLimit), 
          IFERROR(VLOOKUP(Z45, '新規'!$E$2:$H142, 4, 0), 
          IFERROR(VLOOKUP(Z45, '特殊配信マスタ'!$E$3:$H142, 4, 0), 
          IFERROR(VLOOKUP(Z45, '自動求人✅'!$C$3:$F142, 4, 0), prID))), 
        "")
      )
    )
  )
)</f>
        <v/>
      </c>
      <c r="AB45" s="141" t="str">
        <f t="shared" si="5"/>
        <v/>
      </c>
      <c r="AC45" s="141"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141"/>
      <c r="AE45" s="141"/>
      <c r="AF45" s="139"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140" t="str">
        <f t="array" ref="AG45">IF(AF45="", "", 
  LET(
    targetRow, IFERROR(MATCH(TRUE, BYROW('PR管理'!$J$4:$T$101, LAMBDA(r, COUNTIF(r, AF45)&gt;0)), 0), 0),
    IF(targetRow=0, "",
      LET(
        startDate, INDEX('PR管理'!$C$4:$C$101, targetRow),
        delLimit, INDEX('PR管理'!$F$4:$F$101, targetRow),
        prID, INDEX('PR管理'!$A$4:$A$101, targetRow),
        IF(AND('26414_編集版 のコピー 2'!AF$1 &gt;= startDate, '26414_編集版 のコピー 2'!AF$1 &lt;= delLimit), 
          IFERROR(VLOOKUP(AF45, '新規'!$E$2:$H142, 4, 0), 
          IFERROR(VLOOKUP(AF45, '特殊配信マスタ'!$E$3:$H142, 4, 0), 
          IFERROR(VLOOKUP(AF45, '自動求人✅'!$C$3:$F142, 4, 0), prID))), 
        "")
      )
    )
  )
)</f>
        <v/>
      </c>
      <c r="AH45" s="141" t="str">
        <f t="shared" si="6"/>
        <v/>
      </c>
      <c r="AI45" s="141"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141"/>
      <c r="AK45" s="141"/>
      <c r="AL45" s="139"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140" t="str">
        <f t="array" ref="AM45">IF(AL45="", "", 
  LET(
    targetRow, IFERROR(MATCH(TRUE, BYROW('PR管理'!$J$4:$T$101, LAMBDA(r, COUNTIF(r, AL45)&gt;0)), 0), 0),
    IF(targetRow=0, "",
      LET(
        startDate, INDEX('PR管理'!$C$4:$C$101, targetRow),
        delLimit, INDEX('PR管理'!$F$4:$F$101, targetRow),
        prID, INDEX('PR管理'!$A$4:$A$101, targetRow),
        IF(AND('26414_編集版 のコピー 2'!AL$1 &gt;= startDate, '26414_編集版 のコピー 2'!AL$1 &lt;= delLimit), 
          IFERROR(VLOOKUP(AL45, '新規'!$E$2:$H142, 4, 0), 
          IFERROR(VLOOKUP(AL45, '特殊配信マスタ'!$E$3:$H142, 4, 0), 
          IFERROR(VLOOKUP(AL45, '自動求人✅'!$C$3:$F142, 4, 0), prID))), 
        "")
      )
    )
  )
)</f>
        <v/>
      </c>
      <c r="AN45" s="141" t="str">
        <f t="shared" si="7"/>
        <v/>
      </c>
      <c r="AO45" s="141"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141"/>
      <c r="AQ45" s="141"/>
    </row>
    <row r="46" ht="17.25" customHeight="1">
      <c r="A46" s="142"/>
      <c r="B46" s="139"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140" t="str">
        <f t="array" ref="C46">IF(B46="", "", 
  LET(
    targetRow, IFERROR(MATCH(TRUE, BYROW('PR管理'!$J$4:$T$101, LAMBDA(r, COUNTIF(r, B46)&gt;0)), 0), 0),
    IF(targetRow=0, "",
      LET(
        startDate, INDEX('PR管理'!$C$4:$C$101, targetRow),
        delLimit, INDEX('PR管理'!$F$4:$F$101, targetRow),
        prID, INDEX('PR管理'!$A$4:$A$101, targetRow),
        IF(AND('26414_編集版 のコピー 2'!B$1 &gt;= startDate, '26414_編集版 のコピー 2'!B$1 &lt;= delLimit), 
          IFERROR(VLOOKUP(B46, '新規'!$E$2:$H142, 4, 0), 
          IFERROR(VLOOKUP(B46, '特殊配信マスタ'!$E$3:$H142, 4, 0), 
          IFERROR(VLOOKUP(B46, '自動求人✅'!$C$3:$F142, 4, 0), prID))), 
        "")
      )
    )
  )
)</f>
        <v/>
      </c>
      <c r="D46" s="141" t="str">
        <f t="shared" si="1"/>
        <v/>
      </c>
      <c r="E46" s="141"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141"/>
      <c r="G46" s="141"/>
      <c r="H46" s="139"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140" t="str">
        <f t="array" ref="I46">IF(H46="", "", 
  LET(
    targetRow, IFERROR(MATCH(TRUE, BYROW('PR管理'!$J$4:$T$101, LAMBDA(r, COUNTIF(r, H46)&gt;0)), 0), 0),
    IF(targetRow=0, "",
      LET(
        startDate, INDEX('PR管理'!$C$4:$C$101, targetRow),
        delLimit, INDEX('PR管理'!$F$4:$F$101, targetRow),
        prID, INDEX('PR管理'!$A$4:$A$101, targetRow),
        IF(AND('26414_編集版 のコピー 2'!H$1 &gt;= startDate, '26414_編集版 のコピー 2'!H$1 &lt;= delLimit), 
          IFERROR(VLOOKUP(H46, '新規'!$E$2:$H142, 4, 0), 
          IFERROR(VLOOKUP(H46, '特殊配信マスタ'!$E$3:$H142, 4, 0), 
          IFERROR(VLOOKUP(H46, '自動求人✅'!$C$3:$F142, 4, 0), prID))), 
        "")
      )
    )
  )
)</f>
        <v/>
      </c>
      <c r="J46" s="141" t="str">
        <f t="shared" si="2"/>
        <v/>
      </c>
      <c r="K46" s="141"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141"/>
      <c r="M46" s="141"/>
      <c r="N46" s="139"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140" t="str">
        <f t="array" ref="O46">IF(N46="", "", 
  LET(
    targetRow, IFERROR(MATCH(TRUE, BYROW('PR管理'!$J$4:$T$101, LAMBDA(r, COUNTIF(r, N46)&gt;0)), 0), 0),
    IF(targetRow=0, "",
      LET(
        startDate, INDEX('PR管理'!$C$4:$C$101, targetRow),
        delLimit, INDEX('PR管理'!$F$4:$F$101, targetRow),
        prID, INDEX('PR管理'!$A$4:$A$101, targetRow),
        IF(AND('26414_編集版 のコピー 2'!N$1 &gt;= startDate, '26414_編集版 のコピー 2'!N$1 &lt;= delLimit), 
          IFERROR(VLOOKUP(N46, '新規'!$E$2:$H142, 4, 0), 
          IFERROR(VLOOKUP(N46, '特殊配信マスタ'!$E$3:$H142, 4, 0), 
          IFERROR(VLOOKUP(N46, '自動求人✅'!$C$3:$F142, 4, 0), prID))), 
        "")
      )
    )
  )
)</f>
        <v/>
      </c>
      <c r="P46" s="141" t="str">
        <f t="shared" si="3"/>
        <v/>
      </c>
      <c r="Q46" s="141"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141"/>
      <c r="S46" s="141"/>
      <c r="T46" s="139"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140" t="str">
        <f t="array" ref="U46">IF(T46="", "", 
  LET(
    targetRow, IFERROR(MATCH(TRUE, BYROW('PR管理'!$J$4:$T$101, LAMBDA(r, COUNTIF(r, T46)&gt;0)), 0), 0),
    IF(targetRow=0, "",
      LET(
        startDate, INDEX('PR管理'!$C$4:$C$101, targetRow),
        delLimit, INDEX('PR管理'!$F$4:$F$101, targetRow),
        prID, INDEX('PR管理'!$A$4:$A$101, targetRow),
        IF(AND('26414_編集版 のコピー 2'!T$1 &gt;= startDate, '26414_編集版 のコピー 2'!T$1 &lt;= delLimit), 
          IFERROR(VLOOKUP(T46, '新規'!$E$2:$H142, 4, 0), 
          IFERROR(VLOOKUP(T46, '特殊配信マスタ'!$E$3:$H142, 4, 0), 
          IFERROR(VLOOKUP(T46, '自動求人✅'!$C$3:$F142, 4, 0), prID))), 
        "")
      )
    )
  )
)</f>
        <v/>
      </c>
      <c r="V46" s="141" t="str">
        <f t="shared" si="4"/>
        <v/>
      </c>
      <c r="W46" s="141"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141"/>
      <c r="Y46" s="141"/>
      <c r="Z46" s="139"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140" t="str">
        <f t="array" ref="AA46">IF(Z46="", "", 
  LET(
    targetRow, IFERROR(MATCH(TRUE, BYROW('PR管理'!$J$4:$T$101, LAMBDA(r, COUNTIF(r, Z46)&gt;0)), 0), 0),
    IF(targetRow=0, "",
      LET(
        startDate, INDEX('PR管理'!$C$4:$C$101, targetRow),
        delLimit, INDEX('PR管理'!$F$4:$F$101, targetRow),
        prID, INDEX('PR管理'!$A$4:$A$101, targetRow),
        IF(AND('26414_編集版 のコピー 2'!Z$1 &gt;= startDate, '26414_編集版 のコピー 2'!Z$1 &lt;= delLimit), 
          IFERROR(VLOOKUP(Z46, '新規'!$E$2:$H142, 4, 0), 
          IFERROR(VLOOKUP(Z46, '特殊配信マスタ'!$E$3:$H142, 4, 0), 
          IFERROR(VLOOKUP(Z46, '自動求人✅'!$C$3:$F142, 4, 0), prID))), 
        "")
      )
    )
  )
)</f>
        <v/>
      </c>
      <c r="AB46" s="141" t="str">
        <f t="shared" si="5"/>
        <v/>
      </c>
      <c r="AC46" s="141"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141"/>
      <c r="AE46" s="141"/>
      <c r="AF46" s="139"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140" t="str">
        <f t="array" ref="AG46">IF(AF46="", "", 
  LET(
    targetRow, IFERROR(MATCH(TRUE, BYROW('PR管理'!$J$4:$T$101, LAMBDA(r, COUNTIF(r, AF46)&gt;0)), 0), 0),
    IF(targetRow=0, "",
      LET(
        startDate, INDEX('PR管理'!$C$4:$C$101, targetRow),
        delLimit, INDEX('PR管理'!$F$4:$F$101, targetRow),
        prID, INDEX('PR管理'!$A$4:$A$101, targetRow),
        IF(AND('26414_編集版 のコピー 2'!AF$1 &gt;= startDate, '26414_編集版 のコピー 2'!AF$1 &lt;= delLimit), 
          IFERROR(VLOOKUP(AF46, '新規'!$E$2:$H142, 4, 0), 
          IFERROR(VLOOKUP(AF46, '特殊配信マスタ'!$E$3:$H142, 4, 0), 
          IFERROR(VLOOKUP(AF46, '自動求人✅'!$C$3:$F142, 4, 0), prID))), 
        "")
      )
    )
  )
)</f>
        <v/>
      </c>
      <c r="AH46" s="141" t="str">
        <f t="shared" si="6"/>
        <v/>
      </c>
      <c r="AI46" s="141"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141"/>
      <c r="AK46" s="141"/>
      <c r="AL46" s="139"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140" t="str">
        <f t="array" ref="AM46">IF(AL46="", "", 
  LET(
    targetRow, IFERROR(MATCH(TRUE, BYROW('PR管理'!$J$4:$T$101, LAMBDA(r, COUNTIF(r, AL46)&gt;0)), 0), 0),
    IF(targetRow=0, "",
      LET(
        startDate, INDEX('PR管理'!$C$4:$C$101, targetRow),
        delLimit, INDEX('PR管理'!$F$4:$F$101, targetRow),
        prID, INDEX('PR管理'!$A$4:$A$101, targetRow),
        IF(AND('26414_編集版 のコピー 2'!AL$1 &gt;= startDate, '26414_編集版 のコピー 2'!AL$1 &lt;= delLimit), 
          IFERROR(VLOOKUP(AL46, '新規'!$E$2:$H142, 4, 0), 
          IFERROR(VLOOKUP(AL46, '特殊配信マスタ'!$E$3:$H142, 4, 0), 
          IFERROR(VLOOKUP(AL46, '自動求人✅'!$C$3:$F142, 4, 0), prID))), 
        "")
      )
    )
  )
)</f>
        <v/>
      </c>
      <c r="AN46" s="141" t="str">
        <f t="shared" si="7"/>
        <v/>
      </c>
      <c r="AO46" s="141"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141"/>
      <c r="AQ46" s="141"/>
    </row>
    <row r="47" ht="17.25" customHeight="1">
      <c r="A47" s="142"/>
      <c r="B47" s="139"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140" t="str">
        <f t="array" ref="C47">IF(B47="", "", 
  LET(
    targetRow, IFERROR(MATCH(TRUE, BYROW('PR管理'!$J$4:$T$101, LAMBDA(r, COUNTIF(r, B47)&gt;0)), 0), 0),
    IF(targetRow=0, "",
      LET(
        startDate, INDEX('PR管理'!$C$4:$C$101, targetRow),
        delLimit, INDEX('PR管理'!$F$4:$F$101, targetRow),
        prID, INDEX('PR管理'!$A$4:$A$101, targetRow),
        IF(AND('26414_編集版 のコピー 2'!B$1 &gt;= startDate, '26414_編集版 のコピー 2'!B$1 &lt;= delLimit), 
          IFERROR(VLOOKUP(B47, '新規'!$E$2:$H142, 4, 0), 
          IFERROR(VLOOKUP(B47, '特殊配信マスタ'!$E$3:$H142, 4, 0), 
          IFERROR(VLOOKUP(B47, '自動求人✅'!$C$3:$F142, 4, 0), prID))), 
        "")
      )
    )
  )
)</f>
        <v/>
      </c>
      <c r="D47" s="141" t="str">
        <f t="shared" si="1"/>
        <v/>
      </c>
      <c r="E47" s="141"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141"/>
      <c r="G47" s="141"/>
      <c r="H47" s="139"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140" t="str">
        <f t="array" ref="I47">IF(H47="", "", 
  LET(
    targetRow, IFERROR(MATCH(TRUE, BYROW('PR管理'!$J$4:$T$101, LAMBDA(r, COUNTIF(r, H47)&gt;0)), 0), 0),
    IF(targetRow=0, "",
      LET(
        startDate, INDEX('PR管理'!$C$4:$C$101, targetRow),
        delLimit, INDEX('PR管理'!$F$4:$F$101, targetRow),
        prID, INDEX('PR管理'!$A$4:$A$101, targetRow),
        IF(AND('26414_編集版 のコピー 2'!H$1 &gt;= startDate, '26414_編集版 のコピー 2'!H$1 &lt;= delLimit), 
          IFERROR(VLOOKUP(H47, '新規'!$E$2:$H142, 4, 0), 
          IFERROR(VLOOKUP(H47, '特殊配信マスタ'!$E$3:$H142, 4, 0), 
          IFERROR(VLOOKUP(H47, '自動求人✅'!$C$3:$F142, 4, 0), prID))), 
        "")
      )
    )
  )
)</f>
        <v/>
      </c>
      <c r="J47" s="141" t="str">
        <f t="shared" si="2"/>
        <v/>
      </c>
      <c r="K47" s="141"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141"/>
      <c r="M47" s="141"/>
      <c r="N47" s="139"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140" t="str">
        <f t="array" ref="O47">IF(N47="", "", 
  LET(
    targetRow, IFERROR(MATCH(TRUE, BYROW('PR管理'!$J$4:$T$101, LAMBDA(r, COUNTIF(r, N47)&gt;0)), 0), 0),
    IF(targetRow=0, "",
      LET(
        startDate, INDEX('PR管理'!$C$4:$C$101, targetRow),
        delLimit, INDEX('PR管理'!$F$4:$F$101, targetRow),
        prID, INDEX('PR管理'!$A$4:$A$101, targetRow),
        IF(AND('26414_編集版 のコピー 2'!N$1 &gt;= startDate, '26414_編集版 のコピー 2'!N$1 &lt;= delLimit), 
          IFERROR(VLOOKUP(N47, '新規'!$E$2:$H142, 4, 0), 
          IFERROR(VLOOKUP(N47, '特殊配信マスタ'!$E$3:$H142, 4, 0), 
          IFERROR(VLOOKUP(N47, '自動求人✅'!$C$3:$F142, 4, 0), prID))), 
        "")
      )
    )
  )
)</f>
        <v/>
      </c>
      <c r="P47" s="141" t="str">
        <f t="shared" si="3"/>
        <v/>
      </c>
      <c r="Q47" s="141"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141"/>
      <c r="S47" s="141"/>
      <c r="T47" s="139"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140" t="str">
        <f t="array" ref="U47">IF(T47="", "", 
  LET(
    targetRow, IFERROR(MATCH(TRUE, BYROW('PR管理'!$J$4:$T$101, LAMBDA(r, COUNTIF(r, T47)&gt;0)), 0), 0),
    IF(targetRow=0, "",
      LET(
        startDate, INDEX('PR管理'!$C$4:$C$101, targetRow),
        delLimit, INDEX('PR管理'!$F$4:$F$101, targetRow),
        prID, INDEX('PR管理'!$A$4:$A$101, targetRow),
        IF(AND('26414_編集版 のコピー 2'!T$1 &gt;= startDate, '26414_編集版 のコピー 2'!T$1 &lt;= delLimit), 
          IFERROR(VLOOKUP(T47, '新規'!$E$2:$H142, 4, 0), 
          IFERROR(VLOOKUP(T47, '特殊配信マスタ'!$E$3:$H142, 4, 0), 
          IFERROR(VLOOKUP(T47, '自動求人✅'!$C$3:$F142, 4, 0), prID))), 
        "")
      )
    )
  )
)</f>
        <v/>
      </c>
      <c r="V47" s="141" t="str">
        <f t="shared" si="4"/>
        <v/>
      </c>
      <c r="W47" s="141"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141"/>
      <c r="Y47" s="141"/>
      <c r="Z47" s="139"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140" t="str">
        <f t="array" ref="AA47">IF(Z47="", "", 
  LET(
    targetRow, IFERROR(MATCH(TRUE, BYROW('PR管理'!$J$4:$T$101, LAMBDA(r, COUNTIF(r, Z47)&gt;0)), 0), 0),
    IF(targetRow=0, "",
      LET(
        startDate, INDEX('PR管理'!$C$4:$C$101, targetRow),
        delLimit, INDEX('PR管理'!$F$4:$F$101, targetRow),
        prID, INDEX('PR管理'!$A$4:$A$101, targetRow),
        IF(AND('26414_編集版 のコピー 2'!Z$1 &gt;= startDate, '26414_編集版 のコピー 2'!Z$1 &lt;= delLimit), 
          IFERROR(VLOOKUP(Z47, '新規'!$E$2:$H142, 4, 0), 
          IFERROR(VLOOKUP(Z47, '特殊配信マスタ'!$E$3:$H142, 4, 0), 
          IFERROR(VLOOKUP(Z47, '自動求人✅'!$C$3:$F142, 4, 0), prID))), 
        "")
      )
    )
  )
)</f>
        <v/>
      </c>
      <c r="AB47" s="141" t="str">
        <f t="shared" si="5"/>
        <v/>
      </c>
      <c r="AC47" s="141"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141"/>
      <c r="AE47" s="141"/>
      <c r="AF47" s="139"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140" t="str">
        <f t="array" ref="AG47">IF(AF47="", "", 
  LET(
    targetRow, IFERROR(MATCH(TRUE, BYROW('PR管理'!$J$4:$T$101, LAMBDA(r, COUNTIF(r, AF47)&gt;0)), 0), 0),
    IF(targetRow=0, "",
      LET(
        startDate, INDEX('PR管理'!$C$4:$C$101, targetRow),
        delLimit, INDEX('PR管理'!$F$4:$F$101, targetRow),
        prID, INDEX('PR管理'!$A$4:$A$101, targetRow),
        IF(AND('26414_編集版 のコピー 2'!AF$1 &gt;= startDate, '26414_編集版 のコピー 2'!AF$1 &lt;= delLimit), 
          IFERROR(VLOOKUP(AF47, '新規'!$E$2:$H142, 4, 0), 
          IFERROR(VLOOKUP(AF47, '特殊配信マスタ'!$E$3:$H142, 4, 0), 
          IFERROR(VLOOKUP(AF47, '自動求人✅'!$C$3:$F142, 4, 0), prID))), 
        "")
      )
    )
  )
)</f>
        <v/>
      </c>
      <c r="AH47" s="141" t="str">
        <f t="shared" si="6"/>
        <v/>
      </c>
      <c r="AI47" s="141"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141"/>
      <c r="AK47" s="141"/>
      <c r="AL47" s="139"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140" t="str">
        <f t="array" ref="AM47">IF(AL47="", "", 
  LET(
    targetRow, IFERROR(MATCH(TRUE, BYROW('PR管理'!$J$4:$T$101, LAMBDA(r, COUNTIF(r, AL47)&gt;0)), 0), 0),
    IF(targetRow=0, "",
      LET(
        startDate, INDEX('PR管理'!$C$4:$C$101, targetRow),
        delLimit, INDEX('PR管理'!$F$4:$F$101, targetRow),
        prID, INDEX('PR管理'!$A$4:$A$101, targetRow),
        IF(AND('26414_編集版 のコピー 2'!AL$1 &gt;= startDate, '26414_編集版 のコピー 2'!AL$1 &lt;= delLimit), 
          IFERROR(VLOOKUP(AL47, '新規'!$E$2:$H142, 4, 0), 
          IFERROR(VLOOKUP(AL47, '特殊配信マスタ'!$E$3:$H142, 4, 0), 
          IFERROR(VLOOKUP(AL47, '自動求人✅'!$C$3:$F142, 4, 0), prID))), 
        "")
      )
    )
  )
)</f>
        <v/>
      </c>
      <c r="AN47" s="141" t="str">
        <f t="shared" si="7"/>
        <v/>
      </c>
      <c r="AO47" s="141"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141"/>
      <c r="AQ47" s="141"/>
    </row>
    <row r="48" ht="17.25" customHeight="1">
      <c r="A48" s="142"/>
      <c r="B48" s="139"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140" t="str">
        <f t="array" ref="C48">IF(B48="", "", 
  LET(
    targetRow, IFERROR(MATCH(TRUE, BYROW('PR管理'!$J$4:$T$101, LAMBDA(r, COUNTIF(r, B48)&gt;0)), 0), 0),
    IF(targetRow=0, "",
      LET(
        startDate, INDEX('PR管理'!$C$4:$C$101, targetRow),
        delLimit, INDEX('PR管理'!$F$4:$F$101, targetRow),
        prID, INDEX('PR管理'!$A$4:$A$101, targetRow),
        IF(AND('26414_編集版 のコピー 2'!B$1 &gt;= startDate, '26414_編集版 のコピー 2'!B$1 &lt;= delLimit), 
          IFERROR(VLOOKUP(B48, '新規'!$E$2:$H142, 4, 0), 
          IFERROR(VLOOKUP(B48, '特殊配信マスタ'!$E$3:$H142, 4, 0), 
          IFERROR(VLOOKUP(B48, '自動求人✅'!$C$3:$F142, 4, 0), prID))), 
        "")
      )
    )
  )
)</f>
        <v/>
      </c>
      <c r="D48" s="141" t="str">
        <f t="shared" si="1"/>
        <v/>
      </c>
      <c r="E48" s="141"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141"/>
      <c r="G48" s="141"/>
      <c r="H48" s="139"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140" t="str">
        <f t="array" ref="I48">IF(H48="", "", 
  LET(
    targetRow, IFERROR(MATCH(TRUE, BYROW('PR管理'!$J$4:$T$101, LAMBDA(r, COUNTIF(r, H48)&gt;0)), 0), 0),
    IF(targetRow=0, "",
      LET(
        startDate, INDEX('PR管理'!$C$4:$C$101, targetRow),
        delLimit, INDEX('PR管理'!$F$4:$F$101, targetRow),
        prID, INDEX('PR管理'!$A$4:$A$101, targetRow),
        IF(AND('26414_編集版 のコピー 2'!H$1 &gt;= startDate, '26414_編集版 のコピー 2'!H$1 &lt;= delLimit), 
          IFERROR(VLOOKUP(H48, '新規'!$E$2:$H142, 4, 0), 
          IFERROR(VLOOKUP(H48, '特殊配信マスタ'!$E$3:$H142, 4, 0), 
          IFERROR(VLOOKUP(H48, '自動求人✅'!$C$3:$F142, 4, 0), prID))), 
        "")
      )
    )
  )
)</f>
        <v/>
      </c>
      <c r="J48" s="141" t="str">
        <f t="shared" si="2"/>
        <v/>
      </c>
      <c r="K48" s="141"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141"/>
      <c r="M48" s="141"/>
      <c r="N48" s="139"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140" t="str">
        <f t="array" ref="O48">IF(N48="", "", 
  LET(
    targetRow, IFERROR(MATCH(TRUE, BYROW('PR管理'!$J$4:$T$101, LAMBDA(r, COUNTIF(r, N48)&gt;0)), 0), 0),
    IF(targetRow=0, "",
      LET(
        startDate, INDEX('PR管理'!$C$4:$C$101, targetRow),
        delLimit, INDEX('PR管理'!$F$4:$F$101, targetRow),
        prID, INDEX('PR管理'!$A$4:$A$101, targetRow),
        IF(AND('26414_編集版 のコピー 2'!N$1 &gt;= startDate, '26414_編集版 のコピー 2'!N$1 &lt;= delLimit), 
          IFERROR(VLOOKUP(N48, '新規'!$E$2:$H142, 4, 0), 
          IFERROR(VLOOKUP(N48, '特殊配信マスタ'!$E$3:$H142, 4, 0), 
          IFERROR(VLOOKUP(N48, '自動求人✅'!$C$3:$F142, 4, 0), prID))), 
        "")
      )
    )
  )
)</f>
        <v/>
      </c>
      <c r="P48" s="141" t="str">
        <f t="shared" si="3"/>
        <v/>
      </c>
      <c r="Q48" s="141"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141"/>
      <c r="S48" s="141"/>
      <c r="T48" s="139"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140" t="str">
        <f t="array" ref="U48">IF(T48="", "", 
  LET(
    targetRow, IFERROR(MATCH(TRUE, BYROW('PR管理'!$J$4:$T$101, LAMBDA(r, COUNTIF(r, T48)&gt;0)), 0), 0),
    IF(targetRow=0, "",
      LET(
        startDate, INDEX('PR管理'!$C$4:$C$101, targetRow),
        delLimit, INDEX('PR管理'!$F$4:$F$101, targetRow),
        prID, INDEX('PR管理'!$A$4:$A$101, targetRow),
        IF(AND('26414_編集版 のコピー 2'!T$1 &gt;= startDate, '26414_編集版 のコピー 2'!T$1 &lt;= delLimit), 
          IFERROR(VLOOKUP(T48, '新規'!$E$2:$H142, 4, 0), 
          IFERROR(VLOOKUP(T48, '特殊配信マスタ'!$E$3:$H142, 4, 0), 
          IFERROR(VLOOKUP(T48, '自動求人✅'!$C$3:$F142, 4, 0), prID))), 
        "")
      )
    )
  )
)</f>
        <v/>
      </c>
      <c r="V48" s="141" t="str">
        <f t="shared" si="4"/>
        <v/>
      </c>
      <c r="W48" s="141"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141"/>
      <c r="Y48" s="141"/>
      <c r="Z48" s="139"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140" t="str">
        <f t="array" ref="AA48">IF(Z48="", "", 
  LET(
    targetRow, IFERROR(MATCH(TRUE, BYROW('PR管理'!$J$4:$T$101, LAMBDA(r, COUNTIF(r, Z48)&gt;0)), 0), 0),
    IF(targetRow=0, "",
      LET(
        startDate, INDEX('PR管理'!$C$4:$C$101, targetRow),
        delLimit, INDEX('PR管理'!$F$4:$F$101, targetRow),
        prID, INDEX('PR管理'!$A$4:$A$101, targetRow),
        IF(AND('26414_編集版 のコピー 2'!Z$1 &gt;= startDate, '26414_編集版 のコピー 2'!Z$1 &lt;= delLimit), 
          IFERROR(VLOOKUP(Z48, '新規'!$E$2:$H142, 4, 0), 
          IFERROR(VLOOKUP(Z48, '特殊配信マスタ'!$E$3:$H142, 4, 0), 
          IFERROR(VLOOKUP(Z48, '自動求人✅'!$C$3:$F142, 4, 0), prID))), 
        "")
      )
    )
  )
)</f>
        <v/>
      </c>
      <c r="AB48" s="141" t="str">
        <f t="shared" si="5"/>
        <v/>
      </c>
      <c r="AC48" s="141"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141"/>
      <c r="AE48" s="141"/>
      <c r="AF48" s="139"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140" t="str">
        <f t="array" ref="AG48">IF(AF48="", "", 
  LET(
    targetRow, IFERROR(MATCH(TRUE, BYROW('PR管理'!$J$4:$T$101, LAMBDA(r, COUNTIF(r, AF48)&gt;0)), 0), 0),
    IF(targetRow=0, "",
      LET(
        startDate, INDEX('PR管理'!$C$4:$C$101, targetRow),
        delLimit, INDEX('PR管理'!$F$4:$F$101, targetRow),
        prID, INDEX('PR管理'!$A$4:$A$101, targetRow),
        IF(AND('26414_編集版 のコピー 2'!AF$1 &gt;= startDate, '26414_編集版 のコピー 2'!AF$1 &lt;= delLimit), 
          IFERROR(VLOOKUP(AF48, '新規'!$E$2:$H142, 4, 0), 
          IFERROR(VLOOKUP(AF48, '特殊配信マスタ'!$E$3:$H142, 4, 0), 
          IFERROR(VLOOKUP(AF48, '自動求人✅'!$C$3:$F142, 4, 0), prID))), 
        "")
      )
    )
  )
)</f>
        <v/>
      </c>
      <c r="AH48" s="141" t="str">
        <f t="shared" si="6"/>
        <v/>
      </c>
      <c r="AI48" s="141"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141"/>
      <c r="AK48" s="141"/>
      <c r="AL48" s="139"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140" t="str">
        <f t="array" ref="AM48">IF(AL48="", "", 
  LET(
    targetRow, IFERROR(MATCH(TRUE, BYROW('PR管理'!$J$4:$T$101, LAMBDA(r, COUNTIF(r, AL48)&gt;0)), 0), 0),
    IF(targetRow=0, "",
      LET(
        startDate, INDEX('PR管理'!$C$4:$C$101, targetRow),
        delLimit, INDEX('PR管理'!$F$4:$F$101, targetRow),
        prID, INDEX('PR管理'!$A$4:$A$101, targetRow),
        IF(AND('26414_編集版 のコピー 2'!AL$1 &gt;= startDate, '26414_編集版 のコピー 2'!AL$1 &lt;= delLimit), 
          IFERROR(VLOOKUP(AL48, '新規'!$E$2:$H142, 4, 0), 
          IFERROR(VLOOKUP(AL48, '特殊配信マスタ'!$E$3:$H142, 4, 0), 
          IFERROR(VLOOKUP(AL48, '自動求人✅'!$C$3:$F142, 4, 0), prID))), 
        "")
      )
    )
  )
)</f>
        <v/>
      </c>
      <c r="AN48" s="141" t="str">
        <f t="shared" si="7"/>
        <v/>
      </c>
      <c r="AO48" s="141"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141"/>
      <c r="AQ48" s="141"/>
    </row>
    <row r="49" ht="17.25" customHeight="1">
      <c r="A49" s="142"/>
      <c r="B49" s="139"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140" t="str">
        <f t="array" ref="C49">IF(B49="", "", 
  LET(
    targetRow, IFERROR(MATCH(TRUE, BYROW('PR管理'!$J$4:$T$101, LAMBDA(r, COUNTIF(r, B49)&gt;0)), 0), 0),
    IF(targetRow=0, "",
      LET(
        startDate, INDEX('PR管理'!$C$4:$C$101, targetRow),
        delLimit, INDEX('PR管理'!$F$4:$F$101, targetRow),
        prID, INDEX('PR管理'!$A$4:$A$101, targetRow),
        IF(AND('26414_編集版 のコピー 2'!B$1 &gt;= startDate, '26414_編集版 のコピー 2'!B$1 &lt;= delLimit), 
          IFERROR(VLOOKUP(B49, '新規'!$E$2:$H142, 4, 0), 
          IFERROR(VLOOKUP(B49, '特殊配信マスタ'!$E$3:$H142, 4, 0), 
          IFERROR(VLOOKUP(B49, '自動求人✅'!$C$3:$F142, 4, 0), prID))), 
        "")
      )
    )
  )
)</f>
        <v/>
      </c>
      <c r="D49" s="141" t="str">
        <f t="shared" si="1"/>
        <v/>
      </c>
      <c r="E49" s="141"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141"/>
      <c r="G49" s="141"/>
      <c r="H49" s="139"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140" t="str">
        <f t="array" ref="I49">IF(H49="", "", 
  LET(
    targetRow, IFERROR(MATCH(TRUE, BYROW('PR管理'!$J$4:$T$101, LAMBDA(r, COUNTIF(r, H49)&gt;0)), 0), 0),
    IF(targetRow=0, "",
      LET(
        startDate, INDEX('PR管理'!$C$4:$C$101, targetRow),
        delLimit, INDEX('PR管理'!$F$4:$F$101, targetRow),
        prID, INDEX('PR管理'!$A$4:$A$101, targetRow),
        IF(AND('26414_編集版 のコピー 2'!H$1 &gt;= startDate, '26414_編集版 のコピー 2'!H$1 &lt;= delLimit), 
          IFERROR(VLOOKUP(H49, '新規'!$E$2:$H142, 4, 0), 
          IFERROR(VLOOKUP(H49, '特殊配信マスタ'!$E$3:$H142, 4, 0), 
          IFERROR(VLOOKUP(H49, '自動求人✅'!$C$3:$F142, 4, 0), prID))), 
        "")
      )
    )
  )
)</f>
        <v/>
      </c>
      <c r="J49" s="141" t="str">
        <f t="shared" si="2"/>
        <v/>
      </c>
      <c r="K49" s="141"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141"/>
      <c r="M49" s="141"/>
      <c r="N49" s="139"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140" t="str">
        <f t="array" ref="O49">IF(N49="", "", 
  LET(
    targetRow, IFERROR(MATCH(TRUE, BYROW('PR管理'!$J$4:$T$101, LAMBDA(r, COUNTIF(r, N49)&gt;0)), 0), 0),
    IF(targetRow=0, "",
      LET(
        startDate, INDEX('PR管理'!$C$4:$C$101, targetRow),
        delLimit, INDEX('PR管理'!$F$4:$F$101, targetRow),
        prID, INDEX('PR管理'!$A$4:$A$101, targetRow),
        IF(AND('26414_編集版 のコピー 2'!N$1 &gt;= startDate, '26414_編集版 のコピー 2'!N$1 &lt;= delLimit), 
          IFERROR(VLOOKUP(N49, '新規'!$E$2:$H142, 4, 0), 
          IFERROR(VLOOKUP(N49, '特殊配信マスタ'!$E$3:$H142, 4, 0), 
          IFERROR(VLOOKUP(N49, '自動求人✅'!$C$3:$F142, 4, 0), prID))), 
        "")
      )
    )
  )
)</f>
        <v/>
      </c>
      <c r="P49" s="141" t="str">
        <f t="shared" si="3"/>
        <v/>
      </c>
      <c r="Q49" s="141"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141"/>
      <c r="S49" s="141"/>
      <c r="T49" s="139"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140" t="str">
        <f t="array" ref="U49">IF(T49="", "", 
  LET(
    targetRow, IFERROR(MATCH(TRUE, BYROW('PR管理'!$J$4:$T$101, LAMBDA(r, COUNTIF(r, T49)&gt;0)), 0), 0),
    IF(targetRow=0, "",
      LET(
        startDate, INDEX('PR管理'!$C$4:$C$101, targetRow),
        delLimit, INDEX('PR管理'!$F$4:$F$101, targetRow),
        prID, INDEX('PR管理'!$A$4:$A$101, targetRow),
        IF(AND('26414_編集版 のコピー 2'!T$1 &gt;= startDate, '26414_編集版 のコピー 2'!T$1 &lt;= delLimit), 
          IFERROR(VLOOKUP(T49, '新規'!$E$2:$H142, 4, 0), 
          IFERROR(VLOOKUP(T49, '特殊配信マスタ'!$E$3:$H142, 4, 0), 
          IFERROR(VLOOKUP(T49, '自動求人✅'!$C$3:$F142, 4, 0), prID))), 
        "")
      )
    )
  )
)</f>
        <v/>
      </c>
      <c r="V49" s="141" t="str">
        <f t="shared" si="4"/>
        <v/>
      </c>
      <c r="W49" s="141"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141"/>
      <c r="Y49" s="141"/>
      <c r="Z49" s="139"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140" t="str">
        <f t="array" ref="AA49">IF(Z49="", "", 
  LET(
    targetRow, IFERROR(MATCH(TRUE, BYROW('PR管理'!$J$4:$T$101, LAMBDA(r, COUNTIF(r, Z49)&gt;0)), 0), 0),
    IF(targetRow=0, "",
      LET(
        startDate, INDEX('PR管理'!$C$4:$C$101, targetRow),
        delLimit, INDEX('PR管理'!$F$4:$F$101, targetRow),
        prID, INDEX('PR管理'!$A$4:$A$101, targetRow),
        IF(AND('26414_編集版 のコピー 2'!Z$1 &gt;= startDate, '26414_編集版 のコピー 2'!Z$1 &lt;= delLimit), 
          IFERROR(VLOOKUP(Z49, '新規'!$E$2:$H142, 4, 0), 
          IFERROR(VLOOKUP(Z49, '特殊配信マスタ'!$E$3:$H142, 4, 0), 
          IFERROR(VLOOKUP(Z49, '自動求人✅'!$C$3:$F142, 4, 0), prID))), 
        "")
      )
    )
  )
)</f>
        <v/>
      </c>
      <c r="AB49" s="141" t="str">
        <f t="shared" si="5"/>
        <v/>
      </c>
      <c r="AC49" s="141"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141"/>
      <c r="AE49" s="141"/>
      <c r="AF49" s="139"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140" t="str">
        <f t="array" ref="AG49">IF(AF49="", "", 
  LET(
    targetRow, IFERROR(MATCH(TRUE, BYROW('PR管理'!$J$4:$T$101, LAMBDA(r, COUNTIF(r, AF49)&gt;0)), 0), 0),
    IF(targetRow=0, "",
      LET(
        startDate, INDEX('PR管理'!$C$4:$C$101, targetRow),
        delLimit, INDEX('PR管理'!$F$4:$F$101, targetRow),
        prID, INDEX('PR管理'!$A$4:$A$101, targetRow),
        IF(AND('26414_編集版 のコピー 2'!AF$1 &gt;= startDate, '26414_編集版 のコピー 2'!AF$1 &lt;= delLimit), 
          IFERROR(VLOOKUP(AF49, '新規'!$E$2:$H142, 4, 0), 
          IFERROR(VLOOKUP(AF49, '特殊配信マスタ'!$E$3:$H142, 4, 0), 
          IFERROR(VLOOKUP(AF49, '自動求人✅'!$C$3:$F142, 4, 0), prID))), 
        "")
      )
    )
  )
)</f>
        <v/>
      </c>
      <c r="AH49" s="141" t="str">
        <f t="shared" si="6"/>
        <v/>
      </c>
      <c r="AI49" s="141"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141"/>
      <c r="AK49" s="141"/>
      <c r="AL49" s="139"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140" t="str">
        <f t="array" ref="AM49">IF(AL49="", "", 
  LET(
    targetRow, IFERROR(MATCH(TRUE, BYROW('PR管理'!$J$4:$T$101, LAMBDA(r, COUNTIF(r, AL49)&gt;0)), 0), 0),
    IF(targetRow=0, "",
      LET(
        startDate, INDEX('PR管理'!$C$4:$C$101, targetRow),
        delLimit, INDEX('PR管理'!$F$4:$F$101, targetRow),
        prID, INDEX('PR管理'!$A$4:$A$101, targetRow),
        IF(AND('26414_編集版 のコピー 2'!AL$1 &gt;= startDate, '26414_編集版 のコピー 2'!AL$1 &lt;= delLimit), 
          IFERROR(VLOOKUP(AL49, '新規'!$E$2:$H142, 4, 0), 
          IFERROR(VLOOKUP(AL49, '特殊配信マスタ'!$E$3:$H142, 4, 0), 
          IFERROR(VLOOKUP(AL49, '自動求人✅'!$C$3:$F142, 4, 0), prID))), 
        "")
      )
    )
  )
)</f>
        <v/>
      </c>
      <c r="AN49" s="141" t="str">
        <f t="shared" si="7"/>
        <v/>
      </c>
      <c r="AO49" s="141"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141"/>
      <c r="AQ49" s="141"/>
    </row>
    <row r="50" ht="17.25" customHeight="1">
      <c r="A50" s="142"/>
      <c r="B50" s="139"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140" t="str">
        <f t="array" ref="C50">IF(B50="", "", 
  LET(
    targetRow, IFERROR(MATCH(TRUE, BYROW('PR管理'!$J$4:$T$101, LAMBDA(r, COUNTIF(r, B50)&gt;0)), 0), 0),
    IF(targetRow=0, "",
      LET(
        startDate, INDEX('PR管理'!$C$4:$C$101, targetRow),
        delLimit, INDEX('PR管理'!$F$4:$F$101, targetRow),
        prID, INDEX('PR管理'!$A$4:$A$101, targetRow),
        IF(AND('26414_編集版 のコピー 2'!B$1 &gt;= startDate, '26414_編集版 のコピー 2'!B$1 &lt;= delLimit), 
          IFERROR(VLOOKUP(B50, '新規'!$E$2:$H142, 4, 0), 
          IFERROR(VLOOKUP(B50, '特殊配信マスタ'!$E$3:$H142, 4, 0), 
          IFERROR(VLOOKUP(B50, '自動求人✅'!$C$3:$F142, 4, 0), prID))), 
        "")
      )
    )
  )
)</f>
        <v/>
      </c>
      <c r="D50" s="141" t="str">
        <f t="shared" si="1"/>
        <v/>
      </c>
      <c r="E50" s="141"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141"/>
      <c r="G50" s="141"/>
      <c r="H50" s="139"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140" t="str">
        <f t="array" ref="I50">IF(H50="", "", 
  LET(
    targetRow, IFERROR(MATCH(TRUE, BYROW('PR管理'!$J$4:$T$101, LAMBDA(r, COUNTIF(r, H50)&gt;0)), 0), 0),
    IF(targetRow=0, "",
      LET(
        startDate, INDEX('PR管理'!$C$4:$C$101, targetRow),
        delLimit, INDEX('PR管理'!$F$4:$F$101, targetRow),
        prID, INDEX('PR管理'!$A$4:$A$101, targetRow),
        IF(AND('26414_編集版 のコピー 2'!H$1 &gt;= startDate, '26414_編集版 のコピー 2'!H$1 &lt;= delLimit), 
          IFERROR(VLOOKUP(H50, '新規'!$E$2:$H142, 4, 0), 
          IFERROR(VLOOKUP(H50, '特殊配信マスタ'!$E$3:$H142, 4, 0), 
          IFERROR(VLOOKUP(H50, '自動求人✅'!$C$3:$F142, 4, 0), prID))), 
        "")
      )
    )
  )
)</f>
        <v/>
      </c>
      <c r="J50" s="141" t="str">
        <f t="shared" si="2"/>
        <v/>
      </c>
      <c r="K50" s="141"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141"/>
      <c r="M50" s="141"/>
      <c r="N50" s="139"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140" t="str">
        <f t="array" ref="O50">IF(N50="", "", 
  LET(
    targetRow, IFERROR(MATCH(TRUE, BYROW('PR管理'!$J$4:$T$101, LAMBDA(r, COUNTIF(r, N50)&gt;0)), 0), 0),
    IF(targetRow=0, "",
      LET(
        startDate, INDEX('PR管理'!$C$4:$C$101, targetRow),
        delLimit, INDEX('PR管理'!$F$4:$F$101, targetRow),
        prID, INDEX('PR管理'!$A$4:$A$101, targetRow),
        IF(AND('26414_編集版 のコピー 2'!N$1 &gt;= startDate, '26414_編集版 のコピー 2'!N$1 &lt;= delLimit), 
          IFERROR(VLOOKUP(N50, '新規'!$E$2:$H142, 4, 0), 
          IFERROR(VLOOKUP(N50, '特殊配信マスタ'!$E$3:$H142, 4, 0), 
          IFERROR(VLOOKUP(N50, '自動求人✅'!$C$3:$F142, 4, 0), prID))), 
        "")
      )
    )
  )
)</f>
        <v/>
      </c>
      <c r="P50" s="141" t="str">
        <f t="shared" si="3"/>
        <v/>
      </c>
      <c r="Q50" s="141"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141"/>
      <c r="S50" s="141"/>
      <c r="T50" s="139"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140" t="str">
        <f t="array" ref="U50">IF(T50="", "", 
  LET(
    targetRow, IFERROR(MATCH(TRUE, BYROW('PR管理'!$J$4:$T$101, LAMBDA(r, COUNTIF(r, T50)&gt;0)), 0), 0),
    IF(targetRow=0, "",
      LET(
        startDate, INDEX('PR管理'!$C$4:$C$101, targetRow),
        delLimit, INDEX('PR管理'!$F$4:$F$101, targetRow),
        prID, INDEX('PR管理'!$A$4:$A$101, targetRow),
        IF(AND('26414_編集版 のコピー 2'!T$1 &gt;= startDate, '26414_編集版 のコピー 2'!T$1 &lt;= delLimit), 
          IFERROR(VLOOKUP(T50, '新規'!$E$2:$H142, 4, 0), 
          IFERROR(VLOOKUP(T50, '特殊配信マスタ'!$E$3:$H142, 4, 0), 
          IFERROR(VLOOKUP(T50, '自動求人✅'!$C$3:$F142, 4, 0), prID))), 
        "")
      )
    )
  )
)</f>
        <v/>
      </c>
      <c r="V50" s="141" t="str">
        <f t="shared" si="4"/>
        <v/>
      </c>
      <c r="W50" s="141"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141"/>
      <c r="Y50" s="141"/>
      <c r="Z50" s="139"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140" t="str">
        <f t="array" ref="AA50">IF(Z50="", "", 
  LET(
    targetRow, IFERROR(MATCH(TRUE, BYROW('PR管理'!$J$4:$T$101, LAMBDA(r, COUNTIF(r, Z50)&gt;0)), 0), 0),
    IF(targetRow=0, "",
      LET(
        startDate, INDEX('PR管理'!$C$4:$C$101, targetRow),
        delLimit, INDEX('PR管理'!$F$4:$F$101, targetRow),
        prID, INDEX('PR管理'!$A$4:$A$101, targetRow),
        IF(AND('26414_編集版 のコピー 2'!Z$1 &gt;= startDate, '26414_編集版 のコピー 2'!Z$1 &lt;= delLimit), 
          IFERROR(VLOOKUP(Z50, '新規'!$E$2:$H142, 4, 0), 
          IFERROR(VLOOKUP(Z50, '特殊配信マスタ'!$E$3:$H142, 4, 0), 
          IFERROR(VLOOKUP(Z50, '自動求人✅'!$C$3:$F142, 4, 0), prID))), 
        "")
      )
    )
  )
)</f>
        <v/>
      </c>
      <c r="AB50" s="141" t="str">
        <f t="shared" si="5"/>
        <v/>
      </c>
      <c r="AC50" s="141"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141"/>
      <c r="AE50" s="141"/>
      <c r="AF50" s="139"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140" t="str">
        <f t="array" ref="AG50">IF(AF50="", "", 
  LET(
    targetRow, IFERROR(MATCH(TRUE, BYROW('PR管理'!$J$4:$T$101, LAMBDA(r, COUNTIF(r, AF50)&gt;0)), 0), 0),
    IF(targetRow=0, "",
      LET(
        startDate, INDEX('PR管理'!$C$4:$C$101, targetRow),
        delLimit, INDEX('PR管理'!$F$4:$F$101, targetRow),
        prID, INDEX('PR管理'!$A$4:$A$101, targetRow),
        IF(AND('26414_編集版 のコピー 2'!AF$1 &gt;= startDate, '26414_編集版 のコピー 2'!AF$1 &lt;= delLimit), 
          IFERROR(VLOOKUP(AF50, '新規'!$E$2:$H142, 4, 0), 
          IFERROR(VLOOKUP(AF50, '特殊配信マスタ'!$E$3:$H142, 4, 0), 
          IFERROR(VLOOKUP(AF50, '自動求人✅'!$C$3:$F142, 4, 0), prID))), 
        "")
      )
    )
  )
)</f>
        <v/>
      </c>
      <c r="AH50" s="141" t="str">
        <f t="shared" si="6"/>
        <v/>
      </c>
      <c r="AI50" s="141"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141"/>
      <c r="AK50" s="141"/>
      <c r="AL50" s="139"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140" t="str">
        <f t="array" ref="AM50">IF(AL50="", "", 
  LET(
    targetRow, IFERROR(MATCH(TRUE, BYROW('PR管理'!$J$4:$T$101, LAMBDA(r, COUNTIF(r, AL50)&gt;0)), 0), 0),
    IF(targetRow=0, "",
      LET(
        startDate, INDEX('PR管理'!$C$4:$C$101, targetRow),
        delLimit, INDEX('PR管理'!$F$4:$F$101, targetRow),
        prID, INDEX('PR管理'!$A$4:$A$101, targetRow),
        IF(AND('26414_編集版 のコピー 2'!AL$1 &gt;= startDate, '26414_編集版 のコピー 2'!AL$1 &lt;= delLimit), 
          IFERROR(VLOOKUP(AL50, '新規'!$E$2:$H142, 4, 0), 
          IFERROR(VLOOKUP(AL50, '特殊配信マスタ'!$E$3:$H142, 4, 0), 
          IFERROR(VLOOKUP(AL50, '自動求人✅'!$C$3:$F142, 4, 0), prID))), 
        "")
      )
    )
  )
)</f>
        <v/>
      </c>
      <c r="AN50" s="141" t="str">
        <f t="shared" si="7"/>
        <v/>
      </c>
      <c r="AO50" s="141"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141"/>
      <c r="AQ50" s="141"/>
    </row>
    <row r="51" ht="17.25" customHeight="1">
      <c r="A51" s="142"/>
      <c r="B51" s="139"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140" t="str">
        <f t="array" ref="C51">IF(B51="", "", 
  LET(
    targetRow, IFERROR(MATCH(TRUE, BYROW('PR管理'!$J$4:$T$101, LAMBDA(r, COUNTIF(r, B51)&gt;0)), 0), 0),
    IF(targetRow=0, "",
      LET(
        startDate, INDEX('PR管理'!$C$4:$C$101, targetRow),
        delLimit, INDEX('PR管理'!$F$4:$F$101, targetRow),
        prID, INDEX('PR管理'!$A$4:$A$101, targetRow),
        IF(AND('26414_編集版 のコピー 2'!B$1 &gt;= startDate, '26414_編集版 のコピー 2'!B$1 &lt;= delLimit), 
          IFERROR(VLOOKUP(B51, '新規'!$E$2:$H142, 4, 0), 
          IFERROR(VLOOKUP(B51, '特殊配信マスタ'!$E$3:$H142, 4, 0), 
          IFERROR(VLOOKUP(B51, '自動求人✅'!$C$3:$F142, 4, 0), prID))), 
        "")
      )
    )
  )
)</f>
        <v/>
      </c>
      <c r="D51" s="141" t="str">
        <f t="shared" si="1"/>
        <v/>
      </c>
      <c r="E51" s="141"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141"/>
      <c r="G51" s="141"/>
      <c r="H51" s="139"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140" t="str">
        <f t="array" ref="I51">IF(H51="", "", 
  LET(
    targetRow, IFERROR(MATCH(TRUE, BYROW('PR管理'!$J$4:$T$101, LAMBDA(r, COUNTIF(r, H51)&gt;0)), 0), 0),
    IF(targetRow=0, "",
      LET(
        startDate, INDEX('PR管理'!$C$4:$C$101, targetRow),
        delLimit, INDEX('PR管理'!$F$4:$F$101, targetRow),
        prID, INDEX('PR管理'!$A$4:$A$101, targetRow),
        IF(AND('26414_編集版 のコピー 2'!H$1 &gt;= startDate, '26414_編集版 のコピー 2'!H$1 &lt;= delLimit), 
          IFERROR(VLOOKUP(H51, '新規'!$E$2:$H142, 4, 0), 
          IFERROR(VLOOKUP(H51, '特殊配信マスタ'!$E$3:$H142, 4, 0), 
          IFERROR(VLOOKUP(H51, '自動求人✅'!$C$3:$F142, 4, 0), prID))), 
        "")
      )
    )
  )
)</f>
        <v/>
      </c>
      <c r="J51" s="141" t="str">
        <f t="shared" si="2"/>
        <v/>
      </c>
      <c r="K51" s="141"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141"/>
      <c r="M51" s="141"/>
      <c r="N51" s="139"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140" t="str">
        <f t="array" ref="O51">IF(N51="", "", 
  LET(
    targetRow, IFERROR(MATCH(TRUE, BYROW('PR管理'!$J$4:$T$101, LAMBDA(r, COUNTIF(r, N51)&gt;0)), 0), 0),
    IF(targetRow=0, "",
      LET(
        startDate, INDEX('PR管理'!$C$4:$C$101, targetRow),
        delLimit, INDEX('PR管理'!$F$4:$F$101, targetRow),
        prID, INDEX('PR管理'!$A$4:$A$101, targetRow),
        IF(AND('26414_編集版 のコピー 2'!N$1 &gt;= startDate, '26414_編集版 のコピー 2'!N$1 &lt;= delLimit), 
          IFERROR(VLOOKUP(N51, '新規'!$E$2:$H142, 4, 0), 
          IFERROR(VLOOKUP(N51, '特殊配信マスタ'!$E$3:$H142, 4, 0), 
          IFERROR(VLOOKUP(N51, '自動求人✅'!$C$3:$F142, 4, 0), prID))), 
        "")
      )
    )
  )
)</f>
        <v/>
      </c>
      <c r="P51" s="141" t="str">
        <f t="shared" si="3"/>
        <v/>
      </c>
      <c r="Q51" s="141"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141"/>
      <c r="S51" s="141"/>
      <c r="T51" s="139"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140" t="str">
        <f t="array" ref="U51">IF(T51="", "", 
  LET(
    targetRow, IFERROR(MATCH(TRUE, BYROW('PR管理'!$J$4:$T$101, LAMBDA(r, COUNTIF(r, T51)&gt;0)), 0), 0),
    IF(targetRow=0, "",
      LET(
        startDate, INDEX('PR管理'!$C$4:$C$101, targetRow),
        delLimit, INDEX('PR管理'!$F$4:$F$101, targetRow),
        prID, INDEX('PR管理'!$A$4:$A$101, targetRow),
        IF(AND('26414_編集版 のコピー 2'!T$1 &gt;= startDate, '26414_編集版 のコピー 2'!T$1 &lt;= delLimit), 
          IFERROR(VLOOKUP(T51, '新規'!$E$2:$H142, 4, 0), 
          IFERROR(VLOOKUP(T51, '特殊配信マスタ'!$E$3:$H142, 4, 0), 
          IFERROR(VLOOKUP(T51, '自動求人✅'!$C$3:$F142, 4, 0), prID))), 
        "")
      )
    )
  )
)</f>
        <v/>
      </c>
      <c r="V51" s="141" t="str">
        <f t="shared" si="4"/>
        <v/>
      </c>
      <c r="W51" s="141"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141"/>
      <c r="Y51" s="141"/>
      <c r="Z51" s="139"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140" t="str">
        <f t="array" ref="AA51">IF(Z51="", "", 
  LET(
    targetRow, IFERROR(MATCH(TRUE, BYROW('PR管理'!$J$4:$T$101, LAMBDA(r, COUNTIF(r, Z51)&gt;0)), 0), 0),
    IF(targetRow=0, "",
      LET(
        startDate, INDEX('PR管理'!$C$4:$C$101, targetRow),
        delLimit, INDEX('PR管理'!$F$4:$F$101, targetRow),
        prID, INDEX('PR管理'!$A$4:$A$101, targetRow),
        IF(AND('26414_編集版 のコピー 2'!Z$1 &gt;= startDate, '26414_編集版 のコピー 2'!Z$1 &lt;= delLimit), 
          IFERROR(VLOOKUP(Z51, '新規'!$E$2:$H142, 4, 0), 
          IFERROR(VLOOKUP(Z51, '特殊配信マスタ'!$E$3:$H142, 4, 0), 
          IFERROR(VLOOKUP(Z51, '自動求人✅'!$C$3:$F142, 4, 0), prID))), 
        "")
      )
    )
  )
)</f>
        <v/>
      </c>
      <c r="AB51" s="141" t="str">
        <f t="shared" si="5"/>
        <v/>
      </c>
      <c r="AC51" s="141"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141"/>
      <c r="AE51" s="141"/>
      <c r="AF51" s="139"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140" t="str">
        <f t="array" ref="AG51">IF(AF51="", "", 
  LET(
    targetRow, IFERROR(MATCH(TRUE, BYROW('PR管理'!$J$4:$T$101, LAMBDA(r, COUNTIF(r, AF51)&gt;0)), 0), 0),
    IF(targetRow=0, "",
      LET(
        startDate, INDEX('PR管理'!$C$4:$C$101, targetRow),
        delLimit, INDEX('PR管理'!$F$4:$F$101, targetRow),
        prID, INDEX('PR管理'!$A$4:$A$101, targetRow),
        IF(AND('26414_編集版 のコピー 2'!AF$1 &gt;= startDate, '26414_編集版 のコピー 2'!AF$1 &lt;= delLimit), 
          IFERROR(VLOOKUP(AF51, '新規'!$E$2:$H142, 4, 0), 
          IFERROR(VLOOKUP(AF51, '特殊配信マスタ'!$E$3:$H142, 4, 0), 
          IFERROR(VLOOKUP(AF51, '自動求人✅'!$C$3:$F142, 4, 0), prID))), 
        "")
      )
    )
  )
)</f>
        <v/>
      </c>
      <c r="AH51" s="141" t="str">
        <f t="shared" si="6"/>
        <v/>
      </c>
      <c r="AI51" s="141"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141"/>
      <c r="AK51" s="141"/>
      <c r="AL51" s="139"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140" t="str">
        <f t="array" ref="AM51">IF(AL51="", "", 
  LET(
    targetRow, IFERROR(MATCH(TRUE, BYROW('PR管理'!$J$4:$T$101, LAMBDA(r, COUNTIF(r, AL51)&gt;0)), 0), 0),
    IF(targetRow=0, "",
      LET(
        startDate, INDEX('PR管理'!$C$4:$C$101, targetRow),
        delLimit, INDEX('PR管理'!$F$4:$F$101, targetRow),
        prID, INDEX('PR管理'!$A$4:$A$101, targetRow),
        IF(AND('26414_編集版 のコピー 2'!AL$1 &gt;= startDate, '26414_編集版 のコピー 2'!AL$1 &lt;= delLimit), 
          IFERROR(VLOOKUP(AL51, '新規'!$E$2:$H142, 4, 0), 
          IFERROR(VLOOKUP(AL51, '特殊配信マスタ'!$E$3:$H142, 4, 0), 
          IFERROR(VLOOKUP(AL51, '自動求人✅'!$C$3:$F142, 4, 0), prID))), 
        "")
      )
    )
  )
)</f>
        <v/>
      </c>
      <c r="AN51" s="141" t="str">
        <f t="shared" si="7"/>
        <v/>
      </c>
      <c r="AO51" s="141"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141"/>
      <c r="AQ51" s="141"/>
    </row>
    <row r="52" ht="17.25" customHeight="1">
      <c r="A52" s="142"/>
      <c r="B52" s="139"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140" t="str">
        <f t="array" ref="C52">IF(B52="", "", 
  LET(
    targetRow, IFERROR(MATCH(TRUE, BYROW('PR管理'!$J$4:$T$101, LAMBDA(r, COUNTIF(r, B52)&gt;0)), 0), 0),
    IF(targetRow=0, "",
      LET(
        startDate, INDEX('PR管理'!$C$4:$C$101, targetRow),
        delLimit, INDEX('PR管理'!$F$4:$F$101, targetRow),
        prID, INDEX('PR管理'!$A$4:$A$101, targetRow),
        IF(AND('26414_編集版 のコピー 2'!B$1 &gt;= startDate, '26414_編集版 のコピー 2'!B$1 &lt;= delLimit), 
          IFERROR(VLOOKUP(B52, '新規'!$E$2:$H142, 4, 0), 
          IFERROR(VLOOKUP(B52, '特殊配信マスタ'!$E$3:$H142, 4, 0), 
          IFERROR(VLOOKUP(B52, '自動求人✅'!$C$3:$F142, 4, 0), prID))), 
        "")
      )
    )
  )
)</f>
        <v/>
      </c>
      <c r="D52" s="141" t="str">
        <f t="shared" si="1"/>
        <v/>
      </c>
      <c r="E52" s="141"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141"/>
      <c r="G52" s="141"/>
      <c r="H52" s="139"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140" t="str">
        <f t="array" ref="I52">IF(H52="", "", 
  LET(
    targetRow, IFERROR(MATCH(TRUE, BYROW('PR管理'!$J$4:$T$101, LAMBDA(r, COUNTIF(r, H52)&gt;0)), 0), 0),
    IF(targetRow=0, "",
      LET(
        startDate, INDEX('PR管理'!$C$4:$C$101, targetRow),
        delLimit, INDEX('PR管理'!$F$4:$F$101, targetRow),
        prID, INDEX('PR管理'!$A$4:$A$101, targetRow),
        IF(AND('26414_編集版 のコピー 2'!H$1 &gt;= startDate, '26414_編集版 のコピー 2'!H$1 &lt;= delLimit), 
          IFERROR(VLOOKUP(H52, '新規'!$E$2:$H142, 4, 0), 
          IFERROR(VLOOKUP(H52, '特殊配信マスタ'!$E$3:$H142, 4, 0), 
          IFERROR(VLOOKUP(H52, '自動求人✅'!$C$3:$F142, 4, 0), prID))), 
        "")
      )
    )
  )
)</f>
        <v/>
      </c>
      <c r="J52" s="141" t="str">
        <f t="shared" si="2"/>
        <v/>
      </c>
      <c r="K52" s="141"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141"/>
      <c r="M52" s="141"/>
      <c r="N52" s="139"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140" t="str">
        <f t="array" ref="O52">IF(N52="", "", 
  LET(
    targetRow, IFERROR(MATCH(TRUE, BYROW('PR管理'!$J$4:$T$101, LAMBDA(r, COUNTIF(r, N52)&gt;0)), 0), 0),
    IF(targetRow=0, "",
      LET(
        startDate, INDEX('PR管理'!$C$4:$C$101, targetRow),
        delLimit, INDEX('PR管理'!$F$4:$F$101, targetRow),
        prID, INDEX('PR管理'!$A$4:$A$101, targetRow),
        IF(AND('26414_編集版 のコピー 2'!N$1 &gt;= startDate, '26414_編集版 のコピー 2'!N$1 &lt;= delLimit), 
          IFERROR(VLOOKUP(N52, '新規'!$E$2:$H142, 4, 0), 
          IFERROR(VLOOKUP(N52, '特殊配信マスタ'!$E$3:$H142, 4, 0), 
          IFERROR(VLOOKUP(N52, '自動求人✅'!$C$3:$F142, 4, 0), prID))), 
        "")
      )
    )
  )
)</f>
        <v/>
      </c>
      <c r="P52" s="141" t="str">
        <f t="shared" si="3"/>
        <v/>
      </c>
      <c r="Q52" s="141"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141"/>
      <c r="S52" s="141"/>
      <c r="T52" s="139"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140" t="str">
        <f t="array" ref="U52">IF(T52="", "", 
  LET(
    targetRow, IFERROR(MATCH(TRUE, BYROW('PR管理'!$J$4:$T$101, LAMBDA(r, COUNTIF(r, T52)&gt;0)), 0), 0),
    IF(targetRow=0, "",
      LET(
        startDate, INDEX('PR管理'!$C$4:$C$101, targetRow),
        delLimit, INDEX('PR管理'!$F$4:$F$101, targetRow),
        prID, INDEX('PR管理'!$A$4:$A$101, targetRow),
        IF(AND('26414_編集版 のコピー 2'!T$1 &gt;= startDate, '26414_編集版 のコピー 2'!T$1 &lt;= delLimit), 
          IFERROR(VLOOKUP(T52, '新規'!$E$2:$H142, 4, 0), 
          IFERROR(VLOOKUP(T52, '特殊配信マスタ'!$E$3:$H142, 4, 0), 
          IFERROR(VLOOKUP(T52, '自動求人✅'!$C$3:$F142, 4, 0), prID))), 
        "")
      )
    )
  )
)</f>
        <v/>
      </c>
      <c r="V52" s="141" t="str">
        <f t="shared" si="4"/>
        <v/>
      </c>
      <c r="W52" s="141"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141"/>
      <c r="Y52" s="141"/>
      <c r="Z52" s="139"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140" t="str">
        <f t="array" ref="AA52">IF(Z52="", "", 
  LET(
    targetRow, IFERROR(MATCH(TRUE, BYROW('PR管理'!$J$4:$T$101, LAMBDA(r, COUNTIF(r, Z52)&gt;0)), 0), 0),
    IF(targetRow=0, "",
      LET(
        startDate, INDEX('PR管理'!$C$4:$C$101, targetRow),
        delLimit, INDEX('PR管理'!$F$4:$F$101, targetRow),
        prID, INDEX('PR管理'!$A$4:$A$101, targetRow),
        IF(AND('26414_編集版 のコピー 2'!Z$1 &gt;= startDate, '26414_編集版 のコピー 2'!Z$1 &lt;= delLimit), 
          IFERROR(VLOOKUP(Z52, '新規'!$E$2:$H142, 4, 0), 
          IFERROR(VLOOKUP(Z52, '特殊配信マスタ'!$E$3:$H142, 4, 0), 
          IFERROR(VLOOKUP(Z52, '自動求人✅'!$C$3:$F142, 4, 0), prID))), 
        "")
      )
    )
  )
)</f>
        <v/>
      </c>
      <c r="AB52" s="141" t="str">
        <f t="shared" si="5"/>
        <v/>
      </c>
      <c r="AC52" s="141"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141"/>
      <c r="AE52" s="141"/>
      <c r="AF52" s="139"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140" t="str">
        <f t="array" ref="AG52">IF(AF52="", "", 
  LET(
    targetRow, IFERROR(MATCH(TRUE, BYROW('PR管理'!$J$4:$T$101, LAMBDA(r, COUNTIF(r, AF52)&gt;0)), 0), 0),
    IF(targetRow=0, "",
      LET(
        startDate, INDEX('PR管理'!$C$4:$C$101, targetRow),
        delLimit, INDEX('PR管理'!$F$4:$F$101, targetRow),
        prID, INDEX('PR管理'!$A$4:$A$101, targetRow),
        IF(AND('26414_編集版 のコピー 2'!AF$1 &gt;= startDate, '26414_編集版 のコピー 2'!AF$1 &lt;= delLimit), 
          IFERROR(VLOOKUP(AF52, '新規'!$E$2:$H142, 4, 0), 
          IFERROR(VLOOKUP(AF52, '特殊配信マスタ'!$E$3:$H142, 4, 0), 
          IFERROR(VLOOKUP(AF52, '自動求人✅'!$C$3:$F142, 4, 0), prID))), 
        "")
      )
    )
  )
)</f>
        <v/>
      </c>
      <c r="AH52" s="141" t="str">
        <f t="shared" si="6"/>
        <v/>
      </c>
      <c r="AI52" s="141"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141"/>
      <c r="AK52" s="141"/>
      <c r="AL52" s="139"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140" t="str">
        <f t="array" ref="AM52">IF(AL52="", "", 
  LET(
    targetRow, IFERROR(MATCH(TRUE, BYROW('PR管理'!$J$4:$T$101, LAMBDA(r, COUNTIF(r, AL52)&gt;0)), 0), 0),
    IF(targetRow=0, "",
      LET(
        startDate, INDEX('PR管理'!$C$4:$C$101, targetRow),
        delLimit, INDEX('PR管理'!$F$4:$F$101, targetRow),
        prID, INDEX('PR管理'!$A$4:$A$101, targetRow),
        IF(AND('26414_編集版 のコピー 2'!AL$1 &gt;= startDate, '26414_編集版 のコピー 2'!AL$1 &lt;= delLimit), 
          IFERROR(VLOOKUP(AL52, '新規'!$E$2:$H142, 4, 0), 
          IFERROR(VLOOKUP(AL52, '特殊配信マスタ'!$E$3:$H142, 4, 0), 
          IFERROR(VLOOKUP(AL52, '自動求人✅'!$C$3:$F142, 4, 0), prID))), 
        "")
      )
    )
  )
)</f>
        <v/>
      </c>
      <c r="AN52" s="141" t="str">
        <f t="shared" si="7"/>
        <v/>
      </c>
      <c r="AO52" s="141"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141"/>
      <c r="AQ52" s="141"/>
    </row>
    <row r="53" ht="17.25" customHeight="1">
      <c r="A53" s="138">
        <f>A43+1</f>
        <v>13</v>
      </c>
      <c r="B53" s="139"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140" t="str">
        <f t="array" ref="C53">IF(B53="", "", 
  LET(
    targetRow, IFERROR(MATCH(TRUE, BYROW('PR管理'!$J$4:$T$101, LAMBDA(r, COUNTIF(r, B53)&gt;0)), 0), 0),
    IF(targetRow=0, "",
      LET(
        startDate, INDEX('PR管理'!$C$4:$C$101, targetRow),
        delLimit, INDEX('PR管理'!$F$4:$F$101, targetRow),
        prID, INDEX('PR管理'!$A$4:$A$101, targetRow),
        IF(AND('26414_編集版 のコピー 2'!B$1 &gt;= startDate, '26414_編集版 のコピー 2'!B$1 &lt;= delLimit), 
          IFERROR(VLOOKUP(B53, '新規'!$E$2:$H142, 4, 0), 
          IFERROR(VLOOKUP(B53, '特殊配信マスタ'!$E$3:$H142, 4, 0), 
          IFERROR(VLOOKUP(B53, '自動求人✅'!$C$3:$F142, 4, 0), prID))), 
        "")
      )
    )
  )
)</f>
        <v/>
      </c>
      <c r="D53" s="141" t="str">
        <f t="shared" si="1"/>
        <v/>
      </c>
      <c r="E53" s="141"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141"/>
      <c r="G53" s="141"/>
      <c r="H53" s="139"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140" t="str">
        <f t="array" ref="I53">IF(H53="", "", 
  LET(
    targetRow, IFERROR(MATCH(TRUE, BYROW('PR管理'!$J$4:$T$101, LAMBDA(r, COUNTIF(r, H53)&gt;0)), 0), 0),
    IF(targetRow=0, "",
      LET(
        startDate, INDEX('PR管理'!$C$4:$C$101, targetRow),
        delLimit, INDEX('PR管理'!$F$4:$F$101, targetRow),
        prID, INDEX('PR管理'!$A$4:$A$101, targetRow),
        IF(AND('26414_編集版 のコピー 2'!H$1 &gt;= startDate, '26414_編集版 のコピー 2'!H$1 &lt;= delLimit), 
          IFERROR(VLOOKUP(H53, '新規'!$E$2:$H142, 4, 0), 
          IFERROR(VLOOKUP(H53, '特殊配信マスタ'!$E$3:$H142, 4, 0), 
          IFERROR(VLOOKUP(H53, '自動求人✅'!$C$3:$F142, 4, 0), prID))), 
        "")
      )
    )
  )
)</f>
        <v/>
      </c>
      <c r="J53" s="141" t="str">
        <f t="shared" si="2"/>
        <v/>
      </c>
      <c r="K53" s="141"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141"/>
      <c r="M53" s="141"/>
      <c r="N53" s="139"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140" t="str">
        <f t="array" ref="O53">IF(N53="", "", 
  LET(
    targetRow, IFERROR(MATCH(TRUE, BYROW('PR管理'!$J$4:$T$101, LAMBDA(r, COUNTIF(r, N53)&gt;0)), 0), 0),
    IF(targetRow=0, "",
      LET(
        startDate, INDEX('PR管理'!$C$4:$C$101, targetRow),
        delLimit, INDEX('PR管理'!$F$4:$F$101, targetRow),
        prID, INDEX('PR管理'!$A$4:$A$101, targetRow),
        IF(AND('26414_編集版 のコピー 2'!N$1 &gt;= startDate, '26414_編集版 のコピー 2'!N$1 &lt;= delLimit), 
          IFERROR(VLOOKUP(N53, '新規'!$E$2:$H142, 4, 0), 
          IFERROR(VLOOKUP(N53, '特殊配信マスタ'!$E$3:$H142, 4, 0), 
          IFERROR(VLOOKUP(N53, '自動求人✅'!$C$3:$F142, 4, 0), prID))), 
        "")
      )
    )
  )
)</f>
        <v/>
      </c>
      <c r="P53" s="141" t="str">
        <f t="shared" si="3"/>
        <v/>
      </c>
      <c r="Q53" s="141"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141"/>
      <c r="S53" s="141"/>
      <c r="T53" s="139"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140" t="str">
        <f t="array" ref="U53">IF(T53="", "", 
  LET(
    targetRow, IFERROR(MATCH(TRUE, BYROW('PR管理'!$J$4:$T$101, LAMBDA(r, COUNTIF(r, T53)&gt;0)), 0), 0),
    IF(targetRow=0, "",
      LET(
        startDate, INDEX('PR管理'!$C$4:$C$101, targetRow),
        delLimit, INDEX('PR管理'!$F$4:$F$101, targetRow),
        prID, INDEX('PR管理'!$A$4:$A$101, targetRow),
        IF(AND('26414_編集版 のコピー 2'!T$1 &gt;= startDate, '26414_編集版 のコピー 2'!T$1 &lt;= delLimit), 
          IFERROR(VLOOKUP(T53, '新規'!$E$2:$H142, 4, 0), 
          IFERROR(VLOOKUP(T53, '特殊配信マスタ'!$E$3:$H142, 4, 0), 
          IFERROR(VLOOKUP(T53, '自動求人✅'!$C$3:$F142, 4, 0), prID))), 
        "")
      )
    )
  )
)</f>
        <v/>
      </c>
      <c r="V53" s="141" t="str">
        <f t="shared" si="4"/>
        <v/>
      </c>
      <c r="W53" s="141"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141"/>
      <c r="Y53" s="141"/>
      <c r="Z53" s="139"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140" t="str">
        <f t="array" ref="AA53">IF(Z53="", "", 
  LET(
    targetRow, IFERROR(MATCH(TRUE, BYROW('PR管理'!$J$4:$T$101, LAMBDA(r, COUNTIF(r, Z53)&gt;0)), 0), 0),
    IF(targetRow=0, "",
      LET(
        startDate, INDEX('PR管理'!$C$4:$C$101, targetRow),
        delLimit, INDEX('PR管理'!$F$4:$F$101, targetRow),
        prID, INDEX('PR管理'!$A$4:$A$101, targetRow),
        IF(AND('26414_編集版 のコピー 2'!Z$1 &gt;= startDate, '26414_編集版 のコピー 2'!Z$1 &lt;= delLimit), 
          IFERROR(VLOOKUP(Z53, '新規'!$E$2:$H142, 4, 0), 
          IFERROR(VLOOKUP(Z53, '特殊配信マスタ'!$E$3:$H142, 4, 0), 
          IFERROR(VLOOKUP(Z53, '自動求人✅'!$C$3:$F142, 4, 0), prID))), 
        "")
      )
    )
  )
)</f>
        <v/>
      </c>
      <c r="AB53" s="141" t="str">
        <f t="shared" si="5"/>
        <v/>
      </c>
      <c r="AC53" s="141"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141"/>
      <c r="AE53" s="141"/>
      <c r="AF53" s="139"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140" t="str">
        <f t="array" ref="AG53">IF(AF53="", "", 
  LET(
    targetRow, IFERROR(MATCH(TRUE, BYROW('PR管理'!$J$4:$T$101, LAMBDA(r, COUNTIF(r, AF53)&gt;0)), 0), 0),
    IF(targetRow=0, "",
      LET(
        startDate, INDEX('PR管理'!$C$4:$C$101, targetRow),
        delLimit, INDEX('PR管理'!$F$4:$F$101, targetRow),
        prID, INDEX('PR管理'!$A$4:$A$101, targetRow),
        IF(AND('26414_編集版 のコピー 2'!AF$1 &gt;= startDate, '26414_編集版 のコピー 2'!AF$1 &lt;= delLimit), 
          IFERROR(VLOOKUP(AF53, '新規'!$E$2:$H142, 4, 0), 
          IFERROR(VLOOKUP(AF53, '特殊配信マスタ'!$E$3:$H142, 4, 0), 
          IFERROR(VLOOKUP(AF53, '自動求人✅'!$C$3:$F142, 4, 0), prID))), 
        "")
      )
    )
  )
)</f>
        <v/>
      </c>
      <c r="AH53" s="141" t="str">
        <f t="shared" si="6"/>
        <v/>
      </c>
      <c r="AI53" s="141"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141"/>
      <c r="AK53" s="141"/>
      <c r="AL53" s="139"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140" t="str">
        <f t="array" ref="AM53">IF(AL53="", "", 
  LET(
    targetRow, IFERROR(MATCH(TRUE, BYROW('PR管理'!$J$4:$T$101, LAMBDA(r, COUNTIF(r, AL53)&gt;0)), 0), 0),
    IF(targetRow=0, "",
      LET(
        startDate, INDEX('PR管理'!$C$4:$C$101, targetRow),
        delLimit, INDEX('PR管理'!$F$4:$F$101, targetRow),
        prID, INDEX('PR管理'!$A$4:$A$101, targetRow),
        IF(AND('26414_編集版 のコピー 2'!AL$1 &gt;= startDate, '26414_編集版 のコピー 2'!AL$1 &lt;= delLimit), 
          IFERROR(VLOOKUP(AL53, '新規'!$E$2:$H142, 4, 0), 
          IFERROR(VLOOKUP(AL53, '特殊配信マスタ'!$E$3:$H142, 4, 0), 
          IFERROR(VLOOKUP(AL53, '自動求人✅'!$C$3:$F142, 4, 0), prID))), 
        "")
      )
    )
  )
)</f>
        <v/>
      </c>
      <c r="AN53" s="141" t="str">
        <f t="shared" si="7"/>
        <v/>
      </c>
      <c r="AO53" s="141"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141"/>
      <c r="AQ53" s="141"/>
    </row>
    <row r="54" ht="17.25" customHeight="1">
      <c r="A54" s="142"/>
      <c r="B54" s="139"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140" t="str">
        <f t="array" ref="C54">IF(B54="", "", 
  LET(
    targetRow, IFERROR(MATCH(TRUE, BYROW('PR管理'!$J$4:$T$101, LAMBDA(r, COUNTIF(r, B54)&gt;0)), 0), 0),
    IF(targetRow=0, "",
      LET(
        startDate, INDEX('PR管理'!$C$4:$C$101, targetRow),
        delLimit, INDEX('PR管理'!$F$4:$F$101, targetRow),
        prID, INDEX('PR管理'!$A$4:$A$101, targetRow),
        IF(AND('26414_編集版 のコピー 2'!B$1 &gt;= startDate, '26414_編集版 のコピー 2'!B$1 &lt;= delLimit), 
          IFERROR(VLOOKUP(B54, '新規'!$E$2:$H142, 4, 0), 
          IFERROR(VLOOKUP(B54, '特殊配信マスタ'!$E$3:$H142, 4, 0), 
          IFERROR(VLOOKUP(B54, '自動求人✅'!$C$3:$F142, 4, 0), prID))), 
        "")
      )
    )
  )
)</f>
        <v/>
      </c>
      <c r="D54" s="141" t="str">
        <f t="shared" si="1"/>
        <v/>
      </c>
      <c r="E54" s="141"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141"/>
      <c r="G54" s="141"/>
      <c r="H54" s="139"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140" t="str">
        <f t="array" ref="I54">IF(H54="", "", 
  LET(
    targetRow, IFERROR(MATCH(TRUE, BYROW('PR管理'!$J$4:$T$101, LAMBDA(r, COUNTIF(r, H54)&gt;0)), 0), 0),
    IF(targetRow=0, "",
      LET(
        startDate, INDEX('PR管理'!$C$4:$C$101, targetRow),
        delLimit, INDEX('PR管理'!$F$4:$F$101, targetRow),
        prID, INDEX('PR管理'!$A$4:$A$101, targetRow),
        IF(AND('26414_編集版 のコピー 2'!H$1 &gt;= startDate, '26414_編集版 のコピー 2'!H$1 &lt;= delLimit), 
          IFERROR(VLOOKUP(H54, '新規'!$E$2:$H142, 4, 0), 
          IFERROR(VLOOKUP(H54, '特殊配信マスタ'!$E$3:$H142, 4, 0), 
          IFERROR(VLOOKUP(H54, '自動求人✅'!$C$3:$F142, 4, 0), prID))), 
        "")
      )
    )
  )
)</f>
        <v/>
      </c>
      <c r="J54" s="141" t="str">
        <f t="shared" si="2"/>
        <v/>
      </c>
      <c r="K54" s="141"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141"/>
      <c r="M54" s="141"/>
      <c r="N54" s="139"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140" t="str">
        <f t="array" ref="O54">IF(N54="", "", 
  LET(
    targetRow, IFERROR(MATCH(TRUE, BYROW('PR管理'!$J$4:$T$101, LAMBDA(r, COUNTIF(r, N54)&gt;0)), 0), 0),
    IF(targetRow=0, "",
      LET(
        startDate, INDEX('PR管理'!$C$4:$C$101, targetRow),
        delLimit, INDEX('PR管理'!$F$4:$F$101, targetRow),
        prID, INDEX('PR管理'!$A$4:$A$101, targetRow),
        IF(AND('26414_編集版 のコピー 2'!N$1 &gt;= startDate, '26414_編集版 のコピー 2'!N$1 &lt;= delLimit), 
          IFERROR(VLOOKUP(N54, '新規'!$E$2:$H142, 4, 0), 
          IFERROR(VLOOKUP(N54, '特殊配信マスタ'!$E$3:$H142, 4, 0), 
          IFERROR(VLOOKUP(N54, '自動求人✅'!$C$3:$F142, 4, 0), prID))), 
        "")
      )
    )
  )
)</f>
        <v/>
      </c>
      <c r="P54" s="141" t="str">
        <f t="shared" si="3"/>
        <v/>
      </c>
      <c r="Q54" s="141"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141"/>
      <c r="S54" s="141"/>
      <c r="T54" s="139"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140" t="str">
        <f t="array" ref="U54">IF(T54="", "", 
  LET(
    targetRow, IFERROR(MATCH(TRUE, BYROW('PR管理'!$J$4:$T$101, LAMBDA(r, COUNTIF(r, T54)&gt;0)), 0), 0),
    IF(targetRow=0, "",
      LET(
        startDate, INDEX('PR管理'!$C$4:$C$101, targetRow),
        delLimit, INDEX('PR管理'!$F$4:$F$101, targetRow),
        prID, INDEX('PR管理'!$A$4:$A$101, targetRow),
        IF(AND('26414_編集版 のコピー 2'!T$1 &gt;= startDate, '26414_編集版 のコピー 2'!T$1 &lt;= delLimit), 
          IFERROR(VLOOKUP(T54, '新規'!$E$2:$H142, 4, 0), 
          IFERROR(VLOOKUP(T54, '特殊配信マスタ'!$E$3:$H142, 4, 0), 
          IFERROR(VLOOKUP(T54, '自動求人✅'!$C$3:$F142, 4, 0), prID))), 
        "")
      )
    )
  )
)</f>
        <v/>
      </c>
      <c r="V54" s="141" t="str">
        <f t="shared" si="4"/>
        <v/>
      </c>
      <c r="W54" s="141"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141"/>
      <c r="Y54" s="141"/>
      <c r="Z54" s="139"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140" t="str">
        <f t="array" ref="AA54">IF(Z54="", "", 
  LET(
    targetRow, IFERROR(MATCH(TRUE, BYROW('PR管理'!$J$4:$T$101, LAMBDA(r, COUNTIF(r, Z54)&gt;0)), 0), 0),
    IF(targetRow=0, "",
      LET(
        startDate, INDEX('PR管理'!$C$4:$C$101, targetRow),
        delLimit, INDEX('PR管理'!$F$4:$F$101, targetRow),
        prID, INDEX('PR管理'!$A$4:$A$101, targetRow),
        IF(AND('26414_編集版 のコピー 2'!Z$1 &gt;= startDate, '26414_編集版 のコピー 2'!Z$1 &lt;= delLimit), 
          IFERROR(VLOOKUP(Z54, '新規'!$E$2:$H142, 4, 0), 
          IFERROR(VLOOKUP(Z54, '特殊配信マスタ'!$E$3:$H142, 4, 0), 
          IFERROR(VLOOKUP(Z54, '自動求人✅'!$C$3:$F142, 4, 0), prID))), 
        "")
      )
    )
  )
)</f>
        <v/>
      </c>
      <c r="AB54" s="141" t="str">
        <f t="shared" si="5"/>
        <v/>
      </c>
      <c r="AC54" s="141"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141"/>
      <c r="AE54" s="141"/>
      <c r="AF54" s="139"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140" t="str">
        <f t="array" ref="AG54">IF(AF54="", "", 
  LET(
    targetRow, IFERROR(MATCH(TRUE, BYROW('PR管理'!$J$4:$T$101, LAMBDA(r, COUNTIF(r, AF54)&gt;0)), 0), 0),
    IF(targetRow=0, "",
      LET(
        startDate, INDEX('PR管理'!$C$4:$C$101, targetRow),
        delLimit, INDEX('PR管理'!$F$4:$F$101, targetRow),
        prID, INDEX('PR管理'!$A$4:$A$101, targetRow),
        IF(AND('26414_編集版 のコピー 2'!AF$1 &gt;= startDate, '26414_編集版 のコピー 2'!AF$1 &lt;= delLimit), 
          IFERROR(VLOOKUP(AF54, '新規'!$E$2:$H142, 4, 0), 
          IFERROR(VLOOKUP(AF54, '特殊配信マスタ'!$E$3:$H142, 4, 0), 
          IFERROR(VLOOKUP(AF54, '自動求人✅'!$C$3:$F142, 4, 0), prID))), 
        "")
      )
    )
  )
)</f>
        <v/>
      </c>
      <c r="AH54" s="141" t="str">
        <f t="shared" si="6"/>
        <v/>
      </c>
      <c r="AI54" s="141"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141"/>
      <c r="AK54" s="141"/>
      <c r="AL54" s="139"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140" t="str">
        <f t="array" ref="AM54">IF(AL54="", "", 
  LET(
    targetRow, IFERROR(MATCH(TRUE, BYROW('PR管理'!$J$4:$T$101, LAMBDA(r, COUNTIF(r, AL54)&gt;0)), 0), 0),
    IF(targetRow=0, "",
      LET(
        startDate, INDEX('PR管理'!$C$4:$C$101, targetRow),
        delLimit, INDEX('PR管理'!$F$4:$F$101, targetRow),
        prID, INDEX('PR管理'!$A$4:$A$101, targetRow),
        IF(AND('26414_編集版 のコピー 2'!AL$1 &gt;= startDate, '26414_編集版 のコピー 2'!AL$1 &lt;= delLimit), 
          IFERROR(VLOOKUP(AL54, '新規'!$E$2:$H142, 4, 0), 
          IFERROR(VLOOKUP(AL54, '特殊配信マスタ'!$E$3:$H142, 4, 0), 
          IFERROR(VLOOKUP(AL54, '自動求人✅'!$C$3:$F142, 4, 0), prID))), 
        "")
      )
    )
  )
)</f>
        <v/>
      </c>
      <c r="AN54" s="141" t="str">
        <f t="shared" si="7"/>
        <v/>
      </c>
      <c r="AO54" s="141"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141"/>
      <c r="AQ54" s="141"/>
    </row>
    <row r="55" ht="17.25" customHeight="1">
      <c r="A55" s="142"/>
      <c r="B55" s="139"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140" t="str">
        <f t="array" ref="C55">IF(B55="", "", 
  LET(
    targetRow, IFERROR(MATCH(TRUE, BYROW('PR管理'!$J$4:$T$101, LAMBDA(r, COUNTIF(r, B55)&gt;0)), 0), 0),
    IF(targetRow=0, "",
      LET(
        startDate, INDEX('PR管理'!$C$4:$C$101, targetRow),
        delLimit, INDEX('PR管理'!$F$4:$F$101, targetRow),
        prID, INDEX('PR管理'!$A$4:$A$101, targetRow),
        IF(AND('26414_編集版 のコピー 2'!B$1 &gt;= startDate, '26414_編集版 のコピー 2'!B$1 &lt;= delLimit), 
          IFERROR(VLOOKUP(B55, '新規'!$E$2:$H142, 4, 0), 
          IFERROR(VLOOKUP(B55, '特殊配信マスタ'!$E$3:$H142, 4, 0), 
          IFERROR(VLOOKUP(B55, '自動求人✅'!$C$3:$F142, 4, 0), prID))), 
        "")
      )
    )
  )
)</f>
        <v/>
      </c>
      <c r="D55" s="141" t="str">
        <f t="shared" si="1"/>
        <v/>
      </c>
      <c r="E55" s="141"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141"/>
      <c r="G55" s="141"/>
      <c r="H55" s="139"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140" t="str">
        <f t="array" ref="I55">IF(H55="", "", 
  LET(
    targetRow, IFERROR(MATCH(TRUE, BYROW('PR管理'!$J$4:$T$101, LAMBDA(r, COUNTIF(r, H55)&gt;0)), 0), 0),
    IF(targetRow=0, "",
      LET(
        startDate, INDEX('PR管理'!$C$4:$C$101, targetRow),
        delLimit, INDEX('PR管理'!$F$4:$F$101, targetRow),
        prID, INDEX('PR管理'!$A$4:$A$101, targetRow),
        IF(AND('26414_編集版 のコピー 2'!H$1 &gt;= startDate, '26414_編集版 のコピー 2'!H$1 &lt;= delLimit), 
          IFERROR(VLOOKUP(H55, '新規'!$E$2:$H142, 4, 0), 
          IFERROR(VLOOKUP(H55, '特殊配信マスタ'!$E$3:$H142, 4, 0), 
          IFERROR(VLOOKUP(H55, '自動求人✅'!$C$3:$F142, 4, 0), prID))), 
        "")
      )
    )
  )
)</f>
        <v/>
      </c>
      <c r="J55" s="141" t="str">
        <f t="shared" si="2"/>
        <v/>
      </c>
      <c r="K55" s="141"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141"/>
      <c r="M55" s="141"/>
      <c r="N55" s="139"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140" t="str">
        <f t="array" ref="O55">IF(N55="", "", 
  LET(
    targetRow, IFERROR(MATCH(TRUE, BYROW('PR管理'!$J$4:$T$101, LAMBDA(r, COUNTIF(r, N55)&gt;0)), 0), 0),
    IF(targetRow=0, "",
      LET(
        startDate, INDEX('PR管理'!$C$4:$C$101, targetRow),
        delLimit, INDEX('PR管理'!$F$4:$F$101, targetRow),
        prID, INDEX('PR管理'!$A$4:$A$101, targetRow),
        IF(AND('26414_編集版 のコピー 2'!N$1 &gt;= startDate, '26414_編集版 のコピー 2'!N$1 &lt;= delLimit), 
          IFERROR(VLOOKUP(N55, '新規'!$E$2:$H142, 4, 0), 
          IFERROR(VLOOKUP(N55, '特殊配信マスタ'!$E$3:$H142, 4, 0), 
          IFERROR(VLOOKUP(N55, '自動求人✅'!$C$3:$F142, 4, 0), prID))), 
        "")
      )
    )
  )
)</f>
        <v/>
      </c>
      <c r="P55" s="141" t="str">
        <f t="shared" si="3"/>
        <v/>
      </c>
      <c r="Q55" s="141"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141"/>
      <c r="S55" s="141"/>
      <c r="T55" s="139"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140" t="str">
        <f t="array" ref="U55">IF(T55="", "", 
  LET(
    targetRow, IFERROR(MATCH(TRUE, BYROW('PR管理'!$J$4:$T$101, LAMBDA(r, COUNTIF(r, T55)&gt;0)), 0), 0),
    IF(targetRow=0, "",
      LET(
        startDate, INDEX('PR管理'!$C$4:$C$101, targetRow),
        delLimit, INDEX('PR管理'!$F$4:$F$101, targetRow),
        prID, INDEX('PR管理'!$A$4:$A$101, targetRow),
        IF(AND('26414_編集版 のコピー 2'!T$1 &gt;= startDate, '26414_編集版 のコピー 2'!T$1 &lt;= delLimit), 
          IFERROR(VLOOKUP(T55, '新規'!$E$2:$H142, 4, 0), 
          IFERROR(VLOOKUP(T55, '特殊配信マスタ'!$E$3:$H142, 4, 0), 
          IFERROR(VLOOKUP(T55, '自動求人✅'!$C$3:$F142, 4, 0), prID))), 
        "")
      )
    )
  )
)</f>
        <v/>
      </c>
      <c r="V55" s="141" t="str">
        <f t="shared" si="4"/>
        <v/>
      </c>
      <c r="W55" s="141"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141"/>
      <c r="Y55" s="141"/>
      <c r="Z55" s="139"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140" t="str">
        <f t="array" ref="AA55">IF(Z55="", "", 
  LET(
    targetRow, IFERROR(MATCH(TRUE, BYROW('PR管理'!$J$4:$T$101, LAMBDA(r, COUNTIF(r, Z55)&gt;0)), 0), 0),
    IF(targetRow=0, "",
      LET(
        startDate, INDEX('PR管理'!$C$4:$C$101, targetRow),
        delLimit, INDEX('PR管理'!$F$4:$F$101, targetRow),
        prID, INDEX('PR管理'!$A$4:$A$101, targetRow),
        IF(AND('26414_編集版 のコピー 2'!Z$1 &gt;= startDate, '26414_編集版 のコピー 2'!Z$1 &lt;= delLimit), 
          IFERROR(VLOOKUP(Z55, '新規'!$E$2:$H142, 4, 0), 
          IFERROR(VLOOKUP(Z55, '特殊配信マスタ'!$E$3:$H142, 4, 0), 
          IFERROR(VLOOKUP(Z55, '自動求人✅'!$C$3:$F142, 4, 0), prID))), 
        "")
      )
    )
  )
)</f>
        <v/>
      </c>
      <c r="AB55" s="141" t="str">
        <f t="shared" si="5"/>
        <v/>
      </c>
      <c r="AC55" s="141"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141"/>
      <c r="AE55" s="141"/>
      <c r="AF55" s="139"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140" t="str">
        <f t="array" ref="AG55">IF(AF55="", "", 
  LET(
    targetRow, IFERROR(MATCH(TRUE, BYROW('PR管理'!$J$4:$T$101, LAMBDA(r, COUNTIF(r, AF55)&gt;0)), 0), 0),
    IF(targetRow=0, "",
      LET(
        startDate, INDEX('PR管理'!$C$4:$C$101, targetRow),
        delLimit, INDEX('PR管理'!$F$4:$F$101, targetRow),
        prID, INDEX('PR管理'!$A$4:$A$101, targetRow),
        IF(AND('26414_編集版 のコピー 2'!AF$1 &gt;= startDate, '26414_編集版 のコピー 2'!AF$1 &lt;= delLimit), 
          IFERROR(VLOOKUP(AF55, '新規'!$E$2:$H142, 4, 0), 
          IFERROR(VLOOKUP(AF55, '特殊配信マスタ'!$E$3:$H142, 4, 0), 
          IFERROR(VLOOKUP(AF55, '自動求人✅'!$C$3:$F142, 4, 0), prID))), 
        "")
      )
    )
  )
)</f>
        <v/>
      </c>
      <c r="AH55" s="141" t="str">
        <f t="shared" si="6"/>
        <v/>
      </c>
      <c r="AI55" s="141"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141"/>
      <c r="AK55" s="141"/>
      <c r="AL55" s="139"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140" t="str">
        <f t="array" ref="AM55">IF(AL55="", "", 
  LET(
    targetRow, IFERROR(MATCH(TRUE, BYROW('PR管理'!$J$4:$T$101, LAMBDA(r, COUNTIF(r, AL55)&gt;0)), 0), 0),
    IF(targetRow=0, "",
      LET(
        startDate, INDEX('PR管理'!$C$4:$C$101, targetRow),
        delLimit, INDEX('PR管理'!$F$4:$F$101, targetRow),
        prID, INDEX('PR管理'!$A$4:$A$101, targetRow),
        IF(AND('26414_編集版 のコピー 2'!AL$1 &gt;= startDate, '26414_編集版 のコピー 2'!AL$1 &lt;= delLimit), 
          IFERROR(VLOOKUP(AL55, '新規'!$E$2:$H142, 4, 0), 
          IFERROR(VLOOKUP(AL55, '特殊配信マスタ'!$E$3:$H142, 4, 0), 
          IFERROR(VLOOKUP(AL55, '自動求人✅'!$C$3:$F142, 4, 0), prID))), 
        "")
      )
    )
  )
)</f>
        <v/>
      </c>
      <c r="AN55" s="141" t="str">
        <f t="shared" si="7"/>
        <v/>
      </c>
      <c r="AO55" s="141"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141"/>
      <c r="AQ55" s="141"/>
    </row>
    <row r="56" ht="17.25" customHeight="1">
      <c r="A56" s="142"/>
      <c r="B56" s="139"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140" t="str">
        <f t="array" ref="C56">IF(B56="", "", 
  LET(
    targetRow, IFERROR(MATCH(TRUE, BYROW('PR管理'!$J$4:$T$101, LAMBDA(r, COUNTIF(r, B56)&gt;0)), 0), 0),
    IF(targetRow=0, "",
      LET(
        startDate, INDEX('PR管理'!$C$4:$C$101, targetRow),
        delLimit, INDEX('PR管理'!$F$4:$F$101, targetRow),
        prID, INDEX('PR管理'!$A$4:$A$101, targetRow),
        IF(AND('26414_編集版 のコピー 2'!B$1 &gt;= startDate, '26414_編集版 のコピー 2'!B$1 &lt;= delLimit), 
          IFERROR(VLOOKUP(B56, '新規'!$E$2:$H142, 4, 0), 
          IFERROR(VLOOKUP(B56, '特殊配信マスタ'!$E$3:$H142, 4, 0), 
          IFERROR(VLOOKUP(B56, '自動求人✅'!$C$3:$F142, 4, 0), prID))), 
        "")
      )
    )
  )
)</f>
        <v/>
      </c>
      <c r="D56" s="141" t="str">
        <f t="shared" si="1"/>
        <v/>
      </c>
      <c r="E56" s="141"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141"/>
      <c r="G56" s="141"/>
      <c r="H56" s="139"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140" t="str">
        <f t="array" ref="I56">IF(H56="", "", 
  LET(
    targetRow, IFERROR(MATCH(TRUE, BYROW('PR管理'!$J$4:$T$101, LAMBDA(r, COUNTIF(r, H56)&gt;0)), 0), 0),
    IF(targetRow=0, "",
      LET(
        startDate, INDEX('PR管理'!$C$4:$C$101, targetRow),
        delLimit, INDEX('PR管理'!$F$4:$F$101, targetRow),
        prID, INDEX('PR管理'!$A$4:$A$101, targetRow),
        IF(AND('26414_編集版 のコピー 2'!H$1 &gt;= startDate, '26414_編集版 のコピー 2'!H$1 &lt;= delLimit), 
          IFERROR(VLOOKUP(H56, '新規'!$E$2:$H142, 4, 0), 
          IFERROR(VLOOKUP(H56, '特殊配信マスタ'!$E$3:$H142, 4, 0), 
          IFERROR(VLOOKUP(H56, '自動求人✅'!$C$3:$F142, 4, 0), prID))), 
        "")
      )
    )
  )
)</f>
        <v/>
      </c>
      <c r="J56" s="141" t="str">
        <f t="shared" si="2"/>
        <v/>
      </c>
      <c r="K56" s="141"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141"/>
      <c r="M56" s="141"/>
      <c r="N56" s="139"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140" t="str">
        <f t="array" ref="O56">IF(N56="", "", 
  LET(
    targetRow, IFERROR(MATCH(TRUE, BYROW('PR管理'!$J$4:$T$101, LAMBDA(r, COUNTIF(r, N56)&gt;0)), 0), 0),
    IF(targetRow=0, "",
      LET(
        startDate, INDEX('PR管理'!$C$4:$C$101, targetRow),
        delLimit, INDEX('PR管理'!$F$4:$F$101, targetRow),
        prID, INDEX('PR管理'!$A$4:$A$101, targetRow),
        IF(AND('26414_編集版 のコピー 2'!N$1 &gt;= startDate, '26414_編集版 のコピー 2'!N$1 &lt;= delLimit), 
          IFERROR(VLOOKUP(N56, '新規'!$E$2:$H142, 4, 0), 
          IFERROR(VLOOKUP(N56, '特殊配信マスタ'!$E$3:$H142, 4, 0), 
          IFERROR(VLOOKUP(N56, '自動求人✅'!$C$3:$F142, 4, 0), prID))), 
        "")
      )
    )
  )
)</f>
        <v/>
      </c>
      <c r="P56" s="141" t="str">
        <f t="shared" si="3"/>
        <v/>
      </c>
      <c r="Q56" s="141"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141"/>
      <c r="S56" s="141"/>
      <c r="T56" s="139"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140" t="str">
        <f t="array" ref="U56">IF(T56="", "", 
  LET(
    targetRow, IFERROR(MATCH(TRUE, BYROW('PR管理'!$J$4:$T$101, LAMBDA(r, COUNTIF(r, T56)&gt;0)), 0), 0),
    IF(targetRow=0, "",
      LET(
        startDate, INDEX('PR管理'!$C$4:$C$101, targetRow),
        delLimit, INDEX('PR管理'!$F$4:$F$101, targetRow),
        prID, INDEX('PR管理'!$A$4:$A$101, targetRow),
        IF(AND('26414_編集版 のコピー 2'!T$1 &gt;= startDate, '26414_編集版 のコピー 2'!T$1 &lt;= delLimit), 
          IFERROR(VLOOKUP(T56, '新規'!$E$2:$H142, 4, 0), 
          IFERROR(VLOOKUP(T56, '特殊配信マスタ'!$E$3:$H142, 4, 0), 
          IFERROR(VLOOKUP(T56, '自動求人✅'!$C$3:$F142, 4, 0), prID))), 
        "")
      )
    )
  )
)</f>
        <v/>
      </c>
      <c r="V56" s="141" t="str">
        <f t="shared" si="4"/>
        <v/>
      </c>
      <c r="W56" s="141"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141"/>
      <c r="Y56" s="141"/>
      <c r="Z56" s="139"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140" t="str">
        <f t="array" ref="AA56">IF(Z56="", "", 
  LET(
    targetRow, IFERROR(MATCH(TRUE, BYROW('PR管理'!$J$4:$T$101, LAMBDA(r, COUNTIF(r, Z56)&gt;0)), 0), 0),
    IF(targetRow=0, "",
      LET(
        startDate, INDEX('PR管理'!$C$4:$C$101, targetRow),
        delLimit, INDEX('PR管理'!$F$4:$F$101, targetRow),
        prID, INDEX('PR管理'!$A$4:$A$101, targetRow),
        IF(AND('26414_編集版 のコピー 2'!Z$1 &gt;= startDate, '26414_編集版 のコピー 2'!Z$1 &lt;= delLimit), 
          IFERROR(VLOOKUP(Z56, '新規'!$E$2:$H142, 4, 0), 
          IFERROR(VLOOKUP(Z56, '特殊配信マスタ'!$E$3:$H142, 4, 0), 
          IFERROR(VLOOKUP(Z56, '自動求人✅'!$C$3:$F142, 4, 0), prID))), 
        "")
      )
    )
  )
)</f>
        <v/>
      </c>
      <c r="AB56" s="141" t="str">
        <f t="shared" si="5"/>
        <v/>
      </c>
      <c r="AC56" s="141"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141"/>
      <c r="AE56" s="141"/>
      <c r="AF56" s="139"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140" t="str">
        <f t="array" ref="AG56">IF(AF56="", "", 
  LET(
    targetRow, IFERROR(MATCH(TRUE, BYROW('PR管理'!$J$4:$T$101, LAMBDA(r, COUNTIF(r, AF56)&gt;0)), 0), 0),
    IF(targetRow=0, "",
      LET(
        startDate, INDEX('PR管理'!$C$4:$C$101, targetRow),
        delLimit, INDEX('PR管理'!$F$4:$F$101, targetRow),
        prID, INDEX('PR管理'!$A$4:$A$101, targetRow),
        IF(AND('26414_編集版 のコピー 2'!AF$1 &gt;= startDate, '26414_編集版 のコピー 2'!AF$1 &lt;= delLimit), 
          IFERROR(VLOOKUP(AF56, '新規'!$E$2:$H142, 4, 0), 
          IFERROR(VLOOKUP(AF56, '特殊配信マスタ'!$E$3:$H142, 4, 0), 
          IFERROR(VLOOKUP(AF56, '自動求人✅'!$C$3:$F142, 4, 0), prID))), 
        "")
      )
    )
  )
)</f>
        <v/>
      </c>
      <c r="AH56" s="141" t="str">
        <f t="shared" si="6"/>
        <v/>
      </c>
      <c r="AI56" s="141"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141"/>
      <c r="AK56" s="141"/>
      <c r="AL56" s="139"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140" t="str">
        <f t="array" ref="AM56">IF(AL56="", "", 
  LET(
    targetRow, IFERROR(MATCH(TRUE, BYROW('PR管理'!$J$4:$T$101, LAMBDA(r, COUNTIF(r, AL56)&gt;0)), 0), 0),
    IF(targetRow=0, "",
      LET(
        startDate, INDEX('PR管理'!$C$4:$C$101, targetRow),
        delLimit, INDEX('PR管理'!$F$4:$F$101, targetRow),
        prID, INDEX('PR管理'!$A$4:$A$101, targetRow),
        IF(AND('26414_編集版 のコピー 2'!AL$1 &gt;= startDate, '26414_編集版 のコピー 2'!AL$1 &lt;= delLimit), 
          IFERROR(VLOOKUP(AL56, '新規'!$E$2:$H142, 4, 0), 
          IFERROR(VLOOKUP(AL56, '特殊配信マスタ'!$E$3:$H142, 4, 0), 
          IFERROR(VLOOKUP(AL56, '自動求人✅'!$C$3:$F142, 4, 0), prID))), 
        "")
      )
    )
  )
)</f>
        <v/>
      </c>
      <c r="AN56" s="141" t="str">
        <f t="shared" si="7"/>
        <v/>
      </c>
      <c r="AO56" s="141"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141"/>
      <c r="AQ56" s="141"/>
    </row>
    <row r="57" ht="17.25" customHeight="1">
      <c r="A57" s="142"/>
      <c r="B57" s="139"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140" t="str">
        <f t="array" ref="C57">IF(B57="", "", 
  LET(
    targetRow, IFERROR(MATCH(TRUE, BYROW('PR管理'!$J$4:$T$101, LAMBDA(r, COUNTIF(r, B57)&gt;0)), 0), 0),
    IF(targetRow=0, "",
      LET(
        startDate, INDEX('PR管理'!$C$4:$C$101, targetRow),
        delLimit, INDEX('PR管理'!$F$4:$F$101, targetRow),
        prID, INDEX('PR管理'!$A$4:$A$101, targetRow),
        IF(AND('26414_編集版 のコピー 2'!B$1 &gt;= startDate, '26414_編集版 のコピー 2'!B$1 &lt;= delLimit), 
          IFERROR(VLOOKUP(B57, '新規'!$E$2:$H142, 4, 0), 
          IFERROR(VLOOKUP(B57, '特殊配信マスタ'!$E$3:$H142, 4, 0), 
          IFERROR(VLOOKUP(B57, '自動求人✅'!$C$3:$F142, 4, 0), prID))), 
        "")
      )
    )
  )
)</f>
        <v/>
      </c>
      <c r="D57" s="141" t="str">
        <f t="shared" si="1"/>
        <v/>
      </c>
      <c r="E57" s="141"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141"/>
      <c r="G57" s="141"/>
      <c r="H57" s="139"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140" t="str">
        <f t="array" ref="I57">IF(H57="", "", 
  LET(
    targetRow, IFERROR(MATCH(TRUE, BYROW('PR管理'!$J$4:$T$101, LAMBDA(r, COUNTIF(r, H57)&gt;0)), 0), 0),
    IF(targetRow=0, "",
      LET(
        startDate, INDEX('PR管理'!$C$4:$C$101, targetRow),
        delLimit, INDEX('PR管理'!$F$4:$F$101, targetRow),
        prID, INDEX('PR管理'!$A$4:$A$101, targetRow),
        IF(AND('26414_編集版 のコピー 2'!H$1 &gt;= startDate, '26414_編集版 のコピー 2'!H$1 &lt;= delLimit), 
          IFERROR(VLOOKUP(H57, '新規'!$E$2:$H142, 4, 0), 
          IFERROR(VLOOKUP(H57, '特殊配信マスタ'!$E$3:$H142, 4, 0), 
          IFERROR(VLOOKUP(H57, '自動求人✅'!$C$3:$F142, 4, 0), prID))), 
        "")
      )
    )
  )
)</f>
        <v/>
      </c>
      <c r="J57" s="141" t="str">
        <f t="shared" si="2"/>
        <v/>
      </c>
      <c r="K57" s="141"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141"/>
      <c r="M57" s="141"/>
      <c r="N57" s="139"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140" t="str">
        <f t="array" ref="O57">IF(N57="", "", 
  LET(
    targetRow, IFERROR(MATCH(TRUE, BYROW('PR管理'!$J$4:$T$101, LAMBDA(r, COUNTIF(r, N57)&gt;0)), 0), 0),
    IF(targetRow=0, "",
      LET(
        startDate, INDEX('PR管理'!$C$4:$C$101, targetRow),
        delLimit, INDEX('PR管理'!$F$4:$F$101, targetRow),
        prID, INDEX('PR管理'!$A$4:$A$101, targetRow),
        IF(AND('26414_編集版 のコピー 2'!N$1 &gt;= startDate, '26414_編集版 のコピー 2'!N$1 &lt;= delLimit), 
          IFERROR(VLOOKUP(N57, '新規'!$E$2:$H142, 4, 0), 
          IFERROR(VLOOKUP(N57, '特殊配信マスタ'!$E$3:$H142, 4, 0), 
          IFERROR(VLOOKUP(N57, '自動求人✅'!$C$3:$F142, 4, 0), prID))), 
        "")
      )
    )
  )
)</f>
        <v/>
      </c>
      <c r="P57" s="141" t="str">
        <f t="shared" si="3"/>
        <v/>
      </c>
      <c r="Q57" s="141"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141"/>
      <c r="S57" s="141"/>
      <c r="T57" s="139"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140" t="str">
        <f t="array" ref="U57">IF(T57="", "", 
  LET(
    targetRow, IFERROR(MATCH(TRUE, BYROW('PR管理'!$J$4:$T$101, LAMBDA(r, COUNTIF(r, T57)&gt;0)), 0), 0),
    IF(targetRow=0, "",
      LET(
        startDate, INDEX('PR管理'!$C$4:$C$101, targetRow),
        delLimit, INDEX('PR管理'!$F$4:$F$101, targetRow),
        prID, INDEX('PR管理'!$A$4:$A$101, targetRow),
        IF(AND('26414_編集版 のコピー 2'!T$1 &gt;= startDate, '26414_編集版 のコピー 2'!T$1 &lt;= delLimit), 
          IFERROR(VLOOKUP(T57, '新規'!$E$2:$H142, 4, 0), 
          IFERROR(VLOOKUP(T57, '特殊配信マスタ'!$E$3:$H142, 4, 0), 
          IFERROR(VLOOKUP(T57, '自動求人✅'!$C$3:$F142, 4, 0), prID))), 
        "")
      )
    )
  )
)</f>
        <v/>
      </c>
      <c r="V57" s="141" t="str">
        <f t="shared" si="4"/>
        <v/>
      </c>
      <c r="W57" s="141"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141"/>
      <c r="Y57" s="141"/>
      <c r="Z57" s="139"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140" t="str">
        <f t="array" ref="AA57">IF(Z57="", "", 
  LET(
    targetRow, IFERROR(MATCH(TRUE, BYROW('PR管理'!$J$4:$T$101, LAMBDA(r, COUNTIF(r, Z57)&gt;0)), 0), 0),
    IF(targetRow=0, "",
      LET(
        startDate, INDEX('PR管理'!$C$4:$C$101, targetRow),
        delLimit, INDEX('PR管理'!$F$4:$F$101, targetRow),
        prID, INDEX('PR管理'!$A$4:$A$101, targetRow),
        IF(AND('26414_編集版 のコピー 2'!Z$1 &gt;= startDate, '26414_編集版 のコピー 2'!Z$1 &lt;= delLimit), 
          IFERROR(VLOOKUP(Z57, '新規'!$E$2:$H142, 4, 0), 
          IFERROR(VLOOKUP(Z57, '特殊配信マスタ'!$E$3:$H142, 4, 0), 
          IFERROR(VLOOKUP(Z57, '自動求人✅'!$C$3:$F142, 4, 0), prID))), 
        "")
      )
    )
  )
)</f>
        <v/>
      </c>
      <c r="AB57" s="141" t="str">
        <f t="shared" si="5"/>
        <v/>
      </c>
      <c r="AC57" s="141"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141"/>
      <c r="AE57" s="141"/>
      <c r="AF57" s="139"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140" t="str">
        <f t="array" ref="AG57">IF(AF57="", "", 
  LET(
    targetRow, IFERROR(MATCH(TRUE, BYROW('PR管理'!$J$4:$T$101, LAMBDA(r, COUNTIF(r, AF57)&gt;0)), 0), 0),
    IF(targetRow=0, "",
      LET(
        startDate, INDEX('PR管理'!$C$4:$C$101, targetRow),
        delLimit, INDEX('PR管理'!$F$4:$F$101, targetRow),
        prID, INDEX('PR管理'!$A$4:$A$101, targetRow),
        IF(AND('26414_編集版 のコピー 2'!AF$1 &gt;= startDate, '26414_編集版 のコピー 2'!AF$1 &lt;= delLimit), 
          IFERROR(VLOOKUP(AF57, '新規'!$E$2:$H142, 4, 0), 
          IFERROR(VLOOKUP(AF57, '特殊配信マスタ'!$E$3:$H142, 4, 0), 
          IFERROR(VLOOKUP(AF57, '自動求人✅'!$C$3:$F142, 4, 0), prID))), 
        "")
      )
    )
  )
)</f>
        <v/>
      </c>
      <c r="AH57" s="141" t="str">
        <f t="shared" si="6"/>
        <v/>
      </c>
      <c r="AI57" s="141"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141"/>
      <c r="AK57" s="141"/>
      <c r="AL57" s="139"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140" t="str">
        <f t="array" ref="AM57">IF(AL57="", "", 
  LET(
    targetRow, IFERROR(MATCH(TRUE, BYROW('PR管理'!$J$4:$T$101, LAMBDA(r, COUNTIF(r, AL57)&gt;0)), 0), 0),
    IF(targetRow=0, "",
      LET(
        startDate, INDEX('PR管理'!$C$4:$C$101, targetRow),
        delLimit, INDEX('PR管理'!$F$4:$F$101, targetRow),
        prID, INDEX('PR管理'!$A$4:$A$101, targetRow),
        IF(AND('26414_編集版 のコピー 2'!AL$1 &gt;= startDate, '26414_編集版 のコピー 2'!AL$1 &lt;= delLimit), 
          IFERROR(VLOOKUP(AL57, '新規'!$E$2:$H142, 4, 0), 
          IFERROR(VLOOKUP(AL57, '特殊配信マスタ'!$E$3:$H142, 4, 0), 
          IFERROR(VLOOKUP(AL57, '自動求人✅'!$C$3:$F142, 4, 0), prID))), 
        "")
      )
    )
  )
)</f>
        <v/>
      </c>
      <c r="AN57" s="141" t="str">
        <f t="shared" si="7"/>
        <v/>
      </c>
      <c r="AO57" s="141"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141"/>
      <c r="AQ57" s="141"/>
    </row>
    <row r="58" ht="17.25" customHeight="1">
      <c r="A58" s="142"/>
      <c r="B58" s="139"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140" t="str">
        <f t="array" ref="C58">IF(B58="", "", 
  LET(
    targetRow, IFERROR(MATCH(TRUE, BYROW('PR管理'!$J$4:$T$101, LAMBDA(r, COUNTIF(r, B58)&gt;0)), 0), 0),
    IF(targetRow=0, "",
      LET(
        startDate, INDEX('PR管理'!$C$4:$C$101, targetRow),
        delLimit, INDEX('PR管理'!$F$4:$F$101, targetRow),
        prID, INDEX('PR管理'!$A$4:$A$101, targetRow),
        IF(AND('26414_編集版 のコピー 2'!B$1 &gt;= startDate, '26414_編集版 のコピー 2'!B$1 &lt;= delLimit), 
          IFERROR(VLOOKUP(B58, '新規'!$E$2:$H142, 4, 0), 
          IFERROR(VLOOKUP(B58, '特殊配信マスタ'!$E$3:$H142, 4, 0), 
          IFERROR(VLOOKUP(B58, '自動求人✅'!$C$3:$F142, 4, 0), prID))), 
        "")
      )
    )
  )
)</f>
        <v/>
      </c>
      <c r="D58" s="141" t="str">
        <f t="shared" si="1"/>
        <v/>
      </c>
      <c r="E58" s="141"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141"/>
      <c r="G58" s="141"/>
      <c r="H58" s="139"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140" t="str">
        <f t="array" ref="I58">IF(H58="", "", 
  LET(
    targetRow, IFERROR(MATCH(TRUE, BYROW('PR管理'!$J$4:$T$101, LAMBDA(r, COUNTIF(r, H58)&gt;0)), 0), 0),
    IF(targetRow=0, "",
      LET(
        startDate, INDEX('PR管理'!$C$4:$C$101, targetRow),
        delLimit, INDEX('PR管理'!$F$4:$F$101, targetRow),
        prID, INDEX('PR管理'!$A$4:$A$101, targetRow),
        IF(AND('26414_編集版 のコピー 2'!H$1 &gt;= startDate, '26414_編集版 のコピー 2'!H$1 &lt;= delLimit), 
          IFERROR(VLOOKUP(H58, '新規'!$E$2:$H142, 4, 0), 
          IFERROR(VLOOKUP(H58, '特殊配信マスタ'!$E$3:$H142, 4, 0), 
          IFERROR(VLOOKUP(H58, '自動求人✅'!$C$3:$F142, 4, 0), prID))), 
        "")
      )
    )
  )
)</f>
        <v/>
      </c>
      <c r="J58" s="141" t="str">
        <f t="shared" si="2"/>
        <v/>
      </c>
      <c r="K58" s="141"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141"/>
      <c r="M58" s="141"/>
      <c r="N58" s="139"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140" t="str">
        <f t="array" ref="O58">IF(N58="", "", 
  LET(
    targetRow, IFERROR(MATCH(TRUE, BYROW('PR管理'!$J$4:$T$101, LAMBDA(r, COUNTIF(r, N58)&gt;0)), 0), 0),
    IF(targetRow=0, "",
      LET(
        startDate, INDEX('PR管理'!$C$4:$C$101, targetRow),
        delLimit, INDEX('PR管理'!$F$4:$F$101, targetRow),
        prID, INDEX('PR管理'!$A$4:$A$101, targetRow),
        IF(AND('26414_編集版 のコピー 2'!N$1 &gt;= startDate, '26414_編集版 のコピー 2'!N$1 &lt;= delLimit), 
          IFERROR(VLOOKUP(N58, '新規'!$E$2:$H142, 4, 0), 
          IFERROR(VLOOKUP(N58, '特殊配信マスタ'!$E$3:$H142, 4, 0), 
          IFERROR(VLOOKUP(N58, '自動求人✅'!$C$3:$F142, 4, 0), prID))), 
        "")
      )
    )
  )
)</f>
        <v/>
      </c>
      <c r="P58" s="141" t="str">
        <f t="shared" si="3"/>
        <v/>
      </c>
      <c r="Q58" s="141"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141"/>
      <c r="S58" s="141"/>
      <c r="T58" s="139"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140" t="str">
        <f t="array" ref="U58">IF(T58="", "", 
  LET(
    targetRow, IFERROR(MATCH(TRUE, BYROW('PR管理'!$J$4:$T$101, LAMBDA(r, COUNTIF(r, T58)&gt;0)), 0), 0),
    IF(targetRow=0, "",
      LET(
        startDate, INDEX('PR管理'!$C$4:$C$101, targetRow),
        delLimit, INDEX('PR管理'!$F$4:$F$101, targetRow),
        prID, INDEX('PR管理'!$A$4:$A$101, targetRow),
        IF(AND('26414_編集版 のコピー 2'!T$1 &gt;= startDate, '26414_編集版 のコピー 2'!T$1 &lt;= delLimit), 
          IFERROR(VLOOKUP(T58, '新規'!$E$2:$H142, 4, 0), 
          IFERROR(VLOOKUP(T58, '特殊配信マスタ'!$E$3:$H142, 4, 0), 
          IFERROR(VLOOKUP(T58, '自動求人✅'!$C$3:$F142, 4, 0), prID))), 
        "")
      )
    )
  )
)</f>
        <v/>
      </c>
      <c r="V58" s="141" t="str">
        <f t="shared" si="4"/>
        <v/>
      </c>
      <c r="W58" s="141"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141"/>
      <c r="Y58" s="141"/>
      <c r="Z58" s="139"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140" t="str">
        <f t="array" ref="AA58">IF(Z58="", "", 
  LET(
    targetRow, IFERROR(MATCH(TRUE, BYROW('PR管理'!$J$4:$T$101, LAMBDA(r, COUNTIF(r, Z58)&gt;0)), 0), 0),
    IF(targetRow=0, "",
      LET(
        startDate, INDEX('PR管理'!$C$4:$C$101, targetRow),
        delLimit, INDEX('PR管理'!$F$4:$F$101, targetRow),
        prID, INDEX('PR管理'!$A$4:$A$101, targetRow),
        IF(AND('26414_編集版 のコピー 2'!Z$1 &gt;= startDate, '26414_編集版 のコピー 2'!Z$1 &lt;= delLimit), 
          IFERROR(VLOOKUP(Z58, '新規'!$E$2:$H142, 4, 0), 
          IFERROR(VLOOKUP(Z58, '特殊配信マスタ'!$E$3:$H142, 4, 0), 
          IFERROR(VLOOKUP(Z58, '自動求人✅'!$C$3:$F142, 4, 0), prID))), 
        "")
      )
    )
  )
)</f>
        <v/>
      </c>
      <c r="AB58" s="141" t="str">
        <f t="shared" si="5"/>
        <v/>
      </c>
      <c r="AC58" s="141"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141"/>
      <c r="AE58" s="141"/>
      <c r="AF58" s="139"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140" t="str">
        <f t="array" ref="AG58">IF(AF58="", "", 
  LET(
    targetRow, IFERROR(MATCH(TRUE, BYROW('PR管理'!$J$4:$T$101, LAMBDA(r, COUNTIF(r, AF58)&gt;0)), 0), 0),
    IF(targetRow=0, "",
      LET(
        startDate, INDEX('PR管理'!$C$4:$C$101, targetRow),
        delLimit, INDEX('PR管理'!$F$4:$F$101, targetRow),
        prID, INDEX('PR管理'!$A$4:$A$101, targetRow),
        IF(AND('26414_編集版 のコピー 2'!AF$1 &gt;= startDate, '26414_編集版 のコピー 2'!AF$1 &lt;= delLimit), 
          IFERROR(VLOOKUP(AF58, '新規'!$E$2:$H142, 4, 0), 
          IFERROR(VLOOKUP(AF58, '特殊配信マスタ'!$E$3:$H142, 4, 0), 
          IFERROR(VLOOKUP(AF58, '自動求人✅'!$C$3:$F142, 4, 0), prID))), 
        "")
      )
    )
  )
)</f>
        <v/>
      </c>
      <c r="AH58" s="141" t="str">
        <f t="shared" si="6"/>
        <v/>
      </c>
      <c r="AI58" s="141"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141"/>
      <c r="AK58" s="141"/>
      <c r="AL58" s="139"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140" t="str">
        <f t="array" ref="AM58">IF(AL58="", "", 
  LET(
    targetRow, IFERROR(MATCH(TRUE, BYROW('PR管理'!$J$4:$T$101, LAMBDA(r, COUNTIF(r, AL58)&gt;0)), 0), 0),
    IF(targetRow=0, "",
      LET(
        startDate, INDEX('PR管理'!$C$4:$C$101, targetRow),
        delLimit, INDEX('PR管理'!$F$4:$F$101, targetRow),
        prID, INDEX('PR管理'!$A$4:$A$101, targetRow),
        IF(AND('26414_編集版 のコピー 2'!AL$1 &gt;= startDate, '26414_編集版 のコピー 2'!AL$1 &lt;= delLimit), 
          IFERROR(VLOOKUP(AL58, '新規'!$E$2:$H142, 4, 0), 
          IFERROR(VLOOKUP(AL58, '特殊配信マスタ'!$E$3:$H142, 4, 0), 
          IFERROR(VLOOKUP(AL58, '自動求人✅'!$C$3:$F142, 4, 0), prID))), 
        "")
      )
    )
  )
)</f>
        <v/>
      </c>
      <c r="AN58" s="141" t="str">
        <f t="shared" si="7"/>
        <v/>
      </c>
      <c r="AO58" s="141"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141"/>
      <c r="AQ58" s="141"/>
    </row>
    <row r="59" ht="17.25" customHeight="1">
      <c r="A59" s="142"/>
      <c r="B59" s="139"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140" t="str">
        <f t="array" ref="C59">IF(B59="", "", 
  LET(
    targetRow, IFERROR(MATCH(TRUE, BYROW('PR管理'!$J$4:$T$101, LAMBDA(r, COUNTIF(r, B59)&gt;0)), 0), 0),
    IF(targetRow=0, "",
      LET(
        startDate, INDEX('PR管理'!$C$4:$C$101, targetRow),
        delLimit, INDEX('PR管理'!$F$4:$F$101, targetRow),
        prID, INDEX('PR管理'!$A$4:$A$101, targetRow),
        IF(AND('26414_編集版 のコピー 2'!B$1 &gt;= startDate, '26414_編集版 のコピー 2'!B$1 &lt;= delLimit), 
          IFERROR(VLOOKUP(B59, '新規'!$E$2:$H142, 4, 0), 
          IFERROR(VLOOKUP(B59, '特殊配信マスタ'!$E$3:$H142, 4, 0), 
          IFERROR(VLOOKUP(B59, '自動求人✅'!$C$3:$F142, 4, 0), prID))), 
        "")
      )
    )
  )
)</f>
        <v/>
      </c>
      <c r="D59" s="141" t="str">
        <f t="shared" si="1"/>
        <v/>
      </c>
      <c r="E59" s="141"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141"/>
      <c r="G59" s="141"/>
      <c r="H59" s="139"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140" t="str">
        <f t="array" ref="I59">IF(H59="", "", 
  LET(
    targetRow, IFERROR(MATCH(TRUE, BYROW('PR管理'!$J$4:$T$101, LAMBDA(r, COUNTIF(r, H59)&gt;0)), 0), 0),
    IF(targetRow=0, "",
      LET(
        startDate, INDEX('PR管理'!$C$4:$C$101, targetRow),
        delLimit, INDEX('PR管理'!$F$4:$F$101, targetRow),
        prID, INDEX('PR管理'!$A$4:$A$101, targetRow),
        IF(AND('26414_編集版 のコピー 2'!H$1 &gt;= startDate, '26414_編集版 のコピー 2'!H$1 &lt;= delLimit), 
          IFERROR(VLOOKUP(H59, '新規'!$E$2:$H142, 4, 0), 
          IFERROR(VLOOKUP(H59, '特殊配信マスタ'!$E$3:$H142, 4, 0), 
          IFERROR(VLOOKUP(H59, '自動求人✅'!$C$3:$F142, 4, 0), prID))), 
        "")
      )
    )
  )
)</f>
        <v/>
      </c>
      <c r="J59" s="141" t="str">
        <f t="shared" si="2"/>
        <v/>
      </c>
      <c r="K59" s="141"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141"/>
      <c r="M59" s="141"/>
      <c r="N59" s="139"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140" t="str">
        <f t="array" ref="O59">IF(N59="", "", 
  LET(
    targetRow, IFERROR(MATCH(TRUE, BYROW('PR管理'!$J$4:$T$101, LAMBDA(r, COUNTIF(r, N59)&gt;0)), 0), 0),
    IF(targetRow=0, "",
      LET(
        startDate, INDEX('PR管理'!$C$4:$C$101, targetRow),
        delLimit, INDEX('PR管理'!$F$4:$F$101, targetRow),
        prID, INDEX('PR管理'!$A$4:$A$101, targetRow),
        IF(AND('26414_編集版 のコピー 2'!N$1 &gt;= startDate, '26414_編集版 のコピー 2'!N$1 &lt;= delLimit), 
          IFERROR(VLOOKUP(N59, '新規'!$E$2:$H142, 4, 0), 
          IFERROR(VLOOKUP(N59, '特殊配信マスタ'!$E$3:$H142, 4, 0), 
          IFERROR(VLOOKUP(N59, '自動求人✅'!$C$3:$F142, 4, 0), prID))), 
        "")
      )
    )
  )
)</f>
        <v/>
      </c>
      <c r="P59" s="141" t="str">
        <f t="shared" si="3"/>
        <v/>
      </c>
      <c r="Q59" s="141"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141"/>
      <c r="S59" s="141"/>
      <c r="T59" s="139"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140" t="str">
        <f t="array" ref="U59">IF(T59="", "", 
  LET(
    targetRow, IFERROR(MATCH(TRUE, BYROW('PR管理'!$J$4:$T$101, LAMBDA(r, COUNTIF(r, T59)&gt;0)), 0), 0),
    IF(targetRow=0, "",
      LET(
        startDate, INDEX('PR管理'!$C$4:$C$101, targetRow),
        delLimit, INDEX('PR管理'!$F$4:$F$101, targetRow),
        prID, INDEX('PR管理'!$A$4:$A$101, targetRow),
        IF(AND('26414_編集版 のコピー 2'!T$1 &gt;= startDate, '26414_編集版 のコピー 2'!T$1 &lt;= delLimit), 
          IFERROR(VLOOKUP(T59, '新規'!$E$2:$H142, 4, 0), 
          IFERROR(VLOOKUP(T59, '特殊配信マスタ'!$E$3:$H142, 4, 0), 
          IFERROR(VLOOKUP(T59, '自動求人✅'!$C$3:$F142, 4, 0), prID))), 
        "")
      )
    )
  )
)</f>
        <v/>
      </c>
      <c r="V59" s="141" t="str">
        <f t="shared" si="4"/>
        <v/>
      </c>
      <c r="W59" s="141"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141"/>
      <c r="Y59" s="141"/>
      <c r="Z59" s="139"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140" t="str">
        <f t="array" ref="AA59">IF(Z59="", "", 
  LET(
    targetRow, IFERROR(MATCH(TRUE, BYROW('PR管理'!$J$4:$T$101, LAMBDA(r, COUNTIF(r, Z59)&gt;0)), 0), 0),
    IF(targetRow=0, "",
      LET(
        startDate, INDEX('PR管理'!$C$4:$C$101, targetRow),
        delLimit, INDEX('PR管理'!$F$4:$F$101, targetRow),
        prID, INDEX('PR管理'!$A$4:$A$101, targetRow),
        IF(AND('26414_編集版 のコピー 2'!Z$1 &gt;= startDate, '26414_編集版 のコピー 2'!Z$1 &lt;= delLimit), 
          IFERROR(VLOOKUP(Z59, '新規'!$E$2:$H142, 4, 0), 
          IFERROR(VLOOKUP(Z59, '特殊配信マスタ'!$E$3:$H142, 4, 0), 
          IFERROR(VLOOKUP(Z59, '自動求人✅'!$C$3:$F142, 4, 0), prID))), 
        "")
      )
    )
  )
)</f>
        <v/>
      </c>
      <c r="AB59" s="141" t="str">
        <f t="shared" si="5"/>
        <v/>
      </c>
      <c r="AC59" s="141"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141"/>
      <c r="AE59" s="141"/>
      <c r="AF59" s="139"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140" t="str">
        <f t="array" ref="AG59">IF(AF59="", "", 
  LET(
    targetRow, IFERROR(MATCH(TRUE, BYROW('PR管理'!$J$4:$T$101, LAMBDA(r, COUNTIF(r, AF59)&gt;0)), 0), 0),
    IF(targetRow=0, "",
      LET(
        startDate, INDEX('PR管理'!$C$4:$C$101, targetRow),
        delLimit, INDEX('PR管理'!$F$4:$F$101, targetRow),
        prID, INDEX('PR管理'!$A$4:$A$101, targetRow),
        IF(AND('26414_編集版 のコピー 2'!AF$1 &gt;= startDate, '26414_編集版 のコピー 2'!AF$1 &lt;= delLimit), 
          IFERROR(VLOOKUP(AF59, '新規'!$E$2:$H142, 4, 0), 
          IFERROR(VLOOKUP(AF59, '特殊配信マスタ'!$E$3:$H142, 4, 0), 
          IFERROR(VLOOKUP(AF59, '自動求人✅'!$C$3:$F142, 4, 0), prID))), 
        "")
      )
    )
  )
)</f>
        <v/>
      </c>
      <c r="AH59" s="141" t="str">
        <f t="shared" si="6"/>
        <v/>
      </c>
      <c r="AI59" s="141"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141"/>
      <c r="AK59" s="141"/>
      <c r="AL59" s="139"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140" t="str">
        <f t="array" ref="AM59">IF(AL59="", "", 
  LET(
    targetRow, IFERROR(MATCH(TRUE, BYROW('PR管理'!$J$4:$T$101, LAMBDA(r, COUNTIF(r, AL59)&gt;0)), 0), 0),
    IF(targetRow=0, "",
      LET(
        startDate, INDEX('PR管理'!$C$4:$C$101, targetRow),
        delLimit, INDEX('PR管理'!$F$4:$F$101, targetRow),
        prID, INDEX('PR管理'!$A$4:$A$101, targetRow),
        IF(AND('26414_編集版 のコピー 2'!AL$1 &gt;= startDate, '26414_編集版 のコピー 2'!AL$1 &lt;= delLimit), 
          IFERROR(VLOOKUP(AL59, '新規'!$E$2:$H142, 4, 0), 
          IFERROR(VLOOKUP(AL59, '特殊配信マスタ'!$E$3:$H142, 4, 0), 
          IFERROR(VLOOKUP(AL59, '自動求人✅'!$C$3:$F142, 4, 0), prID))), 
        "")
      )
    )
  )
)</f>
        <v/>
      </c>
      <c r="AN59" s="141" t="str">
        <f t="shared" si="7"/>
        <v/>
      </c>
      <c r="AO59" s="141"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141"/>
      <c r="AQ59" s="141"/>
    </row>
    <row r="60" ht="17.25" customHeight="1">
      <c r="A60" s="142"/>
      <c r="B60" s="139"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140" t="str">
        <f t="array" ref="C60">IF(B60="", "", 
  LET(
    targetRow, IFERROR(MATCH(TRUE, BYROW('PR管理'!$J$4:$T$101, LAMBDA(r, COUNTIF(r, B60)&gt;0)), 0), 0),
    IF(targetRow=0, "",
      LET(
        startDate, INDEX('PR管理'!$C$4:$C$101, targetRow),
        delLimit, INDEX('PR管理'!$F$4:$F$101, targetRow),
        prID, INDEX('PR管理'!$A$4:$A$101, targetRow),
        IF(AND('26414_編集版 のコピー 2'!B$1 &gt;= startDate, '26414_編集版 のコピー 2'!B$1 &lt;= delLimit), 
          IFERROR(VLOOKUP(B60, '新規'!$E$2:$H142, 4, 0), 
          IFERROR(VLOOKUP(B60, '特殊配信マスタ'!$E$3:$H142, 4, 0), 
          IFERROR(VLOOKUP(B60, '自動求人✅'!$C$3:$F142, 4, 0), prID))), 
        "")
      )
    )
  )
)</f>
        <v/>
      </c>
      <c r="D60" s="141" t="str">
        <f t="shared" si="1"/>
        <v/>
      </c>
      <c r="E60" s="141"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141"/>
      <c r="G60" s="141"/>
      <c r="H60" s="139"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140" t="str">
        <f t="array" ref="I60">IF(H60="", "", 
  LET(
    targetRow, IFERROR(MATCH(TRUE, BYROW('PR管理'!$J$4:$T$101, LAMBDA(r, COUNTIF(r, H60)&gt;0)), 0), 0),
    IF(targetRow=0, "",
      LET(
        startDate, INDEX('PR管理'!$C$4:$C$101, targetRow),
        delLimit, INDEX('PR管理'!$F$4:$F$101, targetRow),
        prID, INDEX('PR管理'!$A$4:$A$101, targetRow),
        IF(AND('26414_編集版 のコピー 2'!H$1 &gt;= startDate, '26414_編集版 のコピー 2'!H$1 &lt;= delLimit), 
          IFERROR(VLOOKUP(H60, '新規'!$E$2:$H142, 4, 0), 
          IFERROR(VLOOKUP(H60, '特殊配信マスタ'!$E$3:$H142, 4, 0), 
          IFERROR(VLOOKUP(H60, '自動求人✅'!$C$3:$F142, 4, 0), prID))), 
        "")
      )
    )
  )
)</f>
        <v/>
      </c>
      <c r="J60" s="141" t="str">
        <f t="shared" si="2"/>
        <v/>
      </c>
      <c r="K60" s="141"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141"/>
      <c r="M60" s="141"/>
      <c r="N60" s="139"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140" t="str">
        <f t="array" ref="O60">IF(N60="", "", 
  LET(
    targetRow, IFERROR(MATCH(TRUE, BYROW('PR管理'!$J$4:$T$101, LAMBDA(r, COUNTIF(r, N60)&gt;0)), 0), 0),
    IF(targetRow=0, "",
      LET(
        startDate, INDEX('PR管理'!$C$4:$C$101, targetRow),
        delLimit, INDEX('PR管理'!$F$4:$F$101, targetRow),
        prID, INDEX('PR管理'!$A$4:$A$101, targetRow),
        IF(AND('26414_編集版 のコピー 2'!N$1 &gt;= startDate, '26414_編集版 のコピー 2'!N$1 &lt;= delLimit), 
          IFERROR(VLOOKUP(N60, '新規'!$E$2:$H142, 4, 0), 
          IFERROR(VLOOKUP(N60, '特殊配信マスタ'!$E$3:$H142, 4, 0), 
          IFERROR(VLOOKUP(N60, '自動求人✅'!$C$3:$F142, 4, 0), prID))), 
        "")
      )
    )
  )
)</f>
        <v/>
      </c>
      <c r="P60" s="141" t="str">
        <f t="shared" si="3"/>
        <v/>
      </c>
      <c r="Q60" s="141"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141"/>
      <c r="S60" s="141"/>
      <c r="T60" s="139"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140" t="str">
        <f t="array" ref="U60">IF(T60="", "", 
  LET(
    targetRow, IFERROR(MATCH(TRUE, BYROW('PR管理'!$J$4:$T$101, LAMBDA(r, COUNTIF(r, T60)&gt;0)), 0), 0),
    IF(targetRow=0, "",
      LET(
        startDate, INDEX('PR管理'!$C$4:$C$101, targetRow),
        delLimit, INDEX('PR管理'!$F$4:$F$101, targetRow),
        prID, INDEX('PR管理'!$A$4:$A$101, targetRow),
        IF(AND('26414_編集版 のコピー 2'!T$1 &gt;= startDate, '26414_編集版 のコピー 2'!T$1 &lt;= delLimit), 
          IFERROR(VLOOKUP(T60, '新規'!$E$2:$H142, 4, 0), 
          IFERROR(VLOOKUP(T60, '特殊配信マスタ'!$E$3:$H142, 4, 0), 
          IFERROR(VLOOKUP(T60, '自動求人✅'!$C$3:$F142, 4, 0), prID))), 
        "")
      )
    )
  )
)</f>
        <v/>
      </c>
      <c r="V60" s="141" t="str">
        <f t="shared" si="4"/>
        <v/>
      </c>
      <c r="W60" s="141"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141"/>
      <c r="Y60" s="141"/>
      <c r="Z60" s="139"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140" t="str">
        <f t="array" ref="AA60">IF(Z60="", "", 
  LET(
    targetRow, IFERROR(MATCH(TRUE, BYROW('PR管理'!$J$4:$T$101, LAMBDA(r, COUNTIF(r, Z60)&gt;0)), 0), 0),
    IF(targetRow=0, "",
      LET(
        startDate, INDEX('PR管理'!$C$4:$C$101, targetRow),
        delLimit, INDEX('PR管理'!$F$4:$F$101, targetRow),
        prID, INDEX('PR管理'!$A$4:$A$101, targetRow),
        IF(AND('26414_編集版 のコピー 2'!Z$1 &gt;= startDate, '26414_編集版 のコピー 2'!Z$1 &lt;= delLimit), 
          IFERROR(VLOOKUP(Z60, '新規'!$E$2:$H142, 4, 0), 
          IFERROR(VLOOKUP(Z60, '特殊配信マスタ'!$E$3:$H142, 4, 0), 
          IFERROR(VLOOKUP(Z60, '自動求人✅'!$C$3:$F142, 4, 0), prID))), 
        "")
      )
    )
  )
)</f>
        <v/>
      </c>
      <c r="AB60" s="141" t="str">
        <f t="shared" si="5"/>
        <v/>
      </c>
      <c r="AC60" s="141"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141"/>
      <c r="AE60" s="141"/>
      <c r="AF60" s="139"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140" t="str">
        <f t="array" ref="AG60">IF(AF60="", "", 
  LET(
    targetRow, IFERROR(MATCH(TRUE, BYROW('PR管理'!$J$4:$T$101, LAMBDA(r, COUNTIF(r, AF60)&gt;0)), 0), 0),
    IF(targetRow=0, "",
      LET(
        startDate, INDEX('PR管理'!$C$4:$C$101, targetRow),
        delLimit, INDEX('PR管理'!$F$4:$F$101, targetRow),
        prID, INDEX('PR管理'!$A$4:$A$101, targetRow),
        IF(AND('26414_編集版 のコピー 2'!AF$1 &gt;= startDate, '26414_編集版 のコピー 2'!AF$1 &lt;= delLimit), 
          IFERROR(VLOOKUP(AF60, '新規'!$E$2:$H142, 4, 0), 
          IFERROR(VLOOKUP(AF60, '特殊配信マスタ'!$E$3:$H142, 4, 0), 
          IFERROR(VLOOKUP(AF60, '自動求人✅'!$C$3:$F142, 4, 0), prID))), 
        "")
      )
    )
  )
)</f>
        <v/>
      </c>
      <c r="AH60" s="141" t="str">
        <f t="shared" si="6"/>
        <v/>
      </c>
      <c r="AI60" s="141"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141"/>
      <c r="AK60" s="141"/>
      <c r="AL60" s="139"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140" t="str">
        <f t="array" ref="AM60">IF(AL60="", "", 
  LET(
    targetRow, IFERROR(MATCH(TRUE, BYROW('PR管理'!$J$4:$T$101, LAMBDA(r, COUNTIF(r, AL60)&gt;0)), 0), 0),
    IF(targetRow=0, "",
      LET(
        startDate, INDEX('PR管理'!$C$4:$C$101, targetRow),
        delLimit, INDEX('PR管理'!$F$4:$F$101, targetRow),
        prID, INDEX('PR管理'!$A$4:$A$101, targetRow),
        IF(AND('26414_編集版 のコピー 2'!AL$1 &gt;= startDate, '26414_編集版 のコピー 2'!AL$1 &lt;= delLimit), 
          IFERROR(VLOOKUP(AL60, '新規'!$E$2:$H142, 4, 0), 
          IFERROR(VLOOKUP(AL60, '特殊配信マスタ'!$E$3:$H142, 4, 0), 
          IFERROR(VLOOKUP(AL60, '自動求人✅'!$C$3:$F142, 4, 0), prID))), 
        "")
      )
    )
  )
)</f>
        <v/>
      </c>
      <c r="AN60" s="141" t="str">
        <f t="shared" si="7"/>
        <v/>
      </c>
      <c r="AO60" s="141"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141"/>
      <c r="AQ60" s="141"/>
    </row>
    <row r="61" ht="17.25" customHeight="1">
      <c r="A61" s="142"/>
      <c r="B61" s="139"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140" t="str">
        <f t="array" ref="C61">IF(B61="", "", 
  LET(
    targetRow, IFERROR(MATCH(TRUE, BYROW('PR管理'!$J$4:$T$101, LAMBDA(r, COUNTIF(r, B61)&gt;0)), 0), 0),
    IF(targetRow=0, "",
      LET(
        startDate, INDEX('PR管理'!$C$4:$C$101, targetRow),
        delLimit, INDEX('PR管理'!$F$4:$F$101, targetRow),
        prID, INDEX('PR管理'!$A$4:$A$101, targetRow),
        IF(AND('26414_編集版 のコピー 2'!B$1 &gt;= startDate, '26414_編集版 のコピー 2'!B$1 &lt;= delLimit), 
          IFERROR(VLOOKUP(B61, '新規'!$E$2:$H142, 4, 0), 
          IFERROR(VLOOKUP(B61, '特殊配信マスタ'!$E$3:$H142, 4, 0), 
          IFERROR(VLOOKUP(B61, '自動求人✅'!$C$3:$F142, 4, 0), prID))), 
        "")
      )
    )
  )
)</f>
        <v/>
      </c>
      <c r="D61" s="141" t="str">
        <f t="shared" si="1"/>
        <v/>
      </c>
      <c r="E61" s="141"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141"/>
      <c r="G61" s="141"/>
      <c r="H61" s="139"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140" t="str">
        <f t="array" ref="I61">IF(H61="", "", 
  LET(
    targetRow, IFERROR(MATCH(TRUE, BYROW('PR管理'!$J$4:$T$101, LAMBDA(r, COUNTIF(r, H61)&gt;0)), 0), 0),
    IF(targetRow=0, "",
      LET(
        startDate, INDEX('PR管理'!$C$4:$C$101, targetRow),
        delLimit, INDEX('PR管理'!$F$4:$F$101, targetRow),
        prID, INDEX('PR管理'!$A$4:$A$101, targetRow),
        IF(AND('26414_編集版 のコピー 2'!H$1 &gt;= startDate, '26414_編集版 のコピー 2'!H$1 &lt;= delLimit), 
          IFERROR(VLOOKUP(H61, '新規'!$E$2:$H142, 4, 0), 
          IFERROR(VLOOKUP(H61, '特殊配信マスタ'!$E$3:$H142, 4, 0), 
          IFERROR(VLOOKUP(H61, '自動求人✅'!$C$3:$F142, 4, 0), prID))), 
        "")
      )
    )
  )
)</f>
        <v/>
      </c>
      <c r="J61" s="141" t="str">
        <f t="shared" si="2"/>
        <v/>
      </c>
      <c r="K61" s="141"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141"/>
      <c r="M61" s="141"/>
      <c r="N61" s="139"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140" t="str">
        <f t="array" ref="O61">IF(N61="", "", 
  LET(
    targetRow, IFERROR(MATCH(TRUE, BYROW('PR管理'!$J$4:$T$101, LAMBDA(r, COUNTIF(r, N61)&gt;0)), 0), 0),
    IF(targetRow=0, "",
      LET(
        startDate, INDEX('PR管理'!$C$4:$C$101, targetRow),
        delLimit, INDEX('PR管理'!$F$4:$F$101, targetRow),
        prID, INDEX('PR管理'!$A$4:$A$101, targetRow),
        IF(AND('26414_編集版 のコピー 2'!N$1 &gt;= startDate, '26414_編集版 のコピー 2'!N$1 &lt;= delLimit), 
          IFERROR(VLOOKUP(N61, '新規'!$E$2:$H142, 4, 0), 
          IFERROR(VLOOKUP(N61, '特殊配信マスタ'!$E$3:$H142, 4, 0), 
          IFERROR(VLOOKUP(N61, '自動求人✅'!$C$3:$F142, 4, 0), prID))), 
        "")
      )
    )
  )
)</f>
        <v/>
      </c>
      <c r="P61" s="141" t="str">
        <f t="shared" si="3"/>
        <v/>
      </c>
      <c r="Q61" s="141"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141"/>
      <c r="S61" s="141"/>
      <c r="T61" s="139"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140" t="str">
        <f t="array" ref="U61">IF(T61="", "", 
  LET(
    targetRow, IFERROR(MATCH(TRUE, BYROW('PR管理'!$J$4:$T$101, LAMBDA(r, COUNTIF(r, T61)&gt;0)), 0), 0),
    IF(targetRow=0, "",
      LET(
        startDate, INDEX('PR管理'!$C$4:$C$101, targetRow),
        delLimit, INDEX('PR管理'!$F$4:$F$101, targetRow),
        prID, INDEX('PR管理'!$A$4:$A$101, targetRow),
        IF(AND('26414_編集版 のコピー 2'!T$1 &gt;= startDate, '26414_編集版 のコピー 2'!T$1 &lt;= delLimit), 
          IFERROR(VLOOKUP(T61, '新規'!$E$2:$H142, 4, 0), 
          IFERROR(VLOOKUP(T61, '特殊配信マスタ'!$E$3:$H142, 4, 0), 
          IFERROR(VLOOKUP(T61, '自動求人✅'!$C$3:$F142, 4, 0), prID))), 
        "")
      )
    )
  )
)</f>
        <v/>
      </c>
      <c r="V61" s="141" t="str">
        <f t="shared" si="4"/>
        <v/>
      </c>
      <c r="W61" s="141"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141"/>
      <c r="Y61" s="141"/>
      <c r="Z61" s="139"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140" t="str">
        <f t="array" ref="AA61">IF(Z61="", "", 
  LET(
    targetRow, IFERROR(MATCH(TRUE, BYROW('PR管理'!$J$4:$T$101, LAMBDA(r, COUNTIF(r, Z61)&gt;0)), 0), 0),
    IF(targetRow=0, "",
      LET(
        startDate, INDEX('PR管理'!$C$4:$C$101, targetRow),
        delLimit, INDEX('PR管理'!$F$4:$F$101, targetRow),
        prID, INDEX('PR管理'!$A$4:$A$101, targetRow),
        IF(AND('26414_編集版 のコピー 2'!Z$1 &gt;= startDate, '26414_編集版 のコピー 2'!Z$1 &lt;= delLimit), 
          IFERROR(VLOOKUP(Z61, '新規'!$E$2:$H142, 4, 0), 
          IFERROR(VLOOKUP(Z61, '特殊配信マスタ'!$E$3:$H142, 4, 0), 
          IFERROR(VLOOKUP(Z61, '自動求人✅'!$C$3:$F142, 4, 0), prID))), 
        "")
      )
    )
  )
)</f>
        <v/>
      </c>
      <c r="AB61" s="141" t="str">
        <f t="shared" si="5"/>
        <v/>
      </c>
      <c r="AC61" s="141"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141"/>
      <c r="AE61" s="141"/>
      <c r="AF61" s="139"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140" t="str">
        <f t="array" ref="AG61">IF(AF61="", "", 
  LET(
    targetRow, IFERROR(MATCH(TRUE, BYROW('PR管理'!$J$4:$T$101, LAMBDA(r, COUNTIF(r, AF61)&gt;0)), 0), 0),
    IF(targetRow=0, "",
      LET(
        startDate, INDEX('PR管理'!$C$4:$C$101, targetRow),
        delLimit, INDEX('PR管理'!$F$4:$F$101, targetRow),
        prID, INDEX('PR管理'!$A$4:$A$101, targetRow),
        IF(AND('26414_編集版 のコピー 2'!AF$1 &gt;= startDate, '26414_編集版 のコピー 2'!AF$1 &lt;= delLimit), 
          IFERROR(VLOOKUP(AF61, '新規'!$E$2:$H142, 4, 0), 
          IFERROR(VLOOKUP(AF61, '特殊配信マスタ'!$E$3:$H142, 4, 0), 
          IFERROR(VLOOKUP(AF61, '自動求人✅'!$C$3:$F142, 4, 0), prID))), 
        "")
      )
    )
  )
)</f>
        <v/>
      </c>
      <c r="AH61" s="141" t="str">
        <f t="shared" si="6"/>
        <v/>
      </c>
      <c r="AI61" s="141"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141"/>
      <c r="AK61" s="141"/>
      <c r="AL61" s="139"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140" t="str">
        <f t="array" ref="AM61">IF(AL61="", "", 
  LET(
    targetRow, IFERROR(MATCH(TRUE, BYROW('PR管理'!$J$4:$T$101, LAMBDA(r, COUNTIF(r, AL61)&gt;0)), 0), 0),
    IF(targetRow=0, "",
      LET(
        startDate, INDEX('PR管理'!$C$4:$C$101, targetRow),
        delLimit, INDEX('PR管理'!$F$4:$F$101, targetRow),
        prID, INDEX('PR管理'!$A$4:$A$101, targetRow),
        IF(AND('26414_編集版 のコピー 2'!AL$1 &gt;= startDate, '26414_編集版 のコピー 2'!AL$1 &lt;= delLimit), 
          IFERROR(VLOOKUP(AL61, '新規'!$E$2:$H142, 4, 0), 
          IFERROR(VLOOKUP(AL61, '特殊配信マスタ'!$E$3:$H142, 4, 0), 
          IFERROR(VLOOKUP(AL61, '自動求人✅'!$C$3:$F142, 4, 0), prID))), 
        "")
      )
    )
  )
)</f>
        <v/>
      </c>
      <c r="AN61" s="141" t="str">
        <f t="shared" si="7"/>
        <v/>
      </c>
      <c r="AO61" s="141"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141"/>
      <c r="AQ61" s="141"/>
    </row>
    <row r="62" ht="17.25" customHeight="1">
      <c r="A62" s="142"/>
      <c r="B62" s="139"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140" t="str">
        <f t="array" ref="C62">IF(B62="", "", 
  LET(
    targetRow, IFERROR(MATCH(TRUE, BYROW('PR管理'!$J$4:$T$101, LAMBDA(r, COUNTIF(r, B62)&gt;0)), 0), 0),
    IF(targetRow=0, "",
      LET(
        startDate, INDEX('PR管理'!$C$4:$C$101, targetRow),
        delLimit, INDEX('PR管理'!$F$4:$F$101, targetRow),
        prID, INDEX('PR管理'!$A$4:$A$101, targetRow),
        IF(AND('26414_編集版 のコピー 2'!B$1 &gt;= startDate, '26414_編集版 のコピー 2'!B$1 &lt;= delLimit), 
          IFERROR(VLOOKUP(B62, '新規'!$E$2:$H142, 4, 0), 
          IFERROR(VLOOKUP(B62, '特殊配信マスタ'!$E$3:$H142, 4, 0), 
          IFERROR(VLOOKUP(B62, '自動求人✅'!$C$3:$F142, 4, 0), prID))), 
        "")
      )
    )
  )
)</f>
        <v/>
      </c>
      <c r="D62" s="141" t="str">
        <f t="shared" si="1"/>
        <v/>
      </c>
      <c r="E62" s="141"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141"/>
      <c r="G62" s="141"/>
      <c r="H62" s="139"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140" t="str">
        <f t="array" ref="I62">IF(H62="", "", 
  LET(
    targetRow, IFERROR(MATCH(TRUE, BYROW('PR管理'!$J$4:$T$101, LAMBDA(r, COUNTIF(r, H62)&gt;0)), 0), 0),
    IF(targetRow=0, "",
      LET(
        startDate, INDEX('PR管理'!$C$4:$C$101, targetRow),
        delLimit, INDEX('PR管理'!$F$4:$F$101, targetRow),
        prID, INDEX('PR管理'!$A$4:$A$101, targetRow),
        IF(AND('26414_編集版 のコピー 2'!H$1 &gt;= startDate, '26414_編集版 のコピー 2'!H$1 &lt;= delLimit), 
          IFERROR(VLOOKUP(H62, '新規'!$E$2:$H142, 4, 0), 
          IFERROR(VLOOKUP(H62, '特殊配信マスタ'!$E$3:$H142, 4, 0), 
          IFERROR(VLOOKUP(H62, '自動求人✅'!$C$3:$F142, 4, 0), prID))), 
        "")
      )
    )
  )
)</f>
        <v/>
      </c>
      <c r="J62" s="141" t="str">
        <f t="shared" si="2"/>
        <v/>
      </c>
      <c r="K62" s="141"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141"/>
      <c r="M62" s="141"/>
      <c r="N62" s="139"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140" t="str">
        <f t="array" ref="O62">IF(N62="", "", 
  LET(
    targetRow, IFERROR(MATCH(TRUE, BYROW('PR管理'!$J$4:$T$101, LAMBDA(r, COUNTIF(r, N62)&gt;0)), 0), 0),
    IF(targetRow=0, "",
      LET(
        startDate, INDEX('PR管理'!$C$4:$C$101, targetRow),
        delLimit, INDEX('PR管理'!$F$4:$F$101, targetRow),
        prID, INDEX('PR管理'!$A$4:$A$101, targetRow),
        IF(AND('26414_編集版 のコピー 2'!N$1 &gt;= startDate, '26414_編集版 のコピー 2'!N$1 &lt;= delLimit), 
          IFERROR(VLOOKUP(N62, '新規'!$E$2:$H142, 4, 0), 
          IFERROR(VLOOKUP(N62, '特殊配信マスタ'!$E$3:$H142, 4, 0), 
          IFERROR(VLOOKUP(N62, '自動求人✅'!$C$3:$F142, 4, 0), prID))), 
        "")
      )
    )
  )
)</f>
        <v/>
      </c>
      <c r="P62" s="141" t="str">
        <f t="shared" si="3"/>
        <v/>
      </c>
      <c r="Q62" s="141"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141"/>
      <c r="S62" s="141"/>
      <c r="T62" s="139"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140" t="str">
        <f t="array" ref="U62">IF(T62="", "", 
  LET(
    targetRow, IFERROR(MATCH(TRUE, BYROW('PR管理'!$J$4:$T$101, LAMBDA(r, COUNTIF(r, T62)&gt;0)), 0), 0),
    IF(targetRow=0, "",
      LET(
        startDate, INDEX('PR管理'!$C$4:$C$101, targetRow),
        delLimit, INDEX('PR管理'!$F$4:$F$101, targetRow),
        prID, INDEX('PR管理'!$A$4:$A$101, targetRow),
        IF(AND('26414_編集版 のコピー 2'!T$1 &gt;= startDate, '26414_編集版 のコピー 2'!T$1 &lt;= delLimit), 
          IFERROR(VLOOKUP(T62, '新規'!$E$2:$H142, 4, 0), 
          IFERROR(VLOOKUP(T62, '特殊配信マスタ'!$E$3:$H142, 4, 0), 
          IFERROR(VLOOKUP(T62, '自動求人✅'!$C$3:$F142, 4, 0), prID))), 
        "")
      )
    )
  )
)</f>
        <v/>
      </c>
      <c r="V62" s="141" t="str">
        <f t="shared" si="4"/>
        <v/>
      </c>
      <c r="W62" s="141"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141"/>
      <c r="Y62" s="141"/>
      <c r="Z62" s="139"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140" t="str">
        <f t="array" ref="AA62">IF(Z62="", "", 
  LET(
    targetRow, IFERROR(MATCH(TRUE, BYROW('PR管理'!$J$4:$T$101, LAMBDA(r, COUNTIF(r, Z62)&gt;0)), 0), 0),
    IF(targetRow=0, "",
      LET(
        startDate, INDEX('PR管理'!$C$4:$C$101, targetRow),
        delLimit, INDEX('PR管理'!$F$4:$F$101, targetRow),
        prID, INDEX('PR管理'!$A$4:$A$101, targetRow),
        IF(AND('26414_編集版 のコピー 2'!Z$1 &gt;= startDate, '26414_編集版 のコピー 2'!Z$1 &lt;= delLimit), 
          IFERROR(VLOOKUP(Z62, '新規'!$E$2:$H142, 4, 0), 
          IFERROR(VLOOKUP(Z62, '特殊配信マスタ'!$E$3:$H142, 4, 0), 
          IFERROR(VLOOKUP(Z62, '自動求人✅'!$C$3:$F142, 4, 0), prID))), 
        "")
      )
    )
  )
)</f>
        <v/>
      </c>
      <c r="AB62" s="141" t="str">
        <f t="shared" si="5"/>
        <v/>
      </c>
      <c r="AC62" s="141"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141"/>
      <c r="AE62" s="141"/>
      <c r="AF62" s="139"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140" t="str">
        <f t="array" ref="AG62">IF(AF62="", "", 
  LET(
    targetRow, IFERROR(MATCH(TRUE, BYROW('PR管理'!$J$4:$T$101, LAMBDA(r, COUNTIF(r, AF62)&gt;0)), 0), 0),
    IF(targetRow=0, "",
      LET(
        startDate, INDEX('PR管理'!$C$4:$C$101, targetRow),
        delLimit, INDEX('PR管理'!$F$4:$F$101, targetRow),
        prID, INDEX('PR管理'!$A$4:$A$101, targetRow),
        IF(AND('26414_編集版 のコピー 2'!AF$1 &gt;= startDate, '26414_編集版 のコピー 2'!AF$1 &lt;= delLimit), 
          IFERROR(VLOOKUP(AF62, '新規'!$E$2:$H142, 4, 0), 
          IFERROR(VLOOKUP(AF62, '特殊配信マスタ'!$E$3:$H142, 4, 0), 
          IFERROR(VLOOKUP(AF62, '自動求人✅'!$C$3:$F142, 4, 0), prID))), 
        "")
      )
    )
  )
)</f>
        <v/>
      </c>
      <c r="AH62" s="141" t="str">
        <f t="shared" si="6"/>
        <v/>
      </c>
      <c r="AI62" s="141"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141"/>
      <c r="AK62" s="141"/>
      <c r="AL62" s="139"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140" t="str">
        <f t="array" ref="AM62">IF(AL62="", "", 
  LET(
    targetRow, IFERROR(MATCH(TRUE, BYROW('PR管理'!$J$4:$T$101, LAMBDA(r, COUNTIF(r, AL62)&gt;0)), 0), 0),
    IF(targetRow=0, "",
      LET(
        startDate, INDEX('PR管理'!$C$4:$C$101, targetRow),
        delLimit, INDEX('PR管理'!$F$4:$F$101, targetRow),
        prID, INDEX('PR管理'!$A$4:$A$101, targetRow),
        IF(AND('26414_編集版 のコピー 2'!AL$1 &gt;= startDate, '26414_編集版 のコピー 2'!AL$1 &lt;= delLimit), 
          IFERROR(VLOOKUP(AL62, '新規'!$E$2:$H142, 4, 0), 
          IFERROR(VLOOKUP(AL62, '特殊配信マスタ'!$E$3:$H142, 4, 0), 
          IFERROR(VLOOKUP(AL62, '自動求人✅'!$C$3:$F142, 4, 0), prID))), 
        "")
      )
    )
  )
)</f>
        <v/>
      </c>
      <c r="AN62" s="141" t="str">
        <f t="shared" si="7"/>
        <v/>
      </c>
      <c r="AO62" s="141"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141"/>
      <c r="AQ62" s="141"/>
    </row>
    <row r="63" ht="17.25" customHeight="1">
      <c r="A63" s="138">
        <f>A53+1</f>
        <v>14</v>
      </c>
      <c r="B63" s="139"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140" t="str">
        <f t="array" ref="C63">IF(B63="", "", 
  LET(
    targetRow, IFERROR(MATCH(TRUE, BYROW('PR管理'!$J$4:$T$101, LAMBDA(r, COUNTIF(r, B63)&gt;0)), 0), 0),
    IF(targetRow=0, "",
      LET(
        startDate, INDEX('PR管理'!$C$4:$C$101, targetRow),
        delLimit, INDEX('PR管理'!$F$4:$F$101, targetRow),
        prID, INDEX('PR管理'!$A$4:$A$101, targetRow),
        IF(AND('26414_編集版 のコピー 2'!B$1 &gt;= startDate, '26414_編集版 のコピー 2'!B$1 &lt;= delLimit), 
          IFERROR(VLOOKUP(B63, '新規'!$E$2:$H142, 4, 0), 
          IFERROR(VLOOKUP(B63, '特殊配信マスタ'!$E$3:$H142, 4, 0), 
          IFERROR(VLOOKUP(B63, '自動求人✅'!$C$3:$F142, 4, 0), prID))), 
        "")
      )
    )
  )
)</f>
        <v/>
      </c>
      <c r="D63" s="141" t="str">
        <f t="shared" si="1"/>
        <v/>
      </c>
      <c r="E63" s="141"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141"/>
      <c r="G63" s="141"/>
      <c r="H63" s="139"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140" t="str">
        <f t="array" ref="I63">IF(H63="", "", 
  LET(
    targetRow, IFERROR(MATCH(TRUE, BYROW('PR管理'!$J$4:$T$101, LAMBDA(r, COUNTIF(r, H63)&gt;0)), 0), 0),
    IF(targetRow=0, "",
      LET(
        startDate, INDEX('PR管理'!$C$4:$C$101, targetRow),
        delLimit, INDEX('PR管理'!$F$4:$F$101, targetRow),
        prID, INDEX('PR管理'!$A$4:$A$101, targetRow),
        IF(AND('26414_編集版 のコピー 2'!H$1 &gt;= startDate, '26414_編集版 のコピー 2'!H$1 &lt;= delLimit), 
          IFERROR(VLOOKUP(H63, '新規'!$E$2:$H142, 4, 0), 
          IFERROR(VLOOKUP(H63, '特殊配信マスタ'!$E$3:$H142, 4, 0), 
          IFERROR(VLOOKUP(H63, '自動求人✅'!$C$3:$F142, 4, 0), prID))), 
        "")
      )
    )
  )
)</f>
        <v/>
      </c>
      <c r="J63" s="141" t="str">
        <f t="shared" si="2"/>
        <v/>
      </c>
      <c r="K63" s="141"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141"/>
      <c r="M63" s="141"/>
      <c r="N63" s="139"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140" t="str">
        <f t="array" ref="O63">IF(N63="", "", 
  LET(
    targetRow, IFERROR(MATCH(TRUE, BYROW('PR管理'!$J$4:$T$101, LAMBDA(r, COUNTIF(r, N63)&gt;0)), 0), 0),
    IF(targetRow=0, "",
      LET(
        startDate, INDEX('PR管理'!$C$4:$C$101, targetRow),
        delLimit, INDEX('PR管理'!$F$4:$F$101, targetRow),
        prID, INDEX('PR管理'!$A$4:$A$101, targetRow),
        IF(AND('26414_編集版 のコピー 2'!N$1 &gt;= startDate, '26414_編集版 のコピー 2'!N$1 &lt;= delLimit), 
          IFERROR(VLOOKUP(N63, '新規'!$E$2:$H142, 4, 0), 
          IFERROR(VLOOKUP(N63, '特殊配信マスタ'!$E$3:$H142, 4, 0), 
          IFERROR(VLOOKUP(N63, '自動求人✅'!$C$3:$F142, 4, 0), prID))), 
        "")
      )
    )
  )
)</f>
        <v/>
      </c>
      <c r="P63" s="141" t="str">
        <f t="shared" si="3"/>
        <v/>
      </c>
      <c r="Q63" s="141"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141"/>
      <c r="S63" s="141"/>
      <c r="T63" s="139"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140" t="str">
        <f t="array" ref="U63">IF(T63="", "", 
  LET(
    targetRow, IFERROR(MATCH(TRUE, BYROW('PR管理'!$J$4:$T$101, LAMBDA(r, COUNTIF(r, T63)&gt;0)), 0), 0),
    IF(targetRow=0, "",
      LET(
        startDate, INDEX('PR管理'!$C$4:$C$101, targetRow),
        delLimit, INDEX('PR管理'!$F$4:$F$101, targetRow),
        prID, INDEX('PR管理'!$A$4:$A$101, targetRow),
        IF(AND('26414_編集版 のコピー 2'!T$1 &gt;= startDate, '26414_編集版 のコピー 2'!T$1 &lt;= delLimit), 
          IFERROR(VLOOKUP(T63, '新規'!$E$2:$H142, 4, 0), 
          IFERROR(VLOOKUP(T63, '特殊配信マスタ'!$E$3:$H142, 4, 0), 
          IFERROR(VLOOKUP(T63, '自動求人✅'!$C$3:$F142, 4, 0), prID))), 
        "")
      )
    )
  )
)</f>
        <v/>
      </c>
      <c r="V63" s="141" t="str">
        <f t="shared" si="4"/>
        <v/>
      </c>
      <c r="W63" s="141"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141"/>
      <c r="Y63" s="141"/>
      <c r="Z63" s="139"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140" t="str">
        <f t="array" ref="AA63">IF(Z63="", "", 
  LET(
    targetRow, IFERROR(MATCH(TRUE, BYROW('PR管理'!$J$4:$T$101, LAMBDA(r, COUNTIF(r, Z63)&gt;0)), 0), 0),
    IF(targetRow=0, "",
      LET(
        startDate, INDEX('PR管理'!$C$4:$C$101, targetRow),
        delLimit, INDEX('PR管理'!$F$4:$F$101, targetRow),
        prID, INDEX('PR管理'!$A$4:$A$101, targetRow),
        IF(AND('26414_編集版 のコピー 2'!Z$1 &gt;= startDate, '26414_編集版 のコピー 2'!Z$1 &lt;= delLimit), 
          IFERROR(VLOOKUP(Z63, '新規'!$E$2:$H142, 4, 0), 
          IFERROR(VLOOKUP(Z63, '特殊配信マスタ'!$E$3:$H142, 4, 0), 
          IFERROR(VLOOKUP(Z63, '自動求人✅'!$C$3:$F142, 4, 0), prID))), 
        "")
      )
    )
  )
)</f>
        <v/>
      </c>
      <c r="AB63" s="141" t="str">
        <f t="shared" si="5"/>
        <v/>
      </c>
      <c r="AC63" s="141"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141"/>
      <c r="AE63" s="141"/>
      <c r="AF63" s="139"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140" t="str">
        <f t="array" ref="AG63">IF(AF63="", "", 
  LET(
    targetRow, IFERROR(MATCH(TRUE, BYROW('PR管理'!$J$4:$T$101, LAMBDA(r, COUNTIF(r, AF63)&gt;0)), 0), 0),
    IF(targetRow=0, "",
      LET(
        startDate, INDEX('PR管理'!$C$4:$C$101, targetRow),
        delLimit, INDEX('PR管理'!$F$4:$F$101, targetRow),
        prID, INDEX('PR管理'!$A$4:$A$101, targetRow),
        IF(AND('26414_編集版 のコピー 2'!AF$1 &gt;= startDate, '26414_編集版 のコピー 2'!AF$1 &lt;= delLimit), 
          IFERROR(VLOOKUP(AF63, '新規'!$E$2:$H142, 4, 0), 
          IFERROR(VLOOKUP(AF63, '特殊配信マスタ'!$E$3:$H142, 4, 0), 
          IFERROR(VLOOKUP(AF63, '自動求人✅'!$C$3:$F142, 4, 0), prID))), 
        "")
      )
    )
  )
)</f>
        <v/>
      </c>
      <c r="AH63" s="141" t="str">
        <f t="shared" si="6"/>
        <v/>
      </c>
      <c r="AI63" s="141"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141"/>
      <c r="AK63" s="141"/>
      <c r="AL63" s="139"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140" t="str">
        <f t="array" ref="AM63">IF(AL63="", "", 
  LET(
    targetRow, IFERROR(MATCH(TRUE, BYROW('PR管理'!$J$4:$T$101, LAMBDA(r, COUNTIF(r, AL63)&gt;0)), 0), 0),
    IF(targetRow=0, "",
      LET(
        startDate, INDEX('PR管理'!$C$4:$C$101, targetRow),
        delLimit, INDEX('PR管理'!$F$4:$F$101, targetRow),
        prID, INDEX('PR管理'!$A$4:$A$101, targetRow),
        IF(AND('26414_編集版 のコピー 2'!AL$1 &gt;= startDate, '26414_編集版 のコピー 2'!AL$1 &lt;= delLimit), 
          IFERROR(VLOOKUP(AL63, '新規'!$E$2:$H142, 4, 0), 
          IFERROR(VLOOKUP(AL63, '特殊配信マスタ'!$E$3:$H142, 4, 0), 
          IFERROR(VLOOKUP(AL63, '自動求人✅'!$C$3:$F142, 4, 0), prID))), 
        "")
      )
    )
  )
)</f>
        <v/>
      </c>
      <c r="AN63" s="141" t="str">
        <f t="shared" si="7"/>
        <v/>
      </c>
      <c r="AO63" s="141"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141"/>
      <c r="AQ63" s="141"/>
    </row>
    <row r="64" ht="17.25" customHeight="1">
      <c r="A64" s="142"/>
      <c r="B64" s="139"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140" t="str">
        <f t="array" ref="C64">IF(B64="", "", 
  LET(
    targetRow, IFERROR(MATCH(TRUE, BYROW('PR管理'!$J$4:$T$101, LAMBDA(r, COUNTIF(r, B64)&gt;0)), 0), 0),
    IF(targetRow=0, "",
      LET(
        startDate, INDEX('PR管理'!$C$4:$C$101, targetRow),
        delLimit, INDEX('PR管理'!$F$4:$F$101, targetRow),
        prID, INDEX('PR管理'!$A$4:$A$101, targetRow),
        IF(AND('26414_編集版 のコピー 2'!B$1 &gt;= startDate, '26414_編集版 のコピー 2'!B$1 &lt;= delLimit), 
          IFERROR(VLOOKUP(B64, '新規'!$E$2:$H142, 4, 0), 
          IFERROR(VLOOKUP(B64, '特殊配信マスタ'!$E$3:$H142, 4, 0), 
          IFERROR(VLOOKUP(B64, '自動求人✅'!$C$3:$F142, 4, 0), prID))), 
        "")
      )
    )
  )
)</f>
        <v/>
      </c>
      <c r="D64" s="141" t="str">
        <f t="shared" si="1"/>
        <v/>
      </c>
      <c r="E64" s="141"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141"/>
      <c r="G64" s="141"/>
      <c r="H64" s="139"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140" t="str">
        <f t="array" ref="I64">IF(H64="", "", 
  LET(
    targetRow, IFERROR(MATCH(TRUE, BYROW('PR管理'!$J$4:$T$101, LAMBDA(r, COUNTIF(r, H64)&gt;0)), 0), 0),
    IF(targetRow=0, "",
      LET(
        startDate, INDEX('PR管理'!$C$4:$C$101, targetRow),
        delLimit, INDEX('PR管理'!$F$4:$F$101, targetRow),
        prID, INDEX('PR管理'!$A$4:$A$101, targetRow),
        IF(AND('26414_編集版 のコピー 2'!H$1 &gt;= startDate, '26414_編集版 のコピー 2'!H$1 &lt;= delLimit), 
          IFERROR(VLOOKUP(H64, '新規'!$E$2:$H142, 4, 0), 
          IFERROR(VLOOKUP(H64, '特殊配信マスタ'!$E$3:$H142, 4, 0), 
          IFERROR(VLOOKUP(H64, '自動求人✅'!$C$3:$F142, 4, 0), prID))), 
        "")
      )
    )
  )
)</f>
        <v/>
      </c>
      <c r="J64" s="141" t="str">
        <f t="shared" si="2"/>
        <v/>
      </c>
      <c r="K64" s="141"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141"/>
      <c r="M64" s="141"/>
      <c r="N64" s="139"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140" t="str">
        <f t="array" ref="O64">IF(N64="", "", 
  LET(
    targetRow, IFERROR(MATCH(TRUE, BYROW('PR管理'!$J$4:$T$101, LAMBDA(r, COUNTIF(r, N64)&gt;0)), 0), 0),
    IF(targetRow=0, "",
      LET(
        startDate, INDEX('PR管理'!$C$4:$C$101, targetRow),
        delLimit, INDEX('PR管理'!$F$4:$F$101, targetRow),
        prID, INDEX('PR管理'!$A$4:$A$101, targetRow),
        IF(AND('26414_編集版 のコピー 2'!N$1 &gt;= startDate, '26414_編集版 のコピー 2'!N$1 &lt;= delLimit), 
          IFERROR(VLOOKUP(N64, '新規'!$E$2:$H142, 4, 0), 
          IFERROR(VLOOKUP(N64, '特殊配信マスタ'!$E$3:$H142, 4, 0), 
          IFERROR(VLOOKUP(N64, '自動求人✅'!$C$3:$F142, 4, 0), prID))), 
        "")
      )
    )
  )
)</f>
        <v/>
      </c>
      <c r="P64" s="141" t="str">
        <f t="shared" si="3"/>
        <v/>
      </c>
      <c r="Q64" s="141"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141"/>
      <c r="S64" s="141"/>
      <c r="T64" s="139"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140" t="str">
        <f t="array" ref="U64">IF(T64="", "", 
  LET(
    targetRow, IFERROR(MATCH(TRUE, BYROW('PR管理'!$J$4:$T$101, LAMBDA(r, COUNTIF(r, T64)&gt;0)), 0), 0),
    IF(targetRow=0, "",
      LET(
        startDate, INDEX('PR管理'!$C$4:$C$101, targetRow),
        delLimit, INDEX('PR管理'!$F$4:$F$101, targetRow),
        prID, INDEX('PR管理'!$A$4:$A$101, targetRow),
        IF(AND('26414_編集版 のコピー 2'!T$1 &gt;= startDate, '26414_編集版 のコピー 2'!T$1 &lt;= delLimit), 
          IFERROR(VLOOKUP(T64, '新規'!$E$2:$H142, 4, 0), 
          IFERROR(VLOOKUP(T64, '特殊配信マスタ'!$E$3:$H142, 4, 0), 
          IFERROR(VLOOKUP(T64, '自動求人✅'!$C$3:$F142, 4, 0), prID))), 
        "")
      )
    )
  )
)</f>
        <v/>
      </c>
      <c r="V64" s="141" t="str">
        <f t="shared" si="4"/>
        <v/>
      </c>
      <c r="W64" s="141"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141"/>
      <c r="Y64" s="141"/>
      <c r="Z64" s="139"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140" t="str">
        <f t="array" ref="AA64">IF(Z64="", "", 
  LET(
    targetRow, IFERROR(MATCH(TRUE, BYROW('PR管理'!$J$4:$T$101, LAMBDA(r, COUNTIF(r, Z64)&gt;0)), 0), 0),
    IF(targetRow=0, "",
      LET(
        startDate, INDEX('PR管理'!$C$4:$C$101, targetRow),
        delLimit, INDEX('PR管理'!$F$4:$F$101, targetRow),
        prID, INDEX('PR管理'!$A$4:$A$101, targetRow),
        IF(AND('26414_編集版 のコピー 2'!Z$1 &gt;= startDate, '26414_編集版 のコピー 2'!Z$1 &lt;= delLimit), 
          IFERROR(VLOOKUP(Z64, '新規'!$E$2:$H142, 4, 0), 
          IFERROR(VLOOKUP(Z64, '特殊配信マスタ'!$E$3:$H142, 4, 0), 
          IFERROR(VLOOKUP(Z64, '自動求人✅'!$C$3:$F142, 4, 0), prID))), 
        "")
      )
    )
  )
)</f>
        <v/>
      </c>
      <c r="AB64" s="141" t="str">
        <f t="shared" si="5"/>
        <v/>
      </c>
      <c r="AC64" s="141"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141"/>
      <c r="AE64" s="141"/>
      <c r="AF64" s="139"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140" t="str">
        <f t="array" ref="AG64">IF(AF64="", "", 
  LET(
    targetRow, IFERROR(MATCH(TRUE, BYROW('PR管理'!$J$4:$T$101, LAMBDA(r, COUNTIF(r, AF64)&gt;0)), 0), 0),
    IF(targetRow=0, "",
      LET(
        startDate, INDEX('PR管理'!$C$4:$C$101, targetRow),
        delLimit, INDEX('PR管理'!$F$4:$F$101, targetRow),
        prID, INDEX('PR管理'!$A$4:$A$101, targetRow),
        IF(AND('26414_編集版 のコピー 2'!AF$1 &gt;= startDate, '26414_編集版 のコピー 2'!AF$1 &lt;= delLimit), 
          IFERROR(VLOOKUP(AF64, '新規'!$E$2:$H142, 4, 0), 
          IFERROR(VLOOKUP(AF64, '特殊配信マスタ'!$E$3:$H142, 4, 0), 
          IFERROR(VLOOKUP(AF64, '自動求人✅'!$C$3:$F142, 4, 0), prID))), 
        "")
      )
    )
  )
)</f>
        <v/>
      </c>
      <c r="AH64" s="141" t="str">
        <f t="shared" si="6"/>
        <v/>
      </c>
      <c r="AI64" s="141"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141"/>
      <c r="AK64" s="141"/>
      <c r="AL64" s="139"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140" t="str">
        <f t="array" ref="AM64">IF(AL64="", "", 
  LET(
    targetRow, IFERROR(MATCH(TRUE, BYROW('PR管理'!$J$4:$T$101, LAMBDA(r, COUNTIF(r, AL64)&gt;0)), 0), 0),
    IF(targetRow=0, "",
      LET(
        startDate, INDEX('PR管理'!$C$4:$C$101, targetRow),
        delLimit, INDEX('PR管理'!$F$4:$F$101, targetRow),
        prID, INDEX('PR管理'!$A$4:$A$101, targetRow),
        IF(AND('26414_編集版 のコピー 2'!AL$1 &gt;= startDate, '26414_編集版 のコピー 2'!AL$1 &lt;= delLimit), 
          IFERROR(VLOOKUP(AL64, '新規'!$E$2:$H142, 4, 0), 
          IFERROR(VLOOKUP(AL64, '特殊配信マスタ'!$E$3:$H142, 4, 0), 
          IFERROR(VLOOKUP(AL64, '自動求人✅'!$C$3:$F142, 4, 0), prID))), 
        "")
      )
    )
  )
)</f>
        <v/>
      </c>
      <c r="AN64" s="141" t="str">
        <f t="shared" si="7"/>
        <v/>
      </c>
      <c r="AO64" s="141"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141"/>
      <c r="AQ64" s="141"/>
    </row>
    <row r="65" ht="17.25" customHeight="1">
      <c r="A65" s="142"/>
      <c r="B65" s="139"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140" t="str">
        <f t="array" ref="C65">IF(B65="", "", 
  LET(
    targetRow, IFERROR(MATCH(TRUE, BYROW('PR管理'!$J$4:$T$101, LAMBDA(r, COUNTIF(r, B65)&gt;0)), 0), 0),
    IF(targetRow=0, "",
      LET(
        startDate, INDEX('PR管理'!$C$4:$C$101, targetRow),
        delLimit, INDEX('PR管理'!$F$4:$F$101, targetRow),
        prID, INDEX('PR管理'!$A$4:$A$101, targetRow),
        IF(AND('26414_編集版 のコピー 2'!B$1 &gt;= startDate, '26414_編集版 のコピー 2'!B$1 &lt;= delLimit), 
          IFERROR(VLOOKUP(B65, '新規'!$E$2:$H142, 4, 0), 
          IFERROR(VLOOKUP(B65, '特殊配信マスタ'!$E$3:$H142, 4, 0), 
          IFERROR(VLOOKUP(B65, '自動求人✅'!$C$3:$F142, 4, 0), prID))), 
        "")
      )
    )
  )
)</f>
        <v/>
      </c>
      <c r="D65" s="141" t="str">
        <f t="shared" si="1"/>
        <v/>
      </c>
      <c r="E65" s="141"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141"/>
      <c r="G65" s="141"/>
      <c r="H65" s="139"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140" t="str">
        <f t="array" ref="I65">IF(H65="", "", 
  LET(
    targetRow, IFERROR(MATCH(TRUE, BYROW('PR管理'!$J$4:$T$101, LAMBDA(r, COUNTIF(r, H65)&gt;0)), 0), 0),
    IF(targetRow=0, "",
      LET(
        startDate, INDEX('PR管理'!$C$4:$C$101, targetRow),
        delLimit, INDEX('PR管理'!$F$4:$F$101, targetRow),
        prID, INDEX('PR管理'!$A$4:$A$101, targetRow),
        IF(AND('26414_編集版 のコピー 2'!H$1 &gt;= startDate, '26414_編集版 のコピー 2'!H$1 &lt;= delLimit), 
          IFERROR(VLOOKUP(H65, '新規'!$E$2:$H142, 4, 0), 
          IFERROR(VLOOKUP(H65, '特殊配信マスタ'!$E$3:$H142, 4, 0), 
          IFERROR(VLOOKUP(H65, '自動求人✅'!$C$3:$F142, 4, 0), prID))), 
        "")
      )
    )
  )
)</f>
        <v/>
      </c>
      <c r="J65" s="141" t="str">
        <f t="shared" si="2"/>
        <v/>
      </c>
      <c r="K65" s="141"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141"/>
      <c r="M65" s="141"/>
      <c r="N65" s="139"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140" t="str">
        <f t="array" ref="O65">IF(N65="", "", 
  LET(
    targetRow, IFERROR(MATCH(TRUE, BYROW('PR管理'!$J$4:$T$101, LAMBDA(r, COUNTIF(r, N65)&gt;0)), 0), 0),
    IF(targetRow=0, "",
      LET(
        startDate, INDEX('PR管理'!$C$4:$C$101, targetRow),
        delLimit, INDEX('PR管理'!$F$4:$F$101, targetRow),
        prID, INDEX('PR管理'!$A$4:$A$101, targetRow),
        IF(AND('26414_編集版 のコピー 2'!N$1 &gt;= startDate, '26414_編集版 のコピー 2'!N$1 &lt;= delLimit), 
          IFERROR(VLOOKUP(N65, '新規'!$E$2:$H142, 4, 0), 
          IFERROR(VLOOKUP(N65, '特殊配信マスタ'!$E$3:$H142, 4, 0), 
          IFERROR(VLOOKUP(N65, '自動求人✅'!$C$3:$F142, 4, 0), prID))), 
        "")
      )
    )
  )
)</f>
        <v/>
      </c>
      <c r="P65" s="141" t="str">
        <f t="shared" si="3"/>
        <v/>
      </c>
      <c r="Q65" s="141"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141"/>
      <c r="S65" s="141"/>
      <c r="T65" s="139"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140" t="str">
        <f t="array" ref="U65">IF(T65="", "", 
  LET(
    targetRow, IFERROR(MATCH(TRUE, BYROW('PR管理'!$J$4:$T$101, LAMBDA(r, COUNTIF(r, T65)&gt;0)), 0), 0),
    IF(targetRow=0, "",
      LET(
        startDate, INDEX('PR管理'!$C$4:$C$101, targetRow),
        delLimit, INDEX('PR管理'!$F$4:$F$101, targetRow),
        prID, INDEX('PR管理'!$A$4:$A$101, targetRow),
        IF(AND('26414_編集版 のコピー 2'!T$1 &gt;= startDate, '26414_編集版 のコピー 2'!T$1 &lt;= delLimit), 
          IFERROR(VLOOKUP(T65, '新規'!$E$2:$H142, 4, 0), 
          IFERROR(VLOOKUP(T65, '特殊配信マスタ'!$E$3:$H142, 4, 0), 
          IFERROR(VLOOKUP(T65, '自動求人✅'!$C$3:$F142, 4, 0), prID))), 
        "")
      )
    )
  )
)</f>
        <v/>
      </c>
      <c r="V65" s="141" t="str">
        <f t="shared" si="4"/>
        <v/>
      </c>
      <c r="W65" s="141"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141"/>
      <c r="Y65" s="141"/>
      <c r="Z65" s="139"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140" t="str">
        <f t="array" ref="AA65">IF(Z65="", "", 
  LET(
    targetRow, IFERROR(MATCH(TRUE, BYROW('PR管理'!$J$4:$T$101, LAMBDA(r, COUNTIF(r, Z65)&gt;0)), 0), 0),
    IF(targetRow=0, "",
      LET(
        startDate, INDEX('PR管理'!$C$4:$C$101, targetRow),
        delLimit, INDEX('PR管理'!$F$4:$F$101, targetRow),
        prID, INDEX('PR管理'!$A$4:$A$101, targetRow),
        IF(AND('26414_編集版 のコピー 2'!Z$1 &gt;= startDate, '26414_編集版 のコピー 2'!Z$1 &lt;= delLimit), 
          IFERROR(VLOOKUP(Z65, '新規'!$E$2:$H142, 4, 0), 
          IFERROR(VLOOKUP(Z65, '特殊配信マスタ'!$E$3:$H142, 4, 0), 
          IFERROR(VLOOKUP(Z65, '自動求人✅'!$C$3:$F142, 4, 0), prID))), 
        "")
      )
    )
  )
)</f>
        <v/>
      </c>
      <c r="AB65" s="141" t="str">
        <f t="shared" si="5"/>
        <v/>
      </c>
      <c r="AC65" s="141"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141"/>
      <c r="AE65" s="141"/>
      <c r="AF65" s="139"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140" t="str">
        <f t="array" ref="AG65">IF(AF65="", "", 
  LET(
    targetRow, IFERROR(MATCH(TRUE, BYROW('PR管理'!$J$4:$T$101, LAMBDA(r, COUNTIF(r, AF65)&gt;0)), 0), 0),
    IF(targetRow=0, "",
      LET(
        startDate, INDEX('PR管理'!$C$4:$C$101, targetRow),
        delLimit, INDEX('PR管理'!$F$4:$F$101, targetRow),
        prID, INDEX('PR管理'!$A$4:$A$101, targetRow),
        IF(AND('26414_編集版 のコピー 2'!AF$1 &gt;= startDate, '26414_編集版 のコピー 2'!AF$1 &lt;= delLimit), 
          IFERROR(VLOOKUP(AF65, '新規'!$E$2:$H142, 4, 0), 
          IFERROR(VLOOKUP(AF65, '特殊配信マスタ'!$E$3:$H142, 4, 0), 
          IFERROR(VLOOKUP(AF65, '自動求人✅'!$C$3:$F142, 4, 0), prID))), 
        "")
      )
    )
  )
)</f>
        <v/>
      </c>
      <c r="AH65" s="141" t="str">
        <f t="shared" si="6"/>
        <v/>
      </c>
      <c r="AI65" s="141"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141"/>
      <c r="AK65" s="141"/>
      <c r="AL65" s="139"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140" t="str">
        <f t="array" ref="AM65">IF(AL65="", "", 
  LET(
    targetRow, IFERROR(MATCH(TRUE, BYROW('PR管理'!$J$4:$T$101, LAMBDA(r, COUNTIF(r, AL65)&gt;0)), 0), 0),
    IF(targetRow=0, "",
      LET(
        startDate, INDEX('PR管理'!$C$4:$C$101, targetRow),
        delLimit, INDEX('PR管理'!$F$4:$F$101, targetRow),
        prID, INDEX('PR管理'!$A$4:$A$101, targetRow),
        IF(AND('26414_編集版 のコピー 2'!AL$1 &gt;= startDate, '26414_編集版 のコピー 2'!AL$1 &lt;= delLimit), 
          IFERROR(VLOOKUP(AL65, '新規'!$E$2:$H142, 4, 0), 
          IFERROR(VLOOKUP(AL65, '特殊配信マスタ'!$E$3:$H142, 4, 0), 
          IFERROR(VLOOKUP(AL65, '自動求人✅'!$C$3:$F142, 4, 0), prID))), 
        "")
      )
    )
  )
)</f>
        <v/>
      </c>
      <c r="AN65" s="141" t="str">
        <f t="shared" si="7"/>
        <v/>
      </c>
      <c r="AO65" s="141"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141"/>
      <c r="AQ65" s="141"/>
    </row>
    <row r="66" ht="17.25" customHeight="1">
      <c r="A66" s="142"/>
      <c r="B66" s="139"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140" t="str">
        <f t="array" ref="C66">IF(B66="", "", 
  LET(
    targetRow, IFERROR(MATCH(TRUE, BYROW('PR管理'!$J$4:$T$101, LAMBDA(r, COUNTIF(r, B66)&gt;0)), 0), 0),
    IF(targetRow=0, "",
      LET(
        startDate, INDEX('PR管理'!$C$4:$C$101, targetRow),
        delLimit, INDEX('PR管理'!$F$4:$F$101, targetRow),
        prID, INDEX('PR管理'!$A$4:$A$101, targetRow),
        IF(AND('26414_編集版 のコピー 2'!B$1 &gt;= startDate, '26414_編集版 のコピー 2'!B$1 &lt;= delLimit), 
          IFERROR(VLOOKUP(B66, '新規'!$E$2:$H142, 4, 0), 
          IFERROR(VLOOKUP(B66, '特殊配信マスタ'!$E$3:$H142, 4, 0), 
          IFERROR(VLOOKUP(B66, '自動求人✅'!$C$3:$F142, 4, 0), prID))), 
        "")
      )
    )
  )
)</f>
        <v/>
      </c>
      <c r="D66" s="141" t="str">
        <f t="shared" si="1"/>
        <v/>
      </c>
      <c r="E66" s="141"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141"/>
      <c r="G66" s="141"/>
      <c r="H66" s="139"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140" t="str">
        <f t="array" ref="I66">IF(H66="", "", 
  LET(
    targetRow, IFERROR(MATCH(TRUE, BYROW('PR管理'!$J$4:$T$101, LAMBDA(r, COUNTIF(r, H66)&gt;0)), 0), 0),
    IF(targetRow=0, "",
      LET(
        startDate, INDEX('PR管理'!$C$4:$C$101, targetRow),
        delLimit, INDEX('PR管理'!$F$4:$F$101, targetRow),
        prID, INDEX('PR管理'!$A$4:$A$101, targetRow),
        IF(AND('26414_編集版 のコピー 2'!H$1 &gt;= startDate, '26414_編集版 のコピー 2'!H$1 &lt;= delLimit), 
          IFERROR(VLOOKUP(H66, '新規'!$E$2:$H142, 4, 0), 
          IFERROR(VLOOKUP(H66, '特殊配信マスタ'!$E$3:$H142, 4, 0), 
          IFERROR(VLOOKUP(H66, '自動求人✅'!$C$3:$F142, 4, 0), prID))), 
        "")
      )
    )
  )
)</f>
        <v/>
      </c>
      <c r="J66" s="141" t="str">
        <f t="shared" si="2"/>
        <v/>
      </c>
      <c r="K66" s="141"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141"/>
      <c r="M66" s="141"/>
      <c r="N66" s="139"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140" t="str">
        <f t="array" ref="O66">IF(N66="", "", 
  LET(
    targetRow, IFERROR(MATCH(TRUE, BYROW('PR管理'!$J$4:$T$101, LAMBDA(r, COUNTIF(r, N66)&gt;0)), 0), 0),
    IF(targetRow=0, "",
      LET(
        startDate, INDEX('PR管理'!$C$4:$C$101, targetRow),
        delLimit, INDEX('PR管理'!$F$4:$F$101, targetRow),
        prID, INDEX('PR管理'!$A$4:$A$101, targetRow),
        IF(AND('26414_編集版 のコピー 2'!N$1 &gt;= startDate, '26414_編集版 のコピー 2'!N$1 &lt;= delLimit), 
          IFERROR(VLOOKUP(N66, '新規'!$E$2:$H142, 4, 0), 
          IFERROR(VLOOKUP(N66, '特殊配信マスタ'!$E$3:$H142, 4, 0), 
          IFERROR(VLOOKUP(N66, '自動求人✅'!$C$3:$F142, 4, 0), prID))), 
        "")
      )
    )
  )
)</f>
        <v/>
      </c>
      <c r="P66" s="141" t="str">
        <f t="shared" si="3"/>
        <v/>
      </c>
      <c r="Q66" s="141"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141"/>
      <c r="S66" s="141"/>
      <c r="T66" s="139"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140" t="str">
        <f t="array" ref="U66">IF(T66="", "", 
  LET(
    targetRow, IFERROR(MATCH(TRUE, BYROW('PR管理'!$J$4:$T$101, LAMBDA(r, COUNTIF(r, T66)&gt;0)), 0), 0),
    IF(targetRow=0, "",
      LET(
        startDate, INDEX('PR管理'!$C$4:$C$101, targetRow),
        delLimit, INDEX('PR管理'!$F$4:$F$101, targetRow),
        prID, INDEX('PR管理'!$A$4:$A$101, targetRow),
        IF(AND('26414_編集版 のコピー 2'!T$1 &gt;= startDate, '26414_編集版 のコピー 2'!T$1 &lt;= delLimit), 
          IFERROR(VLOOKUP(T66, '新規'!$E$2:$H142, 4, 0), 
          IFERROR(VLOOKUP(T66, '特殊配信マスタ'!$E$3:$H142, 4, 0), 
          IFERROR(VLOOKUP(T66, '自動求人✅'!$C$3:$F142, 4, 0), prID))), 
        "")
      )
    )
  )
)</f>
        <v/>
      </c>
      <c r="V66" s="141" t="str">
        <f t="shared" si="4"/>
        <v/>
      </c>
      <c r="W66" s="141"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141"/>
      <c r="Y66" s="141"/>
      <c r="Z66" s="139"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140" t="str">
        <f t="array" ref="AA66">IF(Z66="", "", 
  LET(
    targetRow, IFERROR(MATCH(TRUE, BYROW('PR管理'!$J$4:$T$101, LAMBDA(r, COUNTIF(r, Z66)&gt;0)), 0), 0),
    IF(targetRow=0, "",
      LET(
        startDate, INDEX('PR管理'!$C$4:$C$101, targetRow),
        delLimit, INDEX('PR管理'!$F$4:$F$101, targetRow),
        prID, INDEX('PR管理'!$A$4:$A$101, targetRow),
        IF(AND('26414_編集版 のコピー 2'!Z$1 &gt;= startDate, '26414_編集版 のコピー 2'!Z$1 &lt;= delLimit), 
          IFERROR(VLOOKUP(Z66, '新規'!$E$2:$H142, 4, 0), 
          IFERROR(VLOOKUP(Z66, '特殊配信マスタ'!$E$3:$H142, 4, 0), 
          IFERROR(VLOOKUP(Z66, '自動求人✅'!$C$3:$F142, 4, 0), prID))), 
        "")
      )
    )
  )
)</f>
        <v/>
      </c>
      <c r="AB66" s="141" t="str">
        <f t="shared" si="5"/>
        <v/>
      </c>
      <c r="AC66" s="141"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141"/>
      <c r="AE66" s="141"/>
      <c r="AF66" s="139"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140" t="str">
        <f t="array" ref="AG66">IF(AF66="", "", 
  LET(
    targetRow, IFERROR(MATCH(TRUE, BYROW('PR管理'!$J$4:$T$101, LAMBDA(r, COUNTIF(r, AF66)&gt;0)), 0), 0),
    IF(targetRow=0, "",
      LET(
        startDate, INDEX('PR管理'!$C$4:$C$101, targetRow),
        delLimit, INDEX('PR管理'!$F$4:$F$101, targetRow),
        prID, INDEX('PR管理'!$A$4:$A$101, targetRow),
        IF(AND('26414_編集版 のコピー 2'!AF$1 &gt;= startDate, '26414_編集版 のコピー 2'!AF$1 &lt;= delLimit), 
          IFERROR(VLOOKUP(AF66, '新規'!$E$2:$H142, 4, 0), 
          IFERROR(VLOOKUP(AF66, '特殊配信マスタ'!$E$3:$H142, 4, 0), 
          IFERROR(VLOOKUP(AF66, '自動求人✅'!$C$3:$F142, 4, 0), prID))), 
        "")
      )
    )
  )
)</f>
        <v/>
      </c>
      <c r="AH66" s="141" t="str">
        <f t="shared" si="6"/>
        <v/>
      </c>
      <c r="AI66" s="141"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141"/>
      <c r="AK66" s="141"/>
      <c r="AL66" s="139"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140" t="str">
        <f t="array" ref="AM66">IF(AL66="", "", 
  LET(
    targetRow, IFERROR(MATCH(TRUE, BYROW('PR管理'!$J$4:$T$101, LAMBDA(r, COUNTIF(r, AL66)&gt;0)), 0), 0),
    IF(targetRow=0, "",
      LET(
        startDate, INDEX('PR管理'!$C$4:$C$101, targetRow),
        delLimit, INDEX('PR管理'!$F$4:$F$101, targetRow),
        prID, INDEX('PR管理'!$A$4:$A$101, targetRow),
        IF(AND('26414_編集版 のコピー 2'!AL$1 &gt;= startDate, '26414_編集版 のコピー 2'!AL$1 &lt;= delLimit), 
          IFERROR(VLOOKUP(AL66, '新規'!$E$2:$H142, 4, 0), 
          IFERROR(VLOOKUP(AL66, '特殊配信マスタ'!$E$3:$H142, 4, 0), 
          IFERROR(VLOOKUP(AL66, '自動求人✅'!$C$3:$F142, 4, 0), prID))), 
        "")
      )
    )
  )
)</f>
        <v/>
      </c>
      <c r="AN66" s="141" t="str">
        <f t="shared" si="7"/>
        <v/>
      </c>
      <c r="AO66" s="141"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141"/>
      <c r="AQ66" s="141"/>
    </row>
    <row r="67" ht="17.25" customHeight="1">
      <c r="A67" s="142"/>
      <c r="B67" s="139"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140" t="str">
        <f t="array" ref="C67">IF(B67="", "", 
  LET(
    targetRow, IFERROR(MATCH(TRUE, BYROW('PR管理'!$J$4:$T$101, LAMBDA(r, COUNTIF(r, B67)&gt;0)), 0), 0),
    IF(targetRow=0, "",
      LET(
        startDate, INDEX('PR管理'!$C$4:$C$101, targetRow),
        delLimit, INDEX('PR管理'!$F$4:$F$101, targetRow),
        prID, INDEX('PR管理'!$A$4:$A$101, targetRow),
        IF(AND('26414_編集版 のコピー 2'!B$1 &gt;= startDate, '26414_編集版 のコピー 2'!B$1 &lt;= delLimit), 
          IFERROR(VLOOKUP(B67, '新規'!$E$2:$H142, 4, 0), 
          IFERROR(VLOOKUP(B67, '特殊配信マスタ'!$E$3:$H142, 4, 0), 
          IFERROR(VLOOKUP(B67, '自動求人✅'!$C$3:$F142, 4, 0), prID))), 
        "")
      )
    )
  )
)</f>
        <v/>
      </c>
      <c r="D67" s="141" t="str">
        <f t="shared" si="1"/>
        <v/>
      </c>
      <c r="E67" s="141"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141"/>
      <c r="G67" s="141"/>
      <c r="H67" s="139"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140" t="str">
        <f t="array" ref="I67">IF(H67="", "", 
  LET(
    targetRow, IFERROR(MATCH(TRUE, BYROW('PR管理'!$J$4:$T$101, LAMBDA(r, COUNTIF(r, H67)&gt;0)), 0), 0),
    IF(targetRow=0, "",
      LET(
        startDate, INDEX('PR管理'!$C$4:$C$101, targetRow),
        delLimit, INDEX('PR管理'!$F$4:$F$101, targetRow),
        prID, INDEX('PR管理'!$A$4:$A$101, targetRow),
        IF(AND('26414_編集版 のコピー 2'!H$1 &gt;= startDate, '26414_編集版 のコピー 2'!H$1 &lt;= delLimit), 
          IFERROR(VLOOKUP(H67, '新規'!$E$2:$H142, 4, 0), 
          IFERROR(VLOOKUP(H67, '特殊配信マスタ'!$E$3:$H142, 4, 0), 
          IFERROR(VLOOKUP(H67, '自動求人✅'!$C$3:$F142, 4, 0), prID))), 
        "")
      )
    )
  )
)</f>
        <v/>
      </c>
      <c r="J67" s="141" t="str">
        <f t="shared" si="2"/>
        <v/>
      </c>
      <c r="K67" s="141"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141"/>
      <c r="M67" s="141"/>
      <c r="N67" s="139"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140" t="str">
        <f t="array" ref="O67">IF(N67="", "", 
  LET(
    targetRow, IFERROR(MATCH(TRUE, BYROW('PR管理'!$J$4:$T$101, LAMBDA(r, COUNTIF(r, N67)&gt;0)), 0), 0),
    IF(targetRow=0, "",
      LET(
        startDate, INDEX('PR管理'!$C$4:$C$101, targetRow),
        delLimit, INDEX('PR管理'!$F$4:$F$101, targetRow),
        prID, INDEX('PR管理'!$A$4:$A$101, targetRow),
        IF(AND('26414_編集版 のコピー 2'!N$1 &gt;= startDate, '26414_編集版 のコピー 2'!N$1 &lt;= delLimit), 
          IFERROR(VLOOKUP(N67, '新規'!$E$2:$H142, 4, 0), 
          IFERROR(VLOOKUP(N67, '特殊配信マスタ'!$E$3:$H142, 4, 0), 
          IFERROR(VLOOKUP(N67, '自動求人✅'!$C$3:$F142, 4, 0), prID))), 
        "")
      )
    )
  )
)</f>
        <v/>
      </c>
      <c r="P67" s="141" t="str">
        <f t="shared" si="3"/>
        <v/>
      </c>
      <c r="Q67" s="141"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141"/>
      <c r="S67" s="141"/>
      <c r="T67" s="139"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140" t="str">
        <f t="array" ref="U67">IF(T67="", "", 
  LET(
    targetRow, IFERROR(MATCH(TRUE, BYROW('PR管理'!$J$4:$T$101, LAMBDA(r, COUNTIF(r, T67)&gt;0)), 0), 0),
    IF(targetRow=0, "",
      LET(
        startDate, INDEX('PR管理'!$C$4:$C$101, targetRow),
        delLimit, INDEX('PR管理'!$F$4:$F$101, targetRow),
        prID, INDEX('PR管理'!$A$4:$A$101, targetRow),
        IF(AND('26414_編集版 のコピー 2'!T$1 &gt;= startDate, '26414_編集版 のコピー 2'!T$1 &lt;= delLimit), 
          IFERROR(VLOOKUP(T67, '新規'!$E$2:$H142, 4, 0), 
          IFERROR(VLOOKUP(T67, '特殊配信マスタ'!$E$3:$H142, 4, 0), 
          IFERROR(VLOOKUP(T67, '自動求人✅'!$C$3:$F142, 4, 0), prID))), 
        "")
      )
    )
  )
)</f>
        <v/>
      </c>
      <c r="V67" s="141" t="str">
        <f t="shared" si="4"/>
        <v/>
      </c>
      <c r="W67" s="141"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141"/>
      <c r="Y67" s="141"/>
      <c r="Z67" s="139"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140" t="str">
        <f t="array" ref="AA67">IF(Z67="", "", 
  LET(
    targetRow, IFERROR(MATCH(TRUE, BYROW('PR管理'!$J$4:$T$101, LAMBDA(r, COUNTIF(r, Z67)&gt;0)), 0), 0),
    IF(targetRow=0, "",
      LET(
        startDate, INDEX('PR管理'!$C$4:$C$101, targetRow),
        delLimit, INDEX('PR管理'!$F$4:$F$101, targetRow),
        prID, INDEX('PR管理'!$A$4:$A$101, targetRow),
        IF(AND('26414_編集版 のコピー 2'!Z$1 &gt;= startDate, '26414_編集版 のコピー 2'!Z$1 &lt;= delLimit), 
          IFERROR(VLOOKUP(Z67, '新規'!$E$2:$H142, 4, 0), 
          IFERROR(VLOOKUP(Z67, '特殊配信マスタ'!$E$3:$H142, 4, 0), 
          IFERROR(VLOOKUP(Z67, '自動求人✅'!$C$3:$F142, 4, 0), prID))), 
        "")
      )
    )
  )
)</f>
        <v/>
      </c>
      <c r="AB67" s="141" t="str">
        <f t="shared" si="5"/>
        <v/>
      </c>
      <c r="AC67" s="141"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141"/>
      <c r="AE67" s="141"/>
      <c r="AF67" s="139"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140" t="str">
        <f t="array" ref="AG67">IF(AF67="", "", 
  LET(
    targetRow, IFERROR(MATCH(TRUE, BYROW('PR管理'!$J$4:$T$101, LAMBDA(r, COUNTIF(r, AF67)&gt;0)), 0), 0),
    IF(targetRow=0, "",
      LET(
        startDate, INDEX('PR管理'!$C$4:$C$101, targetRow),
        delLimit, INDEX('PR管理'!$F$4:$F$101, targetRow),
        prID, INDEX('PR管理'!$A$4:$A$101, targetRow),
        IF(AND('26414_編集版 のコピー 2'!AF$1 &gt;= startDate, '26414_編集版 のコピー 2'!AF$1 &lt;= delLimit), 
          IFERROR(VLOOKUP(AF67, '新規'!$E$2:$H142, 4, 0), 
          IFERROR(VLOOKUP(AF67, '特殊配信マスタ'!$E$3:$H142, 4, 0), 
          IFERROR(VLOOKUP(AF67, '自動求人✅'!$C$3:$F142, 4, 0), prID))), 
        "")
      )
    )
  )
)</f>
        <v/>
      </c>
      <c r="AH67" s="141" t="str">
        <f t="shared" si="6"/>
        <v/>
      </c>
      <c r="AI67" s="141"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141"/>
      <c r="AK67" s="141"/>
      <c r="AL67" s="139"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140" t="str">
        <f t="array" ref="AM67">IF(AL67="", "", 
  LET(
    targetRow, IFERROR(MATCH(TRUE, BYROW('PR管理'!$J$4:$T$101, LAMBDA(r, COUNTIF(r, AL67)&gt;0)), 0), 0),
    IF(targetRow=0, "",
      LET(
        startDate, INDEX('PR管理'!$C$4:$C$101, targetRow),
        delLimit, INDEX('PR管理'!$F$4:$F$101, targetRow),
        prID, INDEX('PR管理'!$A$4:$A$101, targetRow),
        IF(AND('26414_編集版 のコピー 2'!AL$1 &gt;= startDate, '26414_編集版 のコピー 2'!AL$1 &lt;= delLimit), 
          IFERROR(VLOOKUP(AL67, '新規'!$E$2:$H142, 4, 0), 
          IFERROR(VLOOKUP(AL67, '特殊配信マスタ'!$E$3:$H142, 4, 0), 
          IFERROR(VLOOKUP(AL67, '自動求人✅'!$C$3:$F142, 4, 0), prID))), 
        "")
      )
    )
  )
)</f>
        <v/>
      </c>
      <c r="AN67" s="141" t="str">
        <f t="shared" si="7"/>
        <v/>
      </c>
      <c r="AO67" s="141"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141"/>
      <c r="AQ67" s="141"/>
    </row>
    <row r="68" ht="17.25" customHeight="1">
      <c r="A68" s="142"/>
      <c r="B68" s="139"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140" t="str">
        <f t="array" ref="C68">IF(B68="", "", 
  LET(
    targetRow, IFERROR(MATCH(TRUE, BYROW('PR管理'!$J$4:$T$101, LAMBDA(r, COUNTIF(r, B68)&gt;0)), 0), 0),
    IF(targetRow=0, "",
      LET(
        startDate, INDEX('PR管理'!$C$4:$C$101, targetRow),
        delLimit, INDEX('PR管理'!$F$4:$F$101, targetRow),
        prID, INDEX('PR管理'!$A$4:$A$101, targetRow),
        IF(AND('26414_編集版 のコピー 2'!B$1 &gt;= startDate, '26414_編集版 のコピー 2'!B$1 &lt;= delLimit), 
          IFERROR(VLOOKUP(B68, '新規'!$E$2:$H142, 4, 0), 
          IFERROR(VLOOKUP(B68, '特殊配信マスタ'!$E$3:$H142, 4, 0), 
          IFERROR(VLOOKUP(B68, '自動求人✅'!$C$3:$F142, 4, 0), prID))), 
        "")
      )
    )
  )
)</f>
        <v/>
      </c>
      <c r="D68" s="141" t="str">
        <f t="shared" si="1"/>
        <v/>
      </c>
      <c r="E68" s="141"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141"/>
      <c r="G68" s="141"/>
      <c r="H68" s="139"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140" t="str">
        <f t="array" ref="I68">IF(H68="", "", 
  LET(
    targetRow, IFERROR(MATCH(TRUE, BYROW('PR管理'!$J$4:$T$101, LAMBDA(r, COUNTIF(r, H68)&gt;0)), 0), 0),
    IF(targetRow=0, "",
      LET(
        startDate, INDEX('PR管理'!$C$4:$C$101, targetRow),
        delLimit, INDEX('PR管理'!$F$4:$F$101, targetRow),
        prID, INDEX('PR管理'!$A$4:$A$101, targetRow),
        IF(AND('26414_編集版 のコピー 2'!H$1 &gt;= startDate, '26414_編集版 のコピー 2'!H$1 &lt;= delLimit), 
          IFERROR(VLOOKUP(H68, '新規'!$E$2:$H142, 4, 0), 
          IFERROR(VLOOKUP(H68, '特殊配信マスタ'!$E$3:$H142, 4, 0), 
          IFERROR(VLOOKUP(H68, '自動求人✅'!$C$3:$F142, 4, 0), prID))), 
        "")
      )
    )
  )
)</f>
        <v/>
      </c>
      <c r="J68" s="141" t="str">
        <f t="shared" si="2"/>
        <v/>
      </c>
      <c r="K68" s="141"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141"/>
      <c r="M68" s="141"/>
      <c r="N68" s="139"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140" t="str">
        <f t="array" ref="O68">IF(N68="", "", 
  LET(
    targetRow, IFERROR(MATCH(TRUE, BYROW('PR管理'!$J$4:$T$101, LAMBDA(r, COUNTIF(r, N68)&gt;0)), 0), 0),
    IF(targetRow=0, "",
      LET(
        startDate, INDEX('PR管理'!$C$4:$C$101, targetRow),
        delLimit, INDEX('PR管理'!$F$4:$F$101, targetRow),
        prID, INDEX('PR管理'!$A$4:$A$101, targetRow),
        IF(AND('26414_編集版 のコピー 2'!N$1 &gt;= startDate, '26414_編集版 のコピー 2'!N$1 &lt;= delLimit), 
          IFERROR(VLOOKUP(N68, '新規'!$E$2:$H142, 4, 0), 
          IFERROR(VLOOKUP(N68, '特殊配信マスタ'!$E$3:$H142, 4, 0), 
          IFERROR(VLOOKUP(N68, '自動求人✅'!$C$3:$F142, 4, 0), prID))), 
        "")
      )
    )
  )
)</f>
        <v/>
      </c>
      <c r="P68" s="141" t="str">
        <f t="shared" si="3"/>
        <v/>
      </c>
      <c r="Q68" s="141"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141"/>
      <c r="S68" s="141"/>
      <c r="T68" s="139"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140" t="str">
        <f t="array" ref="U68">IF(T68="", "", 
  LET(
    targetRow, IFERROR(MATCH(TRUE, BYROW('PR管理'!$J$4:$T$101, LAMBDA(r, COUNTIF(r, T68)&gt;0)), 0), 0),
    IF(targetRow=0, "",
      LET(
        startDate, INDEX('PR管理'!$C$4:$C$101, targetRow),
        delLimit, INDEX('PR管理'!$F$4:$F$101, targetRow),
        prID, INDEX('PR管理'!$A$4:$A$101, targetRow),
        IF(AND('26414_編集版 のコピー 2'!T$1 &gt;= startDate, '26414_編集版 のコピー 2'!T$1 &lt;= delLimit), 
          IFERROR(VLOOKUP(T68, '新規'!$E$2:$H142, 4, 0), 
          IFERROR(VLOOKUP(T68, '特殊配信マスタ'!$E$3:$H142, 4, 0), 
          IFERROR(VLOOKUP(T68, '自動求人✅'!$C$3:$F142, 4, 0), prID))), 
        "")
      )
    )
  )
)</f>
        <v/>
      </c>
      <c r="V68" s="141" t="str">
        <f t="shared" si="4"/>
        <v/>
      </c>
      <c r="W68" s="141"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141"/>
      <c r="Y68" s="141"/>
      <c r="Z68" s="139"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140" t="str">
        <f t="array" ref="AA68">IF(Z68="", "", 
  LET(
    targetRow, IFERROR(MATCH(TRUE, BYROW('PR管理'!$J$4:$T$101, LAMBDA(r, COUNTIF(r, Z68)&gt;0)), 0), 0),
    IF(targetRow=0, "",
      LET(
        startDate, INDEX('PR管理'!$C$4:$C$101, targetRow),
        delLimit, INDEX('PR管理'!$F$4:$F$101, targetRow),
        prID, INDEX('PR管理'!$A$4:$A$101, targetRow),
        IF(AND('26414_編集版 のコピー 2'!Z$1 &gt;= startDate, '26414_編集版 のコピー 2'!Z$1 &lt;= delLimit), 
          IFERROR(VLOOKUP(Z68, '新規'!$E$2:$H142, 4, 0), 
          IFERROR(VLOOKUP(Z68, '特殊配信マスタ'!$E$3:$H142, 4, 0), 
          IFERROR(VLOOKUP(Z68, '自動求人✅'!$C$3:$F142, 4, 0), prID))), 
        "")
      )
    )
  )
)</f>
        <v/>
      </c>
      <c r="AB68" s="141" t="str">
        <f t="shared" si="5"/>
        <v/>
      </c>
      <c r="AC68" s="141"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141"/>
      <c r="AE68" s="141"/>
      <c r="AF68" s="139"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140" t="str">
        <f t="array" ref="AG68">IF(AF68="", "", 
  LET(
    targetRow, IFERROR(MATCH(TRUE, BYROW('PR管理'!$J$4:$T$101, LAMBDA(r, COUNTIF(r, AF68)&gt;0)), 0), 0),
    IF(targetRow=0, "",
      LET(
        startDate, INDEX('PR管理'!$C$4:$C$101, targetRow),
        delLimit, INDEX('PR管理'!$F$4:$F$101, targetRow),
        prID, INDEX('PR管理'!$A$4:$A$101, targetRow),
        IF(AND('26414_編集版 のコピー 2'!AF$1 &gt;= startDate, '26414_編集版 のコピー 2'!AF$1 &lt;= delLimit), 
          IFERROR(VLOOKUP(AF68, '新規'!$E$2:$H142, 4, 0), 
          IFERROR(VLOOKUP(AF68, '特殊配信マスタ'!$E$3:$H142, 4, 0), 
          IFERROR(VLOOKUP(AF68, '自動求人✅'!$C$3:$F142, 4, 0), prID))), 
        "")
      )
    )
  )
)</f>
        <v/>
      </c>
      <c r="AH68" s="141" t="str">
        <f t="shared" si="6"/>
        <v/>
      </c>
      <c r="AI68" s="141"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141"/>
      <c r="AK68" s="141"/>
      <c r="AL68" s="139"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140" t="str">
        <f t="array" ref="AM68">IF(AL68="", "", 
  LET(
    targetRow, IFERROR(MATCH(TRUE, BYROW('PR管理'!$J$4:$T$101, LAMBDA(r, COUNTIF(r, AL68)&gt;0)), 0), 0),
    IF(targetRow=0, "",
      LET(
        startDate, INDEX('PR管理'!$C$4:$C$101, targetRow),
        delLimit, INDEX('PR管理'!$F$4:$F$101, targetRow),
        prID, INDEX('PR管理'!$A$4:$A$101, targetRow),
        IF(AND('26414_編集版 のコピー 2'!AL$1 &gt;= startDate, '26414_編集版 のコピー 2'!AL$1 &lt;= delLimit), 
          IFERROR(VLOOKUP(AL68, '新規'!$E$2:$H142, 4, 0), 
          IFERROR(VLOOKUP(AL68, '特殊配信マスタ'!$E$3:$H142, 4, 0), 
          IFERROR(VLOOKUP(AL68, '自動求人✅'!$C$3:$F142, 4, 0), prID))), 
        "")
      )
    )
  )
)</f>
        <v/>
      </c>
      <c r="AN68" s="141" t="str">
        <f t="shared" si="7"/>
        <v/>
      </c>
      <c r="AO68" s="141"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141"/>
      <c r="AQ68" s="141"/>
    </row>
    <row r="69" ht="17.25" customHeight="1">
      <c r="A69" s="142"/>
      <c r="B69" s="139"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140" t="str">
        <f t="array" ref="C69">IF(B69="", "", 
  LET(
    targetRow, IFERROR(MATCH(TRUE, BYROW('PR管理'!$J$4:$T$101, LAMBDA(r, COUNTIF(r, B69)&gt;0)), 0), 0),
    IF(targetRow=0, "",
      LET(
        startDate, INDEX('PR管理'!$C$4:$C$101, targetRow),
        delLimit, INDEX('PR管理'!$F$4:$F$101, targetRow),
        prID, INDEX('PR管理'!$A$4:$A$101, targetRow),
        IF(AND('26414_編集版 のコピー 2'!B$1 &gt;= startDate, '26414_編集版 のコピー 2'!B$1 &lt;= delLimit), 
          IFERROR(VLOOKUP(B69, '新規'!$E$2:$H142, 4, 0), 
          IFERROR(VLOOKUP(B69, '特殊配信マスタ'!$E$3:$H142, 4, 0), 
          IFERROR(VLOOKUP(B69, '自動求人✅'!$C$3:$F142, 4, 0), prID))), 
        "")
      )
    )
  )
)</f>
        <v/>
      </c>
      <c r="D69" s="141" t="str">
        <f t="shared" si="1"/>
        <v/>
      </c>
      <c r="E69" s="141"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141"/>
      <c r="G69" s="141"/>
      <c r="H69" s="139"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140" t="str">
        <f t="array" ref="I69">IF(H69="", "", 
  LET(
    targetRow, IFERROR(MATCH(TRUE, BYROW('PR管理'!$J$4:$T$101, LAMBDA(r, COUNTIF(r, H69)&gt;0)), 0), 0),
    IF(targetRow=0, "",
      LET(
        startDate, INDEX('PR管理'!$C$4:$C$101, targetRow),
        delLimit, INDEX('PR管理'!$F$4:$F$101, targetRow),
        prID, INDEX('PR管理'!$A$4:$A$101, targetRow),
        IF(AND('26414_編集版 のコピー 2'!H$1 &gt;= startDate, '26414_編集版 のコピー 2'!H$1 &lt;= delLimit), 
          IFERROR(VLOOKUP(H69, '新規'!$E$2:$H142, 4, 0), 
          IFERROR(VLOOKUP(H69, '特殊配信マスタ'!$E$3:$H142, 4, 0), 
          IFERROR(VLOOKUP(H69, '自動求人✅'!$C$3:$F142, 4, 0), prID))), 
        "")
      )
    )
  )
)</f>
        <v/>
      </c>
      <c r="J69" s="141" t="str">
        <f t="shared" si="2"/>
        <v/>
      </c>
      <c r="K69" s="141"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141"/>
      <c r="M69" s="141"/>
      <c r="N69" s="139"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140" t="str">
        <f t="array" ref="O69">IF(N69="", "", 
  LET(
    targetRow, IFERROR(MATCH(TRUE, BYROW('PR管理'!$J$4:$T$101, LAMBDA(r, COUNTIF(r, N69)&gt;0)), 0), 0),
    IF(targetRow=0, "",
      LET(
        startDate, INDEX('PR管理'!$C$4:$C$101, targetRow),
        delLimit, INDEX('PR管理'!$F$4:$F$101, targetRow),
        prID, INDEX('PR管理'!$A$4:$A$101, targetRow),
        IF(AND('26414_編集版 のコピー 2'!N$1 &gt;= startDate, '26414_編集版 のコピー 2'!N$1 &lt;= delLimit), 
          IFERROR(VLOOKUP(N69, '新規'!$E$2:$H142, 4, 0), 
          IFERROR(VLOOKUP(N69, '特殊配信マスタ'!$E$3:$H142, 4, 0), 
          IFERROR(VLOOKUP(N69, '自動求人✅'!$C$3:$F142, 4, 0), prID))), 
        "")
      )
    )
  )
)</f>
        <v/>
      </c>
      <c r="P69" s="141" t="str">
        <f t="shared" si="3"/>
        <v/>
      </c>
      <c r="Q69" s="141"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141"/>
      <c r="S69" s="141"/>
      <c r="T69" s="139"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140" t="str">
        <f t="array" ref="U69">IF(T69="", "", 
  LET(
    targetRow, IFERROR(MATCH(TRUE, BYROW('PR管理'!$J$4:$T$101, LAMBDA(r, COUNTIF(r, T69)&gt;0)), 0), 0),
    IF(targetRow=0, "",
      LET(
        startDate, INDEX('PR管理'!$C$4:$C$101, targetRow),
        delLimit, INDEX('PR管理'!$F$4:$F$101, targetRow),
        prID, INDEX('PR管理'!$A$4:$A$101, targetRow),
        IF(AND('26414_編集版 のコピー 2'!T$1 &gt;= startDate, '26414_編集版 のコピー 2'!T$1 &lt;= delLimit), 
          IFERROR(VLOOKUP(T69, '新規'!$E$2:$H142, 4, 0), 
          IFERROR(VLOOKUP(T69, '特殊配信マスタ'!$E$3:$H142, 4, 0), 
          IFERROR(VLOOKUP(T69, '自動求人✅'!$C$3:$F142, 4, 0), prID))), 
        "")
      )
    )
  )
)</f>
        <v/>
      </c>
      <c r="V69" s="141" t="str">
        <f t="shared" si="4"/>
        <v/>
      </c>
      <c r="W69" s="141"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141"/>
      <c r="Y69" s="141"/>
      <c r="Z69" s="139"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140" t="str">
        <f t="array" ref="AA69">IF(Z69="", "", 
  LET(
    targetRow, IFERROR(MATCH(TRUE, BYROW('PR管理'!$J$4:$T$101, LAMBDA(r, COUNTIF(r, Z69)&gt;0)), 0), 0),
    IF(targetRow=0, "",
      LET(
        startDate, INDEX('PR管理'!$C$4:$C$101, targetRow),
        delLimit, INDEX('PR管理'!$F$4:$F$101, targetRow),
        prID, INDEX('PR管理'!$A$4:$A$101, targetRow),
        IF(AND('26414_編集版 のコピー 2'!Z$1 &gt;= startDate, '26414_編集版 のコピー 2'!Z$1 &lt;= delLimit), 
          IFERROR(VLOOKUP(Z69, '新規'!$E$2:$H142, 4, 0), 
          IFERROR(VLOOKUP(Z69, '特殊配信マスタ'!$E$3:$H142, 4, 0), 
          IFERROR(VLOOKUP(Z69, '自動求人✅'!$C$3:$F142, 4, 0), prID))), 
        "")
      )
    )
  )
)</f>
        <v/>
      </c>
      <c r="AB69" s="141" t="str">
        <f t="shared" si="5"/>
        <v/>
      </c>
      <c r="AC69" s="141"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141"/>
      <c r="AE69" s="141"/>
      <c r="AF69" s="139"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140" t="str">
        <f t="array" ref="AG69">IF(AF69="", "", 
  LET(
    targetRow, IFERROR(MATCH(TRUE, BYROW('PR管理'!$J$4:$T$101, LAMBDA(r, COUNTIF(r, AF69)&gt;0)), 0), 0),
    IF(targetRow=0, "",
      LET(
        startDate, INDEX('PR管理'!$C$4:$C$101, targetRow),
        delLimit, INDEX('PR管理'!$F$4:$F$101, targetRow),
        prID, INDEX('PR管理'!$A$4:$A$101, targetRow),
        IF(AND('26414_編集版 のコピー 2'!AF$1 &gt;= startDate, '26414_編集版 のコピー 2'!AF$1 &lt;= delLimit), 
          IFERROR(VLOOKUP(AF69, '新規'!$E$2:$H142, 4, 0), 
          IFERROR(VLOOKUP(AF69, '特殊配信マスタ'!$E$3:$H142, 4, 0), 
          IFERROR(VLOOKUP(AF69, '自動求人✅'!$C$3:$F142, 4, 0), prID))), 
        "")
      )
    )
  )
)</f>
        <v/>
      </c>
      <c r="AH69" s="141" t="str">
        <f t="shared" si="6"/>
        <v/>
      </c>
      <c r="AI69" s="141"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141"/>
      <c r="AK69" s="141"/>
      <c r="AL69" s="139"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140" t="str">
        <f t="array" ref="AM69">IF(AL69="", "", 
  LET(
    targetRow, IFERROR(MATCH(TRUE, BYROW('PR管理'!$J$4:$T$101, LAMBDA(r, COUNTIF(r, AL69)&gt;0)), 0), 0),
    IF(targetRow=0, "",
      LET(
        startDate, INDEX('PR管理'!$C$4:$C$101, targetRow),
        delLimit, INDEX('PR管理'!$F$4:$F$101, targetRow),
        prID, INDEX('PR管理'!$A$4:$A$101, targetRow),
        IF(AND('26414_編集版 のコピー 2'!AL$1 &gt;= startDate, '26414_編集版 のコピー 2'!AL$1 &lt;= delLimit), 
          IFERROR(VLOOKUP(AL69, '新規'!$E$2:$H142, 4, 0), 
          IFERROR(VLOOKUP(AL69, '特殊配信マスタ'!$E$3:$H142, 4, 0), 
          IFERROR(VLOOKUP(AL69, '自動求人✅'!$C$3:$F142, 4, 0), prID))), 
        "")
      )
    )
  )
)</f>
        <v/>
      </c>
      <c r="AN69" s="141" t="str">
        <f t="shared" si="7"/>
        <v/>
      </c>
      <c r="AO69" s="141"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141"/>
      <c r="AQ69" s="141"/>
    </row>
    <row r="70" ht="17.25" customHeight="1">
      <c r="A70" s="142"/>
      <c r="B70" s="139"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140" t="str">
        <f t="array" ref="C70">IF(B70="", "", 
  LET(
    targetRow, IFERROR(MATCH(TRUE, BYROW('PR管理'!$J$4:$T$101, LAMBDA(r, COUNTIF(r, B70)&gt;0)), 0), 0),
    IF(targetRow=0, "",
      LET(
        startDate, INDEX('PR管理'!$C$4:$C$101, targetRow),
        delLimit, INDEX('PR管理'!$F$4:$F$101, targetRow),
        prID, INDEX('PR管理'!$A$4:$A$101, targetRow),
        IF(AND('26414_編集版 のコピー 2'!B$1 &gt;= startDate, '26414_編集版 のコピー 2'!B$1 &lt;= delLimit), 
          IFERROR(VLOOKUP(B70, '新規'!$E$2:$H142, 4, 0), 
          IFERROR(VLOOKUP(B70, '特殊配信マスタ'!$E$3:$H142, 4, 0), 
          IFERROR(VLOOKUP(B70, '自動求人✅'!$C$3:$F142, 4, 0), prID))), 
        "")
      )
    )
  )
)</f>
        <v/>
      </c>
      <c r="D70" s="141" t="str">
        <f t="shared" si="1"/>
        <v/>
      </c>
      <c r="E70" s="141"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141"/>
      <c r="G70" s="141"/>
      <c r="H70" s="139"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140" t="str">
        <f t="array" ref="I70">IF(H70="", "", 
  LET(
    targetRow, IFERROR(MATCH(TRUE, BYROW('PR管理'!$J$4:$T$101, LAMBDA(r, COUNTIF(r, H70)&gt;0)), 0), 0),
    IF(targetRow=0, "",
      LET(
        startDate, INDEX('PR管理'!$C$4:$C$101, targetRow),
        delLimit, INDEX('PR管理'!$F$4:$F$101, targetRow),
        prID, INDEX('PR管理'!$A$4:$A$101, targetRow),
        IF(AND('26414_編集版 のコピー 2'!H$1 &gt;= startDate, '26414_編集版 のコピー 2'!H$1 &lt;= delLimit), 
          IFERROR(VLOOKUP(H70, '新規'!$E$2:$H142, 4, 0), 
          IFERROR(VLOOKUP(H70, '特殊配信マスタ'!$E$3:$H142, 4, 0), 
          IFERROR(VLOOKUP(H70, '自動求人✅'!$C$3:$F142, 4, 0), prID))), 
        "")
      )
    )
  )
)</f>
        <v/>
      </c>
      <c r="J70" s="141" t="str">
        <f t="shared" si="2"/>
        <v/>
      </c>
      <c r="K70" s="141"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141"/>
      <c r="M70" s="141"/>
      <c r="N70" s="139"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140" t="str">
        <f t="array" ref="O70">IF(N70="", "", 
  LET(
    targetRow, IFERROR(MATCH(TRUE, BYROW('PR管理'!$J$4:$T$101, LAMBDA(r, COUNTIF(r, N70)&gt;0)), 0), 0),
    IF(targetRow=0, "",
      LET(
        startDate, INDEX('PR管理'!$C$4:$C$101, targetRow),
        delLimit, INDEX('PR管理'!$F$4:$F$101, targetRow),
        prID, INDEX('PR管理'!$A$4:$A$101, targetRow),
        IF(AND('26414_編集版 のコピー 2'!N$1 &gt;= startDate, '26414_編集版 のコピー 2'!N$1 &lt;= delLimit), 
          IFERROR(VLOOKUP(N70, '新規'!$E$2:$H142, 4, 0), 
          IFERROR(VLOOKUP(N70, '特殊配信マスタ'!$E$3:$H142, 4, 0), 
          IFERROR(VLOOKUP(N70, '自動求人✅'!$C$3:$F142, 4, 0), prID))), 
        "")
      )
    )
  )
)</f>
        <v/>
      </c>
      <c r="P70" s="141" t="str">
        <f t="shared" si="3"/>
        <v/>
      </c>
      <c r="Q70" s="141"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141"/>
      <c r="S70" s="141"/>
      <c r="T70" s="139"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140" t="str">
        <f t="array" ref="U70">IF(T70="", "", 
  LET(
    targetRow, IFERROR(MATCH(TRUE, BYROW('PR管理'!$J$4:$T$101, LAMBDA(r, COUNTIF(r, T70)&gt;0)), 0), 0),
    IF(targetRow=0, "",
      LET(
        startDate, INDEX('PR管理'!$C$4:$C$101, targetRow),
        delLimit, INDEX('PR管理'!$F$4:$F$101, targetRow),
        prID, INDEX('PR管理'!$A$4:$A$101, targetRow),
        IF(AND('26414_編集版 のコピー 2'!T$1 &gt;= startDate, '26414_編集版 のコピー 2'!T$1 &lt;= delLimit), 
          IFERROR(VLOOKUP(T70, '新規'!$E$2:$H142, 4, 0), 
          IFERROR(VLOOKUP(T70, '特殊配信マスタ'!$E$3:$H142, 4, 0), 
          IFERROR(VLOOKUP(T70, '自動求人✅'!$C$3:$F142, 4, 0), prID))), 
        "")
      )
    )
  )
)</f>
        <v/>
      </c>
      <c r="V70" s="141" t="str">
        <f t="shared" si="4"/>
        <v/>
      </c>
      <c r="W70" s="141"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141"/>
      <c r="Y70" s="141"/>
      <c r="Z70" s="139"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140" t="str">
        <f t="array" ref="AA70">IF(Z70="", "", 
  LET(
    targetRow, IFERROR(MATCH(TRUE, BYROW('PR管理'!$J$4:$T$101, LAMBDA(r, COUNTIF(r, Z70)&gt;0)), 0), 0),
    IF(targetRow=0, "",
      LET(
        startDate, INDEX('PR管理'!$C$4:$C$101, targetRow),
        delLimit, INDEX('PR管理'!$F$4:$F$101, targetRow),
        prID, INDEX('PR管理'!$A$4:$A$101, targetRow),
        IF(AND('26414_編集版 のコピー 2'!Z$1 &gt;= startDate, '26414_編集版 のコピー 2'!Z$1 &lt;= delLimit), 
          IFERROR(VLOOKUP(Z70, '新規'!$E$2:$H142, 4, 0), 
          IFERROR(VLOOKUP(Z70, '特殊配信マスタ'!$E$3:$H142, 4, 0), 
          IFERROR(VLOOKUP(Z70, '自動求人✅'!$C$3:$F142, 4, 0), prID))), 
        "")
      )
    )
  )
)</f>
        <v/>
      </c>
      <c r="AB70" s="141" t="str">
        <f t="shared" si="5"/>
        <v/>
      </c>
      <c r="AC70" s="141"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141"/>
      <c r="AE70" s="141"/>
      <c r="AF70" s="139"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140" t="str">
        <f t="array" ref="AG70">IF(AF70="", "", 
  LET(
    targetRow, IFERROR(MATCH(TRUE, BYROW('PR管理'!$J$4:$T$101, LAMBDA(r, COUNTIF(r, AF70)&gt;0)), 0), 0),
    IF(targetRow=0, "",
      LET(
        startDate, INDEX('PR管理'!$C$4:$C$101, targetRow),
        delLimit, INDEX('PR管理'!$F$4:$F$101, targetRow),
        prID, INDEX('PR管理'!$A$4:$A$101, targetRow),
        IF(AND('26414_編集版 のコピー 2'!AF$1 &gt;= startDate, '26414_編集版 のコピー 2'!AF$1 &lt;= delLimit), 
          IFERROR(VLOOKUP(AF70, '新規'!$E$2:$H142, 4, 0), 
          IFERROR(VLOOKUP(AF70, '特殊配信マスタ'!$E$3:$H142, 4, 0), 
          IFERROR(VLOOKUP(AF70, '自動求人✅'!$C$3:$F142, 4, 0), prID))), 
        "")
      )
    )
  )
)</f>
        <v/>
      </c>
      <c r="AH70" s="141" t="str">
        <f t="shared" si="6"/>
        <v/>
      </c>
      <c r="AI70" s="141"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141"/>
      <c r="AK70" s="141"/>
      <c r="AL70" s="139"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140" t="str">
        <f t="array" ref="AM70">IF(AL70="", "", 
  LET(
    targetRow, IFERROR(MATCH(TRUE, BYROW('PR管理'!$J$4:$T$101, LAMBDA(r, COUNTIF(r, AL70)&gt;0)), 0), 0),
    IF(targetRow=0, "",
      LET(
        startDate, INDEX('PR管理'!$C$4:$C$101, targetRow),
        delLimit, INDEX('PR管理'!$F$4:$F$101, targetRow),
        prID, INDEX('PR管理'!$A$4:$A$101, targetRow),
        IF(AND('26414_編集版 のコピー 2'!AL$1 &gt;= startDate, '26414_編集版 のコピー 2'!AL$1 &lt;= delLimit), 
          IFERROR(VLOOKUP(AL70, '新規'!$E$2:$H142, 4, 0), 
          IFERROR(VLOOKUP(AL70, '特殊配信マスタ'!$E$3:$H142, 4, 0), 
          IFERROR(VLOOKUP(AL70, '自動求人✅'!$C$3:$F142, 4, 0), prID))), 
        "")
      )
    )
  )
)</f>
        <v/>
      </c>
      <c r="AN70" s="141" t="str">
        <f t="shared" si="7"/>
        <v/>
      </c>
      <c r="AO70" s="141"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141"/>
      <c r="AQ70" s="141"/>
    </row>
    <row r="71" ht="17.25" customHeight="1">
      <c r="A71" s="142"/>
      <c r="B71" s="139"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140" t="str">
        <f t="array" ref="C71">IF(B71="", "", 
  LET(
    targetRow, IFERROR(MATCH(TRUE, BYROW('PR管理'!$J$4:$T$101, LAMBDA(r, COUNTIF(r, B71)&gt;0)), 0), 0),
    IF(targetRow=0, "",
      LET(
        startDate, INDEX('PR管理'!$C$4:$C$101, targetRow),
        delLimit, INDEX('PR管理'!$F$4:$F$101, targetRow),
        prID, INDEX('PR管理'!$A$4:$A$101, targetRow),
        IF(AND('26414_編集版 のコピー 2'!B$1 &gt;= startDate, '26414_編集版 のコピー 2'!B$1 &lt;= delLimit), 
          IFERROR(VLOOKUP(B71, '新規'!$E$2:$H142, 4, 0), 
          IFERROR(VLOOKUP(B71, '特殊配信マスタ'!$E$3:$H142, 4, 0), 
          IFERROR(VLOOKUP(B71, '自動求人✅'!$C$3:$F142, 4, 0), prID))), 
        "")
      )
    )
  )
)</f>
        <v/>
      </c>
      <c r="D71" s="141" t="str">
        <f t="shared" si="1"/>
        <v/>
      </c>
      <c r="E71" s="141"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141"/>
      <c r="G71" s="141"/>
      <c r="H71" s="139"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140" t="str">
        <f t="array" ref="I71">IF(H71="", "", 
  LET(
    targetRow, IFERROR(MATCH(TRUE, BYROW('PR管理'!$J$4:$T$101, LAMBDA(r, COUNTIF(r, H71)&gt;0)), 0), 0),
    IF(targetRow=0, "",
      LET(
        startDate, INDEX('PR管理'!$C$4:$C$101, targetRow),
        delLimit, INDEX('PR管理'!$F$4:$F$101, targetRow),
        prID, INDEX('PR管理'!$A$4:$A$101, targetRow),
        IF(AND('26414_編集版 のコピー 2'!H$1 &gt;= startDate, '26414_編集版 のコピー 2'!H$1 &lt;= delLimit), 
          IFERROR(VLOOKUP(H71, '新規'!$E$2:$H142, 4, 0), 
          IFERROR(VLOOKUP(H71, '特殊配信マスタ'!$E$3:$H142, 4, 0), 
          IFERROR(VLOOKUP(H71, '自動求人✅'!$C$3:$F142, 4, 0), prID))), 
        "")
      )
    )
  )
)</f>
        <v/>
      </c>
      <c r="J71" s="141" t="str">
        <f t="shared" si="2"/>
        <v/>
      </c>
      <c r="K71" s="141"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141"/>
      <c r="M71" s="141"/>
      <c r="N71" s="139"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140" t="str">
        <f t="array" ref="O71">IF(N71="", "", 
  LET(
    targetRow, IFERROR(MATCH(TRUE, BYROW('PR管理'!$J$4:$T$101, LAMBDA(r, COUNTIF(r, N71)&gt;0)), 0), 0),
    IF(targetRow=0, "",
      LET(
        startDate, INDEX('PR管理'!$C$4:$C$101, targetRow),
        delLimit, INDEX('PR管理'!$F$4:$F$101, targetRow),
        prID, INDEX('PR管理'!$A$4:$A$101, targetRow),
        IF(AND('26414_編集版 のコピー 2'!N$1 &gt;= startDate, '26414_編集版 のコピー 2'!N$1 &lt;= delLimit), 
          IFERROR(VLOOKUP(N71, '新規'!$E$2:$H142, 4, 0), 
          IFERROR(VLOOKUP(N71, '特殊配信マスタ'!$E$3:$H142, 4, 0), 
          IFERROR(VLOOKUP(N71, '自動求人✅'!$C$3:$F142, 4, 0), prID))), 
        "")
      )
    )
  )
)</f>
        <v/>
      </c>
      <c r="P71" s="141" t="str">
        <f t="shared" si="3"/>
        <v/>
      </c>
      <c r="Q71" s="141"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141"/>
      <c r="S71" s="141"/>
      <c r="T71" s="139"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140" t="str">
        <f t="array" ref="U71">IF(T71="", "", 
  LET(
    targetRow, IFERROR(MATCH(TRUE, BYROW('PR管理'!$J$4:$T$101, LAMBDA(r, COUNTIF(r, T71)&gt;0)), 0), 0),
    IF(targetRow=0, "",
      LET(
        startDate, INDEX('PR管理'!$C$4:$C$101, targetRow),
        delLimit, INDEX('PR管理'!$F$4:$F$101, targetRow),
        prID, INDEX('PR管理'!$A$4:$A$101, targetRow),
        IF(AND('26414_編集版 のコピー 2'!T$1 &gt;= startDate, '26414_編集版 のコピー 2'!T$1 &lt;= delLimit), 
          IFERROR(VLOOKUP(T71, '新規'!$E$2:$H142, 4, 0), 
          IFERROR(VLOOKUP(T71, '特殊配信マスタ'!$E$3:$H142, 4, 0), 
          IFERROR(VLOOKUP(T71, '自動求人✅'!$C$3:$F142, 4, 0), prID))), 
        "")
      )
    )
  )
)</f>
        <v/>
      </c>
      <c r="V71" s="141" t="str">
        <f t="shared" si="4"/>
        <v/>
      </c>
      <c r="W71" s="141"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141"/>
      <c r="Y71" s="141"/>
      <c r="Z71" s="139"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140" t="str">
        <f t="array" ref="AA71">IF(Z71="", "", 
  LET(
    targetRow, IFERROR(MATCH(TRUE, BYROW('PR管理'!$J$4:$T$101, LAMBDA(r, COUNTIF(r, Z71)&gt;0)), 0), 0),
    IF(targetRow=0, "",
      LET(
        startDate, INDEX('PR管理'!$C$4:$C$101, targetRow),
        delLimit, INDEX('PR管理'!$F$4:$F$101, targetRow),
        prID, INDEX('PR管理'!$A$4:$A$101, targetRow),
        IF(AND('26414_編集版 のコピー 2'!Z$1 &gt;= startDate, '26414_編集版 のコピー 2'!Z$1 &lt;= delLimit), 
          IFERROR(VLOOKUP(Z71, '新規'!$E$2:$H142, 4, 0), 
          IFERROR(VLOOKUP(Z71, '特殊配信マスタ'!$E$3:$H142, 4, 0), 
          IFERROR(VLOOKUP(Z71, '自動求人✅'!$C$3:$F142, 4, 0), prID))), 
        "")
      )
    )
  )
)</f>
        <v/>
      </c>
      <c r="AB71" s="141" t="str">
        <f t="shared" si="5"/>
        <v/>
      </c>
      <c r="AC71" s="141"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141"/>
      <c r="AE71" s="141"/>
      <c r="AF71" s="139"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140" t="str">
        <f t="array" ref="AG71">IF(AF71="", "", 
  LET(
    targetRow, IFERROR(MATCH(TRUE, BYROW('PR管理'!$J$4:$T$101, LAMBDA(r, COUNTIF(r, AF71)&gt;0)), 0), 0),
    IF(targetRow=0, "",
      LET(
        startDate, INDEX('PR管理'!$C$4:$C$101, targetRow),
        delLimit, INDEX('PR管理'!$F$4:$F$101, targetRow),
        prID, INDEX('PR管理'!$A$4:$A$101, targetRow),
        IF(AND('26414_編集版 のコピー 2'!AF$1 &gt;= startDate, '26414_編集版 のコピー 2'!AF$1 &lt;= delLimit), 
          IFERROR(VLOOKUP(AF71, '新規'!$E$2:$H142, 4, 0), 
          IFERROR(VLOOKUP(AF71, '特殊配信マスタ'!$E$3:$H142, 4, 0), 
          IFERROR(VLOOKUP(AF71, '自動求人✅'!$C$3:$F142, 4, 0), prID))), 
        "")
      )
    )
  )
)</f>
        <v/>
      </c>
      <c r="AH71" s="141" t="str">
        <f t="shared" si="6"/>
        <v/>
      </c>
      <c r="AI71" s="141"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141"/>
      <c r="AK71" s="141"/>
      <c r="AL71" s="139"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140" t="str">
        <f t="array" ref="AM71">IF(AL71="", "", 
  LET(
    targetRow, IFERROR(MATCH(TRUE, BYROW('PR管理'!$J$4:$T$101, LAMBDA(r, COUNTIF(r, AL71)&gt;0)), 0), 0),
    IF(targetRow=0, "",
      LET(
        startDate, INDEX('PR管理'!$C$4:$C$101, targetRow),
        delLimit, INDEX('PR管理'!$F$4:$F$101, targetRow),
        prID, INDEX('PR管理'!$A$4:$A$101, targetRow),
        IF(AND('26414_編集版 のコピー 2'!AL$1 &gt;= startDate, '26414_編集版 のコピー 2'!AL$1 &lt;= delLimit), 
          IFERROR(VLOOKUP(AL71, '新規'!$E$2:$H142, 4, 0), 
          IFERROR(VLOOKUP(AL71, '特殊配信マスタ'!$E$3:$H142, 4, 0), 
          IFERROR(VLOOKUP(AL71, '自動求人✅'!$C$3:$F142, 4, 0), prID))), 
        "")
      )
    )
  )
)</f>
        <v/>
      </c>
      <c r="AN71" s="141" t="str">
        <f t="shared" si="7"/>
        <v/>
      </c>
      <c r="AO71" s="141"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141"/>
      <c r="AQ71" s="141"/>
    </row>
    <row r="72" ht="17.25" customHeight="1">
      <c r="A72" s="142"/>
      <c r="B72" s="139"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140" t="str">
        <f t="array" ref="C72">IF(B72="", "", 
  LET(
    targetRow, IFERROR(MATCH(TRUE, BYROW('PR管理'!$J$4:$T$101, LAMBDA(r, COUNTIF(r, B72)&gt;0)), 0), 0),
    IF(targetRow=0, "",
      LET(
        startDate, INDEX('PR管理'!$C$4:$C$101, targetRow),
        delLimit, INDEX('PR管理'!$F$4:$F$101, targetRow),
        prID, INDEX('PR管理'!$A$4:$A$101, targetRow),
        IF(AND('26414_編集版 のコピー 2'!B$1 &gt;= startDate, '26414_編集版 のコピー 2'!B$1 &lt;= delLimit), 
          IFERROR(VLOOKUP(B72, '新規'!$E$2:$H142, 4, 0), 
          IFERROR(VLOOKUP(B72, '特殊配信マスタ'!$E$3:$H142, 4, 0), 
          IFERROR(VLOOKUP(B72, '自動求人✅'!$C$3:$F142, 4, 0), prID))), 
        "")
      )
    )
  )
)</f>
        <v/>
      </c>
      <c r="D72" s="141" t="str">
        <f t="shared" si="1"/>
        <v/>
      </c>
      <c r="E72" s="141"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141"/>
      <c r="G72" s="141"/>
      <c r="H72" s="139"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140" t="str">
        <f t="array" ref="I72">IF(H72="", "", 
  LET(
    targetRow, IFERROR(MATCH(TRUE, BYROW('PR管理'!$J$4:$T$101, LAMBDA(r, COUNTIF(r, H72)&gt;0)), 0), 0),
    IF(targetRow=0, "",
      LET(
        startDate, INDEX('PR管理'!$C$4:$C$101, targetRow),
        delLimit, INDEX('PR管理'!$F$4:$F$101, targetRow),
        prID, INDEX('PR管理'!$A$4:$A$101, targetRow),
        IF(AND('26414_編集版 のコピー 2'!H$1 &gt;= startDate, '26414_編集版 のコピー 2'!H$1 &lt;= delLimit), 
          IFERROR(VLOOKUP(H72, '新規'!$E$2:$H142, 4, 0), 
          IFERROR(VLOOKUP(H72, '特殊配信マスタ'!$E$3:$H142, 4, 0), 
          IFERROR(VLOOKUP(H72, '自動求人✅'!$C$3:$F142, 4, 0), prID))), 
        "")
      )
    )
  )
)</f>
        <v/>
      </c>
      <c r="J72" s="141" t="str">
        <f t="shared" si="2"/>
        <v/>
      </c>
      <c r="K72" s="141"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141"/>
      <c r="M72" s="141"/>
      <c r="N72" s="139"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140" t="str">
        <f t="array" ref="O72">IF(N72="", "", 
  LET(
    targetRow, IFERROR(MATCH(TRUE, BYROW('PR管理'!$J$4:$T$101, LAMBDA(r, COUNTIF(r, N72)&gt;0)), 0), 0),
    IF(targetRow=0, "",
      LET(
        startDate, INDEX('PR管理'!$C$4:$C$101, targetRow),
        delLimit, INDEX('PR管理'!$F$4:$F$101, targetRow),
        prID, INDEX('PR管理'!$A$4:$A$101, targetRow),
        IF(AND('26414_編集版 のコピー 2'!N$1 &gt;= startDate, '26414_編集版 のコピー 2'!N$1 &lt;= delLimit), 
          IFERROR(VLOOKUP(N72, '新規'!$E$2:$H142, 4, 0), 
          IFERROR(VLOOKUP(N72, '特殊配信マスタ'!$E$3:$H142, 4, 0), 
          IFERROR(VLOOKUP(N72, '自動求人✅'!$C$3:$F142, 4, 0), prID))), 
        "")
      )
    )
  )
)</f>
        <v/>
      </c>
      <c r="P72" s="141" t="str">
        <f t="shared" si="3"/>
        <v/>
      </c>
      <c r="Q72" s="141"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141"/>
      <c r="S72" s="141"/>
      <c r="T72" s="139"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140" t="str">
        <f t="array" ref="U72">IF(T72="", "", 
  LET(
    targetRow, IFERROR(MATCH(TRUE, BYROW('PR管理'!$J$4:$T$101, LAMBDA(r, COUNTIF(r, T72)&gt;0)), 0), 0),
    IF(targetRow=0, "",
      LET(
        startDate, INDEX('PR管理'!$C$4:$C$101, targetRow),
        delLimit, INDEX('PR管理'!$F$4:$F$101, targetRow),
        prID, INDEX('PR管理'!$A$4:$A$101, targetRow),
        IF(AND('26414_編集版 のコピー 2'!T$1 &gt;= startDate, '26414_編集版 のコピー 2'!T$1 &lt;= delLimit), 
          IFERROR(VLOOKUP(T72, '新規'!$E$2:$H142, 4, 0), 
          IFERROR(VLOOKUP(T72, '特殊配信マスタ'!$E$3:$H142, 4, 0), 
          IFERROR(VLOOKUP(T72, '自動求人✅'!$C$3:$F142, 4, 0), prID))), 
        "")
      )
    )
  )
)</f>
        <v/>
      </c>
      <c r="V72" s="141" t="str">
        <f t="shared" si="4"/>
        <v/>
      </c>
      <c r="W72" s="141"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141"/>
      <c r="Y72" s="141"/>
      <c r="Z72" s="139"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140" t="str">
        <f t="array" ref="AA72">IF(Z72="", "", 
  LET(
    targetRow, IFERROR(MATCH(TRUE, BYROW('PR管理'!$J$4:$T$101, LAMBDA(r, COUNTIF(r, Z72)&gt;0)), 0), 0),
    IF(targetRow=0, "",
      LET(
        startDate, INDEX('PR管理'!$C$4:$C$101, targetRow),
        delLimit, INDEX('PR管理'!$F$4:$F$101, targetRow),
        prID, INDEX('PR管理'!$A$4:$A$101, targetRow),
        IF(AND('26414_編集版 のコピー 2'!Z$1 &gt;= startDate, '26414_編集版 のコピー 2'!Z$1 &lt;= delLimit), 
          IFERROR(VLOOKUP(Z72, '新規'!$E$2:$H142, 4, 0), 
          IFERROR(VLOOKUP(Z72, '特殊配信マスタ'!$E$3:$H142, 4, 0), 
          IFERROR(VLOOKUP(Z72, '自動求人✅'!$C$3:$F142, 4, 0), prID))), 
        "")
      )
    )
  )
)</f>
        <v/>
      </c>
      <c r="AB72" s="141" t="str">
        <f t="shared" si="5"/>
        <v/>
      </c>
      <c r="AC72" s="141"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141"/>
      <c r="AE72" s="141"/>
      <c r="AF72" s="139"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140" t="str">
        <f t="array" ref="AG72">IF(AF72="", "", 
  LET(
    targetRow, IFERROR(MATCH(TRUE, BYROW('PR管理'!$J$4:$T$101, LAMBDA(r, COUNTIF(r, AF72)&gt;0)), 0), 0),
    IF(targetRow=0, "",
      LET(
        startDate, INDEX('PR管理'!$C$4:$C$101, targetRow),
        delLimit, INDEX('PR管理'!$F$4:$F$101, targetRow),
        prID, INDEX('PR管理'!$A$4:$A$101, targetRow),
        IF(AND('26414_編集版 のコピー 2'!AF$1 &gt;= startDate, '26414_編集版 のコピー 2'!AF$1 &lt;= delLimit), 
          IFERROR(VLOOKUP(AF72, '新規'!$E$2:$H142, 4, 0), 
          IFERROR(VLOOKUP(AF72, '特殊配信マスタ'!$E$3:$H142, 4, 0), 
          IFERROR(VLOOKUP(AF72, '自動求人✅'!$C$3:$F142, 4, 0), prID))), 
        "")
      )
    )
  )
)</f>
        <v/>
      </c>
      <c r="AH72" s="141" t="str">
        <f t="shared" si="6"/>
        <v/>
      </c>
      <c r="AI72" s="141"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141"/>
      <c r="AK72" s="141"/>
      <c r="AL72" s="139"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140" t="str">
        <f t="array" ref="AM72">IF(AL72="", "", 
  LET(
    targetRow, IFERROR(MATCH(TRUE, BYROW('PR管理'!$J$4:$T$101, LAMBDA(r, COUNTIF(r, AL72)&gt;0)), 0), 0),
    IF(targetRow=0, "",
      LET(
        startDate, INDEX('PR管理'!$C$4:$C$101, targetRow),
        delLimit, INDEX('PR管理'!$F$4:$F$101, targetRow),
        prID, INDEX('PR管理'!$A$4:$A$101, targetRow),
        IF(AND('26414_編集版 のコピー 2'!AL$1 &gt;= startDate, '26414_編集版 のコピー 2'!AL$1 &lt;= delLimit), 
          IFERROR(VLOOKUP(AL72, '新規'!$E$2:$H142, 4, 0), 
          IFERROR(VLOOKUP(AL72, '特殊配信マスタ'!$E$3:$H142, 4, 0), 
          IFERROR(VLOOKUP(AL72, '自動求人✅'!$C$3:$F142, 4, 0), prID))), 
        "")
      )
    )
  )
)</f>
        <v/>
      </c>
      <c r="AN72" s="141" t="str">
        <f t="shared" si="7"/>
        <v/>
      </c>
      <c r="AO72" s="141"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141"/>
      <c r="AQ72" s="141"/>
    </row>
    <row r="73" ht="17.25" customHeight="1">
      <c r="A73" s="138">
        <f>A63+1</f>
        <v>15</v>
      </c>
      <c r="B73" s="139"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140" t="str">
        <f t="array" ref="C73">IF(B73="", "", 
  LET(
    targetRow, IFERROR(MATCH(TRUE, BYROW('PR管理'!$J$4:$T$101, LAMBDA(r, COUNTIF(r, B73)&gt;0)), 0), 0),
    IF(targetRow=0, "",
      LET(
        startDate, INDEX('PR管理'!$C$4:$C$101, targetRow),
        delLimit, INDEX('PR管理'!$F$4:$F$101, targetRow),
        prID, INDEX('PR管理'!$A$4:$A$101, targetRow),
        IF(AND('26414_編集版 のコピー 2'!B$1 &gt;= startDate, '26414_編集版 のコピー 2'!B$1 &lt;= delLimit), 
          IFERROR(VLOOKUP(B73, '新規'!$E$2:$H142, 4, 0), 
          IFERROR(VLOOKUP(B73, '特殊配信マスタ'!$E$3:$H142, 4, 0), 
          IFERROR(VLOOKUP(B73, '自動求人✅'!$C$3:$F142, 4, 0), prID))), 
        "")
      )
    )
  )
)</f>
        <v/>
      </c>
      <c r="D73" s="141" t="str">
        <f t="shared" si="1"/>
        <v/>
      </c>
      <c r="E73" s="141"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141"/>
      <c r="G73" s="141"/>
      <c r="H73" s="139"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140" t="str">
        <f t="array" ref="I73">IF(H73="", "", 
  LET(
    targetRow, IFERROR(MATCH(TRUE, BYROW('PR管理'!$J$4:$T$101, LAMBDA(r, COUNTIF(r, H73)&gt;0)), 0), 0),
    IF(targetRow=0, "",
      LET(
        startDate, INDEX('PR管理'!$C$4:$C$101, targetRow),
        delLimit, INDEX('PR管理'!$F$4:$F$101, targetRow),
        prID, INDEX('PR管理'!$A$4:$A$101, targetRow),
        IF(AND('26414_編集版 のコピー 2'!H$1 &gt;= startDate, '26414_編集版 のコピー 2'!H$1 &lt;= delLimit), 
          IFERROR(VLOOKUP(H73, '新規'!$E$2:$H142, 4, 0), 
          IFERROR(VLOOKUP(H73, '特殊配信マスタ'!$E$3:$H142, 4, 0), 
          IFERROR(VLOOKUP(H73, '自動求人✅'!$C$3:$F142, 4, 0), prID))), 
        "")
      )
    )
  )
)</f>
        <v/>
      </c>
      <c r="J73" s="141" t="str">
        <f t="shared" si="2"/>
        <v/>
      </c>
      <c r="K73" s="141"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141"/>
      <c r="M73" s="141"/>
      <c r="N73" s="139"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140" t="str">
        <f t="array" ref="O73">IF(N73="", "", 
  LET(
    targetRow, IFERROR(MATCH(TRUE, BYROW('PR管理'!$J$4:$T$101, LAMBDA(r, COUNTIF(r, N73)&gt;0)), 0), 0),
    IF(targetRow=0, "",
      LET(
        startDate, INDEX('PR管理'!$C$4:$C$101, targetRow),
        delLimit, INDEX('PR管理'!$F$4:$F$101, targetRow),
        prID, INDEX('PR管理'!$A$4:$A$101, targetRow),
        IF(AND('26414_編集版 のコピー 2'!N$1 &gt;= startDate, '26414_編集版 のコピー 2'!N$1 &lt;= delLimit), 
          IFERROR(VLOOKUP(N73, '新規'!$E$2:$H142, 4, 0), 
          IFERROR(VLOOKUP(N73, '特殊配信マスタ'!$E$3:$H142, 4, 0), 
          IFERROR(VLOOKUP(N73, '自動求人✅'!$C$3:$F142, 4, 0), prID))), 
        "")
      )
    )
  )
)</f>
        <v/>
      </c>
      <c r="P73" s="141" t="str">
        <f t="shared" si="3"/>
        <v/>
      </c>
      <c r="Q73" s="141"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141"/>
      <c r="S73" s="141"/>
      <c r="T73" s="139"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140" t="str">
        <f t="array" ref="U73">IF(T73="", "", 
  LET(
    targetRow, IFERROR(MATCH(TRUE, BYROW('PR管理'!$J$4:$T$101, LAMBDA(r, COUNTIF(r, T73)&gt;0)), 0), 0),
    IF(targetRow=0, "",
      LET(
        startDate, INDEX('PR管理'!$C$4:$C$101, targetRow),
        delLimit, INDEX('PR管理'!$F$4:$F$101, targetRow),
        prID, INDEX('PR管理'!$A$4:$A$101, targetRow),
        IF(AND('26414_編集版 のコピー 2'!T$1 &gt;= startDate, '26414_編集版 のコピー 2'!T$1 &lt;= delLimit), 
          IFERROR(VLOOKUP(T73, '新規'!$E$2:$H142, 4, 0), 
          IFERROR(VLOOKUP(T73, '特殊配信マスタ'!$E$3:$H142, 4, 0), 
          IFERROR(VLOOKUP(T73, '自動求人✅'!$C$3:$F142, 4, 0), prID))), 
        "")
      )
    )
  )
)</f>
        <v/>
      </c>
      <c r="V73" s="141" t="str">
        <f t="shared" si="4"/>
        <v/>
      </c>
      <c r="W73" s="141"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141"/>
      <c r="Y73" s="141"/>
      <c r="Z73" s="139"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140" t="str">
        <f t="array" ref="AA73">IF(Z73="", "", 
  LET(
    targetRow, IFERROR(MATCH(TRUE, BYROW('PR管理'!$J$4:$T$101, LAMBDA(r, COUNTIF(r, Z73)&gt;0)), 0), 0),
    IF(targetRow=0, "",
      LET(
        startDate, INDEX('PR管理'!$C$4:$C$101, targetRow),
        delLimit, INDEX('PR管理'!$F$4:$F$101, targetRow),
        prID, INDEX('PR管理'!$A$4:$A$101, targetRow),
        IF(AND('26414_編集版 のコピー 2'!Z$1 &gt;= startDate, '26414_編集版 のコピー 2'!Z$1 &lt;= delLimit), 
          IFERROR(VLOOKUP(Z73, '新規'!$E$2:$H142, 4, 0), 
          IFERROR(VLOOKUP(Z73, '特殊配信マスタ'!$E$3:$H142, 4, 0), 
          IFERROR(VLOOKUP(Z73, '自動求人✅'!$C$3:$F142, 4, 0), prID))), 
        "")
      )
    )
  )
)</f>
        <v/>
      </c>
      <c r="AB73" s="141" t="str">
        <f t="shared" si="5"/>
        <v/>
      </c>
      <c r="AC73" s="141"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141"/>
      <c r="AE73" s="141"/>
      <c r="AF73" s="139"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140" t="str">
        <f t="array" ref="AG73">IF(AF73="", "", 
  LET(
    targetRow, IFERROR(MATCH(TRUE, BYROW('PR管理'!$J$4:$T$101, LAMBDA(r, COUNTIF(r, AF73)&gt;0)), 0), 0),
    IF(targetRow=0, "",
      LET(
        startDate, INDEX('PR管理'!$C$4:$C$101, targetRow),
        delLimit, INDEX('PR管理'!$F$4:$F$101, targetRow),
        prID, INDEX('PR管理'!$A$4:$A$101, targetRow),
        IF(AND('26414_編集版 のコピー 2'!AF$1 &gt;= startDate, '26414_編集版 のコピー 2'!AF$1 &lt;= delLimit), 
          IFERROR(VLOOKUP(AF73, '新規'!$E$2:$H142, 4, 0), 
          IFERROR(VLOOKUP(AF73, '特殊配信マスタ'!$E$3:$H142, 4, 0), 
          IFERROR(VLOOKUP(AF73, '自動求人✅'!$C$3:$F142, 4, 0), prID))), 
        "")
      )
    )
  )
)</f>
        <v/>
      </c>
      <c r="AH73" s="141" t="str">
        <f t="shared" si="6"/>
        <v/>
      </c>
      <c r="AI73" s="141"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141"/>
      <c r="AK73" s="141"/>
      <c r="AL73" s="139"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140" t="str">
        <f t="array" ref="AM73">IF(AL73="", "", 
  LET(
    targetRow, IFERROR(MATCH(TRUE, BYROW('PR管理'!$J$4:$T$101, LAMBDA(r, COUNTIF(r, AL73)&gt;0)), 0), 0),
    IF(targetRow=0, "",
      LET(
        startDate, INDEX('PR管理'!$C$4:$C$101, targetRow),
        delLimit, INDEX('PR管理'!$F$4:$F$101, targetRow),
        prID, INDEX('PR管理'!$A$4:$A$101, targetRow),
        IF(AND('26414_編集版 のコピー 2'!AL$1 &gt;= startDate, '26414_編集版 のコピー 2'!AL$1 &lt;= delLimit), 
          IFERROR(VLOOKUP(AL73, '新規'!$E$2:$H142, 4, 0), 
          IFERROR(VLOOKUP(AL73, '特殊配信マスタ'!$E$3:$H142, 4, 0), 
          IFERROR(VLOOKUP(AL73, '自動求人✅'!$C$3:$F142, 4, 0), prID))), 
        "")
      )
    )
  )
)</f>
        <v/>
      </c>
      <c r="AN73" s="141" t="str">
        <f t="shared" si="7"/>
        <v/>
      </c>
      <c r="AO73" s="141"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141"/>
      <c r="AQ73" s="141"/>
    </row>
    <row r="74" ht="17.25" customHeight="1">
      <c r="A74" s="142"/>
      <c r="B74" s="139"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140" t="str">
        <f t="array" ref="C74">IF(B74="", "", 
  LET(
    targetRow, IFERROR(MATCH(TRUE, BYROW('PR管理'!$J$4:$T$101, LAMBDA(r, COUNTIF(r, B74)&gt;0)), 0), 0),
    IF(targetRow=0, "",
      LET(
        startDate, INDEX('PR管理'!$C$4:$C$101, targetRow),
        delLimit, INDEX('PR管理'!$F$4:$F$101, targetRow),
        prID, INDEX('PR管理'!$A$4:$A$101, targetRow),
        IF(AND('26414_編集版 のコピー 2'!B$1 &gt;= startDate, '26414_編集版 のコピー 2'!B$1 &lt;= delLimit), 
          IFERROR(VLOOKUP(B74, '新規'!$E$2:$H142, 4, 0), 
          IFERROR(VLOOKUP(B74, '特殊配信マスタ'!$E$3:$H142, 4, 0), 
          IFERROR(VLOOKUP(B74, '自動求人✅'!$C$3:$F142, 4, 0), prID))), 
        "")
      )
    )
  )
)</f>
        <v/>
      </c>
      <c r="D74" s="141" t="str">
        <f t="shared" si="1"/>
        <v/>
      </c>
      <c r="E74" s="141"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141"/>
      <c r="G74" s="141"/>
      <c r="H74" s="139"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140" t="str">
        <f t="array" ref="I74">IF(H74="", "", 
  LET(
    targetRow, IFERROR(MATCH(TRUE, BYROW('PR管理'!$J$4:$T$101, LAMBDA(r, COUNTIF(r, H74)&gt;0)), 0), 0),
    IF(targetRow=0, "",
      LET(
        startDate, INDEX('PR管理'!$C$4:$C$101, targetRow),
        delLimit, INDEX('PR管理'!$F$4:$F$101, targetRow),
        prID, INDEX('PR管理'!$A$4:$A$101, targetRow),
        IF(AND('26414_編集版 のコピー 2'!H$1 &gt;= startDate, '26414_編集版 のコピー 2'!H$1 &lt;= delLimit), 
          IFERROR(VLOOKUP(H74, '新規'!$E$2:$H142, 4, 0), 
          IFERROR(VLOOKUP(H74, '特殊配信マスタ'!$E$3:$H142, 4, 0), 
          IFERROR(VLOOKUP(H74, '自動求人✅'!$C$3:$F142, 4, 0), prID))), 
        "")
      )
    )
  )
)</f>
        <v/>
      </c>
      <c r="J74" s="141" t="str">
        <f t="shared" si="2"/>
        <v/>
      </c>
      <c r="K74" s="141"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141"/>
      <c r="M74" s="141"/>
      <c r="N74" s="139"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140" t="str">
        <f t="array" ref="O74">IF(N74="", "", 
  LET(
    targetRow, IFERROR(MATCH(TRUE, BYROW('PR管理'!$J$4:$T$101, LAMBDA(r, COUNTIF(r, N74)&gt;0)), 0), 0),
    IF(targetRow=0, "",
      LET(
        startDate, INDEX('PR管理'!$C$4:$C$101, targetRow),
        delLimit, INDEX('PR管理'!$F$4:$F$101, targetRow),
        prID, INDEX('PR管理'!$A$4:$A$101, targetRow),
        IF(AND('26414_編集版 のコピー 2'!N$1 &gt;= startDate, '26414_編集版 のコピー 2'!N$1 &lt;= delLimit), 
          IFERROR(VLOOKUP(N74, '新規'!$E$2:$H142, 4, 0), 
          IFERROR(VLOOKUP(N74, '特殊配信マスタ'!$E$3:$H142, 4, 0), 
          IFERROR(VLOOKUP(N74, '自動求人✅'!$C$3:$F142, 4, 0), prID))), 
        "")
      )
    )
  )
)</f>
        <v/>
      </c>
      <c r="P74" s="141" t="str">
        <f t="shared" si="3"/>
        <v/>
      </c>
      <c r="Q74" s="141"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141"/>
      <c r="S74" s="141"/>
      <c r="T74" s="139"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140" t="str">
        <f t="array" ref="U74">IF(T74="", "", 
  LET(
    targetRow, IFERROR(MATCH(TRUE, BYROW('PR管理'!$J$4:$T$101, LAMBDA(r, COUNTIF(r, T74)&gt;0)), 0), 0),
    IF(targetRow=0, "",
      LET(
        startDate, INDEX('PR管理'!$C$4:$C$101, targetRow),
        delLimit, INDEX('PR管理'!$F$4:$F$101, targetRow),
        prID, INDEX('PR管理'!$A$4:$A$101, targetRow),
        IF(AND('26414_編集版 のコピー 2'!T$1 &gt;= startDate, '26414_編集版 のコピー 2'!T$1 &lt;= delLimit), 
          IFERROR(VLOOKUP(T74, '新規'!$E$2:$H142, 4, 0), 
          IFERROR(VLOOKUP(T74, '特殊配信マスタ'!$E$3:$H142, 4, 0), 
          IFERROR(VLOOKUP(T74, '自動求人✅'!$C$3:$F142, 4, 0), prID))), 
        "")
      )
    )
  )
)</f>
        <v/>
      </c>
      <c r="V74" s="141" t="str">
        <f t="shared" si="4"/>
        <v/>
      </c>
      <c r="W74" s="141"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141"/>
      <c r="Y74" s="141"/>
      <c r="Z74" s="139"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140" t="str">
        <f t="array" ref="AA74">IF(Z74="", "", 
  LET(
    targetRow, IFERROR(MATCH(TRUE, BYROW('PR管理'!$J$4:$T$101, LAMBDA(r, COUNTIF(r, Z74)&gt;0)), 0), 0),
    IF(targetRow=0, "",
      LET(
        startDate, INDEX('PR管理'!$C$4:$C$101, targetRow),
        delLimit, INDEX('PR管理'!$F$4:$F$101, targetRow),
        prID, INDEX('PR管理'!$A$4:$A$101, targetRow),
        IF(AND('26414_編集版 のコピー 2'!Z$1 &gt;= startDate, '26414_編集版 のコピー 2'!Z$1 &lt;= delLimit), 
          IFERROR(VLOOKUP(Z74, '新規'!$E$2:$H142, 4, 0), 
          IFERROR(VLOOKUP(Z74, '特殊配信マスタ'!$E$3:$H142, 4, 0), 
          IFERROR(VLOOKUP(Z74, '自動求人✅'!$C$3:$F142, 4, 0), prID))), 
        "")
      )
    )
  )
)</f>
        <v/>
      </c>
      <c r="AB74" s="141" t="str">
        <f t="shared" si="5"/>
        <v/>
      </c>
      <c r="AC74" s="141"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141"/>
      <c r="AE74" s="141"/>
      <c r="AF74" s="139"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140" t="str">
        <f t="array" ref="AG74">IF(AF74="", "", 
  LET(
    targetRow, IFERROR(MATCH(TRUE, BYROW('PR管理'!$J$4:$T$101, LAMBDA(r, COUNTIF(r, AF74)&gt;0)), 0), 0),
    IF(targetRow=0, "",
      LET(
        startDate, INDEX('PR管理'!$C$4:$C$101, targetRow),
        delLimit, INDEX('PR管理'!$F$4:$F$101, targetRow),
        prID, INDEX('PR管理'!$A$4:$A$101, targetRow),
        IF(AND('26414_編集版 のコピー 2'!AF$1 &gt;= startDate, '26414_編集版 のコピー 2'!AF$1 &lt;= delLimit), 
          IFERROR(VLOOKUP(AF74, '新規'!$E$2:$H142, 4, 0), 
          IFERROR(VLOOKUP(AF74, '特殊配信マスタ'!$E$3:$H142, 4, 0), 
          IFERROR(VLOOKUP(AF74, '自動求人✅'!$C$3:$F142, 4, 0), prID))), 
        "")
      )
    )
  )
)</f>
        <v/>
      </c>
      <c r="AH74" s="141" t="str">
        <f t="shared" si="6"/>
        <v/>
      </c>
      <c r="AI74" s="141"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141"/>
      <c r="AK74" s="141"/>
      <c r="AL74" s="139"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140" t="str">
        <f t="array" ref="AM74">IF(AL74="", "", 
  LET(
    targetRow, IFERROR(MATCH(TRUE, BYROW('PR管理'!$J$4:$T$101, LAMBDA(r, COUNTIF(r, AL74)&gt;0)), 0), 0),
    IF(targetRow=0, "",
      LET(
        startDate, INDEX('PR管理'!$C$4:$C$101, targetRow),
        delLimit, INDEX('PR管理'!$F$4:$F$101, targetRow),
        prID, INDEX('PR管理'!$A$4:$A$101, targetRow),
        IF(AND('26414_編集版 のコピー 2'!AL$1 &gt;= startDate, '26414_編集版 のコピー 2'!AL$1 &lt;= delLimit), 
          IFERROR(VLOOKUP(AL74, '新規'!$E$2:$H142, 4, 0), 
          IFERROR(VLOOKUP(AL74, '特殊配信マスタ'!$E$3:$H142, 4, 0), 
          IFERROR(VLOOKUP(AL74, '自動求人✅'!$C$3:$F142, 4, 0), prID))), 
        "")
      )
    )
  )
)</f>
        <v/>
      </c>
      <c r="AN74" s="141" t="str">
        <f t="shared" si="7"/>
        <v/>
      </c>
      <c r="AO74" s="141"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141"/>
      <c r="AQ74" s="141"/>
    </row>
    <row r="75" ht="17.25" customHeight="1">
      <c r="A75" s="142"/>
      <c r="B75" s="139"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140" t="str">
        <f t="array" ref="C75">IF(B75="", "", 
  LET(
    targetRow, IFERROR(MATCH(TRUE, BYROW('PR管理'!$J$4:$T$101, LAMBDA(r, COUNTIF(r, B75)&gt;0)), 0), 0),
    IF(targetRow=0, "",
      LET(
        startDate, INDEX('PR管理'!$C$4:$C$101, targetRow),
        delLimit, INDEX('PR管理'!$F$4:$F$101, targetRow),
        prID, INDEX('PR管理'!$A$4:$A$101, targetRow),
        IF(AND('26414_編集版 のコピー 2'!B$1 &gt;= startDate, '26414_編集版 のコピー 2'!B$1 &lt;= delLimit), 
          IFERROR(VLOOKUP(B75, '新規'!$E$2:$H142, 4, 0), 
          IFERROR(VLOOKUP(B75, '特殊配信マスタ'!$E$3:$H142, 4, 0), 
          IFERROR(VLOOKUP(B75, '自動求人✅'!$C$3:$F142, 4, 0), prID))), 
        "")
      )
    )
  )
)</f>
        <v/>
      </c>
      <c r="D75" s="141" t="str">
        <f t="shared" si="1"/>
        <v/>
      </c>
      <c r="E75" s="141"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141"/>
      <c r="G75" s="141"/>
      <c r="H75" s="139"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140" t="str">
        <f t="array" ref="I75">IF(H75="", "", 
  LET(
    targetRow, IFERROR(MATCH(TRUE, BYROW('PR管理'!$J$4:$T$101, LAMBDA(r, COUNTIF(r, H75)&gt;0)), 0), 0),
    IF(targetRow=0, "",
      LET(
        startDate, INDEX('PR管理'!$C$4:$C$101, targetRow),
        delLimit, INDEX('PR管理'!$F$4:$F$101, targetRow),
        prID, INDEX('PR管理'!$A$4:$A$101, targetRow),
        IF(AND('26414_編集版 のコピー 2'!H$1 &gt;= startDate, '26414_編集版 のコピー 2'!H$1 &lt;= delLimit), 
          IFERROR(VLOOKUP(H75, '新規'!$E$2:$H142, 4, 0), 
          IFERROR(VLOOKUP(H75, '特殊配信マスタ'!$E$3:$H142, 4, 0), 
          IFERROR(VLOOKUP(H75, '自動求人✅'!$C$3:$F142, 4, 0), prID))), 
        "")
      )
    )
  )
)</f>
        <v/>
      </c>
      <c r="J75" s="141" t="str">
        <f t="shared" si="2"/>
        <v/>
      </c>
      <c r="K75" s="141"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141"/>
      <c r="M75" s="141"/>
      <c r="N75" s="139"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140" t="str">
        <f t="array" ref="O75">IF(N75="", "", 
  LET(
    targetRow, IFERROR(MATCH(TRUE, BYROW('PR管理'!$J$4:$T$101, LAMBDA(r, COUNTIF(r, N75)&gt;0)), 0), 0),
    IF(targetRow=0, "",
      LET(
        startDate, INDEX('PR管理'!$C$4:$C$101, targetRow),
        delLimit, INDEX('PR管理'!$F$4:$F$101, targetRow),
        prID, INDEX('PR管理'!$A$4:$A$101, targetRow),
        IF(AND('26414_編集版 のコピー 2'!N$1 &gt;= startDate, '26414_編集版 のコピー 2'!N$1 &lt;= delLimit), 
          IFERROR(VLOOKUP(N75, '新規'!$E$2:$H142, 4, 0), 
          IFERROR(VLOOKUP(N75, '特殊配信マスタ'!$E$3:$H142, 4, 0), 
          IFERROR(VLOOKUP(N75, '自動求人✅'!$C$3:$F142, 4, 0), prID))), 
        "")
      )
    )
  )
)</f>
        <v/>
      </c>
      <c r="P75" s="141" t="str">
        <f t="shared" si="3"/>
        <v/>
      </c>
      <c r="Q75" s="141"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141"/>
      <c r="S75" s="141"/>
      <c r="T75" s="139"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140" t="str">
        <f t="array" ref="U75">IF(T75="", "", 
  LET(
    targetRow, IFERROR(MATCH(TRUE, BYROW('PR管理'!$J$4:$T$101, LAMBDA(r, COUNTIF(r, T75)&gt;0)), 0), 0),
    IF(targetRow=0, "",
      LET(
        startDate, INDEX('PR管理'!$C$4:$C$101, targetRow),
        delLimit, INDEX('PR管理'!$F$4:$F$101, targetRow),
        prID, INDEX('PR管理'!$A$4:$A$101, targetRow),
        IF(AND('26414_編集版 のコピー 2'!T$1 &gt;= startDate, '26414_編集版 のコピー 2'!T$1 &lt;= delLimit), 
          IFERROR(VLOOKUP(T75, '新規'!$E$2:$H142, 4, 0), 
          IFERROR(VLOOKUP(T75, '特殊配信マスタ'!$E$3:$H142, 4, 0), 
          IFERROR(VLOOKUP(T75, '自動求人✅'!$C$3:$F142, 4, 0), prID))), 
        "")
      )
    )
  )
)</f>
        <v/>
      </c>
      <c r="V75" s="141" t="str">
        <f t="shared" si="4"/>
        <v/>
      </c>
      <c r="W75" s="141"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141"/>
      <c r="Y75" s="141"/>
      <c r="Z75" s="139"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140" t="str">
        <f t="array" ref="AA75">IF(Z75="", "", 
  LET(
    targetRow, IFERROR(MATCH(TRUE, BYROW('PR管理'!$J$4:$T$101, LAMBDA(r, COUNTIF(r, Z75)&gt;0)), 0), 0),
    IF(targetRow=0, "",
      LET(
        startDate, INDEX('PR管理'!$C$4:$C$101, targetRow),
        delLimit, INDEX('PR管理'!$F$4:$F$101, targetRow),
        prID, INDEX('PR管理'!$A$4:$A$101, targetRow),
        IF(AND('26414_編集版 のコピー 2'!Z$1 &gt;= startDate, '26414_編集版 のコピー 2'!Z$1 &lt;= delLimit), 
          IFERROR(VLOOKUP(Z75, '新規'!$E$2:$H142, 4, 0), 
          IFERROR(VLOOKUP(Z75, '特殊配信マスタ'!$E$3:$H142, 4, 0), 
          IFERROR(VLOOKUP(Z75, '自動求人✅'!$C$3:$F142, 4, 0), prID))), 
        "")
      )
    )
  )
)</f>
        <v/>
      </c>
      <c r="AB75" s="141" t="str">
        <f t="shared" si="5"/>
        <v/>
      </c>
      <c r="AC75" s="141"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141"/>
      <c r="AE75" s="141"/>
      <c r="AF75" s="139"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140" t="str">
        <f t="array" ref="AG75">IF(AF75="", "", 
  LET(
    targetRow, IFERROR(MATCH(TRUE, BYROW('PR管理'!$J$4:$T$101, LAMBDA(r, COUNTIF(r, AF75)&gt;0)), 0), 0),
    IF(targetRow=0, "",
      LET(
        startDate, INDEX('PR管理'!$C$4:$C$101, targetRow),
        delLimit, INDEX('PR管理'!$F$4:$F$101, targetRow),
        prID, INDEX('PR管理'!$A$4:$A$101, targetRow),
        IF(AND('26414_編集版 のコピー 2'!AF$1 &gt;= startDate, '26414_編集版 のコピー 2'!AF$1 &lt;= delLimit), 
          IFERROR(VLOOKUP(AF75, '新規'!$E$2:$H142, 4, 0), 
          IFERROR(VLOOKUP(AF75, '特殊配信マスタ'!$E$3:$H142, 4, 0), 
          IFERROR(VLOOKUP(AF75, '自動求人✅'!$C$3:$F142, 4, 0), prID))), 
        "")
      )
    )
  )
)</f>
        <v/>
      </c>
      <c r="AH75" s="141" t="str">
        <f t="shared" si="6"/>
        <v/>
      </c>
      <c r="AI75" s="141"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141"/>
      <c r="AK75" s="141"/>
      <c r="AL75" s="139"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140" t="str">
        <f t="array" ref="AM75">IF(AL75="", "", 
  LET(
    targetRow, IFERROR(MATCH(TRUE, BYROW('PR管理'!$J$4:$T$101, LAMBDA(r, COUNTIF(r, AL75)&gt;0)), 0), 0),
    IF(targetRow=0, "",
      LET(
        startDate, INDEX('PR管理'!$C$4:$C$101, targetRow),
        delLimit, INDEX('PR管理'!$F$4:$F$101, targetRow),
        prID, INDEX('PR管理'!$A$4:$A$101, targetRow),
        IF(AND('26414_編集版 のコピー 2'!AL$1 &gt;= startDate, '26414_編集版 のコピー 2'!AL$1 &lt;= delLimit), 
          IFERROR(VLOOKUP(AL75, '新規'!$E$2:$H142, 4, 0), 
          IFERROR(VLOOKUP(AL75, '特殊配信マスタ'!$E$3:$H142, 4, 0), 
          IFERROR(VLOOKUP(AL75, '自動求人✅'!$C$3:$F142, 4, 0), prID))), 
        "")
      )
    )
  )
)</f>
        <v/>
      </c>
      <c r="AN75" s="141" t="str">
        <f t="shared" si="7"/>
        <v/>
      </c>
      <c r="AO75" s="141"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141"/>
      <c r="AQ75" s="141"/>
    </row>
    <row r="76" ht="17.25" customHeight="1">
      <c r="A76" s="142"/>
      <c r="B76" s="139"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140" t="str">
        <f t="array" ref="C76">IF(B76="", "", 
  LET(
    targetRow, IFERROR(MATCH(TRUE, BYROW('PR管理'!$J$4:$T$101, LAMBDA(r, COUNTIF(r, B76)&gt;0)), 0), 0),
    IF(targetRow=0, "",
      LET(
        startDate, INDEX('PR管理'!$C$4:$C$101, targetRow),
        delLimit, INDEX('PR管理'!$F$4:$F$101, targetRow),
        prID, INDEX('PR管理'!$A$4:$A$101, targetRow),
        IF(AND('26414_編集版 のコピー 2'!B$1 &gt;= startDate, '26414_編集版 のコピー 2'!B$1 &lt;= delLimit), 
          IFERROR(VLOOKUP(B76, '新規'!$E$2:$H142, 4, 0), 
          IFERROR(VLOOKUP(B76, '特殊配信マスタ'!$E$3:$H142, 4, 0), 
          IFERROR(VLOOKUP(B76, '自動求人✅'!$C$3:$F142, 4, 0), prID))), 
        "")
      )
    )
  )
)</f>
        <v/>
      </c>
      <c r="D76" s="141" t="str">
        <f t="shared" si="1"/>
        <v/>
      </c>
      <c r="E76" s="141"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141"/>
      <c r="G76" s="141"/>
      <c r="H76" s="139"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140" t="str">
        <f t="array" ref="I76">IF(H76="", "", 
  LET(
    targetRow, IFERROR(MATCH(TRUE, BYROW('PR管理'!$J$4:$T$101, LAMBDA(r, COUNTIF(r, H76)&gt;0)), 0), 0),
    IF(targetRow=0, "",
      LET(
        startDate, INDEX('PR管理'!$C$4:$C$101, targetRow),
        delLimit, INDEX('PR管理'!$F$4:$F$101, targetRow),
        prID, INDEX('PR管理'!$A$4:$A$101, targetRow),
        IF(AND('26414_編集版 のコピー 2'!H$1 &gt;= startDate, '26414_編集版 のコピー 2'!H$1 &lt;= delLimit), 
          IFERROR(VLOOKUP(H76, '新規'!$E$2:$H142, 4, 0), 
          IFERROR(VLOOKUP(H76, '特殊配信マスタ'!$E$3:$H142, 4, 0), 
          IFERROR(VLOOKUP(H76, '自動求人✅'!$C$3:$F142, 4, 0), prID))), 
        "")
      )
    )
  )
)</f>
        <v/>
      </c>
      <c r="J76" s="141" t="str">
        <f t="shared" si="2"/>
        <v/>
      </c>
      <c r="K76" s="141"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141"/>
      <c r="M76" s="141"/>
      <c r="N76" s="139"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140" t="str">
        <f t="array" ref="O76">IF(N76="", "", 
  LET(
    targetRow, IFERROR(MATCH(TRUE, BYROW('PR管理'!$J$4:$T$101, LAMBDA(r, COUNTIF(r, N76)&gt;0)), 0), 0),
    IF(targetRow=0, "",
      LET(
        startDate, INDEX('PR管理'!$C$4:$C$101, targetRow),
        delLimit, INDEX('PR管理'!$F$4:$F$101, targetRow),
        prID, INDEX('PR管理'!$A$4:$A$101, targetRow),
        IF(AND('26414_編集版 のコピー 2'!N$1 &gt;= startDate, '26414_編集版 のコピー 2'!N$1 &lt;= delLimit), 
          IFERROR(VLOOKUP(N76, '新規'!$E$2:$H142, 4, 0), 
          IFERROR(VLOOKUP(N76, '特殊配信マスタ'!$E$3:$H142, 4, 0), 
          IFERROR(VLOOKUP(N76, '自動求人✅'!$C$3:$F142, 4, 0), prID))), 
        "")
      )
    )
  )
)</f>
        <v/>
      </c>
      <c r="P76" s="141" t="str">
        <f t="shared" si="3"/>
        <v/>
      </c>
      <c r="Q76" s="141"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141"/>
      <c r="S76" s="141"/>
      <c r="T76" s="139"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140" t="str">
        <f t="array" ref="U76">IF(T76="", "", 
  LET(
    targetRow, IFERROR(MATCH(TRUE, BYROW('PR管理'!$J$4:$T$101, LAMBDA(r, COUNTIF(r, T76)&gt;0)), 0), 0),
    IF(targetRow=0, "",
      LET(
        startDate, INDEX('PR管理'!$C$4:$C$101, targetRow),
        delLimit, INDEX('PR管理'!$F$4:$F$101, targetRow),
        prID, INDEX('PR管理'!$A$4:$A$101, targetRow),
        IF(AND('26414_編集版 のコピー 2'!T$1 &gt;= startDate, '26414_編集版 のコピー 2'!T$1 &lt;= delLimit), 
          IFERROR(VLOOKUP(T76, '新規'!$E$2:$H142, 4, 0), 
          IFERROR(VLOOKUP(T76, '特殊配信マスタ'!$E$3:$H142, 4, 0), 
          IFERROR(VLOOKUP(T76, '自動求人✅'!$C$3:$F142, 4, 0), prID))), 
        "")
      )
    )
  )
)</f>
        <v/>
      </c>
      <c r="V76" s="141" t="str">
        <f t="shared" si="4"/>
        <v/>
      </c>
      <c r="W76" s="141"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141"/>
      <c r="Y76" s="141"/>
      <c r="Z76" s="139"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140" t="str">
        <f t="array" ref="AA76">IF(Z76="", "", 
  LET(
    targetRow, IFERROR(MATCH(TRUE, BYROW('PR管理'!$J$4:$T$101, LAMBDA(r, COUNTIF(r, Z76)&gt;0)), 0), 0),
    IF(targetRow=0, "",
      LET(
        startDate, INDEX('PR管理'!$C$4:$C$101, targetRow),
        delLimit, INDEX('PR管理'!$F$4:$F$101, targetRow),
        prID, INDEX('PR管理'!$A$4:$A$101, targetRow),
        IF(AND('26414_編集版 のコピー 2'!Z$1 &gt;= startDate, '26414_編集版 のコピー 2'!Z$1 &lt;= delLimit), 
          IFERROR(VLOOKUP(Z76, '新規'!$E$2:$H142, 4, 0), 
          IFERROR(VLOOKUP(Z76, '特殊配信マスタ'!$E$3:$H142, 4, 0), 
          IFERROR(VLOOKUP(Z76, '自動求人✅'!$C$3:$F142, 4, 0), prID))), 
        "")
      )
    )
  )
)</f>
        <v/>
      </c>
      <c r="AB76" s="141" t="str">
        <f t="shared" si="5"/>
        <v/>
      </c>
      <c r="AC76" s="141"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141"/>
      <c r="AE76" s="141"/>
      <c r="AF76" s="139"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140" t="str">
        <f t="array" ref="AG76">IF(AF76="", "", 
  LET(
    targetRow, IFERROR(MATCH(TRUE, BYROW('PR管理'!$J$4:$T$101, LAMBDA(r, COUNTIF(r, AF76)&gt;0)), 0), 0),
    IF(targetRow=0, "",
      LET(
        startDate, INDEX('PR管理'!$C$4:$C$101, targetRow),
        delLimit, INDEX('PR管理'!$F$4:$F$101, targetRow),
        prID, INDEX('PR管理'!$A$4:$A$101, targetRow),
        IF(AND('26414_編集版 のコピー 2'!AF$1 &gt;= startDate, '26414_編集版 のコピー 2'!AF$1 &lt;= delLimit), 
          IFERROR(VLOOKUP(AF76, '新規'!$E$2:$H142, 4, 0), 
          IFERROR(VLOOKUP(AF76, '特殊配信マスタ'!$E$3:$H142, 4, 0), 
          IFERROR(VLOOKUP(AF76, '自動求人✅'!$C$3:$F142, 4, 0), prID))), 
        "")
      )
    )
  )
)</f>
        <v/>
      </c>
      <c r="AH76" s="141" t="str">
        <f t="shared" si="6"/>
        <v/>
      </c>
      <c r="AI76" s="141"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141"/>
      <c r="AK76" s="141"/>
      <c r="AL76" s="139"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140" t="str">
        <f t="array" ref="AM76">IF(AL76="", "", 
  LET(
    targetRow, IFERROR(MATCH(TRUE, BYROW('PR管理'!$J$4:$T$101, LAMBDA(r, COUNTIF(r, AL76)&gt;0)), 0), 0),
    IF(targetRow=0, "",
      LET(
        startDate, INDEX('PR管理'!$C$4:$C$101, targetRow),
        delLimit, INDEX('PR管理'!$F$4:$F$101, targetRow),
        prID, INDEX('PR管理'!$A$4:$A$101, targetRow),
        IF(AND('26414_編集版 のコピー 2'!AL$1 &gt;= startDate, '26414_編集版 のコピー 2'!AL$1 &lt;= delLimit), 
          IFERROR(VLOOKUP(AL76, '新規'!$E$2:$H142, 4, 0), 
          IFERROR(VLOOKUP(AL76, '特殊配信マスタ'!$E$3:$H142, 4, 0), 
          IFERROR(VLOOKUP(AL76, '自動求人✅'!$C$3:$F142, 4, 0), prID))), 
        "")
      )
    )
  )
)</f>
        <v/>
      </c>
      <c r="AN76" s="141" t="str">
        <f t="shared" si="7"/>
        <v/>
      </c>
      <c r="AO76" s="141"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141"/>
      <c r="AQ76" s="141"/>
    </row>
    <row r="77" ht="17.25" customHeight="1">
      <c r="A77" s="142"/>
      <c r="B77" s="139"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140" t="str">
        <f t="array" ref="C77">IF(B77="", "", 
  LET(
    targetRow, IFERROR(MATCH(TRUE, BYROW('PR管理'!$J$4:$T$101, LAMBDA(r, COUNTIF(r, B77)&gt;0)), 0), 0),
    IF(targetRow=0, "",
      LET(
        startDate, INDEX('PR管理'!$C$4:$C$101, targetRow),
        delLimit, INDEX('PR管理'!$F$4:$F$101, targetRow),
        prID, INDEX('PR管理'!$A$4:$A$101, targetRow),
        IF(AND('26414_編集版 のコピー 2'!B$1 &gt;= startDate, '26414_編集版 のコピー 2'!B$1 &lt;= delLimit), 
          IFERROR(VLOOKUP(B77, '新規'!$E$2:$H142, 4, 0), 
          IFERROR(VLOOKUP(B77, '特殊配信マスタ'!$E$3:$H142, 4, 0), 
          IFERROR(VLOOKUP(B77, '自動求人✅'!$C$3:$F142, 4, 0), prID))), 
        "")
      )
    )
  )
)</f>
        <v/>
      </c>
      <c r="D77" s="141" t="str">
        <f t="shared" si="1"/>
        <v/>
      </c>
      <c r="E77" s="141"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141"/>
      <c r="G77" s="141"/>
      <c r="H77" s="139"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140" t="str">
        <f t="array" ref="I77">IF(H77="", "", 
  LET(
    targetRow, IFERROR(MATCH(TRUE, BYROW('PR管理'!$J$4:$T$101, LAMBDA(r, COUNTIF(r, H77)&gt;0)), 0), 0),
    IF(targetRow=0, "",
      LET(
        startDate, INDEX('PR管理'!$C$4:$C$101, targetRow),
        delLimit, INDEX('PR管理'!$F$4:$F$101, targetRow),
        prID, INDEX('PR管理'!$A$4:$A$101, targetRow),
        IF(AND('26414_編集版 のコピー 2'!H$1 &gt;= startDate, '26414_編集版 のコピー 2'!H$1 &lt;= delLimit), 
          IFERROR(VLOOKUP(H77, '新規'!$E$2:$H142, 4, 0), 
          IFERROR(VLOOKUP(H77, '特殊配信マスタ'!$E$3:$H142, 4, 0), 
          IFERROR(VLOOKUP(H77, '自動求人✅'!$C$3:$F142, 4, 0), prID))), 
        "")
      )
    )
  )
)</f>
        <v/>
      </c>
      <c r="J77" s="141" t="str">
        <f t="shared" si="2"/>
        <v/>
      </c>
      <c r="K77" s="141"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141"/>
      <c r="M77" s="141"/>
      <c r="N77" s="139"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140" t="str">
        <f t="array" ref="O77">IF(N77="", "", 
  LET(
    targetRow, IFERROR(MATCH(TRUE, BYROW('PR管理'!$J$4:$T$101, LAMBDA(r, COUNTIF(r, N77)&gt;0)), 0), 0),
    IF(targetRow=0, "",
      LET(
        startDate, INDEX('PR管理'!$C$4:$C$101, targetRow),
        delLimit, INDEX('PR管理'!$F$4:$F$101, targetRow),
        prID, INDEX('PR管理'!$A$4:$A$101, targetRow),
        IF(AND('26414_編集版 のコピー 2'!N$1 &gt;= startDate, '26414_編集版 のコピー 2'!N$1 &lt;= delLimit), 
          IFERROR(VLOOKUP(N77, '新規'!$E$2:$H142, 4, 0), 
          IFERROR(VLOOKUP(N77, '特殊配信マスタ'!$E$3:$H142, 4, 0), 
          IFERROR(VLOOKUP(N77, '自動求人✅'!$C$3:$F142, 4, 0), prID))), 
        "")
      )
    )
  )
)</f>
        <v/>
      </c>
      <c r="P77" s="141" t="str">
        <f t="shared" si="3"/>
        <v/>
      </c>
      <c r="Q77" s="141"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141"/>
      <c r="S77" s="141"/>
      <c r="T77" s="139"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140" t="str">
        <f t="array" ref="U77">IF(T77="", "", 
  LET(
    targetRow, IFERROR(MATCH(TRUE, BYROW('PR管理'!$J$4:$T$101, LAMBDA(r, COUNTIF(r, T77)&gt;0)), 0), 0),
    IF(targetRow=0, "",
      LET(
        startDate, INDEX('PR管理'!$C$4:$C$101, targetRow),
        delLimit, INDEX('PR管理'!$F$4:$F$101, targetRow),
        prID, INDEX('PR管理'!$A$4:$A$101, targetRow),
        IF(AND('26414_編集版 のコピー 2'!T$1 &gt;= startDate, '26414_編集版 のコピー 2'!T$1 &lt;= delLimit), 
          IFERROR(VLOOKUP(T77, '新規'!$E$2:$H142, 4, 0), 
          IFERROR(VLOOKUP(T77, '特殊配信マスタ'!$E$3:$H142, 4, 0), 
          IFERROR(VLOOKUP(T77, '自動求人✅'!$C$3:$F142, 4, 0), prID))), 
        "")
      )
    )
  )
)</f>
        <v/>
      </c>
      <c r="V77" s="141" t="str">
        <f t="shared" si="4"/>
        <v/>
      </c>
      <c r="W77" s="141"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141"/>
      <c r="Y77" s="141"/>
      <c r="Z77" s="139"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140" t="str">
        <f t="array" ref="AA77">IF(Z77="", "", 
  LET(
    targetRow, IFERROR(MATCH(TRUE, BYROW('PR管理'!$J$4:$T$101, LAMBDA(r, COUNTIF(r, Z77)&gt;0)), 0), 0),
    IF(targetRow=0, "",
      LET(
        startDate, INDEX('PR管理'!$C$4:$C$101, targetRow),
        delLimit, INDEX('PR管理'!$F$4:$F$101, targetRow),
        prID, INDEX('PR管理'!$A$4:$A$101, targetRow),
        IF(AND('26414_編集版 のコピー 2'!Z$1 &gt;= startDate, '26414_編集版 のコピー 2'!Z$1 &lt;= delLimit), 
          IFERROR(VLOOKUP(Z77, '新規'!$E$2:$H142, 4, 0), 
          IFERROR(VLOOKUP(Z77, '特殊配信マスタ'!$E$3:$H142, 4, 0), 
          IFERROR(VLOOKUP(Z77, '自動求人✅'!$C$3:$F142, 4, 0), prID))), 
        "")
      )
    )
  )
)</f>
        <v/>
      </c>
      <c r="AB77" s="141" t="str">
        <f t="shared" si="5"/>
        <v/>
      </c>
      <c r="AC77" s="141"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141"/>
      <c r="AE77" s="141"/>
      <c r="AF77" s="139"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140" t="str">
        <f t="array" ref="AG77">IF(AF77="", "", 
  LET(
    targetRow, IFERROR(MATCH(TRUE, BYROW('PR管理'!$J$4:$T$101, LAMBDA(r, COUNTIF(r, AF77)&gt;0)), 0), 0),
    IF(targetRow=0, "",
      LET(
        startDate, INDEX('PR管理'!$C$4:$C$101, targetRow),
        delLimit, INDEX('PR管理'!$F$4:$F$101, targetRow),
        prID, INDEX('PR管理'!$A$4:$A$101, targetRow),
        IF(AND('26414_編集版 のコピー 2'!AF$1 &gt;= startDate, '26414_編集版 のコピー 2'!AF$1 &lt;= delLimit), 
          IFERROR(VLOOKUP(AF77, '新規'!$E$2:$H142, 4, 0), 
          IFERROR(VLOOKUP(AF77, '特殊配信マスタ'!$E$3:$H142, 4, 0), 
          IFERROR(VLOOKUP(AF77, '自動求人✅'!$C$3:$F142, 4, 0), prID))), 
        "")
      )
    )
  )
)</f>
        <v/>
      </c>
      <c r="AH77" s="141" t="str">
        <f t="shared" si="6"/>
        <v/>
      </c>
      <c r="AI77" s="141"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141"/>
      <c r="AK77" s="141"/>
      <c r="AL77" s="139"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140" t="str">
        <f t="array" ref="AM77">IF(AL77="", "", 
  LET(
    targetRow, IFERROR(MATCH(TRUE, BYROW('PR管理'!$J$4:$T$101, LAMBDA(r, COUNTIF(r, AL77)&gt;0)), 0), 0),
    IF(targetRow=0, "",
      LET(
        startDate, INDEX('PR管理'!$C$4:$C$101, targetRow),
        delLimit, INDEX('PR管理'!$F$4:$F$101, targetRow),
        prID, INDEX('PR管理'!$A$4:$A$101, targetRow),
        IF(AND('26414_編集版 のコピー 2'!AL$1 &gt;= startDate, '26414_編集版 のコピー 2'!AL$1 &lt;= delLimit), 
          IFERROR(VLOOKUP(AL77, '新規'!$E$2:$H142, 4, 0), 
          IFERROR(VLOOKUP(AL77, '特殊配信マスタ'!$E$3:$H142, 4, 0), 
          IFERROR(VLOOKUP(AL77, '自動求人✅'!$C$3:$F142, 4, 0), prID))), 
        "")
      )
    )
  )
)</f>
        <v/>
      </c>
      <c r="AN77" s="141" t="str">
        <f t="shared" si="7"/>
        <v/>
      </c>
      <c r="AO77" s="141"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141"/>
      <c r="AQ77" s="141"/>
    </row>
    <row r="78" ht="17.25" customHeight="1">
      <c r="A78" s="142"/>
      <c r="B78" s="139"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140" t="str">
        <f t="array" ref="C78">IF(B78="", "", 
  LET(
    targetRow, IFERROR(MATCH(TRUE, BYROW('PR管理'!$J$4:$T$101, LAMBDA(r, COUNTIF(r, B78)&gt;0)), 0), 0),
    IF(targetRow=0, "",
      LET(
        startDate, INDEX('PR管理'!$C$4:$C$101, targetRow),
        delLimit, INDEX('PR管理'!$F$4:$F$101, targetRow),
        prID, INDEX('PR管理'!$A$4:$A$101, targetRow),
        IF(AND('26414_編集版 のコピー 2'!B$1 &gt;= startDate, '26414_編集版 のコピー 2'!B$1 &lt;= delLimit), 
          IFERROR(VLOOKUP(B78, '新規'!$E$2:$H142, 4, 0), 
          IFERROR(VLOOKUP(B78, '特殊配信マスタ'!$E$3:$H142, 4, 0), 
          IFERROR(VLOOKUP(B78, '自動求人✅'!$C$3:$F142, 4, 0), prID))), 
        "")
      )
    )
  )
)</f>
        <v/>
      </c>
      <c r="D78" s="141" t="str">
        <f t="shared" si="1"/>
        <v/>
      </c>
      <c r="E78" s="141"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141"/>
      <c r="G78" s="141"/>
      <c r="H78" s="139"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140" t="str">
        <f t="array" ref="I78">IF(H78="", "", 
  LET(
    targetRow, IFERROR(MATCH(TRUE, BYROW('PR管理'!$J$4:$T$101, LAMBDA(r, COUNTIF(r, H78)&gt;0)), 0), 0),
    IF(targetRow=0, "",
      LET(
        startDate, INDEX('PR管理'!$C$4:$C$101, targetRow),
        delLimit, INDEX('PR管理'!$F$4:$F$101, targetRow),
        prID, INDEX('PR管理'!$A$4:$A$101, targetRow),
        IF(AND('26414_編集版 のコピー 2'!H$1 &gt;= startDate, '26414_編集版 のコピー 2'!H$1 &lt;= delLimit), 
          IFERROR(VLOOKUP(H78, '新規'!$E$2:$H142, 4, 0), 
          IFERROR(VLOOKUP(H78, '特殊配信マスタ'!$E$3:$H142, 4, 0), 
          IFERROR(VLOOKUP(H78, '自動求人✅'!$C$3:$F142, 4, 0), prID))), 
        "")
      )
    )
  )
)</f>
        <v/>
      </c>
      <c r="J78" s="141" t="str">
        <f t="shared" si="2"/>
        <v/>
      </c>
      <c r="K78" s="141"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141"/>
      <c r="M78" s="141"/>
      <c r="N78" s="139"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140" t="str">
        <f t="array" ref="O78">IF(N78="", "", 
  LET(
    targetRow, IFERROR(MATCH(TRUE, BYROW('PR管理'!$J$4:$T$101, LAMBDA(r, COUNTIF(r, N78)&gt;0)), 0), 0),
    IF(targetRow=0, "",
      LET(
        startDate, INDEX('PR管理'!$C$4:$C$101, targetRow),
        delLimit, INDEX('PR管理'!$F$4:$F$101, targetRow),
        prID, INDEX('PR管理'!$A$4:$A$101, targetRow),
        IF(AND('26414_編集版 のコピー 2'!N$1 &gt;= startDate, '26414_編集版 のコピー 2'!N$1 &lt;= delLimit), 
          IFERROR(VLOOKUP(N78, '新規'!$E$2:$H142, 4, 0), 
          IFERROR(VLOOKUP(N78, '特殊配信マスタ'!$E$3:$H142, 4, 0), 
          IFERROR(VLOOKUP(N78, '自動求人✅'!$C$3:$F142, 4, 0), prID))), 
        "")
      )
    )
  )
)</f>
        <v/>
      </c>
      <c r="P78" s="141" t="str">
        <f t="shared" si="3"/>
        <v/>
      </c>
      <c r="Q78" s="141"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141"/>
      <c r="S78" s="141"/>
      <c r="T78" s="139"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140" t="str">
        <f t="array" ref="U78">IF(T78="", "", 
  LET(
    targetRow, IFERROR(MATCH(TRUE, BYROW('PR管理'!$J$4:$T$101, LAMBDA(r, COUNTIF(r, T78)&gt;0)), 0), 0),
    IF(targetRow=0, "",
      LET(
        startDate, INDEX('PR管理'!$C$4:$C$101, targetRow),
        delLimit, INDEX('PR管理'!$F$4:$F$101, targetRow),
        prID, INDEX('PR管理'!$A$4:$A$101, targetRow),
        IF(AND('26414_編集版 のコピー 2'!T$1 &gt;= startDate, '26414_編集版 のコピー 2'!T$1 &lt;= delLimit), 
          IFERROR(VLOOKUP(T78, '新規'!$E$2:$H142, 4, 0), 
          IFERROR(VLOOKUP(T78, '特殊配信マスタ'!$E$3:$H142, 4, 0), 
          IFERROR(VLOOKUP(T78, '自動求人✅'!$C$3:$F142, 4, 0), prID))), 
        "")
      )
    )
  )
)</f>
        <v/>
      </c>
      <c r="V78" s="141" t="str">
        <f t="shared" si="4"/>
        <v/>
      </c>
      <c r="W78" s="141"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141"/>
      <c r="Y78" s="141"/>
      <c r="Z78" s="139"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140" t="str">
        <f t="array" ref="AA78">IF(Z78="", "", 
  LET(
    targetRow, IFERROR(MATCH(TRUE, BYROW('PR管理'!$J$4:$T$101, LAMBDA(r, COUNTIF(r, Z78)&gt;0)), 0), 0),
    IF(targetRow=0, "",
      LET(
        startDate, INDEX('PR管理'!$C$4:$C$101, targetRow),
        delLimit, INDEX('PR管理'!$F$4:$F$101, targetRow),
        prID, INDEX('PR管理'!$A$4:$A$101, targetRow),
        IF(AND('26414_編集版 のコピー 2'!Z$1 &gt;= startDate, '26414_編集版 のコピー 2'!Z$1 &lt;= delLimit), 
          IFERROR(VLOOKUP(Z78, '新規'!$E$2:$H142, 4, 0), 
          IFERROR(VLOOKUP(Z78, '特殊配信マスタ'!$E$3:$H142, 4, 0), 
          IFERROR(VLOOKUP(Z78, '自動求人✅'!$C$3:$F142, 4, 0), prID))), 
        "")
      )
    )
  )
)</f>
        <v/>
      </c>
      <c r="AB78" s="141" t="str">
        <f t="shared" si="5"/>
        <v/>
      </c>
      <c r="AC78" s="141"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141"/>
      <c r="AE78" s="141"/>
      <c r="AF78" s="139"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140" t="str">
        <f t="array" ref="AG78">IF(AF78="", "", 
  LET(
    targetRow, IFERROR(MATCH(TRUE, BYROW('PR管理'!$J$4:$T$101, LAMBDA(r, COUNTIF(r, AF78)&gt;0)), 0), 0),
    IF(targetRow=0, "",
      LET(
        startDate, INDEX('PR管理'!$C$4:$C$101, targetRow),
        delLimit, INDEX('PR管理'!$F$4:$F$101, targetRow),
        prID, INDEX('PR管理'!$A$4:$A$101, targetRow),
        IF(AND('26414_編集版 のコピー 2'!AF$1 &gt;= startDate, '26414_編集版 のコピー 2'!AF$1 &lt;= delLimit), 
          IFERROR(VLOOKUP(AF78, '新規'!$E$2:$H142, 4, 0), 
          IFERROR(VLOOKUP(AF78, '特殊配信マスタ'!$E$3:$H142, 4, 0), 
          IFERROR(VLOOKUP(AF78, '自動求人✅'!$C$3:$F142, 4, 0), prID))), 
        "")
      )
    )
  )
)</f>
        <v/>
      </c>
      <c r="AH78" s="141" t="str">
        <f t="shared" si="6"/>
        <v/>
      </c>
      <c r="AI78" s="141"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141"/>
      <c r="AK78" s="141"/>
      <c r="AL78" s="139"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140" t="str">
        <f t="array" ref="AM78">IF(AL78="", "", 
  LET(
    targetRow, IFERROR(MATCH(TRUE, BYROW('PR管理'!$J$4:$T$101, LAMBDA(r, COUNTIF(r, AL78)&gt;0)), 0), 0),
    IF(targetRow=0, "",
      LET(
        startDate, INDEX('PR管理'!$C$4:$C$101, targetRow),
        delLimit, INDEX('PR管理'!$F$4:$F$101, targetRow),
        prID, INDEX('PR管理'!$A$4:$A$101, targetRow),
        IF(AND('26414_編集版 のコピー 2'!AL$1 &gt;= startDate, '26414_編集版 のコピー 2'!AL$1 &lt;= delLimit), 
          IFERROR(VLOOKUP(AL78, '新規'!$E$2:$H142, 4, 0), 
          IFERROR(VLOOKUP(AL78, '特殊配信マスタ'!$E$3:$H142, 4, 0), 
          IFERROR(VLOOKUP(AL78, '自動求人✅'!$C$3:$F142, 4, 0), prID))), 
        "")
      )
    )
  )
)</f>
        <v/>
      </c>
      <c r="AN78" s="141" t="str">
        <f t="shared" si="7"/>
        <v/>
      </c>
      <c r="AO78" s="141"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141"/>
      <c r="AQ78" s="141"/>
    </row>
    <row r="79" ht="17.25" customHeight="1">
      <c r="A79" s="142"/>
      <c r="B79" s="139"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140" t="str">
        <f t="array" ref="C79">IF(B79="", "", 
  LET(
    targetRow, IFERROR(MATCH(TRUE, BYROW('PR管理'!$J$4:$T$101, LAMBDA(r, COUNTIF(r, B79)&gt;0)), 0), 0),
    IF(targetRow=0, "",
      LET(
        startDate, INDEX('PR管理'!$C$4:$C$101, targetRow),
        delLimit, INDEX('PR管理'!$F$4:$F$101, targetRow),
        prID, INDEX('PR管理'!$A$4:$A$101, targetRow),
        IF(AND('26414_編集版 のコピー 2'!B$1 &gt;= startDate, '26414_編集版 のコピー 2'!B$1 &lt;= delLimit), 
          IFERROR(VLOOKUP(B79, '新規'!$E$2:$H142, 4, 0), 
          IFERROR(VLOOKUP(B79, '特殊配信マスタ'!$E$3:$H142, 4, 0), 
          IFERROR(VLOOKUP(B79, '自動求人✅'!$C$3:$F142, 4, 0), prID))), 
        "")
      )
    )
  )
)</f>
        <v/>
      </c>
      <c r="D79" s="141" t="str">
        <f t="shared" si="1"/>
        <v/>
      </c>
      <c r="E79" s="141"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141"/>
      <c r="G79" s="141"/>
      <c r="H79" s="139"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140" t="str">
        <f t="array" ref="I79">IF(H79="", "", 
  LET(
    targetRow, IFERROR(MATCH(TRUE, BYROW('PR管理'!$J$4:$T$101, LAMBDA(r, COUNTIF(r, H79)&gt;0)), 0), 0),
    IF(targetRow=0, "",
      LET(
        startDate, INDEX('PR管理'!$C$4:$C$101, targetRow),
        delLimit, INDEX('PR管理'!$F$4:$F$101, targetRow),
        prID, INDEX('PR管理'!$A$4:$A$101, targetRow),
        IF(AND('26414_編集版 のコピー 2'!H$1 &gt;= startDate, '26414_編集版 のコピー 2'!H$1 &lt;= delLimit), 
          IFERROR(VLOOKUP(H79, '新規'!$E$2:$H142, 4, 0), 
          IFERROR(VLOOKUP(H79, '特殊配信マスタ'!$E$3:$H142, 4, 0), 
          IFERROR(VLOOKUP(H79, '自動求人✅'!$C$3:$F142, 4, 0), prID))), 
        "")
      )
    )
  )
)</f>
        <v/>
      </c>
      <c r="J79" s="141" t="str">
        <f t="shared" si="2"/>
        <v/>
      </c>
      <c r="K79" s="141"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141"/>
      <c r="M79" s="141"/>
      <c r="N79" s="139"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140" t="str">
        <f t="array" ref="O79">IF(N79="", "", 
  LET(
    targetRow, IFERROR(MATCH(TRUE, BYROW('PR管理'!$J$4:$T$101, LAMBDA(r, COUNTIF(r, N79)&gt;0)), 0), 0),
    IF(targetRow=0, "",
      LET(
        startDate, INDEX('PR管理'!$C$4:$C$101, targetRow),
        delLimit, INDEX('PR管理'!$F$4:$F$101, targetRow),
        prID, INDEX('PR管理'!$A$4:$A$101, targetRow),
        IF(AND('26414_編集版 のコピー 2'!N$1 &gt;= startDate, '26414_編集版 のコピー 2'!N$1 &lt;= delLimit), 
          IFERROR(VLOOKUP(N79, '新規'!$E$2:$H142, 4, 0), 
          IFERROR(VLOOKUP(N79, '特殊配信マスタ'!$E$3:$H142, 4, 0), 
          IFERROR(VLOOKUP(N79, '自動求人✅'!$C$3:$F142, 4, 0), prID))), 
        "")
      )
    )
  )
)</f>
        <v/>
      </c>
      <c r="P79" s="141" t="str">
        <f t="shared" si="3"/>
        <v/>
      </c>
      <c r="Q79" s="141"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141"/>
      <c r="S79" s="141"/>
      <c r="T79" s="139"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140" t="str">
        <f t="array" ref="U79">IF(T79="", "", 
  LET(
    targetRow, IFERROR(MATCH(TRUE, BYROW('PR管理'!$J$4:$T$101, LAMBDA(r, COUNTIF(r, T79)&gt;0)), 0), 0),
    IF(targetRow=0, "",
      LET(
        startDate, INDEX('PR管理'!$C$4:$C$101, targetRow),
        delLimit, INDEX('PR管理'!$F$4:$F$101, targetRow),
        prID, INDEX('PR管理'!$A$4:$A$101, targetRow),
        IF(AND('26414_編集版 のコピー 2'!T$1 &gt;= startDate, '26414_編集版 のコピー 2'!T$1 &lt;= delLimit), 
          IFERROR(VLOOKUP(T79, '新規'!$E$2:$H142, 4, 0), 
          IFERROR(VLOOKUP(T79, '特殊配信マスタ'!$E$3:$H142, 4, 0), 
          IFERROR(VLOOKUP(T79, '自動求人✅'!$C$3:$F142, 4, 0), prID))), 
        "")
      )
    )
  )
)</f>
        <v/>
      </c>
      <c r="V79" s="141" t="str">
        <f t="shared" si="4"/>
        <v/>
      </c>
      <c r="W79" s="141"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141"/>
      <c r="Y79" s="141"/>
      <c r="Z79" s="139"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140" t="str">
        <f t="array" ref="AA79">IF(Z79="", "", 
  LET(
    targetRow, IFERROR(MATCH(TRUE, BYROW('PR管理'!$J$4:$T$101, LAMBDA(r, COUNTIF(r, Z79)&gt;0)), 0), 0),
    IF(targetRow=0, "",
      LET(
        startDate, INDEX('PR管理'!$C$4:$C$101, targetRow),
        delLimit, INDEX('PR管理'!$F$4:$F$101, targetRow),
        prID, INDEX('PR管理'!$A$4:$A$101, targetRow),
        IF(AND('26414_編集版 のコピー 2'!Z$1 &gt;= startDate, '26414_編集版 のコピー 2'!Z$1 &lt;= delLimit), 
          IFERROR(VLOOKUP(Z79, '新規'!$E$2:$H142, 4, 0), 
          IFERROR(VLOOKUP(Z79, '特殊配信マスタ'!$E$3:$H142, 4, 0), 
          IFERROR(VLOOKUP(Z79, '自動求人✅'!$C$3:$F142, 4, 0), prID))), 
        "")
      )
    )
  )
)</f>
        <v/>
      </c>
      <c r="AB79" s="141" t="str">
        <f t="shared" si="5"/>
        <v/>
      </c>
      <c r="AC79" s="141"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141"/>
      <c r="AE79" s="141"/>
      <c r="AF79" s="139"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140" t="str">
        <f t="array" ref="AG79">IF(AF79="", "", 
  LET(
    targetRow, IFERROR(MATCH(TRUE, BYROW('PR管理'!$J$4:$T$101, LAMBDA(r, COUNTIF(r, AF79)&gt;0)), 0), 0),
    IF(targetRow=0, "",
      LET(
        startDate, INDEX('PR管理'!$C$4:$C$101, targetRow),
        delLimit, INDEX('PR管理'!$F$4:$F$101, targetRow),
        prID, INDEX('PR管理'!$A$4:$A$101, targetRow),
        IF(AND('26414_編集版 のコピー 2'!AF$1 &gt;= startDate, '26414_編集版 のコピー 2'!AF$1 &lt;= delLimit), 
          IFERROR(VLOOKUP(AF79, '新規'!$E$2:$H142, 4, 0), 
          IFERROR(VLOOKUP(AF79, '特殊配信マスタ'!$E$3:$H142, 4, 0), 
          IFERROR(VLOOKUP(AF79, '自動求人✅'!$C$3:$F142, 4, 0), prID))), 
        "")
      )
    )
  )
)</f>
        <v/>
      </c>
      <c r="AH79" s="141" t="str">
        <f t="shared" si="6"/>
        <v/>
      </c>
      <c r="AI79" s="141"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141"/>
      <c r="AK79" s="141"/>
      <c r="AL79" s="139"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140" t="str">
        <f t="array" ref="AM79">IF(AL79="", "", 
  LET(
    targetRow, IFERROR(MATCH(TRUE, BYROW('PR管理'!$J$4:$T$101, LAMBDA(r, COUNTIF(r, AL79)&gt;0)), 0), 0),
    IF(targetRow=0, "",
      LET(
        startDate, INDEX('PR管理'!$C$4:$C$101, targetRow),
        delLimit, INDEX('PR管理'!$F$4:$F$101, targetRow),
        prID, INDEX('PR管理'!$A$4:$A$101, targetRow),
        IF(AND('26414_編集版 のコピー 2'!AL$1 &gt;= startDate, '26414_編集版 のコピー 2'!AL$1 &lt;= delLimit), 
          IFERROR(VLOOKUP(AL79, '新規'!$E$2:$H142, 4, 0), 
          IFERROR(VLOOKUP(AL79, '特殊配信マスタ'!$E$3:$H142, 4, 0), 
          IFERROR(VLOOKUP(AL79, '自動求人✅'!$C$3:$F142, 4, 0), prID))), 
        "")
      )
    )
  )
)</f>
        <v/>
      </c>
      <c r="AN79" s="141" t="str">
        <f t="shared" si="7"/>
        <v/>
      </c>
      <c r="AO79" s="141"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141"/>
      <c r="AQ79" s="141"/>
    </row>
    <row r="80" ht="17.25" customHeight="1">
      <c r="A80" s="142"/>
      <c r="B80" s="139"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140" t="str">
        <f t="array" ref="C80">IF(B80="", "", 
  LET(
    targetRow, IFERROR(MATCH(TRUE, BYROW('PR管理'!$J$4:$T$101, LAMBDA(r, COUNTIF(r, B80)&gt;0)), 0), 0),
    IF(targetRow=0, "",
      LET(
        startDate, INDEX('PR管理'!$C$4:$C$101, targetRow),
        delLimit, INDEX('PR管理'!$F$4:$F$101, targetRow),
        prID, INDEX('PR管理'!$A$4:$A$101, targetRow),
        IF(AND('26414_編集版 のコピー 2'!B$1 &gt;= startDate, '26414_編集版 のコピー 2'!B$1 &lt;= delLimit), 
          IFERROR(VLOOKUP(B80, '新規'!$E$2:$H142, 4, 0), 
          IFERROR(VLOOKUP(B80, '特殊配信マスタ'!$E$3:$H142, 4, 0), 
          IFERROR(VLOOKUP(B80, '自動求人✅'!$C$3:$F142, 4, 0), prID))), 
        "")
      )
    )
  )
)</f>
        <v/>
      </c>
      <c r="D80" s="141" t="str">
        <f t="shared" si="1"/>
        <v/>
      </c>
      <c r="E80" s="141"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141"/>
      <c r="G80" s="141"/>
      <c r="H80" s="139"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140" t="str">
        <f t="array" ref="I80">IF(H80="", "", 
  LET(
    targetRow, IFERROR(MATCH(TRUE, BYROW('PR管理'!$J$4:$T$101, LAMBDA(r, COUNTIF(r, H80)&gt;0)), 0), 0),
    IF(targetRow=0, "",
      LET(
        startDate, INDEX('PR管理'!$C$4:$C$101, targetRow),
        delLimit, INDEX('PR管理'!$F$4:$F$101, targetRow),
        prID, INDEX('PR管理'!$A$4:$A$101, targetRow),
        IF(AND('26414_編集版 のコピー 2'!H$1 &gt;= startDate, '26414_編集版 のコピー 2'!H$1 &lt;= delLimit), 
          IFERROR(VLOOKUP(H80, '新規'!$E$2:$H142, 4, 0), 
          IFERROR(VLOOKUP(H80, '特殊配信マスタ'!$E$3:$H142, 4, 0), 
          IFERROR(VLOOKUP(H80, '自動求人✅'!$C$3:$F142, 4, 0), prID))), 
        "")
      )
    )
  )
)</f>
        <v/>
      </c>
      <c r="J80" s="141" t="str">
        <f t="shared" si="2"/>
        <v/>
      </c>
      <c r="K80" s="141"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141"/>
      <c r="M80" s="141"/>
      <c r="N80" s="139"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140" t="str">
        <f t="array" ref="O80">IF(N80="", "", 
  LET(
    targetRow, IFERROR(MATCH(TRUE, BYROW('PR管理'!$J$4:$T$101, LAMBDA(r, COUNTIF(r, N80)&gt;0)), 0), 0),
    IF(targetRow=0, "",
      LET(
        startDate, INDEX('PR管理'!$C$4:$C$101, targetRow),
        delLimit, INDEX('PR管理'!$F$4:$F$101, targetRow),
        prID, INDEX('PR管理'!$A$4:$A$101, targetRow),
        IF(AND('26414_編集版 のコピー 2'!N$1 &gt;= startDate, '26414_編集版 のコピー 2'!N$1 &lt;= delLimit), 
          IFERROR(VLOOKUP(N80, '新規'!$E$2:$H142, 4, 0), 
          IFERROR(VLOOKUP(N80, '特殊配信マスタ'!$E$3:$H142, 4, 0), 
          IFERROR(VLOOKUP(N80, '自動求人✅'!$C$3:$F142, 4, 0), prID))), 
        "")
      )
    )
  )
)</f>
        <v/>
      </c>
      <c r="P80" s="141" t="str">
        <f t="shared" si="3"/>
        <v/>
      </c>
      <c r="Q80" s="141"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141"/>
      <c r="S80" s="141"/>
      <c r="T80" s="139"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140" t="str">
        <f t="array" ref="U80">IF(T80="", "", 
  LET(
    targetRow, IFERROR(MATCH(TRUE, BYROW('PR管理'!$J$4:$T$101, LAMBDA(r, COUNTIF(r, T80)&gt;0)), 0), 0),
    IF(targetRow=0, "",
      LET(
        startDate, INDEX('PR管理'!$C$4:$C$101, targetRow),
        delLimit, INDEX('PR管理'!$F$4:$F$101, targetRow),
        prID, INDEX('PR管理'!$A$4:$A$101, targetRow),
        IF(AND('26414_編集版 のコピー 2'!T$1 &gt;= startDate, '26414_編集版 のコピー 2'!T$1 &lt;= delLimit), 
          IFERROR(VLOOKUP(T80, '新規'!$E$2:$H142, 4, 0), 
          IFERROR(VLOOKUP(T80, '特殊配信マスタ'!$E$3:$H142, 4, 0), 
          IFERROR(VLOOKUP(T80, '自動求人✅'!$C$3:$F142, 4, 0), prID))), 
        "")
      )
    )
  )
)</f>
        <v/>
      </c>
      <c r="V80" s="141" t="str">
        <f t="shared" si="4"/>
        <v/>
      </c>
      <c r="W80" s="141"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141"/>
      <c r="Y80" s="141"/>
      <c r="Z80" s="139"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140" t="str">
        <f t="array" ref="AA80">IF(Z80="", "", 
  LET(
    targetRow, IFERROR(MATCH(TRUE, BYROW('PR管理'!$J$4:$T$101, LAMBDA(r, COUNTIF(r, Z80)&gt;0)), 0), 0),
    IF(targetRow=0, "",
      LET(
        startDate, INDEX('PR管理'!$C$4:$C$101, targetRow),
        delLimit, INDEX('PR管理'!$F$4:$F$101, targetRow),
        prID, INDEX('PR管理'!$A$4:$A$101, targetRow),
        IF(AND('26414_編集版 のコピー 2'!Z$1 &gt;= startDate, '26414_編集版 のコピー 2'!Z$1 &lt;= delLimit), 
          IFERROR(VLOOKUP(Z80, '新規'!$E$2:$H142, 4, 0), 
          IFERROR(VLOOKUP(Z80, '特殊配信マスタ'!$E$3:$H142, 4, 0), 
          IFERROR(VLOOKUP(Z80, '自動求人✅'!$C$3:$F142, 4, 0), prID))), 
        "")
      )
    )
  )
)</f>
        <v/>
      </c>
      <c r="AB80" s="141" t="str">
        <f t="shared" si="5"/>
        <v/>
      </c>
      <c r="AC80" s="141"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141"/>
      <c r="AE80" s="141"/>
      <c r="AF80" s="139"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140" t="str">
        <f t="array" ref="AG80">IF(AF80="", "", 
  LET(
    targetRow, IFERROR(MATCH(TRUE, BYROW('PR管理'!$J$4:$T$101, LAMBDA(r, COUNTIF(r, AF80)&gt;0)), 0), 0),
    IF(targetRow=0, "",
      LET(
        startDate, INDEX('PR管理'!$C$4:$C$101, targetRow),
        delLimit, INDEX('PR管理'!$F$4:$F$101, targetRow),
        prID, INDEX('PR管理'!$A$4:$A$101, targetRow),
        IF(AND('26414_編集版 のコピー 2'!AF$1 &gt;= startDate, '26414_編集版 のコピー 2'!AF$1 &lt;= delLimit), 
          IFERROR(VLOOKUP(AF80, '新規'!$E$2:$H142, 4, 0), 
          IFERROR(VLOOKUP(AF80, '特殊配信マスタ'!$E$3:$H142, 4, 0), 
          IFERROR(VLOOKUP(AF80, '自動求人✅'!$C$3:$F142, 4, 0), prID))), 
        "")
      )
    )
  )
)</f>
        <v/>
      </c>
      <c r="AH80" s="141" t="str">
        <f t="shared" si="6"/>
        <v/>
      </c>
      <c r="AI80" s="141"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141"/>
      <c r="AK80" s="141"/>
      <c r="AL80" s="139"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140" t="str">
        <f t="array" ref="AM80">IF(AL80="", "", 
  LET(
    targetRow, IFERROR(MATCH(TRUE, BYROW('PR管理'!$J$4:$T$101, LAMBDA(r, COUNTIF(r, AL80)&gt;0)), 0), 0),
    IF(targetRow=0, "",
      LET(
        startDate, INDEX('PR管理'!$C$4:$C$101, targetRow),
        delLimit, INDEX('PR管理'!$F$4:$F$101, targetRow),
        prID, INDEX('PR管理'!$A$4:$A$101, targetRow),
        IF(AND('26414_編集版 のコピー 2'!AL$1 &gt;= startDate, '26414_編集版 のコピー 2'!AL$1 &lt;= delLimit), 
          IFERROR(VLOOKUP(AL80, '新規'!$E$2:$H142, 4, 0), 
          IFERROR(VLOOKUP(AL80, '特殊配信マスタ'!$E$3:$H142, 4, 0), 
          IFERROR(VLOOKUP(AL80, '自動求人✅'!$C$3:$F142, 4, 0), prID))), 
        "")
      )
    )
  )
)</f>
        <v/>
      </c>
      <c r="AN80" s="141" t="str">
        <f t="shared" si="7"/>
        <v/>
      </c>
      <c r="AO80" s="141"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141"/>
      <c r="AQ80" s="141"/>
    </row>
    <row r="81" ht="17.25" customHeight="1">
      <c r="A81" s="142"/>
      <c r="B81" s="139"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140" t="str">
        <f t="array" ref="C81">IF(B81="", "", 
  LET(
    targetRow, IFERROR(MATCH(TRUE, BYROW('PR管理'!$J$4:$T$101, LAMBDA(r, COUNTIF(r, B81)&gt;0)), 0), 0),
    IF(targetRow=0, "",
      LET(
        startDate, INDEX('PR管理'!$C$4:$C$101, targetRow),
        delLimit, INDEX('PR管理'!$F$4:$F$101, targetRow),
        prID, INDEX('PR管理'!$A$4:$A$101, targetRow),
        IF(AND('26414_編集版 のコピー 2'!B$1 &gt;= startDate, '26414_編集版 のコピー 2'!B$1 &lt;= delLimit), 
          IFERROR(VLOOKUP(B81, '新規'!$E$2:$H142, 4, 0), 
          IFERROR(VLOOKUP(B81, '特殊配信マスタ'!$E$3:$H142, 4, 0), 
          IFERROR(VLOOKUP(B81, '自動求人✅'!$C$3:$F142, 4, 0), prID))), 
        "")
      )
    )
  )
)</f>
        <v/>
      </c>
      <c r="D81" s="141" t="str">
        <f t="shared" si="1"/>
        <v/>
      </c>
      <c r="E81" s="141"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141"/>
      <c r="G81" s="141"/>
      <c r="H81" s="139"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140" t="str">
        <f t="array" ref="I81">IF(H81="", "", 
  LET(
    targetRow, IFERROR(MATCH(TRUE, BYROW('PR管理'!$J$4:$T$101, LAMBDA(r, COUNTIF(r, H81)&gt;0)), 0), 0),
    IF(targetRow=0, "",
      LET(
        startDate, INDEX('PR管理'!$C$4:$C$101, targetRow),
        delLimit, INDEX('PR管理'!$F$4:$F$101, targetRow),
        prID, INDEX('PR管理'!$A$4:$A$101, targetRow),
        IF(AND('26414_編集版 のコピー 2'!H$1 &gt;= startDate, '26414_編集版 のコピー 2'!H$1 &lt;= delLimit), 
          IFERROR(VLOOKUP(H81, '新規'!$E$2:$H142, 4, 0), 
          IFERROR(VLOOKUP(H81, '特殊配信マスタ'!$E$3:$H142, 4, 0), 
          IFERROR(VLOOKUP(H81, '自動求人✅'!$C$3:$F142, 4, 0), prID))), 
        "")
      )
    )
  )
)</f>
        <v/>
      </c>
      <c r="J81" s="141" t="str">
        <f t="shared" si="2"/>
        <v/>
      </c>
      <c r="K81" s="141"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141"/>
      <c r="M81" s="141"/>
      <c r="N81" s="139"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140" t="str">
        <f t="array" ref="O81">IF(N81="", "", 
  LET(
    targetRow, IFERROR(MATCH(TRUE, BYROW('PR管理'!$J$4:$T$101, LAMBDA(r, COUNTIF(r, N81)&gt;0)), 0), 0),
    IF(targetRow=0, "",
      LET(
        startDate, INDEX('PR管理'!$C$4:$C$101, targetRow),
        delLimit, INDEX('PR管理'!$F$4:$F$101, targetRow),
        prID, INDEX('PR管理'!$A$4:$A$101, targetRow),
        IF(AND('26414_編集版 のコピー 2'!N$1 &gt;= startDate, '26414_編集版 のコピー 2'!N$1 &lt;= delLimit), 
          IFERROR(VLOOKUP(N81, '新規'!$E$2:$H142, 4, 0), 
          IFERROR(VLOOKUP(N81, '特殊配信マスタ'!$E$3:$H142, 4, 0), 
          IFERROR(VLOOKUP(N81, '自動求人✅'!$C$3:$F142, 4, 0), prID))), 
        "")
      )
    )
  )
)</f>
        <v/>
      </c>
      <c r="P81" s="141" t="str">
        <f t="shared" si="3"/>
        <v/>
      </c>
      <c r="Q81" s="141"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141"/>
      <c r="S81" s="141"/>
      <c r="T81" s="139"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140" t="str">
        <f t="array" ref="U81">IF(T81="", "", 
  LET(
    targetRow, IFERROR(MATCH(TRUE, BYROW('PR管理'!$J$4:$T$101, LAMBDA(r, COUNTIF(r, T81)&gt;0)), 0), 0),
    IF(targetRow=0, "",
      LET(
        startDate, INDEX('PR管理'!$C$4:$C$101, targetRow),
        delLimit, INDEX('PR管理'!$F$4:$F$101, targetRow),
        prID, INDEX('PR管理'!$A$4:$A$101, targetRow),
        IF(AND('26414_編集版 のコピー 2'!T$1 &gt;= startDate, '26414_編集版 のコピー 2'!T$1 &lt;= delLimit), 
          IFERROR(VLOOKUP(T81, '新規'!$E$2:$H142, 4, 0), 
          IFERROR(VLOOKUP(T81, '特殊配信マスタ'!$E$3:$H142, 4, 0), 
          IFERROR(VLOOKUP(T81, '自動求人✅'!$C$3:$F142, 4, 0), prID))), 
        "")
      )
    )
  )
)</f>
        <v/>
      </c>
      <c r="V81" s="141" t="str">
        <f t="shared" si="4"/>
        <v/>
      </c>
      <c r="W81" s="141"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141"/>
      <c r="Y81" s="141"/>
      <c r="Z81" s="139"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140" t="str">
        <f t="array" ref="AA81">IF(Z81="", "", 
  LET(
    targetRow, IFERROR(MATCH(TRUE, BYROW('PR管理'!$J$4:$T$101, LAMBDA(r, COUNTIF(r, Z81)&gt;0)), 0), 0),
    IF(targetRow=0, "",
      LET(
        startDate, INDEX('PR管理'!$C$4:$C$101, targetRow),
        delLimit, INDEX('PR管理'!$F$4:$F$101, targetRow),
        prID, INDEX('PR管理'!$A$4:$A$101, targetRow),
        IF(AND('26414_編集版 のコピー 2'!Z$1 &gt;= startDate, '26414_編集版 のコピー 2'!Z$1 &lt;= delLimit), 
          IFERROR(VLOOKUP(Z81, '新規'!$E$2:$H142, 4, 0), 
          IFERROR(VLOOKUP(Z81, '特殊配信マスタ'!$E$3:$H142, 4, 0), 
          IFERROR(VLOOKUP(Z81, '自動求人✅'!$C$3:$F142, 4, 0), prID))), 
        "")
      )
    )
  )
)</f>
        <v/>
      </c>
      <c r="AB81" s="141" t="str">
        <f t="shared" si="5"/>
        <v/>
      </c>
      <c r="AC81" s="141"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141"/>
      <c r="AE81" s="141"/>
      <c r="AF81" s="139"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140" t="str">
        <f t="array" ref="AG81">IF(AF81="", "", 
  LET(
    targetRow, IFERROR(MATCH(TRUE, BYROW('PR管理'!$J$4:$T$101, LAMBDA(r, COUNTIF(r, AF81)&gt;0)), 0), 0),
    IF(targetRow=0, "",
      LET(
        startDate, INDEX('PR管理'!$C$4:$C$101, targetRow),
        delLimit, INDEX('PR管理'!$F$4:$F$101, targetRow),
        prID, INDEX('PR管理'!$A$4:$A$101, targetRow),
        IF(AND('26414_編集版 のコピー 2'!AF$1 &gt;= startDate, '26414_編集版 のコピー 2'!AF$1 &lt;= delLimit), 
          IFERROR(VLOOKUP(AF81, '新規'!$E$2:$H142, 4, 0), 
          IFERROR(VLOOKUP(AF81, '特殊配信マスタ'!$E$3:$H142, 4, 0), 
          IFERROR(VLOOKUP(AF81, '自動求人✅'!$C$3:$F142, 4, 0), prID))), 
        "")
      )
    )
  )
)</f>
        <v/>
      </c>
      <c r="AH81" s="141" t="str">
        <f t="shared" si="6"/>
        <v/>
      </c>
      <c r="AI81" s="141"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141"/>
      <c r="AK81" s="141"/>
      <c r="AL81" s="139"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140" t="str">
        <f t="array" ref="AM81">IF(AL81="", "", 
  LET(
    targetRow, IFERROR(MATCH(TRUE, BYROW('PR管理'!$J$4:$T$101, LAMBDA(r, COUNTIF(r, AL81)&gt;0)), 0), 0),
    IF(targetRow=0, "",
      LET(
        startDate, INDEX('PR管理'!$C$4:$C$101, targetRow),
        delLimit, INDEX('PR管理'!$F$4:$F$101, targetRow),
        prID, INDEX('PR管理'!$A$4:$A$101, targetRow),
        IF(AND('26414_編集版 のコピー 2'!AL$1 &gt;= startDate, '26414_編集版 のコピー 2'!AL$1 &lt;= delLimit), 
          IFERROR(VLOOKUP(AL81, '新規'!$E$2:$H142, 4, 0), 
          IFERROR(VLOOKUP(AL81, '特殊配信マスタ'!$E$3:$H142, 4, 0), 
          IFERROR(VLOOKUP(AL81, '自動求人✅'!$C$3:$F142, 4, 0), prID))), 
        "")
      )
    )
  )
)</f>
        <v/>
      </c>
      <c r="AN81" s="141" t="str">
        <f t="shared" si="7"/>
        <v/>
      </c>
      <c r="AO81" s="141"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141"/>
      <c r="AQ81" s="141"/>
    </row>
    <row r="82" ht="17.25" customHeight="1">
      <c r="A82" s="142"/>
      <c r="B82" s="139"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140" t="str">
        <f t="array" ref="C82">IF(B82="", "", 
  LET(
    targetRow, IFERROR(MATCH(TRUE, BYROW('PR管理'!$J$4:$T$101, LAMBDA(r, COUNTIF(r, B82)&gt;0)), 0), 0),
    IF(targetRow=0, "",
      LET(
        startDate, INDEX('PR管理'!$C$4:$C$101, targetRow),
        delLimit, INDEX('PR管理'!$F$4:$F$101, targetRow),
        prID, INDEX('PR管理'!$A$4:$A$101, targetRow),
        IF(AND('26414_編集版 のコピー 2'!B$1 &gt;= startDate, '26414_編集版 のコピー 2'!B$1 &lt;= delLimit), 
          IFERROR(VLOOKUP(B82, '新規'!$E$2:$H142, 4, 0), 
          IFERROR(VLOOKUP(B82, '特殊配信マスタ'!$E$3:$H142, 4, 0), 
          IFERROR(VLOOKUP(B82, '自動求人✅'!$C$3:$F142, 4, 0), prID))), 
        "")
      )
    )
  )
)</f>
        <v/>
      </c>
      <c r="D82" s="141" t="str">
        <f t="shared" si="1"/>
        <v/>
      </c>
      <c r="E82" s="141"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141"/>
      <c r="G82" s="141"/>
      <c r="H82" s="139"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140" t="str">
        <f t="array" ref="I82">IF(H82="", "", 
  LET(
    targetRow, IFERROR(MATCH(TRUE, BYROW('PR管理'!$J$4:$T$101, LAMBDA(r, COUNTIF(r, H82)&gt;0)), 0), 0),
    IF(targetRow=0, "",
      LET(
        startDate, INDEX('PR管理'!$C$4:$C$101, targetRow),
        delLimit, INDEX('PR管理'!$F$4:$F$101, targetRow),
        prID, INDEX('PR管理'!$A$4:$A$101, targetRow),
        IF(AND('26414_編集版 のコピー 2'!H$1 &gt;= startDate, '26414_編集版 のコピー 2'!H$1 &lt;= delLimit), 
          IFERROR(VLOOKUP(H82, '新規'!$E$2:$H142, 4, 0), 
          IFERROR(VLOOKUP(H82, '特殊配信マスタ'!$E$3:$H142, 4, 0), 
          IFERROR(VLOOKUP(H82, '自動求人✅'!$C$3:$F142, 4, 0), prID))), 
        "")
      )
    )
  )
)</f>
        <v/>
      </c>
      <c r="J82" s="141" t="str">
        <f t="shared" si="2"/>
        <v/>
      </c>
      <c r="K82" s="141"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141"/>
      <c r="M82" s="141"/>
      <c r="N82" s="139"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140" t="str">
        <f t="array" ref="O82">IF(N82="", "", 
  LET(
    targetRow, IFERROR(MATCH(TRUE, BYROW('PR管理'!$J$4:$T$101, LAMBDA(r, COUNTIF(r, N82)&gt;0)), 0), 0),
    IF(targetRow=0, "",
      LET(
        startDate, INDEX('PR管理'!$C$4:$C$101, targetRow),
        delLimit, INDEX('PR管理'!$F$4:$F$101, targetRow),
        prID, INDEX('PR管理'!$A$4:$A$101, targetRow),
        IF(AND('26414_編集版 のコピー 2'!N$1 &gt;= startDate, '26414_編集版 のコピー 2'!N$1 &lt;= delLimit), 
          IFERROR(VLOOKUP(N82, '新規'!$E$2:$H142, 4, 0), 
          IFERROR(VLOOKUP(N82, '特殊配信マスタ'!$E$3:$H142, 4, 0), 
          IFERROR(VLOOKUP(N82, '自動求人✅'!$C$3:$F142, 4, 0), prID))), 
        "")
      )
    )
  )
)</f>
        <v/>
      </c>
      <c r="P82" s="141" t="str">
        <f t="shared" si="3"/>
        <v/>
      </c>
      <c r="Q82" s="141"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141"/>
      <c r="S82" s="141"/>
      <c r="T82" s="139"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140" t="str">
        <f t="array" ref="U82">IF(T82="", "", 
  LET(
    targetRow, IFERROR(MATCH(TRUE, BYROW('PR管理'!$J$4:$T$101, LAMBDA(r, COUNTIF(r, T82)&gt;0)), 0), 0),
    IF(targetRow=0, "",
      LET(
        startDate, INDEX('PR管理'!$C$4:$C$101, targetRow),
        delLimit, INDEX('PR管理'!$F$4:$F$101, targetRow),
        prID, INDEX('PR管理'!$A$4:$A$101, targetRow),
        IF(AND('26414_編集版 のコピー 2'!T$1 &gt;= startDate, '26414_編集版 のコピー 2'!T$1 &lt;= delLimit), 
          IFERROR(VLOOKUP(T82, '新規'!$E$2:$H142, 4, 0), 
          IFERROR(VLOOKUP(T82, '特殊配信マスタ'!$E$3:$H142, 4, 0), 
          IFERROR(VLOOKUP(T82, '自動求人✅'!$C$3:$F142, 4, 0), prID))), 
        "")
      )
    )
  )
)</f>
        <v/>
      </c>
      <c r="V82" s="141" t="str">
        <f t="shared" si="4"/>
        <v/>
      </c>
      <c r="W82" s="141"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141"/>
      <c r="Y82" s="141"/>
      <c r="Z82" s="139"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140" t="str">
        <f t="array" ref="AA82">IF(Z82="", "", 
  LET(
    targetRow, IFERROR(MATCH(TRUE, BYROW('PR管理'!$J$4:$T$101, LAMBDA(r, COUNTIF(r, Z82)&gt;0)), 0), 0),
    IF(targetRow=0, "",
      LET(
        startDate, INDEX('PR管理'!$C$4:$C$101, targetRow),
        delLimit, INDEX('PR管理'!$F$4:$F$101, targetRow),
        prID, INDEX('PR管理'!$A$4:$A$101, targetRow),
        IF(AND('26414_編集版 のコピー 2'!Z$1 &gt;= startDate, '26414_編集版 のコピー 2'!Z$1 &lt;= delLimit), 
          IFERROR(VLOOKUP(Z82, '新規'!$E$2:$H142, 4, 0), 
          IFERROR(VLOOKUP(Z82, '特殊配信マスタ'!$E$3:$H142, 4, 0), 
          IFERROR(VLOOKUP(Z82, '自動求人✅'!$C$3:$F142, 4, 0), prID))), 
        "")
      )
    )
  )
)</f>
        <v/>
      </c>
      <c r="AB82" s="141" t="str">
        <f t="shared" si="5"/>
        <v/>
      </c>
      <c r="AC82" s="141"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141"/>
      <c r="AE82" s="141"/>
      <c r="AF82" s="139"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140" t="str">
        <f t="array" ref="AG82">IF(AF82="", "", 
  LET(
    targetRow, IFERROR(MATCH(TRUE, BYROW('PR管理'!$J$4:$T$101, LAMBDA(r, COUNTIF(r, AF82)&gt;0)), 0), 0),
    IF(targetRow=0, "",
      LET(
        startDate, INDEX('PR管理'!$C$4:$C$101, targetRow),
        delLimit, INDEX('PR管理'!$F$4:$F$101, targetRow),
        prID, INDEX('PR管理'!$A$4:$A$101, targetRow),
        IF(AND('26414_編集版 のコピー 2'!AF$1 &gt;= startDate, '26414_編集版 のコピー 2'!AF$1 &lt;= delLimit), 
          IFERROR(VLOOKUP(AF82, '新規'!$E$2:$H142, 4, 0), 
          IFERROR(VLOOKUP(AF82, '特殊配信マスタ'!$E$3:$H142, 4, 0), 
          IFERROR(VLOOKUP(AF82, '自動求人✅'!$C$3:$F142, 4, 0), prID))), 
        "")
      )
    )
  )
)</f>
        <v/>
      </c>
      <c r="AH82" s="141" t="str">
        <f t="shared" si="6"/>
        <v/>
      </c>
      <c r="AI82" s="141"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141"/>
      <c r="AK82" s="141"/>
      <c r="AL82" s="139"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140" t="str">
        <f t="array" ref="AM82">IF(AL82="", "", 
  LET(
    targetRow, IFERROR(MATCH(TRUE, BYROW('PR管理'!$J$4:$T$101, LAMBDA(r, COUNTIF(r, AL82)&gt;0)), 0), 0),
    IF(targetRow=0, "",
      LET(
        startDate, INDEX('PR管理'!$C$4:$C$101, targetRow),
        delLimit, INDEX('PR管理'!$F$4:$F$101, targetRow),
        prID, INDEX('PR管理'!$A$4:$A$101, targetRow),
        IF(AND('26414_編集版 のコピー 2'!AL$1 &gt;= startDate, '26414_編集版 のコピー 2'!AL$1 &lt;= delLimit), 
          IFERROR(VLOOKUP(AL82, '新規'!$E$2:$H142, 4, 0), 
          IFERROR(VLOOKUP(AL82, '特殊配信マスタ'!$E$3:$H142, 4, 0), 
          IFERROR(VLOOKUP(AL82, '自動求人✅'!$C$3:$F142, 4, 0), prID))), 
        "")
      )
    )
  )
)</f>
        <v/>
      </c>
      <c r="AN82" s="141" t="str">
        <f t="shared" si="7"/>
        <v/>
      </c>
      <c r="AO82" s="141"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141"/>
      <c r="AQ82" s="141"/>
    </row>
    <row r="83" ht="17.25" customHeight="1">
      <c r="A83" s="138">
        <f>A73+1</f>
        <v>16</v>
      </c>
      <c r="B83" s="139"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140" t="str">
        <f t="array" ref="C83">IF(B83="", "", 
  LET(
    targetRow, IFERROR(MATCH(TRUE, BYROW('PR管理'!$J$4:$T$101, LAMBDA(r, COUNTIF(r, B83)&gt;0)), 0), 0),
    IF(targetRow=0, "",
      LET(
        startDate, INDEX('PR管理'!$C$4:$C$101, targetRow),
        delLimit, INDEX('PR管理'!$F$4:$F$101, targetRow),
        prID, INDEX('PR管理'!$A$4:$A$101, targetRow),
        IF(AND('26414_編集版 のコピー 2'!B$1 &gt;= startDate, '26414_編集版 のコピー 2'!B$1 &lt;= delLimit), 
          IFERROR(VLOOKUP(B83, '新規'!$E$2:$H142, 4, 0), 
          IFERROR(VLOOKUP(B83, '特殊配信マスタ'!$E$3:$H142, 4, 0), 
          IFERROR(VLOOKUP(B83, '自動求人✅'!$C$3:$F142, 4, 0), prID))), 
        "")
      )
    )
  )
)</f>
        <v/>
      </c>
      <c r="D83" s="141" t="str">
        <f t="shared" si="1"/>
        <v/>
      </c>
      <c r="E83" s="141"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141"/>
      <c r="G83" s="141"/>
      <c r="H83" s="139"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140" t="str">
        <f t="array" ref="I83">IF(H83="", "", 
  LET(
    targetRow, IFERROR(MATCH(TRUE, BYROW('PR管理'!$J$4:$T$101, LAMBDA(r, COUNTIF(r, H83)&gt;0)), 0), 0),
    IF(targetRow=0, "",
      LET(
        startDate, INDEX('PR管理'!$C$4:$C$101, targetRow),
        delLimit, INDEX('PR管理'!$F$4:$F$101, targetRow),
        prID, INDEX('PR管理'!$A$4:$A$101, targetRow),
        IF(AND('26414_編集版 のコピー 2'!H$1 &gt;= startDate, '26414_編集版 のコピー 2'!H$1 &lt;= delLimit), 
          IFERROR(VLOOKUP(H83, '新規'!$E$2:$H142, 4, 0), 
          IFERROR(VLOOKUP(H83, '特殊配信マスタ'!$E$3:$H142, 4, 0), 
          IFERROR(VLOOKUP(H83, '自動求人✅'!$C$3:$F142, 4, 0), prID))), 
        "")
      )
    )
  )
)</f>
        <v/>
      </c>
      <c r="J83" s="141" t="str">
        <f t="shared" si="2"/>
        <v/>
      </c>
      <c r="K83" s="141"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141"/>
      <c r="M83" s="141"/>
      <c r="N83" s="139"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140" t="str">
        <f t="array" ref="O83">IF(N83="", "", 
  LET(
    targetRow, IFERROR(MATCH(TRUE, BYROW('PR管理'!$J$4:$T$101, LAMBDA(r, COUNTIF(r, N83)&gt;0)), 0), 0),
    IF(targetRow=0, "",
      LET(
        startDate, INDEX('PR管理'!$C$4:$C$101, targetRow),
        delLimit, INDEX('PR管理'!$F$4:$F$101, targetRow),
        prID, INDEX('PR管理'!$A$4:$A$101, targetRow),
        IF(AND('26414_編集版 のコピー 2'!N$1 &gt;= startDate, '26414_編集版 のコピー 2'!N$1 &lt;= delLimit), 
          IFERROR(VLOOKUP(N83, '新規'!$E$2:$H142, 4, 0), 
          IFERROR(VLOOKUP(N83, '特殊配信マスタ'!$E$3:$H142, 4, 0), 
          IFERROR(VLOOKUP(N83, '自動求人✅'!$C$3:$F142, 4, 0), prID))), 
        "")
      )
    )
  )
)</f>
        <v/>
      </c>
      <c r="P83" s="141" t="str">
        <f t="shared" si="3"/>
        <v/>
      </c>
      <c r="Q83" s="141"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141"/>
      <c r="S83" s="141"/>
      <c r="T83" s="139"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140" t="str">
        <f t="array" ref="U83">IF(T83="", "", 
  LET(
    targetRow, IFERROR(MATCH(TRUE, BYROW('PR管理'!$J$4:$T$101, LAMBDA(r, COUNTIF(r, T83)&gt;0)), 0), 0),
    IF(targetRow=0, "",
      LET(
        startDate, INDEX('PR管理'!$C$4:$C$101, targetRow),
        delLimit, INDEX('PR管理'!$F$4:$F$101, targetRow),
        prID, INDEX('PR管理'!$A$4:$A$101, targetRow),
        IF(AND('26414_編集版 のコピー 2'!T$1 &gt;= startDate, '26414_編集版 のコピー 2'!T$1 &lt;= delLimit), 
          IFERROR(VLOOKUP(T83, '新規'!$E$2:$H142, 4, 0), 
          IFERROR(VLOOKUP(T83, '特殊配信マスタ'!$E$3:$H142, 4, 0), 
          IFERROR(VLOOKUP(T83, '自動求人✅'!$C$3:$F142, 4, 0), prID))), 
        "")
      )
    )
  )
)</f>
        <v/>
      </c>
      <c r="V83" s="141" t="str">
        <f t="shared" si="4"/>
        <v/>
      </c>
      <c r="W83" s="141"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141"/>
      <c r="Y83" s="141"/>
      <c r="Z83" s="139"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140" t="str">
        <f t="array" ref="AA83">IF(Z83="", "", 
  LET(
    targetRow, IFERROR(MATCH(TRUE, BYROW('PR管理'!$J$4:$T$101, LAMBDA(r, COUNTIF(r, Z83)&gt;0)), 0), 0),
    IF(targetRow=0, "",
      LET(
        startDate, INDEX('PR管理'!$C$4:$C$101, targetRow),
        delLimit, INDEX('PR管理'!$F$4:$F$101, targetRow),
        prID, INDEX('PR管理'!$A$4:$A$101, targetRow),
        IF(AND('26414_編集版 のコピー 2'!Z$1 &gt;= startDate, '26414_編集版 のコピー 2'!Z$1 &lt;= delLimit), 
          IFERROR(VLOOKUP(Z83, '新規'!$E$2:$H142, 4, 0), 
          IFERROR(VLOOKUP(Z83, '特殊配信マスタ'!$E$3:$H142, 4, 0), 
          IFERROR(VLOOKUP(Z83, '自動求人✅'!$C$3:$F142, 4, 0), prID))), 
        "")
      )
    )
  )
)</f>
        <v/>
      </c>
      <c r="AB83" s="141" t="str">
        <f t="shared" si="5"/>
        <v/>
      </c>
      <c r="AC83" s="141"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141"/>
      <c r="AE83" s="141"/>
      <c r="AF83" s="139"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140" t="str">
        <f t="array" ref="AG83">IF(AF83="", "", 
  LET(
    targetRow, IFERROR(MATCH(TRUE, BYROW('PR管理'!$J$4:$T$101, LAMBDA(r, COUNTIF(r, AF83)&gt;0)), 0), 0),
    IF(targetRow=0, "",
      LET(
        startDate, INDEX('PR管理'!$C$4:$C$101, targetRow),
        delLimit, INDEX('PR管理'!$F$4:$F$101, targetRow),
        prID, INDEX('PR管理'!$A$4:$A$101, targetRow),
        IF(AND('26414_編集版 のコピー 2'!AF$1 &gt;= startDate, '26414_編集版 のコピー 2'!AF$1 &lt;= delLimit), 
          IFERROR(VLOOKUP(AF83, '新規'!$E$2:$H142, 4, 0), 
          IFERROR(VLOOKUP(AF83, '特殊配信マスタ'!$E$3:$H142, 4, 0), 
          IFERROR(VLOOKUP(AF83, '自動求人✅'!$C$3:$F142, 4, 0), prID))), 
        "")
      )
    )
  )
)</f>
        <v/>
      </c>
      <c r="AH83" s="141" t="str">
        <f t="shared" si="6"/>
        <v/>
      </c>
      <c r="AI83" s="141"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141"/>
      <c r="AK83" s="141"/>
      <c r="AL83" s="139"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140" t="str">
        <f t="array" ref="AM83">IF(AL83="", "", 
  LET(
    targetRow, IFERROR(MATCH(TRUE, BYROW('PR管理'!$J$4:$T$101, LAMBDA(r, COUNTIF(r, AL83)&gt;0)), 0), 0),
    IF(targetRow=0, "",
      LET(
        startDate, INDEX('PR管理'!$C$4:$C$101, targetRow),
        delLimit, INDEX('PR管理'!$F$4:$F$101, targetRow),
        prID, INDEX('PR管理'!$A$4:$A$101, targetRow),
        IF(AND('26414_編集版 のコピー 2'!AL$1 &gt;= startDate, '26414_編集版 のコピー 2'!AL$1 &lt;= delLimit), 
          IFERROR(VLOOKUP(AL83, '新規'!$E$2:$H142, 4, 0), 
          IFERROR(VLOOKUP(AL83, '特殊配信マスタ'!$E$3:$H142, 4, 0), 
          IFERROR(VLOOKUP(AL83, '自動求人✅'!$C$3:$F142, 4, 0), prID))), 
        "")
      )
    )
  )
)</f>
        <v/>
      </c>
      <c r="AN83" s="141" t="str">
        <f t="shared" si="7"/>
        <v/>
      </c>
      <c r="AO83" s="141"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141"/>
      <c r="AQ83" s="141"/>
    </row>
    <row r="84" ht="17.25" customHeight="1">
      <c r="A84" s="142"/>
      <c r="B84" s="139"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140" t="str">
        <f t="array" ref="C84">IF(B84="", "", 
  LET(
    targetRow, IFERROR(MATCH(TRUE, BYROW('PR管理'!$J$4:$T$101, LAMBDA(r, COUNTIF(r, B84)&gt;0)), 0), 0),
    IF(targetRow=0, "",
      LET(
        startDate, INDEX('PR管理'!$C$4:$C$101, targetRow),
        delLimit, INDEX('PR管理'!$F$4:$F$101, targetRow),
        prID, INDEX('PR管理'!$A$4:$A$101, targetRow),
        IF(AND('26414_編集版 のコピー 2'!B$1 &gt;= startDate, '26414_編集版 のコピー 2'!B$1 &lt;= delLimit), 
          IFERROR(VLOOKUP(B84, '新規'!$E$2:$H142, 4, 0), 
          IFERROR(VLOOKUP(B84, '特殊配信マスタ'!$E$3:$H142, 4, 0), 
          IFERROR(VLOOKUP(B84, '自動求人✅'!$C$3:$F142, 4, 0), prID))), 
        "")
      )
    )
  )
)</f>
        <v/>
      </c>
      <c r="D84" s="141" t="str">
        <f t="shared" si="1"/>
        <v/>
      </c>
      <c r="E84" s="141"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141"/>
      <c r="G84" s="141"/>
      <c r="H84" s="139"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140" t="str">
        <f t="array" ref="I84">IF(H84="", "", 
  LET(
    targetRow, IFERROR(MATCH(TRUE, BYROW('PR管理'!$J$4:$T$101, LAMBDA(r, COUNTIF(r, H84)&gt;0)), 0), 0),
    IF(targetRow=0, "",
      LET(
        startDate, INDEX('PR管理'!$C$4:$C$101, targetRow),
        delLimit, INDEX('PR管理'!$F$4:$F$101, targetRow),
        prID, INDEX('PR管理'!$A$4:$A$101, targetRow),
        IF(AND('26414_編集版 のコピー 2'!H$1 &gt;= startDate, '26414_編集版 のコピー 2'!H$1 &lt;= delLimit), 
          IFERROR(VLOOKUP(H84, '新規'!$E$2:$H142, 4, 0), 
          IFERROR(VLOOKUP(H84, '特殊配信マスタ'!$E$3:$H142, 4, 0), 
          IFERROR(VLOOKUP(H84, '自動求人✅'!$C$3:$F142, 4, 0), prID))), 
        "")
      )
    )
  )
)</f>
        <v/>
      </c>
      <c r="J84" s="141" t="str">
        <f t="shared" si="2"/>
        <v/>
      </c>
      <c r="K84" s="141"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141"/>
      <c r="M84" s="141"/>
      <c r="N84" s="139"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140" t="str">
        <f t="array" ref="O84">IF(N84="", "", 
  LET(
    targetRow, IFERROR(MATCH(TRUE, BYROW('PR管理'!$J$4:$T$101, LAMBDA(r, COUNTIF(r, N84)&gt;0)), 0), 0),
    IF(targetRow=0, "",
      LET(
        startDate, INDEX('PR管理'!$C$4:$C$101, targetRow),
        delLimit, INDEX('PR管理'!$F$4:$F$101, targetRow),
        prID, INDEX('PR管理'!$A$4:$A$101, targetRow),
        IF(AND('26414_編集版 のコピー 2'!N$1 &gt;= startDate, '26414_編集版 のコピー 2'!N$1 &lt;= delLimit), 
          IFERROR(VLOOKUP(N84, '新規'!$E$2:$H142, 4, 0), 
          IFERROR(VLOOKUP(N84, '特殊配信マスタ'!$E$3:$H142, 4, 0), 
          IFERROR(VLOOKUP(N84, '自動求人✅'!$C$3:$F142, 4, 0), prID))), 
        "")
      )
    )
  )
)</f>
        <v/>
      </c>
      <c r="P84" s="141" t="str">
        <f t="shared" si="3"/>
        <v/>
      </c>
      <c r="Q84" s="141"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141"/>
      <c r="S84" s="141"/>
      <c r="T84" s="139"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140" t="str">
        <f t="array" ref="U84">IF(T84="", "", 
  LET(
    targetRow, IFERROR(MATCH(TRUE, BYROW('PR管理'!$J$4:$T$101, LAMBDA(r, COUNTIF(r, T84)&gt;0)), 0), 0),
    IF(targetRow=0, "",
      LET(
        startDate, INDEX('PR管理'!$C$4:$C$101, targetRow),
        delLimit, INDEX('PR管理'!$F$4:$F$101, targetRow),
        prID, INDEX('PR管理'!$A$4:$A$101, targetRow),
        IF(AND('26414_編集版 のコピー 2'!T$1 &gt;= startDate, '26414_編集版 のコピー 2'!T$1 &lt;= delLimit), 
          IFERROR(VLOOKUP(T84, '新規'!$E$2:$H142, 4, 0), 
          IFERROR(VLOOKUP(T84, '特殊配信マスタ'!$E$3:$H142, 4, 0), 
          IFERROR(VLOOKUP(T84, '自動求人✅'!$C$3:$F142, 4, 0), prID))), 
        "")
      )
    )
  )
)</f>
        <v/>
      </c>
      <c r="V84" s="141" t="str">
        <f t="shared" si="4"/>
        <v/>
      </c>
      <c r="W84" s="141"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141"/>
      <c r="Y84" s="141"/>
      <c r="Z84" s="139"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140" t="str">
        <f t="array" ref="AA84">IF(Z84="", "", 
  LET(
    targetRow, IFERROR(MATCH(TRUE, BYROW('PR管理'!$J$4:$T$101, LAMBDA(r, COUNTIF(r, Z84)&gt;0)), 0), 0),
    IF(targetRow=0, "",
      LET(
        startDate, INDEX('PR管理'!$C$4:$C$101, targetRow),
        delLimit, INDEX('PR管理'!$F$4:$F$101, targetRow),
        prID, INDEX('PR管理'!$A$4:$A$101, targetRow),
        IF(AND('26414_編集版 のコピー 2'!Z$1 &gt;= startDate, '26414_編集版 のコピー 2'!Z$1 &lt;= delLimit), 
          IFERROR(VLOOKUP(Z84, '新規'!$E$2:$H142, 4, 0), 
          IFERROR(VLOOKUP(Z84, '特殊配信マスタ'!$E$3:$H142, 4, 0), 
          IFERROR(VLOOKUP(Z84, '自動求人✅'!$C$3:$F142, 4, 0), prID))), 
        "")
      )
    )
  )
)</f>
        <v/>
      </c>
      <c r="AB84" s="141" t="str">
        <f t="shared" si="5"/>
        <v/>
      </c>
      <c r="AC84" s="141"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141"/>
      <c r="AE84" s="141"/>
      <c r="AF84" s="139"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140" t="str">
        <f t="array" ref="AG84">IF(AF84="", "", 
  LET(
    targetRow, IFERROR(MATCH(TRUE, BYROW('PR管理'!$J$4:$T$101, LAMBDA(r, COUNTIF(r, AF84)&gt;0)), 0), 0),
    IF(targetRow=0, "",
      LET(
        startDate, INDEX('PR管理'!$C$4:$C$101, targetRow),
        delLimit, INDEX('PR管理'!$F$4:$F$101, targetRow),
        prID, INDEX('PR管理'!$A$4:$A$101, targetRow),
        IF(AND('26414_編集版 のコピー 2'!AF$1 &gt;= startDate, '26414_編集版 のコピー 2'!AF$1 &lt;= delLimit), 
          IFERROR(VLOOKUP(AF84, '新規'!$E$2:$H142, 4, 0), 
          IFERROR(VLOOKUP(AF84, '特殊配信マスタ'!$E$3:$H142, 4, 0), 
          IFERROR(VLOOKUP(AF84, '自動求人✅'!$C$3:$F142, 4, 0), prID))), 
        "")
      )
    )
  )
)</f>
        <v/>
      </c>
      <c r="AH84" s="141" t="str">
        <f t="shared" si="6"/>
        <v/>
      </c>
      <c r="AI84" s="141"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141"/>
      <c r="AK84" s="141"/>
      <c r="AL84" s="139"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140" t="str">
        <f t="array" ref="AM84">IF(AL84="", "", 
  LET(
    targetRow, IFERROR(MATCH(TRUE, BYROW('PR管理'!$J$4:$T$101, LAMBDA(r, COUNTIF(r, AL84)&gt;0)), 0), 0),
    IF(targetRow=0, "",
      LET(
        startDate, INDEX('PR管理'!$C$4:$C$101, targetRow),
        delLimit, INDEX('PR管理'!$F$4:$F$101, targetRow),
        prID, INDEX('PR管理'!$A$4:$A$101, targetRow),
        IF(AND('26414_編集版 のコピー 2'!AL$1 &gt;= startDate, '26414_編集版 のコピー 2'!AL$1 &lt;= delLimit), 
          IFERROR(VLOOKUP(AL84, '新規'!$E$2:$H142, 4, 0), 
          IFERROR(VLOOKUP(AL84, '特殊配信マスタ'!$E$3:$H142, 4, 0), 
          IFERROR(VLOOKUP(AL84, '自動求人✅'!$C$3:$F142, 4, 0), prID))), 
        "")
      )
    )
  )
)</f>
        <v/>
      </c>
      <c r="AN84" s="141" t="str">
        <f t="shared" si="7"/>
        <v/>
      </c>
      <c r="AO84" s="141"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141"/>
      <c r="AQ84" s="141"/>
    </row>
    <row r="85" ht="17.25" customHeight="1">
      <c r="A85" s="142"/>
      <c r="B85" s="139"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140" t="str">
        <f t="array" ref="C85">IF(B85="", "", 
  LET(
    targetRow, IFERROR(MATCH(TRUE, BYROW('PR管理'!$J$4:$T$101, LAMBDA(r, COUNTIF(r, B85)&gt;0)), 0), 0),
    IF(targetRow=0, "",
      LET(
        startDate, INDEX('PR管理'!$C$4:$C$101, targetRow),
        delLimit, INDEX('PR管理'!$F$4:$F$101, targetRow),
        prID, INDEX('PR管理'!$A$4:$A$101, targetRow),
        IF(AND('26414_編集版 のコピー 2'!B$1 &gt;= startDate, '26414_編集版 のコピー 2'!B$1 &lt;= delLimit), 
          IFERROR(VLOOKUP(B85, '新規'!$E$2:$H142, 4, 0), 
          IFERROR(VLOOKUP(B85, '特殊配信マスタ'!$E$3:$H142, 4, 0), 
          IFERROR(VLOOKUP(B85, '自動求人✅'!$C$3:$F142, 4, 0), prID))), 
        "")
      )
    )
  )
)</f>
        <v/>
      </c>
      <c r="D85" s="141" t="str">
        <f t="shared" si="1"/>
        <v/>
      </c>
      <c r="E85" s="141"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141"/>
      <c r="G85" s="141"/>
      <c r="H85" s="139"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140" t="str">
        <f t="array" ref="I85">IF(H85="", "", 
  LET(
    targetRow, IFERROR(MATCH(TRUE, BYROW('PR管理'!$J$4:$T$101, LAMBDA(r, COUNTIF(r, H85)&gt;0)), 0), 0),
    IF(targetRow=0, "",
      LET(
        startDate, INDEX('PR管理'!$C$4:$C$101, targetRow),
        delLimit, INDEX('PR管理'!$F$4:$F$101, targetRow),
        prID, INDEX('PR管理'!$A$4:$A$101, targetRow),
        IF(AND('26414_編集版 のコピー 2'!H$1 &gt;= startDate, '26414_編集版 のコピー 2'!H$1 &lt;= delLimit), 
          IFERROR(VLOOKUP(H85, '新規'!$E$2:$H142, 4, 0), 
          IFERROR(VLOOKUP(H85, '特殊配信マスタ'!$E$3:$H142, 4, 0), 
          IFERROR(VLOOKUP(H85, '自動求人✅'!$C$3:$F142, 4, 0), prID))), 
        "")
      )
    )
  )
)</f>
        <v/>
      </c>
      <c r="J85" s="141" t="str">
        <f t="shared" si="2"/>
        <v/>
      </c>
      <c r="K85" s="141"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141"/>
      <c r="M85" s="141"/>
      <c r="N85" s="139"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140" t="str">
        <f t="array" ref="O85">IF(N85="", "", 
  LET(
    targetRow, IFERROR(MATCH(TRUE, BYROW('PR管理'!$J$4:$T$101, LAMBDA(r, COUNTIF(r, N85)&gt;0)), 0), 0),
    IF(targetRow=0, "",
      LET(
        startDate, INDEX('PR管理'!$C$4:$C$101, targetRow),
        delLimit, INDEX('PR管理'!$F$4:$F$101, targetRow),
        prID, INDEX('PR管理'!$A$4:$A$101, targetRow),
        IF(AND('26414_編集版 のコピー 2'!N$1 &gt;= startDate, '26414_編集版 のコピー 2'!N$1 &lt;= delLimit), 
          IFERROR(VLOOKUP(N85, '新規'!$E$2:$H142, 4, 0), 
          IFERROR(VLOOKUP(N85, '特殊配信マスタ'!$E$3:$H142, 4, 0), 
          IFERROR(VLOOKUP(N85, '自動求人✅'!$C$3:$F142, 4, 0), prID))), 
        "")
      )
    )
  )
)</f>
        <v/>
      </c>
      <c r="P85" s="141" t="str">
        <f t="shared" si="3"/>
        <v/>
      </c>
      <c r="Q85" s="141"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141"/>
      <c r="S85" s="141"/>
      <c r="T85" s="139"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140" t="str">
        <f t="array" ref="U85">IF(T85="", "", 
  LET(
    targetRow, IFERROR(MATCH(TRUE, BYROW('PR管理'!$J$4:$T$101, LAMBDA(r, COUNTIF(r, T85)&gt;0)), 0), 0),
    IF(targetRow=0, "",
      LET(
        startDate, INDEX('PR管理'!$C$4:$C$101, targetRow),
        delLimit, INDEX('PR管理'!$F$4:$F$101, targetRow),
        prID, INDEX('PR管理'!$A$4:$A$101, targetRow),
        IF(AND('26414_編集版 のコピー 2'!T$1 &gt;= startDate, '26414_編集版 のコピー 2'!T$1 &lt;= delLimit), 
          IFERROR(VLOOKUP(T85, '新規'!$E$2:$H142, 4, 0), 
          IFERROR(VLOOKUP(T85, '特殊配信マスタ'!$E$3:$H142, 4, 0), 
          IFERROR(VLOOKUP(T85, '自動求人✅'!$C$3:$F142, 4, 0), prID))), 
        "")
      )
    )
  )
)</f>
        <v/>
      </c>
      <c r="V85" s="141" t="str">
        <f t="shared" si="4"/>
        <v/>
      </c>
      <c r="W85" s="141"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141"/>
      <c r="Y85" s="141"/>
      <c r="Z85" s="139"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140" t="str">
        <f t="array" ref="AA85">IF(Z85="", "", 
  LET(
    targetRow, IFERROR(MATCH(TRUE, BYROW('PR管理'!$J$4:$T$101, LAMBDA(r, COUNTIF(r, Z85)&gt;0)), 0), 0),
    IF(targetRow=0, "",
      LET(
        startDate, INDEX('PR管理'!$C$4:$C$101, targetRow),
        delLimit, INDEX('PR管理'!$F$4:$F$101, targetRow),
        prID, INDEX('PR管理'!$A$4:$A$101, targetRow),
        IF(AND('26414_編集版 のコピー 2'!Z$1 &gt;= startDate, '26414_編集版 のコピー 2'!Z$1 &lt;= delLimit), 
          IFERROR(VLOOKUP(Z85, '新規'!$E$2:$H142, 4, 0), 
          IFERROR(VLOOKUP(Z85, '特殊配信マスタ'!$E$3:$H142, 4, 0), 
          IFERROR(VLOOKUP(Z85, '自動求人✅'!$C$3:$F142, 4, 0), prID))), 
        "")
      )
    )
  )
)</f>
        <v/>
      </c>
      <c r="AB85" s="141" t="str">
        <f t="shared" si="5"/>
        <v/>
      </c>
      <c r="AC85" s="141"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141"/>
      <c r="AE85" s="141"/>
      <c r="AF85" s="139"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140" t="str">
        <f t="array" ref="AG85">IF(AF85="", "", 
  LET(
    targetRow, IFERROR(MATCH(TRUE, BYROW('PR管理'!$J$4:$T$101, LAMBDA(r, COUNTIF(r, AF85)&gt;0)), 0), 0),
    IF(targetRow=0, "",
      LET(
        startDate, INDEX('PR管理'!$C$4:$C$101, targetRow),
        delLimit, INDEX('PR管理'!$F$4:$F$101, targetRow),
        prID, INDEX('PR管理'!$A$4:$A$101, targetRow),
        IF(AND('26414_編集版 のコピー 2'!AF$1 &gt;= startDate, '26414_編集版 のコピー 2'!AF$1 &lt;= delLimit), 
          IFERROR(VLOOKUP(AF85, '新規'!$E$2:$H142, 4, 0), 
          IFERROR(VLOOKUP(AF85, '特殊配信マスタ'!$E$3:$H142, 4, 0), 
          IFERROR(VLOOKUP(AF85, '自動求人✅'!$C$3:$F142, 4, 0), prID))), 
        "")
      )
    )
  )
)</f>
        <v/>
      </c>
      <c r="AH85" s="141" t="str">
        <f t="shared" si="6"/>
        <v/>
      </c>
      <c r="AI85" s="141"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141"/>
      <c r="AK85" s="141"/>
      <c r="AL85" s="139"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140" t="str">
        <f t="array" ref="AM85">IF(AL85="", "", 
  LET(
    targetRow, IFERROR(MATCH(TRUE, BYROW('PR管理'!$J$4:$T$101, LAMBDA(r, COUNTIF(r, AL85)&gt;0)), 0), 0),
    IF(targetRow=0, "",
      LET(
        startDate, INDEX('PR管理'!$C$4:$C$101, targetRow),
        delLimit, INDEX('PR管理'!$F$4:$F$101, targetRow),
        prID, INDEX('PR管理'!$A$4:$A$101, targetRow),
        IF(AND('26414_編集版 のコピー 2'!AL$1 &gt;= startDate, '26414_編集版 のコピー 2'!AL$1 &lt;= delLimit), 
          IFERROR(VLOOKUP(AL85, '新規'!$E$2:$H142, 4, 0), 
          IFERROR(VLOOKUP(AL85, '特殊配信マスタ'!$E$3:$H142, 4, 0), 
          IFERROR(VLOOKUP(AL85, '自動求人✅'!$C$3:$F142, 4, 0), prID))), 
        "")
      )
    )
  )
)</f>
        <v/>
      </c>
      <c r="AN85" s="141" t="str">
        <f t="shared" si="7"/>
        <v/>
      </c>
      <c r="AO85" s="141"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141"/>
      <c r="AQ85" s="141"/>
    </row>
    <row r="86" ht="17.25" customHeight="1">
      <c r="A86" s="142"/>
      <c r="B86" s="139"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140" t="str">
        <f t="array" ref="C86">IF(B86="", "", 
  LET(
    targetRow, IFERROR(MATCH(TRUE, BYROW('PR管理'!$J$4:$T$101, LAMBDA(r, COUNTIF(r, B86)&gt;0)), 0), 0),
    IF(targetRow=0, "",
      LET(
        startDate, INDEX('PR管理'!$C$4:$C$101, targetRow),
        delLimit, INDEX('PR管理'!$F$4:$F$101, targetRow),
        prID, INDEX('PR管理'!$A$4:$A$101, targetRow),
        IF(AND('26414_編集版 のコピー 2'!B$1 &gt;= startDate, '26414_編集版 のコピー 2'!B$1 &lt;= delLimit), 
          IFERROR(VLOOKUP(B86, '新規'!$E$2:$H142, 4, 0), 
          IFERROR(VLOOKUP(B86, '特殊配信マスタ'!$E$3:$H142, 4, 0), 
          IFERROR(VLOOKUP(B86, '自動求人✅'!$C$3:$F142, 4, 0), prID))), 
        "")
      )
    )
  )
)</f>
        <v/>
      </c>
      <c r="D86" s="141" t="str">
        <f t="shared" si="1"/>
        <v/>
      </c>
      <c r="E86" s="141"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141"/>
      <c r="G86" s="141"/>
      <c r="H86" s="139"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140" t="str">
        <f t="array" ref="I86">IF(H86="", "", 
  LET(
    targetRow, IFERROR(MATCH(TRUE, BYROW('PR管理'!$J$4:$T$101, LAMBDA(r, COUNTIF(r, H86)&gt;0)), 0), 0),
    IF(targetRow=0, "",
      LET(
        startDate, INDEX('PR管理'!$C$4:$C$101, targetRow),
        delLimit, INDEX('PR管理'!$F$4:$F$101, targetRow),
        prID, INDEX('PR管理'!$A$4:$A$101, targetRow),
        IF(AND('26414_編集版 のコピー 2'!H$1 &gt;= startDate, '26414_編集版 のコピー 2'!H$1 &lt;= delLimit), 
          IFERROR(VLOOKUP(H86, '新規'!$E$2:$H142, 4, 0), 
          IFERROR(VLOOKUP(H86, '特殊配信マスタ'!$E$3:$H142, 4, 0), 
          IFERROR(VLOOKUP(H86, '自動求人✅'!$C$3:$F142, 4, 0), prID))), 
        "")
      )
    )
  )
)</f>
        <v/>
      </c>
      <c r="J86" s="141" t="str">
        <f t="shared" si="2"/>
        <v/>
      </c>
      <c r="K86" s="141"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141"/>
      <c r="M86" s="141"/>
      <c r="N86" s="139"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140" t="str">
        <f t="array" ref="O86">IF(N86="", "", 
  LET(
    targetRow, IFERROR(MATCH(TRUE, BYROW('PR管理'!$J$4:$T$101, LAMBDA(r, COUNTIF(r, N86)&gt;0)), 0), 0),
    IF(targetRow=0, "",
      LET(
        startDate, INDEX('PR管理'!$C$4:$C$101, targetRow),
        delLimit, INDEX('PR管理'!$F$4:$F$101, targetRow),
        prID, INDEX('PR管理'!$A$4:$A$101, targetRow),
        IF(AND('26414_編集版 のコピー 2'!N$1 &gt;= startDate, '26414_編集版 のコピー 2'!N$1 &lt;= delLimit), 
          IFERROR(VLOOKUP(N86, '新規'!$E$2:$H142, 4, 0), 
          IFERROR(VLOOKUP(N86, '特殊配信マスタ'!$E$3:$H142, 4, 0), 
          IFERROR(VLOOKUP(N86, '自動求人✅'!$C$3:$F142, 4, 0), prID))), 
        "")
      )
    )
  )
)</f>
        <v/>
      </c>
      <c r="P86" s="141" t="str">
        <f t="shared" si="3"/>
        <v/>
      </c>
      <c r="Q86" s="141"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141"/>
      <c r="S86" s="141"/>
      <c r="T86" s="139"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140" t="str">
        <f t="array" ref="U86">IF(T86="", "", 
  LET(
    targetRow, IFERROR(MATCH(TRUE, BYROW('PR管理'!$J$4:$T$101, LAMBDA(r, COUNTIF(r, T86)&gt;0)), 0), 0),
    IF(targetRow=0, "",
      LET(
        startDate, INDEX('PR管理'!$C$4:$C$101, targetRow),
        delLimit, INDEX('PR管理'!$F$4:$F$101, targetRow),
        prID, INDEX('PR管理'!$A$4:$A$101, targetRow),
        IF(AND('26414_編集版 のコピー 2'!T$1 &gt;= startDate, '26414_編集版 のコピー 2'!T$1 &lt;= delLimit), 
          IFERROR(VLOOKUP(T86, '新規'!$E$2:$H142, 4, 0), 
          IFERROR(VLOOKUP(T86, '特殊配信マスタ'!$E$3:$H142, 4, 0), 
          IFERROR(VLOOKUP(T86, '自動求人✅'!$C$3:$F142, 4, 0), prID))), 
        "")
      )
    )
  )
)</f>
        <v/>
      </c>
      <c r="V86" s="141" t="str">
        <f t="shared" si="4"/>
        <v/>
      </c>
      <c r="W86" s="141"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141"/>
      <c r="Y86" s="141"/>
      <c r="Z86" s="139"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140" t="str">
        <f t="array" ref="AA86">IF(Z86="", "", 
  LET(
    targetRow, IFERROR(MATCH(TRUE, BYROW('PR管理'!$J$4:$T$101, LAMBDA(r, COUNTIF(r, Z86)&gt;0)), 0), 0),
    IF(targetRow=0, "",
      LET(
        startDate, INDEX('PR管理'!$C$4:$C$101, targetRow),
        delLimit, INDEX('PR管理'!$F$4:$F$101, targetRow),
        prID, INDEX('PR管理'!$A$4:$A$101, targetRow),
        IF(AND('26414_編集版 のコピー 2'!Z$1 &gt;= startDate, '26414_編集版 のコピー 2'!Z$1 &lt;= delLimit), 
          IFERROR(VLOOKUP(Z86, '新規'!$E$2:$H142, 4, 0), 
          IFERROR(VLOOKUP(Z86, '特殊配信マスタ'!$E$3:$H142, 4, 0), 
          IFERROR(VLOOKUP(Z86, '自動求人✅'!$C$3:$F142, 4, 0), prID))), 
        "")
      )
    )
  )
)</f>
        <v/>
      </c>
      <c r="AB86" s="141" t="str">
        <f t="shared" si="5"/>
        <v/>
      </c>
      <c r="AC86" s="141"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141"/>
      <c r="AE86" s="141"/>
      <c r="AF86" s="139"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140" t="str">
        <f t="array" ref="AG86">IF(AF86="", "", 
  LET(
    targetRow, IFERROR(MATCH(TRUE, BYROW('PR管理'!$J$4:$T$101, LAMBDA(r, COUNTIF(r, AF86)&gt;0)), 0), 0),
    IF(targetRow=0, "",
      LET(
        startDate, INDEX('PR管理'!$C$4:$C$101, targetRow),
        delLimit, INDEX('PR管理'!$F$4:$F$101, targetRow),
        prID, INDEX('PR管理'!$A$4:$A$101, targetRow),
        IF(AND('26414_編集版 のコピー 2'!AF$1 &gt;= startDate, '26414_編集版 のコピー 2'!AF$1 &lt;= delLimit), 
          IFERROR(VLOOKUP(AF86, '新規'!$E$2:$H142, 4, 0), 
          IFERROR(VLOOKUP(AF86, '特殊配信マスタ'!$E$3:$H142, 4, 0), 
          IFERROR(VLOOKUP(AF86, '自動求人✅'!$C$3:$F142, 4, 0), prID))), 
        "")
      )
    )
  )
)</f>
        <v/>
      </c>
      <c r="AH86" s="141" t="str">
        <f t="shared" si="6"/>
        <v/>
      </c>
      <c r="AI86" s="141"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141"/>
      <c r="AK86" s="141"/>
      <c r="AL86" s="139"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140" t="str">
        <f t="array" ref="AM86">IF(AL86="", "", 
  LET(
    targetRow, IFERROR(MATCH(TRUE, BYROW('PR管理'!$J$4:$T$101, LAMBDA(r, COUNTIF(r, AL86)&gt;0)), 0), 0),
    IF(targetRow=0, "",
      LET(
        startDate, INDEX('PR管理'!$C$4:$C$101, targetRow),
        delLimit, INDEX('PR管理'!$F$4:$F$101, targetRow),
        prID, INDEX('PR管理'!$A$4:$A$101, targetRow),
        IF(AND('26414_編集版 のコピー 2'!AL$1 &gt;= startDate, '26414_編集版 のコピー 2'!AL$1 &lt;= delLimit), 
          IFERROR(VLOOKUP(AL86, '新規'!$E$2:$H142, 4, 0), 
          IFERROR(VLOOKUP(AL86, '特殊配信マスタ'!$E$3:$H142, 4, 0), 
          IFERROR(VLOOKUP(AL86, '自動求人✅'!$C$3:$F142, 4, 0), prID))), 
        "")
      )
    )
  )
)</f>
        <v/>
      </c>
      <c r="AN86" s="141" t="str">
        <f t="shared" si="7"/>
        <v/>
      </c>
      <c r="AO86" s="141"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141"/>
      <c r="AQ86" s="141"/>
    </row>
    <row r="87" ht="17.25" customHeight="1">
      <c r="A87" s="142"/>
      <c r="B87" s="139"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140" t="str">
        <f t="array" ref="C87">IF(B87="", "", 
  LET(
    targetRow, IFERROR(MATCH(TRUE, BYROW('PR管理'!$J$4:$T$101, LAMBDA(r, COUNTIF(r, B87)&gt;0)), 0), 0),
    IF(targetRow=0, "",
      LET(
        startDate, INDEX('PR管理'!$C$4:$C$101, targetRow),
        delLimit, INDEX('PR管理'!$F$4:$F$101, targetRow),
        prID, INDEX('PR管理'!$A$4:$A$101, targetRow),
        IF(AND('26414_編集版 のコピー 2'!B$1 &gt;= startDate, '26414_編集版 のコピー 2'!B$1 &lt;= delLimit), 
          IFERROR(VLOOKUP(B87, '新規'!$E$2:$H142, 4, 0), 
          IFERROR(VLOOKUP(B87, '特殊配信マスタ'!$E$3:$H142, 4, 0), 
          IFERROR(VLOOKUP(B87, '自動求人✅'!$C$3:$F142, 4, 0), prID))), 
        "")
      )
    )
  )
)</f>
        <v/>
      </c>
      <c r="D87" s="141" t="str">
        <f t="shared" si="1"/>
        <v/>
      </c>
      <c r="E87" s="141"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141"/>
      <c r="G87" s="141"/>
      <c r="H87" s="139"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140" t="str">
        <f t="array" ref="I87">IF(H87="", "", 
  LET(
    targetRow, IFERROR(MATCH(TRUE, BYROW('PR管理'!$J$4:$T$101, LAMBDA(r, COUNTIF(r, H87)&gt;0)), 0), 0),
    IF(targetRow=0, "",
      LET(
        startDate, INDEX('PR管理'!$C$4:$C$101, targetRow),
        delLimit, INDEX('PR管理'!$F$4:$F$101, targetRow),
        prID, INDEX('PR管理'!$A$4:$A$101, targetRow),
        IF(AND('26414_編集版 のコピー 2'!H$1 &gt;= startDate, '26414_編集版 のコピー 2'!H$1 &lt;= delLimit), 
          IFERROR(VLOOKUP(H87, '新規'!$E$2:$H142, 4, 0), 
          IFERROR(VLOOKUP(H87, '特殊配信マスタ'!$E$3:$H142, 4, 0), 
          IFERROR(VLOOKUP(H87, '自動求人✅'!$C$3:$F142, 4, 0), prID))), 
        "")
      )
    )
  )
)</f>
        <v/>
      </c>
      <c r="J87" s="141" t="str">
        <f t="shared" si="2"/>
        <v/>
      </c>
      <c r="K87" s="141"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141"/>
      <c r="M87" s="141"/>
      <c r="N87" s="139"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140" t="str">
        <f t="array" ref="O87">IF(N87="", "", 
  LET(
    targetRow, IFERROR(MATCH(TRUE, BYROW('PR管理'!$J$4:$T$101, LAMBDA(r, COUNTIF(r, N87)&gt;0)), 0), 0),
    IF(targetRow=0, "",
      LET(
        startDate, INDEX('PR管理'!$C$4:$C$101, targetRow),
        delLimit, INDEX('PR管理'!$F$4:$F$101, targetRow),
        prID, INDEX('PR管理'!$A$4:$A$101, targetRow),
        IF(AND('26414_編集版 のコピー 2'!N$1 &gt;= startDate, '26414_編集版 のコピー 2'!N$1 &lt;= delLimit), 
          IFERROR(VLOOKUP(N87, '新規'!$E$2:$H142, 4, 0), 
          IFERROR(VLOOKUP(N87, '特殊配信マスタ'!$E$3:$H142, 4, 0), 
          IFERROR(VLOOKUP(N87, '自動求人✅'!$C$3:$F142, 4, 0), prID))), 
        "")
      )
    )
  )
)</f>
        <v/>
      </c>
      <c r="P87" s="141" t="str">
        <f t="shared" si="3"/>
        <v/>
      </c>
      <c r="Q87" s="141"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141"/>
      <c r="S87" s="141"/>
      <c r="T87" s="139"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140" t="str">
        <f t="array" ref="U87">IF(T87="", "", 
  LET(
    targetRow, IFERROR(MATCH(TRUE, BYROW('PR管理'!$J$4:$T$101, LAMBDA(r, COUNTIF(r, T87)&gt;0)), 0), 0),
    IF(targetRow=0, "",
      LET(
        startDate, INDEX('PR管理'!$C$4:$C$101, targetRow),
        delLimit, INDEX('PR管理'!$F$4:$F$101, targetRow),
        prID, INDEX('PR管理'!$A$4:$A$101, targetRow),
        IF(AND('26414_編集版 のコピー 2'!T$1 &gt;= startDate, '26414_編集版 のコピー 2'!T$1 &lt;= delLimit), 
          IFERROR(VLOOKUP(T87, '新規'!$E$2:$H142, 4, 0), 
          IFERROR(VLOOKUP(T87, '特殊配信マスタ'!$E$3:$H142, 4, 0), 
          IFERROR(VLOOKUP(T87, '自動求人✅'!$C$3:$F142, 4, 0), prID))), 
        "")
      )
    )
  )
)</f>
        <v/>
      </c>
      <c r="V87" s="141" t="str">
        <f t="shared" si="4"/>
        <v/>
      </c>
      <c r="W87" s="141"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141"/>
      <c r="Y87" s="141"/>
      <c r="Z87" s="139"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140" t="str">
        <f t="array" ref="AA87">IF(Z87="", "", 
  LET(
    targetRow, IFERROR(MATCH(TRUE, BYROW('PR管理'!$J$4:$T$101, LAMBDA(r, COUNTIF(r, Z87)&gt;0)), 0), 0),
    IF(targetRow=0, "",
      LET(
        startDate, INDEX('PR管理'!$C$4:$C$101, targetRow),
        delLimit, INDEX('PR管理'!$F$4:$F$101, targetRow),
        prID, INDEX('PR管理'!$A$4:$A$101, targetRow),
        IF(AND('26414_編集版 のコピー 2'!Z$1 &gt;= startDate, '26414_編集版 のコピー 2'!Z$1 &lt;= delLimit), 
          IFERROR(VLOOKUP(Z87, '新規'!$E$2:$H142, 4, 0), 
          IFERROR(VLOOKUP(Z87, '特殊配信マスタ'!$E$3:$H142, 4, 0), 
          IFERROR(VLOOKUP(Z87, '自動求人✅'!$C$3:$F142, 4, 0), prID))), 
        "")
      )
    )
  )
)</f>
        <v/>
      </c>
      <c r="AB87" s="141" t="str">
        <f t="shared" si="5"/>
        <v/>
      </c>
      <c r="AC87" s="141"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141"/>
      <c r="AE87" s="141"/>
      <c r="AF87" s="139"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140" t="str">
        <f t="array" ref="AG87">IF(AF87="", "", 
  LET(
    targetRow, IFERROR(MATCH(TRUE, BYROW('PR管理'!$J$4:$T$101, LAMBDA(r, COUNTIF(r, AF87)&gt;0)), 0), 0),
    IF(targetRow=0, "",
      LET(
        startDate, INDEX('PR管理'!$C$4:$C$101, targetRow),
        delLimit, INDEX('PR管理'!$F$4:$F$101, targetRow),
        prID, INDEX('PR管理'!$A$4:$A$101, targetRow),
        IF(AND('26414_編集版 のコピー 2'!AF$1 &gt;= startDate, '26414_編集版 のコピー 2'!AF$1 &lt;= delLimit), 
          IFERROR(VLOOKUP(AF87, '新規'!$E$2:$H142, 4, 0), 
          IFERROR(VLOOKUP(AF87, '特殊配信マスタ'!$E$3:$H142, 4, 0), 
          IFERROR(VLOOKUP(AF87, '自動求人✅'!$C$3:$F142, 4, 0), prID))), 
        "")
      )
    )
  )
)</f>
        <v/>
      </c>
      <c r="AH87" s="141" t="str">
        <f t="shared" si="6"/>
        <v/>
      </c>
      <c r="AI87" s="141"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141"/>
      <c r="AK87" s="141"/>
      <c r="AL87" s="139"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140" t="str">
        <f t="array" ref="AM87">IF(AL87="", "", 
  LET(
    targetRow, IFERROR(MATCH(TRUE, BYROW('PR管理'!$J$4:$T$101, LAMBDA(r, COUNTIF(r, AL87)&gt;0)), 0), 0),
    IF(targetRow=0, "",
      LET(
        startDate, INDEX('PR管理'!$C$4:$C$101, targetRow),
        delLimit, INDEX('PR管理'!$F$4:$F$101, targetRow),
        prID, INDEX('PR管理'!$A$4:$A$101, targetRow),
        IF(AND('26414_編集版 のコピー 2'!AL$1 &gt;= startDate, '26414_編集版 のコピー 2'!AL$1 &lt;= delLimit), 
          IFERROR(VLOOKUP(AL87, '新規'!$E$2:$H142, 4, 0), 
          IFERROR(VLOOKUP(AL87, '特殊配信マスタ'!$E$3:$H142, 4, 0), 
          IFERROR(VLOOKUP(AL87, '自動求人✅'!$C$3:$F142, 4, 0), prID))), 
        "")
      )
    )
  )
)</f>
        <v/>
      </c>
      <c r="AN87" s="141" t="str">
        <f t="shared" si="7"/>
        <v/>
      </c>
      <c r="AO87" s="141"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141"/>
      <c r="AQ87" s="141"/>
    </row>
    <row r="88" ht="17.25" customHeight="1">
      <c r="A88" s="142"/>
      <c r="B88" s="139"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140" t="str">
        <f t="array" ref="C88">IF(B88="", "", 
  LET(
    targetRow, IFERROR(MATCH(TRUE, BYROW('PR管理'!$J$4:$T$101, LAMBDA(r, COUNTIF(r, B88)&gt;0)), 0), 0),
    IF(targetRow=0, "",
      LET(
        startDate, INDEX('PR管理'!$C$4:$C$101, targetRow),
        delLimit, INDEX('PR管理'!$F$4:$F$101, targetRow),
        prID, INDEX('PR管理'!$A$4:$A$101, targetRow),
        IF(AND('26414_編集版 のコピー 2'!B$1 &gt;= startDate, '26414_編集版 のコピー 2'!B$1 &lt;= delLimit), 
          IFERROR(VLOOKUP(B88, '新規'!$E$2:$H142, 4, 0), 
          IFERROR(VLOOKUP(B88, '特殊配信マスタ'!$E$3:$H142, 4, 0), 
          IFERROR(VLOOKUP(B88, '自動求人✅'!$C$3:$F142, 4, 0), prID))), 
        "")
      )
    )
  )
)</f>
        <v/>
      </c>
      <c r="D88" s="141" t="str">
        <f t="shared" si="1"/>
        <v/>
      </c>
      <c r="E88" s="141"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141"/>
      <c r="G88" s="141"/>
      <c r="H88" s="139"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140" t="str">
        <f t="array" ref="I88">IF(H88="", "", 
  LET(
    targetRow, IFERROR(MATCH(TRUE, BYROW('PR管理'!$J$4:$T$101, LAMBDA(r, COUNTIF(r, H88)&gt;0)), 0), 0),
    IF(targetRow=0, "",
      LET(
        startDate, INDEX('PR管理'!$C$4:$C$101, targetRow),
        delLimit, INDEX('PR管理'!$F$4:$F$101, targetRow),
        prID, INDEX('PR管理'!$A$4:$A$101, targetRow),
        IF(AND('26414_編集版 のコピー 2'!H$1 &gt;= startDate, '26414_編集版 のコピー 2'!H$1 &lt;= delLimit), 
          IFERROR(VLOOKUP(H88, '新規'!$E$2:$H142, 4, 0), 
          IFERROR(VLOOKUP(H88, '特殊配信マスタ'!$E$3:$H142, 4, 0), 
          IFERROR(VLOOKUP(H88, '自動求人✅'!$C$3:$F142, 4, 0), prID))), 
        "")
      )
    )
  )
)</f>
        <v/>
      </c>
      <c r="J88" s="141" t="str">
        <f t="shared" si="2"/>
        <v/>
      </c>
      <c r="K88" s="141"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141"/>
      <c r="M88" s="141"/>
      <c r="N88" s="139"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140" t="str">
        <f t="array" ref="O88">IF(N88="", "", 
  LET(
    targetRow, IFERROR(MATCH(TRUE, BYROW('PR管理'!$J$4:$T$101, LAMBDA(r, COUNTIF(r, N88)&gt;0)), 0), 0),
    IF(targetRow=0, "",
      LET(
        startDate, INDEX('PR管理'!$C$4:$C$101, targetRow),
        delLimit, INDEX('PR管理'!$F$4:$F$101, targetRow),
        prID, INDEX('PR管理'!$A$4:$A$101, targetRow),
        IF(AND('26414_編集版 のコピー 2'!N$1 &gt;= startDate, '26414_編集版 のコピー 2'!N$1 &lt;= delLimit), 
          IFERROR(VLOOKUP(N88, '新規'!$E$2:$H142, 4, 0), 
          IFERROR(VLOOKUP(N88, '特殊配信マスタ'!$E$3:$H142, 4, 0), 
          IFERROR(VLOOKUP(N88, '自動求人✅'!$C$3:$F142, 4, 0), prID))), 
        "")
      )
    )
  )
)</f>
        <v/>
      </c>
      <c r="P88" s="141" t="str">
        <f t="shared" si="3"/>
        <v/>
      </c>
      <c r="Q88" s="141"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141"/>
      <c r="S88" s="141"/>
      <c r="T88" s="139"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140" t="str">
        <f t="array" ref="U88">IF(T88="", "", 
  LET(
    targetRow, IFERROR(MATCH(TRUE, BYROW('PR管理'!$J$4:$T$101, LAMBDA(r, COUNTIF(r, T88)&gt;0)), 0), 0),
    IF(targetRow=0, "",
      LET(
        startDate, INDEX('PR管理'!$C$4:$C$101, targetRow),
        delLimit, INDEX('PR管理'!$F$4:$F$101, targetRow),
        prID, INDEX('PR管理'!$A$4:$A$101, targetRow),
        IF(AND('26414_編集版 のコピー 2'!T$1 &gt;= startDate, '26414_編集版 のコピー 2'!T$1 &lt;= delLimit), 
          IFERROR(VLOOKUP(T88, '新規'!$E$2:$H142, 4, 0), 
          IFERROR(VLOOKUP(T88, '特殊配信マスタ'!$E$3:$H142, 4, 0), 
          IFERROR(VLOOKUP(T88, '自動求人✅'!$C$3:$F142, 4, 0), prID))), 
        "")
      )
    )
  )
)</f>
        <v/>
      </c>
      <c r="V88" s="141" t="str">
        <f t="shared" si="4"/>
        <v/>
      </c>
      <c r="W88" s="141"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141"/>
      <c r="Y88" s="141"/>
      <c r="Z88" s="139"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140" t="str">
        <f t="array" ref="AA88">IF(Z88="", "", 
  LET(
    targetRow, IFERROR(MATCH(TRUE, BYROW('PR管理'!$J$4:$T$101, LAMBDA(r, COUNTIF(r, Z88)&gt;0)), 0), 0),
    IF(targetRow=0, "",
      LET(
        startDate, INDEX('PR管理'!$C$4:$C$101, targetRow),
        delLimit, INDEX('PR管理'!$F$4:$F$101, targetRow),
        prID, INDEX('PR管理'!$A$4:$A$101, targetRow),
        IF(AND('26414_編集版 のコピー 2'!Z$1 &gt;= startDate, '26414_編集版 のコピー 2'!Z$1 &lt;= delLimit), 
          IFERROR(VLOOKUP(Z88, '新規'!$E$2:$H142, 4, 0), 
          IFERROR(VLOOKUP(Z88, '特殊配信マスタ'!$E$3:$H142, 4, 0), 
          IFERROR(VLOOKUP(Z88, '自動求人✅'!$C$3:$F142, 4, 0), prID))), 
        "")
      )
    )
  )
)</f>
        <v/>
      </c>
      <c r="AB88" s="141" t="str">
        <f t="shared" si="5"/>
        <v/>
      </c>
      <c r="AC88" s="141"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141"/>
      <c r="AE88" s="141"/>
      <c r="AF88" s="139"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140" t="str">
        <f t="array" ref="AG88">IF(AF88="", "", 
  LET(
    targetRow, IFERROR(MATCH(TRUE, BYROW('PR管理'!$J$4:$T$101, LAMBDA(r, COUNTIF(r, AF88)&gt;0)), 0), 0),
    IF(targetRow=0, "",
      LET(
        startDate, INDEX('PR管理'!$C$4:$C$101, targetRow),
        delLimit, INDEX('PR管理'!$F$4:$F$101, targetRow),
        prID, INDEX('PR管理'!$A$4:$A$101, targetRow),
        IF(AND('26414_編集版 のコピー 2'!AF$1 &gt;= startDate, '26414_編集版 のコピー 2'!AF$1 &lt;= delLimit), 
          IFERROR(VLOOKUP(AF88, '新規'!$E$2:$H142, 4, 0), 
          IFERROR(VLOOKUP(AF88, '特殊配信マスタ'!$E$3:$H142, 4, 0), 
          IFERROR(VLOOKUP(AF88, '自動求人✅'!$C$3:$F142, 4, 0), prID))), 
        "")
      )
    )
  )
)</f>
        <v/>
      </c>
      <c r="AH88" s="141" t="str">
        <f t="shared" si="6"/>
        <v/>
      </c>
      <c r="AI88" s="141"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141"/>
      <c r="AK88" s="141"/>
      <c r="AL88" s="139"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140" t="str">
        <f t="array" ref="AM88">IF(AL88="", "", 
  LET(
    targetRow, IFERROR(MATCH(TRUE, BYROW('PR管理'!$J$4:$T$101, LAMBDA(r, COUNTIF(r, AL88)&gt;0)), 0), 0),
    IF(targetRow=0, "",
      LET(
        startDate, INDEX('PR管理'!$C$4:$C$101, targetRow),
        delLimit, INDEX('PR管理'!$F$4:$F$101, targetRow),
        prID, INDEX('PR管理'!$A$4:$A$101, targetRow),
        IF(AND('26414_編集版 のコピー 2'!AL$1 &gt;= startDate, '26414_編集版 のコピー 2'!AL$1 &lt;= delLimit), 
          IFERROR(VLOOKUP(AL88, '新規'!$E$2:$H142, 4, 0), 
          IFERROR(VLOOKUP(AL88, '特殊配信マスタ'!$E$3:$H142, 4, 0), 
          IFERROR(VLOOKUP(AL88, '自動求人✅'!$C$3:$F142, 4, 0), prID))), 
        "")
      )
    )
  )
)</f>
        <v/>
      </c>
      <c r="AN88" s="141" t="str">
        <f t="shared" si="7"/>
        <v/>
      </c>
      <c r="AO88" s="141"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141"/>
      <c r="AQ88" s="141"/>
    </row>
    <row r="89" ht="17.25" customHeight="1">
      <c r="A89" s="142"/>
      <c r="B89" s="139"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140" t="str">
        <f t="array" ref="C89">IF(B89="", "", 
  LET(
    targetRow, IFERROR(MATCH(TRUE, BYROW('PR管理'!$J$4:$T$101, LAMBDA(r, COUNTIF(r, B89)&gt;0)), 0), 0),
    IF(targetRow=0, "",
      LET(
        startDate, INDEX('PR管理'!$C$4:$C$101, targetRow),
        delLimit, INDEX('PR管理'!$F$4:$F$101, targetRow),
        prID, INDEX('PR管理'!$A$4:$A$101, targetRow),
        IF(AND('26414_編集版 のコピー 2'!B$1 &gt;= startDate, '26414_編集版 のコピー 2'!B$1 &lt;= delLimit), 
          IFERROR(VLOOKUP(B89, '新規'!$E$2:$H142, 4, 0), 
          IFERROR(VLOOKUP(B89, '特殊配信マスタ'!$E$3:$H142, 4, 0), 
          IFERROR(VLOOKUP(B89, '自動求人✅'!$C$3:$F142, 4, 0), prID))), 
        "")
      )
    )
  )
)</f>
        <v/>
      </c>
      <c r="D89" s="141" t="str">
        <f t="shared" si="1"/>
        <v/>
      </c>
      <c r="E89" s="141"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141"/>
      <c r="G89" s="141"/>
      <c r="H89" s="139"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140" t="str">
        <f t="array" ref="I89">IF(H89="", "", 
  LET(
    targetRow, IFERROR(MATCH(TRUE, BYROW('PR管理'!$J$4:$T$101, LAMBDA(r, COUNTIF(r, H89)&gt;0)), 0), 0),
    IF(targetRow=0, "",
      LET(
        startDate, INDEX('PR管理'!$C$4:$C$101, targetRow),
        delLimit, INDEX('PR管理'!$F$4:$F$101, targetRow),
        prID, INDEX('PR管理'!$A$4:$A$101, targetRow),
        IF(AND('26414_編集版 のコピー 2'!H$1 &gt;= startDate, '26414_編集版 のコピー 2'!H$1 &lt;= delLimit), 
          IFERROR(VLOOKUP(H89, '新規'!$E$2:$H142, 4, 0), 
          IFERROR(VLOOKUP(H89, '特殊配信マスタ'!$E$3:$H142, 4, 0), 
          IFERROR(VLOOKUP(H89, '自動求人✅'!$C$3:$F142, 4, 0), prID))), 
        "")
      )
    )
  )
)</f>
        <v/>
      </c>
      <c r="J89" s="141" t="str">
        <f t="shared" si="2"/>
        <v/>
      </c>
      <c r="K89" s="141"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141"/>
      <c r="M89" s="141"/>
      <c r="N89" s="139"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140" t="str">
        <f t="array" ref="O89">IF(N89="", "", 
  LET(
    targetRow, IFERROR(MATCH(TRUE, BYROW('PR管理'!$J$4:$T$101, LAMBDA(r, COUNTIF(r, N89)&gt;0)), 0), 0),
    IF(targetRow=0, "",
      LET(
        startDate, INDEX('PR管理'!$C$4:$C$101, targetRow),
        delLimit, INDEX('PR管理'!$F$4:$F$101, targetRow),
        prID, INDEX('PR管理'!$A$4:$A$101, targetRow),
        IF(AND('26414_編集版 のコピー 2'!N$1 &gt;= startDate, '26414_編集版 のコピー 2'!N$1 &lt;= delLimit), 
          IFERROR(VLOOKUP(N89, '新規'!$E$2:$H142, 4, 0), 
          IFERROR(VLOOKUP(N89, '特殊配信マスタ'!$E$3:$H142, 4, 0), 
          IFERROR(VLOOKUP(N89, '自動求人✅'!$C$3:$F142, 4, 0), prID))), 
        "")
      )
    )
  )
)</f>
        <v/>
      </c>
      <c r="P89" s="141" t="str">
        <f t="shared" si="3"/>
        <v/>
      </c>
      <c r="Q89" s="141"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141"/>
      <c r="S89" s="141"/>
      <c r="T89" s="139"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140" t="str">
        <f t="array" ref="U89">IF(T89="", "", 
  LET(
    targetRow, IFERROR(MATCH(TRUE, BYROW('PR管理'!$J$4:$T$101, LAMBDA(r, COUNTIF(r, T89)&gt;0)), 0), 0),
    IF(targetRow=0, "",
      LET(
        startDate, INDEX('PR管理'!$C$4:$C$101, targetRow),
        delLimit, INDEX('PR管理'!$F$4:$F$101, targetRow),
        prID, INDEX('PR管理'!$A$4:$A$101, targetRow),
        IF(AND('26414_編集版 のコピー 2'!T$1 &gt;= startDate, '26414_編集版 のコピー 2'!T$1 &lt;= delLimit), 
          IFERROR(VLOOKUP(T89, '新規'!$E$2:$H142, 4, 0), 
          IFERROR(VLOOKUP(T89, '特殊配信マスタ'!$E$3:$H142, 4, 0), 
          IFERROR(VLOOKUP(T89, '自動求人✅'!$C$3:$F142, 4, 0), prID))), 
        "")
      )
    )
  )
)</f>
        <v/>
      </c>
      <c r="V89" s="141" t="str">
        <f t="shared" si="4"/>
        <v/>
      </c>
      <c r="W89" s="141"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141"/>
      <c r="Y89" s="141"/>
      <c r="Z89" s="139"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140" t="str">
        <f t="array" ref="AA89">IF(Z89="", "", 
  LET(
    targetRow, IFERROR(MATCH(TRUE, BYROW('PR管理'!$J$4:$T$101, LAMBDA(r, COUNTIF(r, Z89)&gt;0)), 0), 0),
    IF(targetRow=0, "",
      LET(
        startDate, INDEX('PR管理'!$C$4:$C$101, targetRow),
        delLimit, INDEX('PR管理'!$F$4:$F$101, targetRow),
        prID, INDEX('PR管理'!$A$4:$A$101, targetRow),
        IF(AND('26414_編集版 のコピー 2'!Z$1 &gt;= startDate, '26414_編集版 のコピー 2'!Z$1 &lt;= delLimit), 
          IFERROR(VLOOKUP(Z89, '新規'!$E$2:$H142, 4, 0), 
          IFERROR(VLOOKUP(Z89, '特殊配信マスタ'!$E$3:$H142, 4, 0), 
          IFERROR(VLOOKUP(Z89, '自動求人✅'!$C$3:$F142, 4, 0), prID))), 
        "")
      )
    )
  )
)</f>
        <v/>
      </c>
      <c r="AB89" s="141" t="str">
        <f t="shared" si="5"/>
        <v/>
      </c>
      <c r="AC89" s="141"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141"/>
      <c r="AE89" s="141"/>
      <c r="AF89" s="139"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140" t="str">
        <f t="array" ref="AG89">IF(AF89="", "", 
  LET(
    targetRow, IFERROR(MATCH(TRUE, BYROW('PR管理'!$J$4:$T$101, LAMBDA(r, COUNTIF(r, AF89)&gt;0)), 0), 0),
    IF(targetRow=0, "",
      LET(
        startDate, INDEX('PR管理'!$C$4:$C$101, targetRow),
        delLimit, INDEX('PR管理'!$F$4:$F$101, targetRow),
        prID, INDEX('PR管理'!$A$4:$A$101, targetRow),
        IF(AND('26414_編集版 のコピー 2'!AF$1 &gt;= startDate, '26414_編集版 のコピー 2'!AF$1 &lt;= delLimit), 
          IFERROR(VLOOKUP(AF89, '新規'!$E$2:$H142, 4, 0), 
          IFERROR(VLOOKUP(AF89, '特殊配信マスタ'!$E$3:$H142, 4, 0), 
          IFERROR(VLOOKUP(AF89, '自動求人✅'!$C$3:$F142, 4, 0), prID))), 
        "")
      )
    )
  )
)</f>
        <v/>
      </c>
      <c r="AH89" s="141" t="str">
        <f t="shared" si="6"/>
        <v/>
      </c>
      <c r="AI89" s="141"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141"/>
      <c r="AK89" s="141"/>
      <c r="AL89" s="139"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140" t="str">
        <f t="array" ref="AM89">IF(AL89="", "", 
  LET(
    targetRow, IFERROR(MATCH(TRUE, BYROW('PR管理'!$J$4:$T$101, LAMBDA(r, COUNTIF(r, AL89)&gt;0)), 0), 0),
    IF(targetRow=0, "",
      LET(
        startDate, INDEX('PR管理'!$C$4:$C$101, targetRow),
        delLimit, INDEX('PR管理'!$F$4:$F$101, targetRow),
        prID, INDEX('PR管理'!$A$4:$A$101, targetRow),
        IF(AND('26414_編集版 のコピー 2'!AL$1 &gt;= startDate, '26414_編集版 のコピー 2'!AL$1 &lt;= delLimit), 
          IFERROR(VLOOKUP(AL89, '新規'!$E$2:$H142, 4, 0), 
          IFERROR(VLOOKUP(AL89, '特殊配信マスタ'!$E$3:$H142, 4, 0), 
          IFERROR(VLOOKUP(AL89, '自動求人✅'!$C$3:$F142, 4, 0), prID))), 
        "")
      )
    )
  )
)</f>
        <v/>
      </c>
      <c r="AN89" s="141" t="str">
        <f t="shared" si="7"/>
        <v/>
      </c>
      <c r="AO89" s="141"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141"/>
      <c r="AQ89" s="141"/>
    </row>
    <row r="90" ht="17.25" customHeight="1">
      <c r="A90" s="142"/>
      <c r="B90" s="139"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140" t="str">
        <f t="array" ref="C90">IF(B90="", "", 
  LET(
    targetRow, IFERROR(MATCH(TRUE, BYROW('PR管理'!$J$4:$T$101, LAMBDA(r, COUNTIF(r, B90)&gt;0)), 0), 0),
    IF(targetRow=0, "",
      LET(
        startDate, INDEX('PR管理'!$C$4:$C$101, targetRow),
        delLimit, INDEX('PR管理'!$F$4:$F$101, targetRow),
        prID, INDEX('PR管理'!$A$4:$A$101, targetRow),
        IF(AND('26414_編集版 のコピー 2'!B$1 &gt;= startDate, '26414_編集版 のコピー 2'!B$1 &lt;= delLimit), 
          IFERROR(VLOOKUP(B90, '新規'!$E$2:$H142, 4, 0), 
          IFERROR(VLOOKUP(B90, '特殊配信マスタ'!$E$3:$H142, 4, 0), 
          IFERROR(VLOOKUP(B90, '自動求人✅'!$C$3:$F142, 4, 0), prID))), 
        "")
      )
    )
  )
)</f>
        <v/>
      </c>
      <c r="D90" s="141" t="str">
        <f t="shared" si="1"/>
        <v/>
      </c>
      <c r="E90" s="141"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141"/>
      <c r="G90" s="141"/>
      <c r="H90" s="139"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140" t="str">
        <f t="array" ref="I90">IF(H90="", "", 
  LET(
    targetRow, IFERROR(MATCH(TRUE, BYROW('PR管理'!$J$4:$T$101, LAMBDA(r, COUNTIF(r, H90)&gt;0)), 0), 0),
    IF(targetRow=0, "",
      LET(
        startDate, INDEX('PR管理'!$C$4:$C$101, targetRow),
        delLimit, INDEX('PR管理'!$F$4:$F$101, targetRow),
        prID, INDEX('PR管理'!$A$4:$A$101, targetRow),
        IF(AND('26414_編集版 のコピー 2'!H$1 &gt;= startDate, '26414_編集版 のコピー 2'!H$1 &lt;= delLimit), 
          IFERROR(VLOOKUP(H90, '新規'!$E$2:$H142, 4, 0), 
          IFERROR(VLOOKUP(H90, '特殊配信マスタ'!$E$3:$H142, 4, 0), 
          IFERROR(VLOOKUP(H90, '自動求人✅'!$C$3:$F142, 4, 0), prID))), 
        "")
      )
    )
  )
)</f>
        <v/>
      </c>
      <c r="J90" s="141" t="str">
        <f t="shared" si="2"/>
        <v/>
      </c>
      <c r="K90" s="141"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141"/>
      <c r="M90" s="141"/>
      <c r="N90" s="139"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140" t="str">
        <f t="array" ref="O90">IF(N90="", "", 
  LET(
    targetRow, IFERROR(MATCH(TRUE, BYROW('PR管理'!$J$4:$T$101, LAMBDA(r, COUNTIF(r, N90)&gt;0)), 0), 0),
    IF(targetRow=0, "",
      LET(
        startDate, INDEX('PR管理'!$C$4:$C$101, targetRow),
        delLimit, INDEX('PR管理'!$F$4:$F$101, targetRow),
        prID, INDEX('PR管理'!$A$4:$A$101, targetRow),
        IF(AND('26414_編集版 のコピー 2'!N$1 &gt;= startDate, '26414_編集版 のコピー 2'!N$1 &lt;= delLimit), 
          IFERROR(VLOOKUP(N90, '新規'!$E$2:$H142, 4, 0), 
          IFERROR(VLOOKUP(N90, '特殊配信マスタ'!$E$3:$H142, 4, 0), 
          IFERROR(VLOOKUP(N90, '自動求人✅'!$C$3:$F142, 4, 0), prID))), 
        "")
      )
    )
  )
)</f>
        <v/>
      </c>
      <c r="P90" s="141" t="str">
        <f t="shared" si="3"/>
        <v/>
      </c>
      <c r="Q90" s="141"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141"/>
      <c r="S90" s="141"/>
      <c r="T90" s="139"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140" t="str">
        <f t="array" ref="U90">IF(T90="", "", 
  LET(
    targetRow, IFERROR(MATCH(TRUE, BYROW('PR管理'!$J$4:$T$101, LAMBDA(r, COUNTIF(r, T90)&gt;0)), 0), 0),
    IF(targetRow=0, "",
      LET(
        startDate, INDEX('PR管理'!$C$4:$C$101, targetRow),
        delLimit, INDEX('PR管理'!$F$4:$F$101, targetRow),
        prID, INDEX('PR管理'!$A$4:$A$101, targetRow),
        IF(AND('26414_編集版 のコピー 2'!T$1 &gt;= startDate, '26414_編集版 のコピー 2'!T$1 &lt;= delLimit), 
          IFERROR(VLOOKUP(T90, '新規'!$E$2:$H142, 4, 0), 
          IFERROR(VLOOKUP(T90, '特殊配信マスタ'!$E$3:$H142, 4, 0), 
          IFERROR(VLOOKUP(T90, '自動求人✅'!$C$3:$F142, 4, 0), prID))), 
        "")
      )
    )
  )
)</f>
        <v/>
      </c>
      <c r="V90" s="141" t="str">
        <f t="shared" si="4"/>
        <v/>
      </c>
      <c r="W90" s="141"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141"/>
      <c r="Y90" s="141"/>
      <c r="Z90" s="139"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140" t="str">
        <f t="array" ref="AA90">IF(Z90="", "", 
  LET(
    targetRow, IFERROR(MATCH(TRUE, BYROW('PR管理'!$J$4:$T$101, LAMBDA(r, COUNTIF(r, Z90)&gt;0)), 0), 0),
    IF(targetRow=0, "",
      LET(
        startDate, INDEX('PR管理'!$C$4:$C$101, targetRow),
        delLimit, INDEX('PR管理'!$F$4:$F$101, targetRow),
        prID, INDEX('PR管理'!$A$4:$A$101, targetRow),
        IF(AND('26414_編集版 のコピー 2'!Z$1 &gt;= startDate, '26414_編集版 のコピー 2'!Z$1 &lt;= delLimit), 
          IFERROR(VLOOKUP(Z90, '新規'!$E$2:$H142, 4, 0), 
          IFERROR(VLOOKUP(Z90, '特殊配信マスタ'!$E$3:$H142, 4, 0), 
          IFERROR(VLOOKUP(Z90, '自動求人✅'!$C$3:$F142, 4, 0), prID))), 
        "")
      )
    )
  )
)</f>
        <v/>
      </c>
      <c r="AB90" s="141" t="str">
        <f t="shared" si="5"/>
        <v/>
      </c>
      <c r="AC90" s="141"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141"/>
      <c r="AE90" s="141"/>
      <c r="AF90" s="139"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140" t="str">
        <f t="array" ref="AG90">IF(AF90="", "", 
  LET(
    targetRow, IFERROR(MATCH(TRUE, BYROW('PR管理'!$J$4:$T$101, LAMBDA(r, COUNTIF(r, AF90)&gt;0)), 0), 0),
    IF(targetRow=0, "",
      LET(
        startDate, INDEX('PR管理'!$C$4:$C$101, targetRow),
        delLimit, INDEX('PR管理'!$F$4:$F$101, targetRow),
        prID, INDEX('PR管理'!$A$4:$A$101, targetRow),
        IF(AND('26414_編集版 のコピー 2'!AF$1 &gt;= startDate, '26414_編集版 のコピー 2'!AF$1 &lt;= delLimit), 
          IFERROR(VLOOKUP(AF90, '新規'!$E$2:$H142, 4, 0), 
          IFERROR(VLOOKUP(AF90, '特殊配信マスタ'!$E$3:$H142, 4, 0), 
          IFERROR(VLOOKUP(AF90, '自動求人✅'!$C$3:$F142, 4, 0), prID))), 
        "")
      )
    )
  )
)</f>
        <v/>
      </c>
      <c r="AH90" s="141" t="str">
        <f t="shared" si="6"/>
        <v/>
      </c>
      <c r="AI90" s="141"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141"/>
      <c r="AK90" s="141"/>
      <c r="AL90" s="139"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140" t="str">
        <f t="array" ref="AM90">IF(AL90="", "", 
  LET(
    targetRow, IFERROR(MATCH(TRUE, BYROW('PR管理'!$J$4:$T$101, LAMBDA(r, COUNTIF(r, AL90)&gt;0)), 0), 0),
    IF(targetRow=0, "",
      LET(
        startDate, INDEX('PR管理'!$C$4:$C$101, targetRow),
        delLimit, INDEX('PR管理'!$F$4:$F$101, targetRow),
        prID, INDEX('PR管理'!$A$4:$A$101, targetRow),
        IF(AND('26414_編集版 のコピー 2'!AL$1 &gt;= startDate, '26414_編集版 のコピー 2'!AL$1 &lt;= delLimit), 
          IFERROR(VLOOKUP(AL90, '新規'!$E$2:$H142, 4, 0), 
          IFERROR(VLOOKUP(AL90, '特殊配信マスタ'!$E$3:$H142, 4, 0), 
          IFERROR(VLOOKUP(AL90, '自動求人✅'!$C$3:$F142, 4, 0), prID))), 
        "")
      )
    )
  )
)</f>
        <v/>
      </c>
      <c r="AN90" s="141" t="str">
        <f t="shared" si="7"/>
        <v/>
      </c>
      <c r="AO90" s="141"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141"/>
      <c r="AQ90" s="141"/>
    </row>
    <row r="91" ht="17.25" customHeight="1">
      <c r="A91" s="142"/>
      <c r="B91" s="139"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140" t="str">
        <f t="array" ref="C91">IF(B91="", "", 
  LET(
    targetRow, IFERROR(MATCH(TRUE, BYROW('PR管理'!$J$4:$T$101, LAMBDA(r, COUNTIF(r, B91)&gt;0)), 0), 0),
    IF(targetRow=0, "",
      LET(
        startDate, INDEX('PR管理'!$C$4:$C$101, targetRow),
        delLimit, INDEX('PR管理'!$F$4:$F$101, targetRow),
        prID, INDEX('PR管理'!$A$4:$A$101, targetRow),
        IF(AND('26414_編集版 のコピー 2'!B$1 &gt;= startDate, '26414_編集版 のコピー 2'!B$1 &lt;= delLimit), 
          IFERROR(VLOOKUP(B91, '新規'!$E$2:$H142, 4, 0), 
          IFERROR(VLOOKUP(B91, '特殊配信マスタ'!$E$3:$H142, 4, 0), 
          IFERROR(VLOOKUP(B91, '自動求人✅'!$C$3:$F142, 4, 0), prID))), 
        "")
      )
    )
  )
)</f>
        <v/>
      </c>
      <c r="D91" s="141" t="str">
        <f t="shared" si="1"/>
        <v/>
      </c>
      <c r="E91" s="141"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141"/>
      <c r="G91" s="141"/>
      <c r="H91" s="139"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140" t="str">
        <f t="array" ref="I91">IF(H91="", "", 
  LET(
    targetRow, IFERROR(MATCH(TRUE, BYROW('PR管理'!$J$4:$T$101, LAMBDA(r, COUNTIF(r, H91)&gt;0)), 0), 0),
    IF(targetRow=0, "",
      LET(
        startDate, INDEX('PR管理'!$C$4:$C$101, targetRow),
        delLimit, INDEX('PR管理'!$F$4:$F$101, targetRow),
        prID, INDEX('PR管理'!$A$4:$A$101, targetRow),
        IF(AND('26414_編集版 のコピー 2'!H$1 &gt;= startDate, '26414_編集版 のコピー 2'!H$1 &lt;= delLimit), 
          IFERROR(VLOOKUP(H91, '新規'!$E$2:$H142, 4, 0), 
          IFERROR(VLOOKUP(H91, '特殊配信マスタ'!$E$3:$H142, 4, 0), 
          IFERROR(VLOOKUP(H91, '自動求人✅'!$C$3:$F142, 4, 0), prID))), 
        "")
      )
    )
  )
)</f>
        <v/>
      </c>
      <c r="J91" s="141" t="str">
        <f t="shared" si="2"/>
        <v/>
      </c>
      <c r="K91" s="141"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141"/>
      <c r="M91" s="141"/>
      <c r="N91" s="139"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140" t="str">
        <f t="array" ref="O91">IF(N91="", "", 
  LET(
    targetRow, IFERROR(MATCH(TRUE, BYROW('PR管理'!$J$4:$T$101, LAMBDA(r, COUNTIF(r, N91)&gt;0)), 0), 0),
    IF(targetRow=0, "",
      LET(
        startDate, INDEX('PR管理'!$C$4:$C$101, targetRow),
        delLimit, INDEX('PR管理'!$F$4:$F$101, targetRow),
        prID, INDEX('PR管理'!$A$4:$A$101, targetRow),
        IF(AND('26414_編集版 のコピー 2'!N$1 &gt;= startDate, '26414_編集版 のコピー 2'!N$1 &lt;= delLimit), 
          IFERROR(VLOOKUP(N91, '新規'!$E$2:$H142, 4, 0), 
          IFERROR(VLOOKUP(N91, '特殊配信マスタ'!$E$3:$H142, 4, 0), 
          IFERROR(VLOOKUP(N91, '自動求人✅'!$C$3:$F142, 4, 0), prID))), 
        "")
      )
    )
  )
)</f>
        <v/>
      </c>
      <c r="P91" s="141" t="str">
        <f t="shared" si="3"/>
        <v/>
      </c>
      <c r="Q91" s="141"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141"/>
      <c r="S91" s="141"/>
      <c r="T91" s="139"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140" t="str">
        <f t="array" ref="U91">IF(T91="", "", 
  LET(
    targetRow, IFERROR(MATCH(TRUE, BYROW('PR管理'!$J$4:$T$101, LAMBDA(r, COUNTIF(r, T91)&gt;0)), 0), 0),
    IF(targetRow=0, "",
      LET(
        startDate, INDEX('PR管理'!$C$4:$C$101, targetRow),
        delLimit, INDEX('PR管理'!$F$4:$F$101, targetRow),
        prID, INDEX('PR管理'!$A$4:$A$101, targetRow),
        IF(AND('26414_編集版 のコピー 2'!T$1 &gt;= startDate, '26414_編集版 のコピー 2'!T$1 &lt;= delLimit), 
          IFERROR(VLOOKUP(T91, '新規'!$E$2:$H142, 4, 0), 
          IFERROR(VLOOKUP(T91, '特殊配信マスタ'!$E$3:$H142, 4, 0), 
          IFERROR(VLOOKUP(T91, '自動求人✅'!$C$3:$F142, 4, 0), prID))), 
        "")
      )
    )
  )
)</f>
        <v/>
      </c>
      <c r="V91" s="141" t="str">
        <f t="shared" si="4"/>
        <v/>
      </c>
      <c r="W91" s="141"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141"/>
      <c r="Y91" s="141"/>
      <c r="Z91" s="139"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140" t="str">
        <f t="array" ref="AA91">IF(Z91="", "", 
  LET(
    targetRow, IFERROR(MATCH(TRUE, BYROW('PR管理'!$J$4:$T$101, LAMBDA(r, COUNTIF(r, Z91)&gt;0)), 0), 0),
    IF(targetRow=0, "",
      LET(
        startDate, INDEX('PR管理'!$C$4:$C$101, targetRow),
        delLimit, INDEX('PR管理'!$F$4:$F$101, targetRow),
        prID, INDEX('PR管理'!$A$4:$A$101, targetRow),
        IF(AND('26414_編集版 のコピー 2'!Z$1 &gt;= startDate, '26414_編集版 のコピー 2'!Z$1 &lt;= delLimit), 
          IFERROR(VLOOKUP(Z91, '新規'!$E$2:$H142, 4, 0), 
          IFERROR(VLOOKUP(Z91, '特殊配信マスタ'!$E$3:$H142, 4, 0), 
          IFERROR(VLOOKUP(Z91, '自動求人✅'!$C$3:$F142, 4, 0), prID))), 
        "")
      )
    )
  )
)</f>
        <v/>
      </c>
      <c r="AB91" s="141" t="str">
        <f t="shared" si="5"/>
        <v/>
      </c>
      <c r="AC91" s="141"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141"/>
      <c r="AE91" s="141"/>
      <c r="AF91" s="139"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140" t="str">
        <f t="array" ref="AG91">IF(AF91="", "", 
  LET(
    targetRow, IFERROR(MATCH(TRUE, BYROW('PR管理'!$J$4:$T$101, LAMBDA(r, COUNTIF(r, AF91)&gt;0)), 0), 0),
    IF(targetRow=0, "",
      LET(
        startDate, INDEX('PR管理'!$C$4:$C$101, targetRow),
        delLimit, INDEX('PR管理'!$F$4:$F$101, targetRow),
        prID, INDEX('PR管理'!$A$4:$A$101, targetRow),
        IF(AND('26414_編集版 のコピー 2'!AF$1 &gt;= startDate, '26414_編集版 のコピー 2'!AF$1 &lt;= delLimit), 
          IFERROR(VLOOKUP(AF91, '新規'!$E$2:$H142, 4, 0), 
          IFERROR(VLOOKUP(AF91, '特殊配信マスタ'!$E$3:$H142, 4, 0), 
          IFERROR(VLOOKUP(AF91, '自動求人✅'!$C$3:$F142, 4, 0), prID))), 
        "")
      )
    )
  )
)</f>
        <v/>
      </c>
      <c r="AH91" s="141" t="str">
        <f t="shared" si="6"/>
        <v/>
      </c>
      <c r="AI91" s="141"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141"/>
      <c r="AK91" s="141"/>
      <c r="AL91" s="139"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140" t="str">
        <f t="array" ref="AM91">IF(AL91="", "", 
  LET(
    targetRow, IFERROR(MATCH(TRUE, BYROW('PR管理'!$J$4:$T$101, LAMBDA(r, COUNTIF(r, AL91)&gt;0)), 0), 0),
    IF(targetRow=0, "",
      LET(
        startDate, INDEX('PR管理'!$C$4:$C$101, targetRow),
        delLimit, INDEX('PR管理'!$F$4:$F$101, targetRow),
        prID, INDEX('PR管理'!$A$4:$A$101, targetRow),
        IF(AND('26414_編集版 のコピー 2'!AL$1 &gt;= startDate, '26414_編集版 のコピー 2'!AL$1 &lt;= delLimit), 
          IFERROR(VLOOKUP(AL91, '新規'!$E$2:$H142, 4, 0), 
          IFERROR(VLOOKUP(AL91, '特殊配信マスタ'!$E$3:$H142, 4, 0), 
          IFERROR(VLOOKUP(AL91, '自動求人✅'!$C$3:$F142, 4, 0), prID))), 
        "")
      )
    )
  )
)</f>
        <v/>
      </c>
      <c r="AN91" s="141" t="str">
        <f t="shared" si="7"/>
        <v/>
      </c>
      <c r="AO91" s="141"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141"/>
      <c r="AQ91" s="141"/>
    </row>
    <row r="92" ht="17.25" customHeight="1">
      <c r="A92" s="142"/>
      <c r="B92" s="139"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140" t="str">
        <f t="array" ref="C92">IF(B92="", "", 
  LET(
    targetRow, IFERROR(MATCH(TRUE, BYROW('PR管理'!$J$4:$T$101, LAMBDA(r, COUNTIF(r, B92)&gt;0)), 0), 0),
    IF(targetRow=0, "",
      LET(
        startDate, INDEX('PR管理'!$C$4:$C$101, targetRow),
        delLimit, INDEX('PR管理'!$F$4:$F$101, targetRow),
        prID, INDEX('PR管理'!$A$4:$A$101, targetRow),
        IF(AND('26414_編集版 のコピー 2'!B$1 &gt;= startDate, '26414_編集版 のコピー 2'!B$1 &lt;= delLimit), 
          IFERROR(VLOOKUP(B92, '新規'!$E$2:$H142, 4, 0), 
          IFERROR(VLOOKUP(B92, '特殊配信マスタ'!$E$3:$H142, 4, 0), 
          IFERROR(VLOOKUP(B92, '自動求人✅'!$C$3:$F142, 4, 0), prID))), 
        "")
      )
    )
  )
)</f>
        <v/>
      </c>
      <c r="D92" s="141" t="str">
        <f t="shared" si="1"/>
        <v/>
      </c>
      <c r="E92" s="141"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141"/>
      <c r="G92" s="141"/>
      <c r="H92" s="139"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140" t="str">
        <f t="array" ref="I92">IF(H92="", "", 
  LET(
    targetRow, IFERROR(MATCH(TRUE, BYROW('PR管理'!$J$4:$T$101, LAMBDA(r, COUNTIF(r, H92)&gt;0)), 0), 0),
    IF(targetRow=0, "",
      LET(
        startDate, INDEX('PR管理'!$C$4:$C$101, targetRow),
        delLimit, INDEX('PR管理'!$F$4:$F$101, targetRow),
        prID, INDEX('PR管理'!$A$4:$A$101, targetRow),
        IF(AND('26414_編集版 のコピー 2'!H$1 &gt;= startDate, '26414_編集版 のコピー 2'!H$1 &lt;= delLimit), 
          IFERROR(VLOOKUP(H92, '新規'!$E$2:$H142, 4, 0), 
          IFERROR(VLOOKUP(H92, '特殊配信マスタ'!$E$3:$H142, 4, 0), 
          IFERROR(VLOOKUP(H92, '自動求人✅'!$C$3:$F142, 4, 0), prID))), 
        "")
      )
    )
  )
)</f>
        <v/>
      </c>
      <c r="J92" s="141" t="str">
        <f t="shared" si="2"/>
        <v/>
      </c>
      <c r="K92" s="141"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141"/>
      <c r="M92" s="141"/>
      <c r="N92" s="139"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140" t="str">
        <f t="array" ref="O92">IF(N92="", "", 
  LET(
    targetRow, IFERROR(MATCH(TRUE, BYROW('PR管理'!$J$4:$T$101, LAMBDA(r, COUNTIF(r, N92)&gt;0)), 0), 0),
    IF(targetRow=0, "",
      LET(
        startDate, INDEX('PR管理'!$C$4:$C$101, targetRow),
        delLimit, INDEX('PR管理'!$F$4:$F$101, targetRow),
        prID, INDEX('PR管理'!$A$4:$A$101, targetRow),
        IF(AND('26414_編集版 のコピー 2'!N$1 &gt;= startDate, '26414_編集版 のコピー 2'!N$1 &lt;= delLimit), 
          IFERROR(VLOOKUP(N92, '新規'!$E$2:$H142, 4, 0), 
          IFERROR(VLOOKUP(N92, '特殊配信マスタ'!$E$3:$H142, 4, 0), 
          IFERROR(VLOOKUP(N92, '自動求人✅'!$C$3:$F142, 4, 0), prID))), 
        "")
      )
    )
  )
)</f>
        <v/>
      </c>
      <c r="P92" s="141" t="str">
        <f t="shared" si="3"/>
        <v/>
      </c>
      <c r="Q92" s="141"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141"/>
      <c r="S92" s="141"/>
      <c r="T92" s="139"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140" t="str">
        <f t="array" ref="U92">IF(T92="", "", 
  LET(
    targetRow, IFERROR(MATCH(TRUE, BYROW('PR管理'!$J$4:$T$101, LAMBDA(r, COUNTIF(r, T92)&gt;0)), 0), 0),
    IF(targetRow=0, "",
      LET(
        startDate, INDEX('PR管理'!$C$4:$C$101, targetRow),
        delLimit, INDEX('PR管理'!$F$4:$F$101, targetRow),
        prID, INDEX('PR管理'!$A$4:$A$101, targetRow),
        IF(AND('26414_編集版 のコピー 2'!T$1 &gt;= startDate, '26414_編集版 のコピー 2'!T$1 &lt;= delLimit), 
          IFERROR(VLOOKUP(T92, '新規'!$E$2:$H142, 4, 0), 
          IFERROR(VLOOKUP(T92, '特殊配信マスタ'!$E$3:$H142, 4, 0), 
          IFERROR(VLOOKUP(T92, '自動求人✅'!$C$3:$F142, 4, 0), prID))), 
        "")
      )
    )
  )
)</f>
        <v/>
      </c>
      <c r="V92" s="141" t="str">
        <f t="shared" si="4"/>
        <v/>
      </c>
      <c r="W92" s="141"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141"/>
      <c r="Y92" s="141"/>
      <c r="Z92" s="139"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140" t="str">
        <f t="array" ref="AA92">IF(Z92="", "", 
  LET(
    targetRow, IFERROR(MATCH(TRUE, BYROW('PR管理'!$J$4:$T$101, LAMBDA(r, COUNTIF(r, Z92)&gt;0)), 0), 0),
    IF(targetRow=0, "",
      LET(
        startDate, INDEX('PR管理'!$C$4:$C$101, targetRow),
        delLimit, INDEX('PR管理'!$F$4:$F$101, targetRow),
        prID, INDEX('PR管理'!$A$4:$A$101, targetRow),
        IF(AND('26414_編集版 のコピー 2'!Z$1 &gt;= startDate, '26414_編集版 のコピー 2'!Z$1 &lt;= delLimit), 
          IFERROR(VLOOKUP(Z92, '新規'!$E$2:$H142, 4, 0), 
          IFERROR(VLOOKUP(Z92, '特殊配信マスタ'!$E$3:$H142, 4, 0), 
          IFERROR(VLOOKUP(Z92, '自動求人✅'!$C$3:$F142, 4, 0), prID))), 
        "")
      )
    )
  )
)</f>
        <v/>
      </c>
      <c r="AB92" s="141" t="str">
        <f t="shared" si="5"/>
        <v/>
      </c>
      <c r="AC92" s="141"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141"/>
      <c r="AE92" s="141"/>
      <c r="AF92" s="139"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140" t="str">
        <f t="array" ref="AG92">IF(AF92="", "", 
  LET(
    targetRow, IFERROR(MATCH(TRUE, BYROW('PR管理'!$J$4:$T$101, LAMBDA(r, COUNTIF(r, AF92)&gt;0)), 0), 0),
    IF(targetRow=0, "",
      LET(
        startDate, INDEX('PR管理'!$C$4:$C$101, targetRow),
        delLimit, INDEX('PR管理'!$F$4:$F$101, targetRow),
        prID, INDEX('PR管理'!$A$4:$A$101, targetRow),
        IF(AND('26414_編集版 のコピー 2'!AF$1 &gt;= startDate, '26414_編集版 のコピー 2'!AF$1 &lt;= delLimit), 
          IFERROR(VLOOKUP(AF92, '新規'!$E$2:$H142, 4, 0), 
          IFERROR(VLOOKUP(AF92, '特殊配信マスタ'!$E$3:$H142, 4, 0), 
          IFERROR(VLOOKUP(AF92, '自動求人✅'!$C$3:$F142, 4, 0), prID))), 
        "")
      )
    )
  )
)</f>
        <v/>
      </c>
      <c r="AH92" s="141" t="str">
        <f t="shared" si="6"/>
        <v/>
      </c>
      <c r="AI92" s="141"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141"/>
      <c r="AK92" s="141"/>
      <c r="AL92" s="139"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140" t="str">
        <f t="array" ref="AM92">IF(AL92="", "", 
  LET(
    targetRow, IFERROR(MATCH(TRUE, BYROW('PR管理'!$J$4:$T$101, LAMBDA(r, COUNTIF(r, AL92)&gt;0)), 0), 0),
    IF(targetRow=0, "",
      LET(
        startDate, INDEX('PR管理'!$C$4:$C$101, targetRow),
        delLimit, INDEX('PR管理'!$F$4:$F$101, targetRow),
        prID, INDEX('PR管理'!$A$4:$A$101, targetRow),
        IF(AND('26414_編集版 のコピー 2'!AL$1 &gt;= startDate, '26414_編集版 のコピー 2'!AL$1 &lt;= delLimit), 
          IFERROR(VLOOKUP(AL92, '新規'!$E$2:$H142, 4, 0), 
          IFERROR(VLOOKUP(AL92, '特殊配信マスタ'!$E$3:$H142, 4, 0), 
          IFERROR(VLOOKUP(AL92, '自動求人✅'!$C$3:$F142, 4, 0), prID))), 
        "")
      )
    )
  )
)</f>
        <v/>
      </c>
      <c r="AN92" s="141" t="str">
        <f t="shared" si="7"/>
        <v/>
      </c>
      <c r="AO92" s="141"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141"/>
      <c r="AQ92" s="141"/>
    </row>
    <row r="93" ht="17.25" customHeight="1">
      <c r="A93" s="138">
        <f>A83+1</f>
        <v>17</v>
      </c>
      <c r="B93" s="139"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140" t="str">
        <f t="array" ref="C93">IF(B93="", "", 
  LET(
    targetRow, IFERROR(MATCH(TRUE, BYROW('PR管理'!$J$4:$T$101, LAMBDA(r, COUNTIF(r, B93)&gt;0)), 0), 0),
    IF(targetRow=0, "",
      LET(
        startDate, INDEX('PR管理'!$C$4:$C$101, targetRow),
        delLimit, INDEX('PR管理'!$F$4:$F$101, targetRow),
        prID, INDEX('PR管理'!$A$4:$A$101, targetRow),
        IF(AND('26414_編集版 のコピー 2'!B$1 &gt;= startDate, '26414_編集版 のコピー 2'!B$1 &lt;= delLimit), 
          IFERROR(VLOOKUP(B93, '新規'!$E$2:$H142, 4, 0), 
          IFERROR(VLOOKUP(B93, '特殊配信マスタ'!$E$3:$H142, 4, 0), 
          IFERROR(VLOOKUP(B93, '自動求人✅'!$C$3:$F142, 4, 0), prID))), 
        "")
      )
    )
  )
)</f>
        <v/>
      </c>
      <c r="D93" s="141" t="str">
        <f t="shared" si="1"/>
        <v/>
      </c>
      <c r="E93" s="141"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141"/>
      <c r="G93" s="141"/>
      <c r="H93" s="139"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140" t="str">
        <f t="array" ref="I93">IF(H93="", "", 
  LET(
    targetRow, IFERROR(MATCH(TRUE, BYROW('PR管理'!$J$4:$T$101, LAMBDA(r, COUNTIF(r, H93)&gt;0)), 0), 0),
    IF(targetRow=0, "",
      LET(
        startDate, INDEX('PR管理'!$C$4:$C$101, targetRow),
        delLimit, INDEX('PR管理'!$F$4:$F$101, targetRow),
        prID, INDEX('PR管理'!$A$4:$A$101, targetRow),
        IF(AND('26414_編集版 のコピー 2'!H$1 &gt;= startDate, '26414_編集版 のコピー 2'!H$1 &lt;= delLimit), 
          IFERROR(VLOOKUP(H93, '新規'!$E$2:$H142, 4, 0), 
          IFERROR(VLOOKUP(H93, '特殊配信マスタ'!$E$3:$H142, 4, 0), 
          IFERROR(VLOOKUP(H93, '自動求人✅'!$C$3:$F142, 4, 0), prID))), 
        "")
      )
    )
  )
)</f>
        <v/>
      </c>
      <c r="J93" s="141" t="str">
        <f t="shared" si="2"/>
        <v/>
      </c>
      <c r="K93" s="141"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141"/>
      <c r="M93" s="141"/>
      <c r="N93" s="139"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140" t="str">
        <f t="array" ref="O93">IF(N93="", "", 
  LET(
    targetRow, IFERROR(MATCH(TRUE, BYROW('PR管理'!$J$4:$T$101, LAMBDA(r, COUNTIF(r, N93)&gt;0)), 0), 0),
    IF(targetRow=0, "",
      LET(
        startDate, INDEX('PR管理'!$C$4:$C$101, targetRow),
        delLimit, INDEX('PR管理'!$F$4:$F$101, targetRow),
        prID, INDEX('PR管理'!$A$4:$A$101, targetRow),
        IF(AND('26414_編集版 のコピー 2'!N$1 &gt;= startDate, '26414_編集版 のコピー 2'!N$1 &lt;= delLimit), 
          IFERROR(VLOOKUP(N93, '新規'!$E$2:$H142, 4, 0), 
          IFERROR(VLOOKUP(N93, '特殊配信マスタ'!$E$3:$H142, 4, 0), 
          IFERROR(VLOOKUP(N93, '自動求人✅'!$C$3:$F142, 4, 0), prID))), 
        "")
      )
    )
  )
)</f>
        <v/>
      </c>
      <c r="P93" s="141" t="str">
        <f t="shared" si="3"/>
        <v/>
      </c>
      <c r="Q93" s="141"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141"/>
      <c r="S93" s="141"/>
      <c r="T93" s="139"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140" t="str">
        <f t="array" ref="U93">IF(T93="", "", 
  LET(
    targetRow, IFERROR(MATCH(TRUE, BYROW('PR管理'!$J$4:$T$101, LAMBDA(r, COUNTIF(r, T93)&gt;0)), 0), 0),
    IF(targetRow=0, "",
      LET(
        startDate, INDEX('PR管理'!$C$4:$C$101, targetRow),
        delLimit, INDEX('PR管理'!$F$4:$F$101, targetRow),
        prID, INDEX('PR管理'!$A$4:$A$101, targetRow),
        IF(AND('26414_編集版 のコピー 2'!T$1 &gt;= startDate, '26414_編集版 のコピー 2'!T$1 &lt;= delLimit), 
          IFERROR(VLOOKUP(T93, '新規'!$E$2:$H142, 4, 0), 
          IFERROR(VLOOKUP(T93, '特殊配信マスタ'!$E$3:$H142, 4, 0), 
          IFERROR(VLOOKUP(T93, '自動求人✅'!$C$3:$F142, 4, 0), prID))), 
        "")
      )
    )
  )
)</f>
        <v/>
      </c>
      <c r="V93" s="141" t="str">
        <f t="shared" si="4"/>
        <v/>
      </c>
      <c r="W93" s="141"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141"/>
      <c r="Y93" s="141"/>
      <c r="Z93" s="139"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140" t="str">
        <f t="array" ref="AA93">IF(Z93="", "", 
  LET(
    targetRow, IFERROR(MATCH(TRUE, BYROW('PR管理'!$J$4:$T$101, LAMBDA(r, COUNTIF(r, Z93)&gt;0)), 0), 0),
    IF(targetRow=0, "",
      LET(
        startDate, INDEX('PR管理'!$C$4:$C$101, targetRow),
        delLimit, INDEX('PR管理'!$F$4:$F$101, targetRow),
        prID, INDEX('PR管理'!$A$4:$A$101, targetRow),
        IF(AND('26414_編集版 のコピー 2'!Z$1 &gt;= startDate, '26414_編集版 のコピー 2'!Z$1 &lt;= delLimit), 
          IFERROR(VLOOKUP(Z93, '新規'!$E$2:$H142, 4, 0), 
          IFERROR(VLOOKUP(Z93, '特殊配信マスタ'!$E$3:$H142, 4, 0), 
          IFERROR(VLOOKUP(Z93, '自動求人✅'!$C$3:$F142, 4, 0), prID))), 
        "")
      )
    )
  )
)</f>
        <v/>
      </c>
      <c r="AB93" s="141" t="str">
        <f t="shared" si="5"/>
        <v/>
      </c>
      <c r="AC93" s="141"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141"/>
      <c r="AE93" s="141"/>
      <c r="AF93" s="139"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140" t="str">
        <f t="array" ref="AG93">IF(AF93="", "", 
  LET(
    targetRow, IFERROR(MATCH(TRUE, BYROW('PR管理'!$J$4:$T$101, LAMBDA(r, COUNTIF(r, AF93)&gt;0)), 0), 0),
    IF(targetRow=0, "",
      LET(
        startDate, INDEX('PR管理'!$C$4:$C$101, targetRow),
        delLimit, INDEX('PR管理'!$F$4:$F$101, targetRow),
        prID, INDEX('PR管理'!$A$4:$A$101, targetRow),
        IF(AND('26414_編集版 のコピー 2'!AF$1 &gt;= startDate, '26414_編集版 のコピー 2'!AF$1 &lt;= delLimit), 
          IFERROR(VLOOKUP(AF93, '新規'!$E$2:$H142, 4, 0), 
          IFERROR(VLOOKUP(AF93, '特殊配信マスタ'!$E$3:$H142, 4, 0), 
          IFERROR(VLOOKUP(AF93, '自動求人✅'!$C$3:$F142, 4, 0), prID))), 
        "")
      )
    )
  )
)</f>
        <v/>
      </c>
      <c r="AH93" s="141" t="str">
        <f t="shared" si="6"/>
        <v/>
      </c>
      <c r="AI93" s="141"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141"/>
      <c r="AK93" s="141"/>
      <c r="AL93" s="139"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140" t="str">
        <f t="array" ref="AM93">IF(AL93="", "", 
  LET(
    targetRow, IFERROR(MATCH(TRUE, BYROW('PR管理'!$J$4:$T$101, LAMBDA(r, COUNTIF(r, AL93)&gt;0)), 0), 0),
    IF(targetRow=0, "",
      LET(
        startDate, INDEX('PR管理'!$C$4:$C$101, targetRow),
        delLimit, INDEX('PR管理'!$F$4:$F$101, targetRow),
        prID, INDEX('PR管理'!$A$4:$A$101, targetRow),
        IF(AND('26414_編集版 のコピー 2'!AL$1 &gt;= startDate, '26414_編集版 のコピー 2'!AL$1 &lt;= delLimit), 
          IFERROR(VLOOKUP(AL93, '新規'!$E$2:$H142, 4, 0), 
          IFERROR(VLOOKUP(AL93, '特殊配信マスタ'!$E$3:$H142, 4, 0), 
          IFERROR(VLOOKUP(AL93, '自動求人✅'!$C$3:$F142, 4, 0), prID))), 
        "")
      )
    )
  )
)</f>
        <v/>
      </c>
      <c r="AN93" s="141" t="str">
        <f t="shared" si="7"/>
        <v/>
      </c>
      <c r="AO93" s="141"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141"/>
      <c r="AQ93" s="141"/>
    </row>
    <row r="94" ht="17.25" customHeight="1">
      <c r="A94" s="142"/>
      <c r="B94" s="139"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140" t="str">
        <f t="array" ref="C94">IF(B94="", "", 
  LET(
    targetRow, IFERROR(MATCH(TRUE, BYROW('PR管理'!$J$4:$T$101, LAMBDA(r, COUNTIF(r, B94)&gt;0)), 0), 0),
    IF(targetRow=0, "",
      LET(
        startDate, INDEX('PR管理'!$C$4:$C$101, targetRow),
        delLimit, INDEX('PR管理'!$F$4:$F$101, targetRow),
        prID, INDEX('PR管理'!$A$4:$A$101, targetRow),
        IF(AND('26414_編集版 のコピー 2'!B$1 &gt;= startDate, '26414_編集版 のコピー 2'!B$1 &lt;= delLimit), 
          IFERROR(VLOOKUP(B94, '新規'!$E$2:$H142, 4, 0), 
          IFERROR(VLOOKUP(B94, '特殊配信マスタ'!$E$3:$H142, 4, 0), 
          IFERROR(VLOOKUP(B94, '自動求人✅'!$C$3:$F142, 4, 0), prID))), 
        "")
      )
    )
  )
)</f>
        <v/>
      </c>
      <c r="D94" s="141" t="str">
        <f t="shared" si="1"/>
        <v/>
      </c>
      <c r="E94" s="141"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141"/>
      <c r="G94" s="141"/>
      <c r="H94" s="139"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140" t="str">
        <f t="array" ref="I94">IF(H94="", "", 
  LET(
    targetRow, IFERROR(MATCH(TRUE, BYROW('PR管理'!$J$4:$T$101, LAMBDA(r, COUNTIF(r, H94)&gt;0)), 0), 0),
    IF(targetRow=0, "",
      LET(
        startDate, INDEX('PR管理'!$C$4:$C$101, targetRow),
        delLimit, INDEX('PR管理'!$F$4:$F$101, targetRow),
        prID, INDEX('PR管理'!$A$4:$A$101, targetRow),
        IF(AND('26414_編集版 のコピー 2'!H$1 &gt;= startDate, '26414_編集版 のコピー 2'!H$1 &lt;= delLimit), 
          IFERROR(VLOOKUP(H94, '新規'!$E$2:$H142, 4, 0), 
          IFERROR(VLOOKUP(H94, '特殊配信マスタ'!$E$3:$H142, 4, 0), 
          IFERROR(VLOOKUP(H94, '自動求人✅'!$C$3:$F142, 4, 0), prID))), 
        "")
      )
    )
  )
)</f>
        <v/>
      </c>
      <c r="J94" s="141" t="str">
        <f t="shared" si="2"/>
        <v/>
      </c>
      <c r="K94" s="141"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141"/>
      <c r="M94" s="141"/>
      <c r="N94" s="139"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140" t="str">
        <f t="array" ref="O94">IF(N94="", "", 
  LET(
    targetRow, IFERROR(MATCH(TRUE, BYROW('PR管理'!$J$4:$T$101, LAMBDA(r, COUNTIF(r, N94)&gt;0)), 0), 0),
    IF(targetRow=0, "",
      LET(
        startDate, INDEX('PR管理'!$C$4:$C$101, targetRow),
        delLimit, INDEX('PR管理'!$F$4:$F$101, targetRow),
        prID, INDEX('PR管理'!$A$4:$A$101, targetRow),
        IF(AND('26414_編集版 のコピー 2'!N$1 &gt;= startDate, '26414_編集版 のコピー 2'!N$1 &lt;= delLimit), 
          IFERROR(VLOOKUP(N94, '新規'!$E$2:$H142, 4, 0), 
          IFERROR(VLOOKUP(N94, '特殊配信マスタ'!$E$3:$H142, 4, 0), 
          IFERROR(VLOOKUP(N94, '自動求人✅'!$C$3:$F142, 4, 0), prID))), 
        "")
      )
    )
  )
)</f>
        <v/>
      </c>
      <c r="P94" s="141" t="str">
        <f t="shared" si="3"/>
        <v/>
      </c>
      <c r="Q94" s="141"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141"/>
      <c r="S94" s="141"/>
      <c r="T94" s="139"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140" t="str">
        <f t="array" ref="U94">IF(T94="", "", 
  LET(
    targetRow, IFERROR(MATCH(TRUE, BYROW('PR管理'!$J$4:$T$101, LAMBDA(r, COUNTIF(r, T94)&gt;0)), 0), 0),
    IF(targetRow=0, "",
      LET(
        startDate, INDEX('PR管理'!$C$4:$C$101, targetRow),
        delLimit, INDEX('PR管理'!$F$4:$F$101, targetRow),
        prID, INDEX('PR管理'!$A$4:$A$101, targetRow),
        IF(AND('26414_編集版 のコピー 2'!T$1 &gt;= startDate, '26414_編集版 のコピー 2'!T$1 &lt;= delLimit), 
          IFERROR(VLOOKUP(T94, '新規'!$E$2:$H142, 4, 0), 
          IFERROR(VLOOKUP(T94, '特殊配信マスタ'!$E$3:$H142, 4, 0), 
          IFERROR(VLOOKUP(T94, '自動求人✅'!$C$3:$F142, 4, 0), prID))), 
        "")
      )
    )
  )
)</f>
        <v/>
      </c>
      <c r="V94" s="141" t="str">
        <f t="shared" si="4"/>
        <v/>
      </c>
      <c r="W94" s="141"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141"/>
      <c r="Y94" s="141"/>
      <c r="Z94" s="139"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140" t="str">
        <f t="array" ref="AA94">IF(Z94="", "", 
  LET(
    targetRow, IFERROR(MATCH(TRUE, BYROW('PR管理'!$J$4:$T$101, LAMBDA(r, COUNTIF(r, Z94)&gt;0)), 0), 0),
    IF(targetRow=0, "",
      LET(
        startDate, INDEX('PR管理'!$C$4:$C$101, targetRow),
        delLimit, INDEX('PR管理'!$F$4:$F$101, targetRow),
        prID, INDEX('PR管理'!$A$4:$A$101, targetRow),
        IF(AND('26414_編集版 のコピー 2'!Z$1 &gt;= startDate, '26414_編集版 のコピー 2'!Z$1 &lt;= delLimit), 
          IFERROR(VLOOKUP(Z94, '新規'!$E$2:$H142, 4, 0), 
          IFERROR(VLOOKUP(Z94, '特殊配信マスタ'!$E$3:$H142, 4, 0), 
          IFERROR(VLOOKUP(Z94, '自動求人✅'!$C$3:$F142, 4, 0), prID))), 
        "")
      )
    )
  )
)</f>
        <v/>
      </c>
      <c r="AB94" s="141" t="str">
        <f t="shared" si="5"/>
        <v/>
      </c>
      <c r="AC94" s="141"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141"/>
      <c r="AE94" s="141"/>
      <c r="AF94" s="139"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140" t="str">
        <f t="array" ref="AG94">IF(AF94="", "", 
  LET(
    targetRow, IFERROR(MATCH(TRUE, BYROW('PR管理'!$J$4:$T$101, LAMBDA(r, COUNTIF(r, AF94)&gt;0)), 0), 0),
    IF(targetRow=0, "",
      LET(
        startDate, INDEX('PR管理'!$C$4:$C$101, targetRow),
        delLimit, INDEX('PR管理'!$F$4:$F$101, targetRow),
        prID, INDEX('PR管理'!$A$4:$A$101, targetRow),
        IF(AND('26414_編集版 のコピー 2'!AF$1 &gt;= startDate, '26414_編集版 のコピー 2'!AF$1 &lt;= delLimit), 
          IFERROR(VLOOKUP(AF94, '新規'!$E$2:$H142, 4, 0), 
          IFERROR(VLOOKUP(AF94, '特殊配信マスタ'!$E$3:$H142, 4, 0), 
          IFERROR(VLOOKUP(AF94, '自動求人✅'!$C$3:$F142, 4, 0), prID))), 
        "")
      )
    )
  )
)</f>
        <v/>
      </c>
      <c r="AH94" s="141" t="str">
        <f t="shared" si="6"/>
        <v/>
      </c>
      <c r="AI94" s="141"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141"/>
      <c r="AK94" s="141"/>
      <c r="AL94" s="139"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140" t="str">
        <f t="array" ref="AM94">IF(AL94="", "", 
  LET(
    targetRow, IFERROR(MATCH(TRUE, BYROW('PR管理'!$J$4:$T$101, LAMBDA(r, COUNTIF(r, AL94)&gt;0)), 0), 0),
    IF(targetRow=0, "",
      LET(
        startDate, INDEX('PR管理'!$C$4:$C$101, targetRow),
        delLimit, INDEX('PR管理'!$F$4:$F$101, targetRow),
        prID, INDEX('PR管理'!$A$4:$A$101, targetRow),
        IF(AND('26414_編集版 のコピー 2'!AL$1 &gt;= startDate, '26414_編集版 のコピー 2'!AL$1 &lt;= delLimit), 
          IFERROR(VLOOKUP(AL94, '新規'!$E$2:$H142, 4, 0), 
          IFERROR(VLOOKUP(AL94, '特殊配信マスタ'!$E$3:$H142, 4, 0), 
          IFERROR(VLOOKUP(AL94, '自動求人✅'!$C$3:$F142, 4, 0), prID))), 
        "")
      )
    )
  )
)</f>
        <v/>
      </c>
      <c r="AN94" s="141" t="str">
        <f t="shared" si="7"/>
        <v/>
      </c>
      <c r="AO94" s="141"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141"/>
      <c r="AQ94" s="141"/>
    </row>
    <row r="95" ht="17.25" customHeight="1">
      <c r="A95" s="142"/>
      <c r="B95" s="139"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140" t="str">
        <f t="array" ref="C95">IF(B95="", "", 
  LET(
    targetRow, IFERROR(MATCH(TRUE, BYROW('PR管理'!$J$4:$T$101, LAMBDA(r, COUNTIF(r, B95)&gt;0)), 0), 0),
    IF(targetRow=0, "",
      LET(
        startDate, INDEX('PR管理'!$C$4:$C$101, targetRow),
        delLimit, INDEX('PR管理'!$F$4:$F$101, targetRow),
        prID, INDEX('PR管理'!$A$4:$A$101, targetRow),
        IF(AND('26414_編集版 のコピー 2'!B$1 &gt;= startDate, '26414_編集版 のコピー 2'!B$1 &lt;= delLimit), 
          IFERROR(VLOOKUP(B95, '新規'!$E$2:$H142, 4, 0), 
          IFERROR(VLOOKUP(B95, '特殊配信マスタ'!$E$3:$H142, 4, 0), 
          IFERROR(VLOOKUP(B95, '自動求人✅'!$C$3:$F142, 4, 0), prID))), 
        "")
      )
    )
  )
)</f>
        <v/>
      </c>
      <c r="D95" s="141" t="str">
        <f t="shared" si="1"/>
        <v/>
      </c>
      <c r="E95" s="141"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141"/>
      <c r="G95" s="141"/>
      <c r="H95" s="139"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140" t="str">
        <f t="array" ref="I95">IF(H95="", "", 
  LET(
    targetRow, IFERROR(MATCH(TRUE, BYROW('PR管理'!$J$4:$T$101, LAMBDA(r, COUNTIF(r, H95)&gt;0)), 0), 0),
    IF(targetRow=0, "",
      LET(
        startDate, INDEX('PR管理'!$C$4:$C$101, targetRow),
        delLimit, INDEX('PR管理'!$F$4:$F$101, targetRow),
        prID, INDEX('PR管理'!$A$4:$A$101, targetRow),
        IF(AND('26414_編集版 のコピー 2'!H$1 &gt;= startDate, '26414_編集版 のコピー 2'!H$1 &lt;= delLimit), 
          IFERROR(VLOOKUP(H95, '新規'!$E$2:$H142, 4, 0), 
          IFERROR(VLOOKUP(H95, '特殊配信マスタ'!$E$3:$H142, 4, 0), 
          IFERROR(VLOOKUP(H95, '自動求人✅'!$C$3:$F142, 4, 0), prID))), 
        "")
      )
    )
  )
)</f>
        <v/>
      </c>
      <c r="J95" s="141" t="str">
        <f t="shared" si="2"/>
        <v/>
      </c>
      <c r="K95" s="141"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141"/>
      <c r="M95" s="141"/>
      <c r="N95" s="139"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140" t="str">
        <f t="array" ref="O95">IF(N95="", "", 
  LET(
    targetRow, IFERROR(MATCH(TRUE, BYROW('PR管理'!$J$4:$T$101, LAMBDA(r, COUNTIF(r, N95)&gt;0)), 0), 0),
    IF(targetRow=0, "",
      LET(
        startDate, INDEX('PR管理'!$C$4:$C$101, targetRow),
        delLimit, INDEX('PR管理'!$F$4:$F$101, targetRow),
        prID, INDEX('PR管理'!$A$4:$A$101, targetRow),
        IF(AND('26414_編集版 のコピー 2'!N$1 &gt;= startDate, '26414_編集版 のコピー 2'!N$1 &lt;= delLimit), 
          IFERROR(VLOOKUP(N95, '新規'!$E$2:$H142, 4, 0), 
          IFERROR(VLOOKUP(N95, '特殊配信マスタ'!$E$3:$H142, 4, 0), 
          IFERROR(VLOOKUP(N95, '自動求人✅'!$C$3:$F142, 4, 0), prID))), 
        "")
      )
    )
  )
)</f>
        <v/>
      </c>
      <c r="P95" s="141" t="str">
        <f t="shared" si="3"/>
        <v/>
      </c>
      <c r="Q95" s="141"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141"/>
      <c r="S95" s="141"/>
      <c r="T95" s="139"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140" t="str">
        <f t="array" ref="U95">IF(T95="", "", 
  LET(
    targetRow, IFERROR(MATCH(TRUE, BYROW('PR管理'!$J$4:$T$101, LAMBDA(r, COUNTIF(r, T95)&gt;0)), 0), 0),
    IF(targetRow=0, "",
      LET(
        startDate, INDEX('PR管理'!$C$4:$C$101, targetRow),
        delLimit, INDEX('PR管理'!$F$4:$F$101, targetRow),
        prID, INDEX('PR管理'!$A$4:$A$101, targetRow),
        IF(AND('26414_編集版 のコピー 2'!T$1 &gt;= startDate, '26414_編集版 のコピー 2'!T$1 &lt;= delLimit), 
          IFERROR(VLOOKUP(T95, '新規'!$E$2:$H142, 4, 0), 
          IFERROR(VLOOKUP(T95, '特殊配信マスタ'!$E$3:$H142, 4, 0), 
          IFERROR(VLOOKUP(T95, '自動求人✅'!$C$3:$F142, 4, 0), prID))), 
        "")
      )
    )
  )
)</f>
        <v/>
      </c>
      <c r="V95" s="141" t="str">
        <f t="shared" si="4"/>
        <v/>
      </c>
      <c r="W95" s="141"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141"/>
      <c r="Y95" s="141"/>
      <c r="Z95" s="139"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140" t="str">
        <f t="array" ref="AA95">IF(Z95="", "", 
  LET(
    targetRow, IFERROR(MATCH(TRUE, BYROW('PR管理'!$J$4:$T$101, LAMBDA(r, COUNTIF(r, Z95)&gt;0)), 0), 0),
    IF(targetRow=0, "",
      LET(
        startDate, INDEX('PR管理'!$C$4:$C$101, targetRow),
        delLimit, INDEX('PR管理'!$F$4:$F$101, targetRow),
        prID, INDEX('PR管理'!$A$4:$A$101, targetRow),
        IF(AND('26414_編集版 のコピー 2'!Z$1 &gt;= startDate, '26414_編集版 のコピー 2'!Z$1 &lt;= delLimit), 
          IFERROR(VLOOKUP(Z95, '新規'!$E$2:$H142, 4, 0), 
          IFERROR(VLOOKUP(Z95, '特殊配信マスタ'!$E$3:$H142, 4, 0), 
          IFERROR(VLOOKUP(Z95, '自動求人✅'!$C$3:$F142, 4, 0), prID))), 
        "")
      )
    )
  )
)</f>
        <v/>
      </c>
      <c r="AB95" s="141" t="str">
        <f t="shared" si="5"/>
        <v/>
      </c>
      <c r="AC95" s="141"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141"/>
      <c r="AE95" s="141"/>
      <c r="AF95" s="139"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140" t="str">
        <f t="array" ref="AG95">IF(AF95="", "", 
  LET(
    targetRow, IFERROR(MATCH(TRUE, BYROW('PR管理'!$J$4:$T$101, LAMBDA(r, COUNTIF(r, AF95)&gt;0)), 0), 0),
    IF(targetRow=0, "",
      LET(
        startDate, INDEX('PR管理'!$C$4:$C$101, targetRow),
        delLimit, INDEX('PR管理'!$F$4:$F$101, targetRow),
        prID, INDEX('PR管理'!$A$4:$A$101, targetRow),
        IF(AND('26414_編集版 のコピー 2'!AF$1 &gt;= startDate, '26414_編集版 のコピー 2'!AF$1 &lt;= delLimit), 
          IFERROR(VLOOKUP(AF95, '新規'!$E$2:$H142, 4, 0), 
          IFERROR(VLOOKUP(AF95, '特殊配信マスタ'!$E$3:$H142, 4, 0), 
          IFERROR(VLOOKUP(AF95, '自動求人✅'!$C$3:$F142, 4, 0), prID))), 
        "")
      )
    )
  )
)</f>
        <v/>
      </c>
      <c r="AH95" s="141" t="str">
        <f t="shared" si="6"/>
        <v/>
      </c>
      <c r="AI95" s="141"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141"/>
      <c r="AK95" s="141"/>
      <c r="AL95" s="139"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140" t="str">
        <f t="array" ref="AM95">IF(AL95="", "", 
  LET(
    targetRow, IFERROR(MATCH(TRUE, BYROW('PR管理'!$J$4:$T$101, LAMBDA(r, COUNTIF(r, AL95)&gt;0)), 0), 0),
    IF(targetRow=0, "",
      LET(
        startDate, INDEX('PR管理'!$C$4:$C$101, targetRow),
        delLimit, INDEX('PR管理'!$F$4:$F$101, targetRow),
        prID, INDEX('PR管理'!$A$4:$A$101, targetRow),
        IF(AND('26414_編集版 のコピー 2'!AL$1 &gt;= startDate, '26414_編集版 のコピー 2'!AL$1 &lt;= delLimit), 
          IFERROR(VLOOKUP(AL95, '新規'!$E$2:$H142, 4, 0), 
          IFERROR(VLOOKUP(AL95, '特殊配信マスタ'!$E$3:$H142, 4, 0), 
          IFERROR(VLOOKUP(AL95, '自動求人✅'!$C$3:$F142, 4, 0), prID))), 
        "")
      )
    )
  )
)</f>
        <v/>
      </c>
      <c r="AN95" s="141" t="str">
        <f t="shared" si="7"/>
        <v/>
      </c>
      <c r="AO95" s="141"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141"/>
      <c r="AQ95" s="141"/>
    </row>
    <row r="96" ht="17.25" customHeight="1">
      <c r="A96" s="142"/>
      <c r="B96" s="139"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140" t="str">
        <f t="array" ref="C96">IF(B96="", "", 
  LET(
    targetRow, IFERROR(MATCH(TRUE, BYROW('PR管理'!$J$4:$T$101, LAMBDA(r, COUNTIF(r, B96)&gt;0)), 0), 0),
    IF(targetRow=0, "",
      LET(
        startDate, INDEX('PR管理'!$C$4:$C$101, targetRow),
        delLimit, INDEX('PR管理'!$F$4:$F$101, targetRow),
        prID, INDEX('PR管理'!$A$4:$A$101, targetRow),
        IF(AND('26414_編集版 のコピー 2'!B$1 &gt;= startDate, '26414_編集版 のコピー 2'!B$1 &lt;= delLimit), 
          IFERROR(VLOOKUP(B96, '新規'!$E$2:$H142, 4, 0), 
          IFERROR(VLOOKUP(B96, '特殊配信マスタ'!$E$3:$H142, 4, 0), 
          IFERROR(VLOOKUP(B96, '自動求人✅'!$C$3:$F142, 4, 0), prID))), 
        "")
      )
    )
  )
)</f>
        <v/>
      </c>
      <c r="D96" s="141" t="str">
        <f t="shared" si="1"/>
        <v/>
      </c>
      <c r="E96" s="141"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141"/>
      <c r="G96" s="141"/>
      <c r="H96" s="139"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140" t="str">
        <f t="array" ref="I96">IF(H96="", "", 
  LET(
    targetRow, IFERROR(MATCH(TRUE, BYROW('PR管理'!$J$4:$T$101, LAMBDA(r, COUNTIF(r, H96)&gt;0)), 0), 0),
    IF(targetRow=0, "",
      LET(
        startDate, INDEX('PR管理'!$C$4:$C$101, targetRow),
        delLimit, INDEX('PR管理'!$F$4:$F$101, targetRow),
        prID, INDEX('PR管理'!$A$4:$A$101, targetRow),
        IF(AND('26414_編集版 のコピー 2'!H$1 &gt;= startDate, '26414_編集版 のコピー 2'!H$1 &lt;= delLimit), 
          IFERROR(VLOOKUP(H96, '新規'!$E$2:$H142, 4, 0), 
          IFERROR(VLOOKUP(H96, '特殊配信マスタ'!$E$3:$H142, 4, 0), 
          IFERROR(VLOOKUP(H96, '自動求人✅'!$C$3:$F142, 4, 0), prID))), 
        "")
      )
    )
  )
)</f>
        <v/>
      </c>
      <c r="J96" s="141" t="str">
        <f t="shared" si="2"/>
        <v/>
      </c>
      <c r="K96" s="141"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141"/>
      <c r="M96" s="141"/>
      <c r="N96" s="139"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140" t="str">
        <f t="array" ref="O96">IF(N96="", "", 
  LET(
    targetRow, IFERROR(MATCH(TRUE, BYROW('PR管理'!$J$4:$T$101, LAMBDA(r, COUNTIF(r, N96)&gt;0)), 0), 0),
    IF(targetRow=0, "",
      LET(
        startDate, INDEX('PR管理'!$C$4:$C$101, targetRow),
        delLimit, INDEX('PR管理'!$F$4:$F$101, targetRow),
        prID, INDEX('PR管理'!$A$4:$A$101, targetRow),
        IF(AND('26414_編集版 のコピー 2'!N$1 &gt;= startDate, '26414_編集版 のコピー 2'!N$1 &lt;= delLimit), 
          IFERROR(VLOOKUP(N96, '新規'!$E$2:$H142, 4, 0), 
          IFERROR(VLOOKUP(N96, '特殊配信マスタ'!$E$3:$H142, 4, 0), 
          IFERROR(VLOOKUP(N96, '自動求人✅'!$C$3:$F142, 4, 0), prID))), 
        "")
      )
    )
  )
)</f>
        <v/>
      </c>
      <c r="P96" s="141" t="str">
        <f t="shared" si="3"/>
        <v/>
      </c>
      <c r="Q96" s="141"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141"/>
      <c r="S96" s="141"/>
      <c r="T96" s="139"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140" t="str">
        <f t="array" ref="U96">IF(T96="", "", 
  LET(
    targetRow, IFERROR(MATCH(TRUE, BYROW('PR管理'!$J$4:$T$101, LAMBDA(r, COUNTIF(r, T96)&gt;0)), 0), 0),
    IF(targetRow=0, "",
      LET(
        startDate, INDEX('PR管理'!$C$4:$C$101, targetRow),
        delLimit, INDEX('PR管理'!$F$4:$F$101, targetRow),
        prID, INDEX('PR管理'!$A$4:$A$101, targetRow),
        IF(AND('26414_編集版 のコピー 2'!T$1 &gt;= startDate, '26414_編集版 のコピー 2'!T$1 &lt;= delLimit), 
          IFERROR(VLOOKUP(T96, '新規'!$E$2:$H142, 4, 0), 
          IFERROR(VLOOKUP(T96, '特殊配信マスタ'!$E$3:$H142, 4, 0), 
          IFERROR(VLOOKUP(T96, '自動求人✅'!$C$3:$F142, 4, 0), prID))), 
        "")
      )
    )
  )
)</f>
        <v/>
      </c>
      <c r="V96" s="141" t="str">
        <f t="shared" si="4"/>
        <v/>
      </c>
      <c r="W96" s="141"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141"/>
      <c r="Y96" s="141"/>
      <c r="Z96" s="139"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140" t="str">
        <f t="array" ref="AA96">IF(Z96="", "", 
  LET(
    targetRow, IFERROR(MATCH(TRUE, BYROW('PR管理'!$J$4:$T$101, LAMBDA(r, COUNTIF(r, Z96)&gt;0)), 0), 0),
    IF(targetRow=0, "",
      LET(
        startDate, INDEX('PR管理'!$C$4:$C$101, targetRow),
        delLimit, INDEX('PR管理'!$F$4:$F$101, targetRow),
        prID, INDEX('PR管理'!$A$4:$A$101, targetRow),
        IF(AND('26414_編集版 のコピー 2'!Z$1 &gt;= startDate, '26414_編集版 のコピー 2'!Z$1 &lt;= delLimit), 
          IFERROR(VLOOKUP(Z96, '新規'!$E$2:$H142, 4, 0), 
          IFERROR(VLOOKUP(Z96, '特殊配信マスタ'!$E$3:$H142, 4, 0), 
          IFERROR(VLOOKUP(Z96, '自動求人✅'!$C$3:$F142, 4, 0), prID))), 
        "")
      )
    )
  )
)</f>
        <v/>
      </c>
      <c r="AB96" s="141" t="str">
        <f t="shared" si="5"/>
        <v/>
      </c>
      <c r="AC96" s="141"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141"/>
      <c r="AE96" s="141"/>
      <c r="AF96" s="139"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140" t="str">
        <f t="array" ref="AG96">IF(AF96="", "", 
  LET(
    targetRow, IFERROR(MATCH(TRUE, BYROW('PR管理'!$J$4:$T$101, LAMBDA(r, COUNTIF(r, AF96)&gt;0)), 0), 0),
    IF(targetRow=0, "",
      LET(
        startDate, INDEX('PR管理'!$C$4:$C$101, targetRow),
        delLimit, INDEX('PR管理'!$F$4:$F$101, targetRow),
        prID, INDEX('PR管理'!$A$4:$A$101, targetRow),
        IF(AND('26414_編集版 のコピー 2'!AF$1 &gt;= startDate, '26414_編集版 のコピー 2'!AF$1 &lt;= delLimit), 
          IFERROR(VLOOKUP(AF96, '新規'!$E$2:$H142, 4, 0), 
          IFERROR(VLOOKUP(AF96, '特殊配信マスタ'!$E$3:$H142, 4, 0), 
          IFERROR(VLOOKUP(AF96, '自動求人✅'!$C$3:$F142, 4, 0), prID))), 
        "")
      )
    )
  )
)</f>
        <v/>
      </c>
      <c r="AH96" s="141" t="str">
        <f t="shared" si="6"/>
        <v/>
      </c>
      <c r="AI96" s="141"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141"/>
      <c r="AK96" s="141"/>
      <c r="AL96" s="139"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140" t="str">
        <f t="array" ref="AM96">IF(AL96="", "", 
  LET(
    targetRow, IFERROR(MATCH(TRUE, BYROW('PR管理'!$J$4:$T$101, LAMBDA(r, COUNTIF(r, AL96)&gt;0)), 0), 0),
    IF(targetRow=0, "",
      LET(
        startDate, INDEX('PR管理'!$C$4:$C$101, targetRow),
        delLimit, INDEX('PR管理'!$F$4:$F$101, targetRow),
        prID, INDEX('PR管理'!$A$4:$A$101, targetRow),
        IF(AND('26414_編集版 のコピー 2'!AL$1 &gt;= startDate, '26414_編集版 のコピー 2'!AL$1 &lt;= delLimit), 
          IFERROR(VLOOKUP(AL96, '新規'!$E$2:$H142, 4, 0), 
          IFERROR(VLOOKUP(AL96, '特殊配信マスタ'!$E$3:$H142, 4, 0), 
          IFERROR(VLOOKUP(AL96, '自動求人✅'!$C$3:$F142, 4, 0), prID))), 
        "")
      )
    )
  )
)</f>
        <v/>
      </c>
      <c r="AN96" s="141" t="str">
        <f t="shared" si="7"/>
        <v/>
      </c>
      <c r="AO96" s="141"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141"/>
      <c r="AQ96" s="141"/>
    </row>
    <row r="97" ht="17.25" customHeight="1">
      <c r="A97" s="142"/>
      <c r="B97" s="139"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140" t="str">
        <f t="array" ref="C97">IF(B97="", "", 
  LET(
    targetRow, IFERROR(MATCH(TRUE, BYROW('PR管理'!$J$4:$T$101, LAMBDA(r, COUNTIF(r, B97)&gt;0)), 0), 0),
    IF(targetRow=0, "",
      LET(
        startDate, INDEX('PR管理'!$C$4:$C$101, targetRow),
        delLimit, INDEX('PR管理'!$F$4:$F$101, targetRow),
        prID, INDEX('PR管理'!$A$4:$A$101, targetRow),
        IF(AND('26414_編集版 のコピー 2'!B$1 &gt;= startDate, '26414_編集版 のコピー 2'!B$1 &lt;= delLimit), 
          IFERROR(VLOOKUP(B97, '新規'!$E$2:$H142, 4, 0), 
          IFERROR(VLOOKUP(B97, '特殊配信マスタ'!$E$3:$H142, 4, 0), 
          IFERROR(VLOOKUP(B97, '自動求人✅'!$C$3:$F142, 4, 0), prID))), 
        "")
      )
    )
  )
)</f>
        <v/>
      </c>
      <c r="D97" s="141" t="str">
        <f t="shared" si="1"/>
        <v/>
      </c>
      <c r="E97" s="141"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141"/>
      <c r="G97" s="141"/>
      <c r="H97" s="139"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140" t="str">
        <f t="array" ref="I97">IF(H97="", "", 
  LET(
    targetRow, IFERROR(MATCH(TRUE, BYROW('PR管理'!$J$4:$T$101, LAMBDA(r, COUNTIF(r, H97)&gt;0)), 0), 0),
    IF(targetRow=0, "",
      LET(
        startDate, INDEX('PR管理'!$C$4:$C$101, targetRow),
        delLimit, INDEX('PR管理'!$F$4:$F$101, targetRow),
        prID, INDEX('PR管理'!$A$4:$A$101, targetRow),
        IF(AND('26414_編集版 のコピー 2'!H$1 &gt;= startDate, '26414_編集版 のコピー 2'!H$1 &lt;= delLimit), 
          IFERROR(VLOOKUP(H97, '新規'!$E$2:$H142, 4, 0), 
          IFERROR(VLOOKUP(H97, '特殊配信マスタ'!$E$3:$H142, 4, 0), 
          IFERROR(VLOOKUP(H97, '自動求人✅'!$C$3:$F142, 4, 0), prID))), 
        "")
      )
    )
  )
)</f>
        <v/>
      </c>
      <c r="J97" s="141" t="str">
        <f t="shared" si="2"/>
        <v/>
      </c>
      <c r="K97" s="141"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141"/>
      <c r="M97" s="141"/>
      <c r="N97" s="139"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140" t="str">
        <f t="array" ref="O97">IF(N97="", "", 
  LET(
    targetRow, IFERROR(MATCH(TRUE, BYROW('PR管理'!$J$4:$T$101, LAMBDA(r, COUNTIF(r, N97)&gt;0)), 0), 0),
    IF(targetRow=0, "",
      LET(
        startDate, INDEX('PR管理'!$C$4:$C$101, targetRow),
        delLimit, INDEX('PR管理'!$F$4:$F$101, targetRow),
        prID, INDEX('PR管理'!$A$4:$A$101, targetRow),
        IF(AND('26414_編集版 のコピー 2'!N$1 &gt;= startDate, '26414_編集版 のコピー 2'!N$1 &lt;= delLimit), 
          IFERROR(VLOOKUP(N97, '新規'!$E$2:$H142, 4, 0), 
          IFERROR(VLOOKUP(N97, '特殊配信マスタ'!$E$3:$H142, 4, 0), 
          IFERROR(VLOOKUP(N97, '自動求人✅'!$C$3:$F142, 4, 0), prID))), 
        "")
      )
    )
  )
)</f>
        <v/>
      </c>
      <c r="P97" s="141" t="str">
        <f t="shared" si="3"/>
        <v/>
      </c>
      <c r="Q97" s="141"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141"/>
      <c r="S97" s="141"/>
      <c r="T97" s="139"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140" t="str">
        <f t="array" ref="U97">IF(T97="", "", 
  LET(
    targetRow, IFERROR(MATCH(TRUE, BYROW('PR管理'!$J$4:$T$101, LAMBDA(r, COUNTIF(r, T97)&gt;0)), 0), 0),
    IF(targetRow=0, "",
      LET(
        startDate, INDEX('PR管理'!$C$4:$C$101, targetRow),
        delLimit, INDEX('PR管理'!$F$4:$F$101, targetRow),
        prID, INDEX('PR管理'!$A$4:$A$101, targetRow),
        IF(AND('26414_編集版 のコピー 2'!T$1 &gt;= startDate, '26414_編集版 のコピー 2'!T$1 &lt;= delLimit), 
          IFERROR(VLOOKUP(T97, '新規'!$E$2:$H142, 4, 0), 
          IFERROR(VLOOKUP(T97, '特殊配信マスタ'!$E$3:$H142, 4, 0), 
          IFERROR(VLOOKUP(T97, '自動求人✅'!$C$3:$F142, 4, 0), prID))), 
        "")
      )
    )
  )
)</f>
        <v/>
      </c>
      <c r="V97" s="141" t="str">
        <f t="shared" si="4"/>
        <v/>
      </c>
      <c r="W97" s="141"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141"/>
      <c r="Y97" s="141"/>
      <c r="Z97" s="139"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140" t="str">
        <f t="array" ref="AA97">IF(Z97="", "", 
  LET(
    targetRow, IFERROR(MATCH(TRUE, BYROW('PR管理'!$J$4:$T$101, LAMBDA(r, COUNTIF(r, Z97)&gt;0)), 0), 0),
    IF(targetRow=0, "",
      LET(
        startDate, INDEX('PR管理'!$C$4:$C$101, targetRow),
        delLimit, INDEX('PR管理'!$F$4:$F$101, targetRow),
        prID, INDEX('PR管理'!$A$4:$A$101, targetRow),
        IF(AND('26414_編集版 のコピー 2'!Z$1 &gt;= startDate, '26414_編集版 のコピー 2'!Z$1 &lt;= delLimit), 
          IFERROR(VLOOKUP(Z97, '新規'!$E$2:$H142, 4, 0), 
          IFERROR(VLOOKUP(Z97, '特殊配信マスタ'!$E$3:$H142, 4, 0), 
          IFERROR(VLOOKUP(Z97, '自動求人✅'!$C$3:$F142, 4, 0), prID))), 
        "")
      )
    )
  )
)</f>
        <v/>
      </c>
      <c r="AB97" s="141" t="str">
        <f t="shared" si="5"/>
        <v/>
      </c>
      <c r="AC97" s="141"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141"/>
      <c r="AE97" s="141"/>
      <c r="AF97" s="139"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140" t="str">
        <f t="array" ref="AG97">IF(AF97="", "", 
  LET(
    targetRow, IFERROR(MATCH(TRUE, BYROW('PR管理'!$J$4:$T$101, LAMBDA(r, COUNTIF(r, AF97)&gt;0)), 0), 0),
    IF(targetRow=0, "",
      LET(
        startDate, INDEX('PR管理'!$C$4:$C$101, targetRow),
        delLimit, INDEX('PR管理'!$F$4:$F$101, targetRow),
        prID, INDEX('PR管理'!$A$4:$A$101, targetRow),
        IF(AND('26414_編集版 のコピー 2'!AF$1 &gt;= startDate, '26414_編集版 のコピー 2'!AF$1 &lt;= delLimit), 
          IFERROR(VLOOKUP(AF97, '新規'!$E$2:$H142, 4, 0), 
          IFERROR(VLOOKUP(AF97, '特殊配信マスタ'!$E$3:$H142, 4, 0), 
          IFERROR(VLOOKUP(AF97, '自動求人✅'!$C$3:$F142, 4, 0), prID))), 
        "")
      )
    )
  )
)</f>
        <v/>
      </c>
      <c r="AH97" s="141" t="str">
        <f t="shared" si="6"/>
        <v/>
      </c>
      <c r="AI97" s="141"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141"/>
      <c r="AK97" s="141"/>
      <c r="AL97" s="139"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140" t="str">
        <f t="array" ref="AM97">IF(AL97="", "", 
  LET(
    targetRow, IFERROR(MATCH(TRUE, BYROW('PR管理'!$J$4:$T$101, LAMBDA(r, COUNTIF(r, AL97)&gt;0)), 0), 0),
    IF(targetRow=0, "",
      LET(
        startDate, INDEX('PR管理'!$C$4:$C$101, targetRow),
        delLimit, INDEX('PR管理'!$F$4:$F$101, targetRow),
        prID, INDEX('PR管理'!$A$4:$A$101, targetRow),
        IF(AND('26414_編集版 のコピー 2'!AL$1 &gt;= startDate, '26414_編集版 のコピー 2'!AL$1 &lt;= delLimit), 
          IFERROR(VLOOKUP(AL97, '新規'!$E$2:$H142, 4, 0), 
          IFERROR(VLOOKUP(AL97, '特殊配信マスタ'!$E$3:$H142, 4, 0), 
          IFERROR(VLOOKUP(AL97, '自動求人✅'!$C$3:$F142, 4, 0), prID))), 
        "")
      )
    )
  )
)</f>
        <v/>
      </c>
      <c r="AN97" s="141" t="str">
        <f t="shared" si="7"/>
        <v/>
      </c>
      <c r="AO97" s="141"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141"/>
      <c r="AQ97" s="141"/>
    </row>
    <row r="98" ht="17.25" customHeight="1">
      <c r="A98" s="142"/>
      <c r="B98" s="139"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140" t="str">
        <f t="array" ref="C98">IF(B98="", "", 
  LET(
    targetRow, IFERROR(MATCH(TRUE, BYROW('PR管理'!$J$4:$T$101, LAMBDA(r, COUNTIF(r, B98)&gt;0)), 0), 0),
    IF(targetRow=0, "",
      LET(
        startDate, INDEX('PR管理'!$C$4:$C$101, targetRow),
        delLimit, INDEX('PR管理'!$F$4:$F$101, targetRow),
        prID, INDEX('PR管理'!$A$4:$A$101, targetRow),
        IF(AND('26414_編集版 のコピー 2'!B$1 &gt;= startDate, '26414_編集版 のコピー 2'!B$1 &lt;= delLimit), 
          IFERROR(VLOOKUP(B98, '新規'!$E$2:$H142, 4, 0), 
          IFERROR(VLOOKUP(B98, '特殊配信マスタ'!$E$3:$H142, 4, 0), 
          IFERROR(VLOOKUP(B98, '自動求人✅'!$C$3:$F142, 4, 0), prID))), 
        "")
      )
    )
  )
)</f>
        <v/>
      </c>
      <c r="D98" s="141" t="str">
        <f t="shared" si="1"/>
        <v/>
      </c>
      <c r="E98" s="141"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141"/>
      <c r="G98" s="141"/>
      <c r="H98" s="139"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140" t="str">
        <f t="array" ref="I98">IF(H98="", "", 
  LET(
    targetRow, IFERROR(MATCH(TRUE, BYROW('PR管理'!$J$4:$T$101, LAMBDA(r, COUNTIF(r, H98)&gt;0)), 0), 0),
    IF(targetRow=0, "",
      LET(
        startDate, INDEX('PR管理'!$C$4:$C$101, targetRow),
        delLimit, INDEX('PR管理'!$F$4:$F$101, targetRow),
        prID, INDEX('PR管理'!$A$4:$A$101, targetRow),
        IF(AND('26414_編集版 のコピー 2'!H$1 &gt;= startDate, '26414_編集版 のコピー 2'!H$1 &lt;= delLimit), 
          IFERROR(VLOOKUP(H98, '新規'!$E$2:$H142, 4, 0), 
          IFERROR(VLOOKUP(H98, '特殊配信マスタ'!$E$3:$H142, 4, 0), 
          IFERROR(VLOOKUP(H98, '自動求人✅'!$C$3:$F142, 4, 0), prID))), 
        "")
      )
    )
  )
)</f>
        <v/>
      </c>
      <c r="J98" s="141" t="str">
        <f t="shared" si="2"/>
        <v/>
      </c>
      <c r="K98" s="141"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141"/>
      <c r="M98" s="141"/>
      <c r="N98" s="139"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140" t="str">
        <f t="array" ref="O98">IF(N98="", "", 
  LET(
    targetRow, IFERROR(MATCH(TRUE, BYROW('PR管理'!$J$4:$T$101, LAMBDA(r, COUNTIF(r, N98)&gt;0)), 0), 0),
    IF(targetRow=0, "",
      LET(
        startDate, INDEX('PR管理'!$C$4:$C$101, targetRow),
        delLimit, INDEX('PR管理'!$F$4:$F$101, targetRow),
        prID, INDEX('PR管理'!$A$4:$A$101, targetRow),
        IF(AND('26414_編集版 のコピー 2'!N$1 &gt;= startDate, '26414_編集版 のコピー 2'!N$1 &lt;= delLimit), 
          IFERROR(VLOOKUP(N98, '新規'!$E$2:$H142, 4, 0), 
          IFERROR(VLOOKUP(N98, '特殊配信マスタ'!$E$3:$H142, 4, 0), 
          IFERROR(VLOOKUP(N98, '自動求人✅'!$C$3:$F142, 4, 0), prID))), 
        "")
      )
    )
  )
)</f>
        <v/>
      </c>
      <c r="P98" s="141" t="str">
        <f t="shared" si="3"/>
        <v/>
      </c>
      <c r="Q98" s="141"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141"/>
      <c r="S98" s="141"/>
      <c r="T98" s="139"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140" t="str">
        <f t="array" ref="U98">IF(T98="", "", 
  LET(
    targetRow, IFERROR(MATCH(TRUE, BYROW('PR管理'!$J$4:$T$101, LAMBDA(r, COUNTIF(r, T98)&gt;0)), 0), 0),
    IF(targetRow=0, "",
      LET(
        startDate, INDEX('PR管理'!$C$4:$C$101, targetRow),
        delLimit, INDEX('PR管理'!$F$4:$F$101, targetRow),
        prID, INDEX('PR管理'!$A$4:$A$101, targetRow),
        IF(AND('26414_編集版 のコピー 2'!T$1 &gt;= startDate, '26414_編集版 のコピー 2'!T$1 &lt;= delLimit), 
          IFERROR(VLOOKUP(T98, '新規'!$E$2:$H142, 4, 0), 
          IFERROR(VLOOKUP(T98, '特殊配信マスタ'!$E$3:$H142, 4, 0), 
          IFERROR(VLOOKUP(T98, '自動求人✅'!$C$3:$F142, 4, 0), prID))), 
        "")
      )
    )
  )
)</f>
        <v/>
      </c>
      <c r="V98" s="141" t="str">
        <f t="shared" si="4"/>
        <v/>
      </c>
      <c r="W98" s="141"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141"/>
      <c r="Y98" s="141"/>
      <c r="Z98" s="139"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140" t="str">
        <f t="array" ref="AA98">IF(Z98="", "", 
  LET(
    targetRow, IFERROR(MATCH(TRUE, BYROW('PR管理'!$J$4:$T$101, LAMBDA(r, COUNTIF(r, Z98)&gt;0)), 0), 0),
    IF(targetRow=0, "",
      LET(
        startDate, INDEX('PR管理'!$C$4:$C$101, targetRow),
        delLimit, INDEX('PR管理'!$F$4:$F$101, targetRow),
        prID, INDEX('PR管理'!$A$4:$A$101, targetRow),
        IF(AND('26414_編集版 のコピー 2'!Z$1 &gt;= startDate, '26414_編集版 のコピー 2'!Z$1 &lt;= delLimit), 
          IFERROR(VLOOKUP(Z98, '新規'!$E$2:$H142, 4, 0), 
          IFERROR(VLOOKUP(Z98, '特殊配信マスタ'!$E$3:$H142, 4, 0), 
          IFERROR(VLOOKUP(Z98, '自動求人✅'!$C$3:$F142, 4, 0), prID))), 
        "")
      )
    )
  )
)</f>
        <v/>
      </c>
      <c r="AB98" s="141" t="str">
        <f t="shared" si="5"/>
        <v/>
      </c>
      <c r="AC98" s="141"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141"/>
      <c r="AE98" s="141"/>
      <c r="AF98" s="139"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140" t="str">
        <f t="array" ref="AG98">IF(AF98="", "", 
  LET(
    targetRow, IFERROR(MATCH(TRUE, BYROW('PR管理'!$J$4:$T$101, LAMBDA(r, COUNTIF(r, AF98)&gt;0)), 0), 0),
    IF(targetRow=0, "",
      LET(
        startDate, INDEX('PR管理'!$C$4:$C$101, targetRow),
        delLimit, INDEX('PR管理'!$F$4:$F$101, targetRow),
        prID, INDEX('PR管理'!$A$4:$A$101, targetRow),
        IF(AND('26414_編集版 のコピー 2'!AF$1 &gt;= startDate, '26414_編集版 のコピー 2'!AF$1 &lt;= delLimit), 
          IFERROR(VLOOKUP(AF98, '新規'!$E$2:$H142, 4, 0), 
          IFERROR(VLOOKUP(AF98, '特殊配信マスタ'!$E$3:$H142, 4, 0), 
          IFERROR(VLOOKUP(AF98, '自動求人✅'!$C$3:$F142, 4, 0), prID))), 
        "")
      )
    )
  )
)</f>
        <v/>
      </c>
      <c r="AH98" s="141" t="str">
        <f t="shared" si="6"/>
        <v/>
      </c>
      <c r="AI98" s="141"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141"/>
      <c r="AK98" s="141"/>
      <c r="AL98" s="139"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140" t="str">
        <f t="array" ref="AM98">IF(AL98="", "", 
  LET(
    targetRow, IFERROR(MATCH(TRUE, BYROW('PR管理'!$J$4:$T$101, LAMBDA(r, COUNTIF(r, AL98)&gt;0)), 0), 0),
    IF(targetRow=0, "",
      LET(
        startDate, INDEX('PR管理'!$C$4:$C$101, targetRow),
        delLimit, INDEX('PR管理'!$F$4:$F$101, targetRow),
        prID, INDEX('PR管理'!$A$4:$A$101, targetRow),
        IF(AND('26414_編集版 のコピー 2'!AL$1 &gt;= startDate, '26414_編集版 のコピー 2'!AL$1 &lt;= delLimit), 
          IFERROR(VLOOKUP(AL98, '新規'!$E$2:$H142, 4, 0), 
          IFERROR(VLOOKUP(AL98, '特殊配信マスタ'!$E$3:$H142, 4, 0), 
          IFERROR(VLOOKUP(AL98, '自動求人✅'!$C$3:$F142, 4, 0), prID))), 
        "")
      )
    )
  )
)</f>
        <v/>
      </c>
      <c r="AN98" s="141" t="str">
        <f t="shared" si="7"/>
        <v/>
      </c>
      <c r="AO98" s="141"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141"/>
      <c r="AQ98" s="141"/>
    </row>
    <row r="99" ht="17.25" customHeight="1">
      <c r="A99" s="142"/>
      <c r="B99" s="139"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140" t="str">
        <f t="array" ref="C99">IF(B99="", "", 
  LET(
    targetRow, IFERROR(MATCH(TRUE, BYROW('PR管理'!$J$4:$T$101, LAMBDA(r, COUNTIF(r, B99)&gt;0)), 0), 0),
    IF(targetRow=0, "",
      LET(
        startDate, INDEX('PR管理'!$C$4:$C$101, targetRow),
        delLimit, INDEX('PR管理'!$F$4:$F$101, targetRow),
        prID, INDEX('PR管理'!$A$4:$A$101, targetRow),
        IF(AND('26414_編集版 のコピー 2'!B$1 &gt;= startDate, '26414_編集版 のコピー 2'!B$1 &lt;= delLimit), 
          IFERROR(VLOOKUP(B99, '新規'!$E$2:$H142, 4, 0), 
          IFERROR(VLOOKUP(B99, '特殊配信マスタ'!$E$3:$H142, 4, 0), 
          IFERROR(VLOOKUP(B99, '自動求人✅'!$C$3:$F142, 4, 0), prID))), 
        "")
      )
    )
  )
)</f>
        <v/>
      </c>
      <c r="D99" s="141" t="str">
        <f t="shared" si="1"/>
        <v/>
      </c>
      <c r="E99" s="141"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141"/>
      <c r="G99" s="141"/>
      <c r="H99" s="139"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140" t="str">
        <f t="array" ref="I99">IF(H99="", "", 
  LET(
    targetRow, IFERROR(MATCH(TRUE, BYROW('PR管理'!$J$4:$T$101, LAMBDA(r, COUNTIF(r, H99)&gt;0)), 0), 0),
    IF(targetRow=0, "",
      LET(
        startDate, INDEX('PR管理'!$C$4:$C$101, targetRow),
        delLimit, INDEX('PR管理'!$F$4:$F$101, targetRow),
        prID, INDEX('PR管理'!$A$4:$A$101, targetRow),
        IF(AND('26414_編集版 のコピー 2'!H$1 &gt;= startDate, '26414_編集版 のコピー 2'!H$1 &lt;= delLimit), 
          IFERROR(VLOOKUP(H99, '新規'!$E$2:$H142, 4, 0), 
          IFERROR(VLOOKUP(H99, '特殊配信マスタ'!$E$3:$H142, 4, 0), 
          IFERROR(VLOOKUP(H99, '自動求人✅'!$C$3:$F142, 4, 0), prID))), 
        "")
      )
    )
  )
)</f>
        <v/>
      </c>
      <c r="J99" s="141" t="str">
        <f t="shared" si="2"/>
        <v/>
      </c>
      <c r="K99" s="141"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141"/>
      <c r="M99" s="141"/>
      <c r="N99" s="139"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140" t="str">
        <f t="array" ref="O99">IF(N99="", "", 
  LET(
    targetRow, IFERROR(MATCH(TRUE, BYROW('PR管理'!$J$4:$T$101, LAMBDA(r, COUNTIF(r, N99)&gt;0)), 0), 0),
    IF(targetRow=0, "",
      LET(
        startDate, INDEX('PR管理'!$C$4:$C$101, targetRow),
        delLimit, INDEX('PR管理'!$F$4:$F$101, targetRow),
        prID, INDEX('PR管理'!$A$4:$A$101, targetRow),
        IF(AND('26414_編集版 のコピー 2'!N$1 &gt;= startDate, '26414_編集版 のコピー 2'!N$1 &lt;= delLimit), 
          IFERROR(VLOOKUP(N99, '新規'!$E$2:$H142, 4, 0), 
          IFERROR(VLOOKUP(N99, '特殊配信マスタ'!$E$3:$H142, 4, 0), 
          IFERROR(VLOOKUP(N99, '自動求人✅'!$C$3:$F142, 4, 0), prID))), 
        "")
      )
    )
  )
)</f>
        <v/>
      </c>
      <c r="P99" s="141" t="str">
        <f t="shared" si="3"/>
        <v/>
      </c>
      <c r="Q99" s="141"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141"/>
      <c r="S99" s="141"/>
      <c r="T99" s="139"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140" t="str">
        <f t="array" ref="U99">IF(T99="", "", 
  LET(
    targetRow, IFERROR(MATCH(TRUE, BYROW('PR管理'!$J$4:$T$101, LAMBDA(r, COUNTIF(r, T99)&gt;0)), 0), 0),
    IF(targetRow=0, "",
      LET(
        startDate, INDEX('PR管理'!$C$4:$C$101, targetRow),
        delLimit, INDEX('PR管理'!$F$4:$F$101, targetRow),
        prID, INDEX('PR管理'!$A$4:$A$101, targetRow),
        IF(AND('26414_編集版 のコピー 2'!T$1 &gt;= startDate, '26414_編集版 のコピー 2'!T$1 &lt;= delLimit), 
          IFERROR(VLOOKUP(T99, '新規'!$E$2:$H142, 4, 0), 
          IFERROR(VLOOKUP(T99, '特殊配信マスタ'!$E$3:$H142, 4, 0), 
          IFERROR(VLOOKUP(T99, '自動求人✅'!$C$3:$F142, 4, 0), prID))), 
        "")
      )
    )
  )
)</f>
        <v/>
      </c>
      <c r="V99" s="141" t="str">
        <f t="shared" si="4"/>
        <v/>
      </c>
      <c r="W99" s="141"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141"/>
      <c r="Y99" s="141"/>
      <c r="Z99" s="139"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140" t="str">
        <f t="array" ref="AA99">IF(Z99="", "", 
  LET(
    targetRow, IFERROR(MATCH(TRUE, BYROW('PR管理'!$J$4:$T$101, LAMBDA(r, COUNTIF(r, Z99)&gt;0)), 0), 0),
    IF(targetRow=0, "",
      LET(
        startDate, INDEX('PR管理'!$C$4:$C$101, targetRow),
        delLimit, INDEX('PR管理'!$F$4:$F$101, targetRow),
        prID, INDEX('PR管理'!$A$4:$A$101, targetRow),
        IF(AND('26414_編集版 のコピー 2'!Z$1 &gt;= startDate, '26414_編集版 のコピー 2'!Z$1 &lt;= delLimit), 
          IFERROR(VLOOKUP(Z99, '新規'!$E$2:$H142, 4, 0), 
          IFERROR(VLOOKUP(Z99, '特殊配信マスタ'!$E$3:$H142, 4, 0), 
          IFERROR(VLOOKUP(Z99, '自動求人✅'!$C$3:$F142, 4, 0), prID))), 
        "")
      )
    )
  )
)</f>
        <v/>
      </c>
      <c r="AB99" s="141" t="str">
        <f t="shared" si="5"/>
        <v/>
      </c>
      <c r="AC99" s="141"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141"/>
      <c r="AE99" s="141"/>
      <c r="AF99" s="139"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140" t="str">
        <f t="array" ref="AG99">IF(AF99="", "", 
  LET(
    targetRow, IFERROR(MATCH(TRUE, BYROW('PR管理'!$J$4:$T$101, LAMBDA(r, COUNTIF(r, AF99)&gt;0)), 0), 0),
    IF(targetRow=0, "",
      LET(
        startDate, INDEX('PR管理'!$C$4:$C$101, targetRow),
        delLimit, INDEX('PR管理'!$F$4:$F$101, targetRow),
        prID, INDEX('PR管理'!$A$4:$A$101, targetRow),
        IF(AND('26414_編集版 のコピー 2'!AF$1 &gt;= startDate, '26414_編集版 のコピー 2'!AF$1 &lt;= delLimit), 
          IFERROR(VLOOKUP(AF99, '新規'!$E$2:$H142, 4, 0), 
          IFERROR(VLOOKUP(AF99, '特殊配信マスタ'!$E$3:$H142, 4, 0), 
          IFERROR(VLOOKUP(AF99, '自動求人✅'!$C$3:$F142, 4, 0), prID))), 
        "")
      )
    )
  )
)</f>
        <v/>
      </c>
      <c r="AH99" s="141" t="str">
        <f t="shared" si="6"/>
        <v/>
      </c>
      <c r="AI99" s="141"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141"/>
      <c r="AK99" s="141"/>
      <c r="AL99" s="139"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140" t="str">
        <f t="array" ref="AM99">IF(AL99="", "", 
  LET(
    targetRow, IFERROR(MATCH(TRUE, BYROW('PR管理'!$J$4:$T$101, LAMBDA(r, COUNTIF(r, AL99)&gt;0)), 0), 0),
    IF(targetRow=0, "",
      LET(
        startDate, INDEX('PR管理'!$C$4:$C$101, targetRow),
        delLimit, INDEX('PR管理'!$F$4:$F$101, targetRow),
        prID, INDEX('PR管理'!$A$4:$A$101, targetRow),
        IF(AND('26414_編集版 のコピー 2'!AL$1 &gt;= startDate, '26414_編集版 のコピー 2'!AL$1 &lt;= delLimit), 
          IFERROR(VLOOKUP(AL99, '新規'!$E$2:$H142, 4, 0), 
          IFERROR(VLOOKUP(AL99, '特殊配信マスタ'!$E$3:$H142, 4, 0), 
          IFERROR(VLOOKUP(AL99, '自動求人✅'!$C$3:$F142, 4, 0), prID))), 
        "")
      )
    )
  )
)</f>
        <v/>
      </c>
      <c r="AN99" s="141" t="str">
        <f t="shared" si="7"/>
        <v/>
      </c>
      <c r="AO99" s="141"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141"/>
      <c r="AQ99" s="141"/>
    </row>
    <row r="100" ht="17.25" customHeight="1">
      <c r="A100" s="142"/>
      <c r="B100" s="139"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140" t="str">
        <f t="array" ref="C100">IF(B100="", "", 
  LET(
    targetRow, IFERROR(MATCH(TRUE, BYROW('PR管理'!$J$4:$T$101, LAMBDA(r, COUNTIF(r, B100)&gt;0)), 0), 0),
    IF(targetRow=0, "",
      LET(
        startDate, INDEX('PR管理'!$C$4:$C$101, targetRow),
        delLimit, INDEX('PR管理'!$F$4:$F$101, targetRow),
        prID, INDEX('PR管理'!$A$4:$A$101, targetRow),
        IF(AND('26414_編集版 のコピー 2'!B$1 &gt;= startDate, '26414_編集版 のコピー 2'!B$1 &lt;= delLimit), 
          IFERROR(VLOOKUP(B100, '新規'!$E$2:$H142, 4, 0), 
          IFERROR(VLOOKUP(B100, '特殊配信マスタ'!$E$3:$H142, 4, 0), 
          IFERROR(VLOOKUP(B100, '自動求人✅'!$C$3:$F142, 4, 0), prID))), 
        "")
      )
    )
  )
)</f>
        <v/>
      </c>
      <c r="D100" s="141" t="str">
        <f t="shared" si="1"/>
        <v/>
      </c>
      <c r="E100" s="141"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141"/>
      <c r="G100" s="141"/>
      <c r="H100" s="139"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140" t="str">
        <f t="array" ref="I100">IF(H100="", "", 
  LET(
    targetRow, IFERROR(MATCH(TRUE, BYROW('PR管理'!$J$4:$T$101, LAMBDA(r, COUNTIF(r, H100)&gt;0)), 0), 0),
    IF(targetRow=0, "",
      LET(
        startDate, INDEX('PR管理'!$C$4:$C$101, targetRow),
        delLimit, INDEX('PR管理'!$F$4:$F$101, targetRow),
        prID, INDEX('PR管理'!$A$4:$A$101, targetRow),
        IF(AND('26414_編集版 のコピー 2'!H$1 &gt;= startDate, '26414_編集版 のコピー 2'!H$1 &lt;= delLimit), 
          IFERROR(VLOOKUP(H100, '新規'!$E$2:$H142, 4, 0), 
          IFERROR(VLOOKUP(H100, '特殊配信マスタ'!$E$3:$H142, 4, 0), 
          IFERROR(VLOOKUP(H100, '自動求人✅'!$C$3:$F142, 4, 0), prID))), 
        "")
      )
    )
  )
)</f>
        <v/>
      </c>
      <c r="J100" s="141" t="str">
        <f t="shared" si="2"/>
        <v/>
      </c>
      <c r="K100" s="141"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141"/>
      <c r="M100" s="141"/>
      <c r="N100" s="139"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140" t="str">
        <f t="array" ref="O100">IF(N100="", "", 
  LET(
    targetRow, IFERROR(MATCH(TRUE, BYROW('PR管理'!$J$4:$T$101, LAMBDA(r, COUNTIF(r, N100)&gt;0)), 0), 0),
    IF(targetRow=0, "",
      LET(
        startDate, INDEX('PR管理'!$C$4:$C$101, targetRow),
        delLimit, INDEX('PR管理'!$F$4:$F$101, targetRow),
        prID, INDEX('PR管理'!$A$4:$A$101, targetRow),
        IF(AND('26414_編集版 のコピー 2'!N$1 &gt;= startDate, '26414_編集版 のコピー 2'!N$1 &lt;= delLimit), 
          IFERROR(VLOOKUP(N100, '新規'!$E$2:$H142, 4, 0), 
          IFERROR(VLOOKUP(N100, '特殊配信マスタ'!$E$3:$H142, 4, 0), 
          IFERROR(VLOOKUP(N100, '自動求人✅'!$C$3:$F142, 4, 0), prID))), 
        "")
      )
    )
  )
)</f>
        <v/>
      </c>
      <c r="P100" s="141" t="str">
        <f t="shared" si="3"/>
        <v/>
      </c>
      <c r="Q100" s="141"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141"/>
      <c r="S100" s="141"/>
      <c r="T100" s="139"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140" t="str">
        <f t="array" ref="U100">IF(T100="", "", 
  LET(
    targetRow, IFERROR(MATCH(TRUE, BYROW('PR管理'!$J$4:$T$101, LAMBDA(r, COUNTIF(r, T100)&gt;0)), 0), 0),
    IF(targetRow=0, "",
      LET(
        startDate, INDEX('PR管理'!$C$4:$C$101, targetRow),
        delLimit, INDEX('PR管理'!$F$4:$F$101, targetRow),
        prID, INDEX('PR管理'!$A$4:$A$101, targetRow),
        IF(AND('26414_編集版 のコピー 2'!T$1 &gt;= startDate, '26414_編集版 のコピー 2'!T$1 &lt;= delLimit), 
          IFERROR(VLOOKUP(T100, '新規'!$E$2:$H142, 4, 0), 
          IFERROR(VLOOKUP(T100, '特殊配信マスタ'!$E$3:$H142, 4, 0), 
          IFERROR(VLOOKUP(T100, '自動求人✅'!$C$3:$F142, 4, 0), prID))), 
        "")
      )
    )
  )
)</f>
        <v/>
      </c>
      <c r="V100" s="141" t="str">
        <f t="shared" si="4"/>
        <v/>
      </c>
      <c r="W100" s="141"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141"/>
      <c r="Y100" s="141"/>
      <c r="Z100" s="139"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140" t="str">
        <f t="array" ref="AA100">IF(Z100="", "", 
  LET(
    targetRow, IFERROR(MATCH(TRUE, BYROW('PR管理'!$J$4:$T$101, LAMBDA(r, COUNTIF(r, Z100)&gt;0)), 0), 0),
    IF(targetRow=0, "",
      LET(
        startDate, INDEX('PR管理'!$C$4:$C$101, targetRow),
        delLimit, INDEX('PR管理'!$F$4:$F$101, targetRow),
        prID, INDEX('PR管理'!$A$4:$A$101, targetRow),
        IF(AND('26414_編集版 のコピー 2'!Z$1 &gt;= startDate, '26414_編集版 のコピー 2'!Z$1 &lt;= delLimit), 
          IFERROR(VLOOKUP(Z100, '新規'!$E$2:$H142, 4, 0), 
          IFERROR(VLOOKUP(Z100, '特殊配信マスタ'!$E$3:$H142, 4, 0), 
          IFERROR(VLOOKUP(Z100, '自動求人✅'!$C$3:$F142, 4, 0), prID))), 
        "")
      )
    )
  )
)</f>
        <v/>
      </c>
      <c r="AB100" s="141" t="str">
        <f t="shared" si="5"/>
        <v/>
      </c>
      <c r="AC100" s="141"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141"/>
      <c r="AE100" s="141"/>
      <c r="AF100" s="139"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140" t="str">
        <f t="array" ref="AG100">IF(AF100="", "", 
  LET(
    targetRow, IFERROR(MATCH(TRUE, BYROW('PR管理'!$J$4:$T$101, LAMBDA(r, COUNTIF(r, AF100)&gt;0)), 0), 0),
    IF(targetRow=0, "",
      LET(
        startDate, INDEX('PR管理'!$C$4:$C$101, targetRow),
        delLimit, INDEX('PR管理'!$F$4:$F$101, targetRow),
        prID, INDEX('PR管理'!$A$4:$A$101, targetRow),
        IF(AND('26414_編集版 のコピー 2'!AF$1 &gt;= startDate, '26414_編集版 のコピー 2'!AF$1 &lt;= delLimit), 
          IFERROR(VLOOKUP(AF100, '新規'!$E$2:$H142, 4, 0), 
          IFERROR(VLOOKUP(AF100, '特殊配信マスタ'!$E$3:$H142, 4, 0), 
          IFERROR(VLOOKUP(AF100, '自動求人✅'!$C$3:$F142, 4, 0), prID))), 
        "")
      )
    )
  )
)</f>
        <v/>
      </c>
      <c r="AH100" s="141" t="str">
        <f t="shared" si="6"/>
        <v/>
      </c>
      <c r="AI100" s="141"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141"/>
      <c r="AK100" s="141"/>
      <c r="AL100" s="139"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140" t="str">
        <f t="array" ref="AM100">IF(AL100="", "", 
  LET(
    targetRow, IFERROR(MATCH(TRUE, BYROW('PR管理'!$J$4:$T$101, LAMBDA(r, COUNTIF(r, AL100)&gt;0)), 0), 0),
    IF(targetRow=0, "",
      LET(
        startDate, INDEX('PR管理'!$C$4:$C$101, targetRow),
        delLimit, INDEX('PR管理'!$F$4:$F$101, targetRow),
        prID, INDEX('PR管理'!$A$4:$A$101, targetRow),
        IF(AND('26414_編集版 のコピー 2'!AL$1 &gt;= startDate, '26414_編集版 のコピー 2'!AL$1 &lt;= delLimit), 
          IFERROR(VLOOKUP(AL100, '新規'!$E$2:$H142, 4, 0), 
          IFERROR(VLOOKUP(AL100, '特殊配信マスタ'!$E$3:$H142, 4, 0), 
          IFERROR(VLOOKUP(AL100, '自動求人✅'!$C$3:$F142, 4, 0), prID))), 
        "")
      )
    )
  )
)</f>
        <v/>
      </c>
      <c r="AN100" s="141" t="str">
        <f t="shared" si="7"/>
        <v/>
      </c>
      <c r="AO100" s="141"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141"/>
      <c r="AQ100" s="141"/>
    </row>
    <row r="101" ht="17.25" customHeight="1">
      <c r="A101" s="142"/>
      <c r="B101" s="139"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140" t="str">
        <f t="array" ref="C101">IF(B101="", "", 
  LET(
    targetRow, IFERROR(MATCH(TRUE, BYROW('PR管理'!$J$4:$T$101, LAMBDA(r, COUNTIF(r, B101)&gt;0)), 0), 0),
    IF(targetRow=0, "",
      LET(
        startDate, INDEX('PR管理'!$C$4:$C$101, targetRow),
        delLimit, INDEX('PR管理'!$F$4:$F$101, targetRow),
        prID, INDEX('PR管理'!$A$4:$A$101, targetRow),
        IF(AND('26414_編集版 のコピー 2'!B$1 &gt;= startDate, '26414_編集版 のコピー 2'!B$1 &lt;= delLimit), 
          IFERROR(VLOOKUP(B101, '新規'!$E$2:$H142, 4, 0), 
          IFERROR(VLOOKUP(B101, '特殊配信マスタ'!$E$3:$H142, 4, 0), 
          IFERROR(VLOOKUP(B101, '自動求人✅'!$C$3:$F142, 4, 0), prID))), 
        "")
      )
    )
  )
)</f>
        <v/>
      </c>
      <c r="D101" s="141" t="str">
        <f t="shared" si="1"/>
        <v/>
      </c>
      <c r="E101" s="141"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141"/>
      <c r="G101" s="141"/>
      <c r="H101" s="139"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140" t="str">
        <f t="array" ref="I101">IF(H101="", "", 
  LET(
    targetRow, IFERROR(MATCH(TRUE, BYROW('PR管理'!$J$4:$T$101, LAMBDA(r, COUNTIF(r, H101)&gt;0)), 0), 0),
    IF(targetRow=0, "",
      LET(
        startDate, INDEX('PR管理'!$C$4:$C$101, targetRow),
        delLimit, INDEX('PR管理'!$F$4:$F$101, targetRow),
        prID, INDEX('PR管理'!$A$4:$A$101, targetRow),
        IF(AND('26414_編集版 のコピー 2'!H$1 &gt;= startDate, '26414_編集版 のコピー 2'!H$1 &lt;= delLimit), 
          IFERROR(VLOOKUP(H101, '新規'!$E$2:$H142, 4, 0), 
          IFERROR(VLOOKUP(H101, '特殊配信マスタ'!$E$3:$H142, 4, 0), 
          IFERROR(VLOOKUP(H101, '自動求人✅'!$C$3:$F142, 4, 0), prID))), 
        "")
      )
    )
  )
)</f>
        <v/>
      </c>
      <c r="J101" s="141" t="str">
        <f t="shared" si="2"/>
        <v/>
      </c>
      <c r="K101" s="141"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141"/>
      <c r="M101" s="141"/>
      <c r="N101" s="139"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140" t="str">
        <f t="array" ref="O101">IF(N101="", "", 
  LET(
    targetRow, IFERROR(MATCH(TRUE, BYROW('PR管理'!$J$4:$T$101, LAMBDA(r, COUNTIF(r, N101)&gt;0)), 0), 0),
    IF(targetRow=0, "",
      LET(
        startDate, INDEX('PR管理'!$C$4:$C$101, targetRow),
        delLimit, INDEX('PR管理'!$F$4:$F$101, targetRow),
        prID, INDEX('PR管理'!$A$4:$A$101, targetRow),
        IF(AND('26414_編集版 のコピー 2'!N$1 &gt;= startDate, '26414_編集版 のコピー 2'!N$1 &lt;= delLimit), 
          IFERROR(VLOOKUP(N101, '新規'!$E$2:$H142, 4, 0), 
          IFERROR(VLOOKUP(N101, '特殊配信マスタ'!$E$3:$H142, 4, 0), 
          IFERROR(VLOOKUP(N101, '自動求人✅'!$C$3:$F142, 4, 0), prID))), 
        "")
      )
    )
  )
)</f>
        <v/>
      </c>
      <c r="P101" s="141" t="str">
        <f t="shared" si="3"/>
        <v/>
      </c>
      <c r="Q101" s="141"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141"/>
      <c r="S101" s="141"/>
      <c r="T101" s="139"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140" t="str">
        <f t="array" ref="U101">IF(T101="", "", 
  LET(
    targetRow, IFERROR(MATCH(TRUE, BYROW('PR管理'!$J$4:$T$101, LAMBDA(r, COUNTIF(r, T101)&gt;0)), 0), 0),
    IF(targetRow=0, "",
      LET(
        startDate, INDEX('PR管理'!$C$4:$C$101, targetRow),
        delLimit, INDEX('PR管理'!$F$4:$F$101, targetRow),
        prID, INDEX('PR管理'!$A$4:$A$101, targetRow),
        IF(AND('26414_編集版 のコピー 2'!T$1 &gt;= startDate, '26414_編集版 のコピー 2'!T$1 &lt;= delLimit), 
          IFERROR(VLOOKUP(T101, '新規'!$E$2:$H142, 4, 0), 
          IFERROR(VLOOKUP(T101, '特殊配信マスタ'!$E$3:$H142, 4, 0), 
          IFERROR(VLOOKUP(T101, '自動求人✅'!$C$3:$F142, 4, 0), prID))), 
        "")
      )
    )
  )
)</f>
        <v/>
      </c>
      <c r="V101" s="141" t="str">
        <f t="shared" si="4"/>
        <v/>
      </c>
      <c r="W101" s="141"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141"/>
      <c r="Y101" s="141"/>
      <c r="Z101" s="139"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140" t="str">
        <f t="array" ref="AA101">IF(Z101="", "", 
  LET(
    targetRow, IFERROR(MATCH(TRUE, BYROW('PR管理'!$J$4:$T$101, LAMBDA(r, COUNTIF(r, Z101)&gt;0)), 0), 0),
    IF(targetRow=0, "",
      LET(
        startDate, INDEX('PR管理'!$C$4:$C$101, targetRow),
        delLimit, INDEX('PR管理'!$F$4:$F$101, targetRow),
        prID, INDEX('PR管理'!$A$4:$A$101, targetRow),
        IF(AND('26414_編集版 のコピー 2'!Z$1 &gt;= startDate, '26414_編集版 のコピー 2'!Z$1 &lt;= delLimit), 
          IFERROR(VLOOKUP(Z101, '新規'!$E$2:$H142, 4, 0), 
          IFERROR(VLOOKUP(Z101, '特殊配信マスタ'!$E$3:$H142, 4, 0), 
          IFERROR(VLOOKUP(Z101, '自動求人✅'!$C$3:$F142, 4, 0), prID))), 
        "")
      )
    )
  )
)</f>
        <v/>
      </c>
      <c r="AB101" s="141" t="str">
        <f t="shared" si="5"/>
        <v/>
      </c>
      <c r="AC101" s="141"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141"/>
      <c r="AE101" s="141"/>
      <c r="AF101" s="139"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140" t="str">
        <f t="array" ref="AG101">IF(AF101="", "", 
  LET(
    targetRow, IFERROR(MATCH(TRUE, BYROW('PR管理'!$J$4:$T$101, LAMBDA(r, COUNTIF(r, AF101)&gt;0)), 0), 0),
    IF(targetRow=0, "",
      LET(
        startDate, INDEX('PR管理'!$C$4:$C$101, targetRow),
        delLimit, INDEX('PR管理'!$F$4:$F$101, targetRow),
        prID, INDEX('PR管理'!$A$4:$A$101, targetRow),
        IF(AND('26414_編集版 のコピー 2'!AF$1 &gt;= startDate, '26414_編集版 のコピー 2'!AF$1 &lt;= delLimit), 
          IFERROR(VLOOKUP(AF101, '新規'!$E$2:$H142, 4, 0), 
          IFERROR(VLOOKUP(AF101, '特殊配信マスタ'!$E$3:$H142, 4, 0), 
          IFERROR(VLOOKUP(AF101, '自動求人✅'!$C$3:$F142, 4, 0), prID))), 
        "")
      )
    )
  )
)</f>
        <v/>
      </c>
      <c r="AH101" s="141" t="str">
        <f t="shared" si="6"/>
        <v/>
      </c>
      <c r="AI101" s="141"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141"/>
      <c r="AK101" s="141"/>
      <c r="AL101" s="139"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140" t="str">
        <f t="array" ref="AM101">IF(AL101="", "", 
  LET(
    targetRow, IFERROR(MATCH(TRUE, BYROW('PR管理'!$J$4:$T$101, LAMBDA(r, COUNTIF(r, AL101)&gt;0)), 0), 0),
    IF(targetRow=0, "",
      LET(
        startDate, INDEX('PR管理'!$C$4:$C$101, targetRow),
        delLimit, INDEX('PR管理'!$F$4:$F$101, targetRow),
        prID, INDEX('PR管理'!$A$4:$A$101, targetRow),
        IF(AND('26414_編集版 のコピー 2'!AL$1 &gt;= startDate, '26414_編集版 のコピー 2'!AL$1 &lt;= delLimit), 
          IFERROR(VLOOKUP(AL101, '新規'!$E$2:$H142, 4, 0), 
          IFERROR(VLOOKUP(AL101, '特殊配信マスタ'!$E$3:$H142, 4, 0), 
          IFERROR(VLOOKUP(AL101, '自動求人✅'!$C$3:$F142, 4, 0), prID))), 
        "")
      )
    )
  )
)</f>
        <v/>
      </c>
      <c r="AN101" s="141" t="str">
        <f t="shared" si="7"/>
        <v/>
      </c>
      <c r="AO101" s="141"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141"/>
      <c r="AQ101" s="141"/>
    </row>
    <row r="102" ht="17.25" customHeight="1">
      <c r="A102" s="142"/>
      <c r="B102" s="139"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140" t="str">
        <f t="array" ref="C102">IF(B102="", "", 
  LET(
    targetRow, IFERROR(MATCH(TRUE, BYROW('PR管理'!$J$4:$T$101, LAMBDA(r, COUNTIF(r, B102)&gt;0)), 0), 0),
    IF(targetRow=0, "",
      LET(
        startDate, INDEX('PR管理'!$C$4:$C$101, targetRow),
        delLimit, INDEX('PR管理'!$F$4:$F$101, targetRow),
        prID, INDEX('PR管理'!$A$4:$A$101, targetRow),
        IF(AND('26414_編集版 のコピー 2'!B$1 &gt;= startDate, '26414_編集版 のコピー 2'!B$1 &lt;= delLimit), 
          IFERROR(VLOOKUP(B102, '新規'!$E$2:$H142, 4, 0), 
          IFERROR(VLOOKUP(B102, '特殊配信マスタ'!$E$3:$H142, 4, 0), 
          IFERROR(VLOOKUP(B102, '自動求人✅'!$C$3:$F142, 4, 0), prID))), 
        "")
      )
    )
  )
)</f>
        <v/>
      </c>
      <c r="D102" s="141" t="str">
        <f t="shared" si="1"/>
        <v/>
      </c>
      <c r="E102" s="141"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141"/>
      <c r="G102" s="141"/>
      <c r="H102" s="139"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140" t="str">
        <f t="array" ref="I102">IF(H102="", "", 
  LET(
    targetRow, IFERROR(MATCH(TRUE, BYROW('PR管理'!$J$4:$T$101, LAMBDA(r, COUNTIF(r, H102)&gt;0)), 0), 0),
    IF(targetRow=0, "",
      LET(
        startDate, INDEX('PR管理'!$C$4:$C$101, targetRow),
        delLimit, INDEX('PR管理'!$F$4:$F$101, targetRow),
        prID, INDEX('PR管理'!$A$4:$A$101, targetRow),
        IF(AND('26414_編集版 のコピー 2'!H$1 &gt;= startDate, '26414_編集版 のコピー 2'!H$1 &lt;= delLimit), 
          IFERROR(VLOOKUP(H102, '新規'!$E$2:$H142, 4, 0), 
          IFERROR(VLOOKUP(H102, '特殊配信マスタ'!$E$3:$H142, 4, 0), 
          IFERROR(VLOOKUP(H102, '自動求人✅'!$C$3:$F142, 4, 0), prID))), 
        "")
      )
    )
  )
)</f>
        <v/>
      </c>
      <c r="J102" s="141" t="str">
        <f t="shared" si="2"/>
        <v/>
      </c>
      <c r="K102" s="141"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141"/>
      <c r="M102" s="141"/>
      <c r="N102" s="139"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140" t="str">
        <f t="array" ref="O102">IF(N102="", "", 
  LET(
    targetRow, IFERROR(MATCH(TRUE, BYROW('PR管理'!$J$4:$T$101, LAMBDA(r, COUNTIF(r, N102)&gt;0)), 0), 0),
    IF(targetRow=0, "",
      LET(
        startDate, INDEX('PR管理'!$C$4:$C$101, targetRow),
        delLimit, INDEX('PR管理'!$F$4:$F$101, targetRow),
        prID, INDEX('PR管理'!$A$4:$A$101, targetRow),
        IF(AND('26414_編集版 のコピー 2'!N$1 &gt;= startDate, '26414_編集版 のコピー 2'!N$1 &lt;= delLimit), 
          IFERROR(VLOOKUP(N102, '新規'!$E$2:$H142, 4, 0), 
          IFERROR(VLOOKUP(N102, '特殊配信マスタ'!$E$3:$H142, 4, 0), 
          IFERROR(VLOOKUP(N102, '自動求人✅'!$C$3:$F142, 4, 0), prID))), 
        "")
      )
    )
  )
)</f>
        <v/>
      </c>
      <c r="P102" s="141" t="str">
        <f t="shared" si="3"/>
        <v/>
      </c>
      <c r="Q102" s="141"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141"/>
      <c r="S102" s="141"/>
      <c r="T102" s="139"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140" t="str">
        <f t="array" ref="U102">IF(T102="", "", 
  LET(
    targetRow, IFERROR(MATCH(TRUE, BYROW('PR管理'!$J$4:$T$101, LAMBDA(r, COUNTIF(r, T102)&gt;0)), 0), 0),
    IF(targetRow=0, "",
      LET(
        startDate, INDEX('PR管理'!$C$4:$C$101, targetRow),
        delLimit, INDEX('PR管理'!$F$4:$F$101, targetRow),
        prID, INDEX('PR管理'!$A$4:$A$101, targetRow),
        IF(AND('26414_編集版 のコピー 2'!T$1 &gt;= startDate, '26414_編集版 のコピー 2'!T$1 &lt;= delLimit), 
          IFERROR(VLOOKUP(T102, '新規'!$E$2:$H142, 4, 0), 
          IFERROR(VLOOKUP(T102, '特殊配信マスタ'!$E$3:$H142, 4, 0), 
          IFERROR(VLOOKUP(T102, '自動求人✅'!$C$3:$F142, 4, 0), prID))), 
        "")
      )
    )
  )
)</f>
        <v/>
      </c>
      <c r="V102" s="141" t="str">
        <f t="shared" si="4"/>
        <v/>
      </c>
      <c r="W102" s="141"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141"/>
      <c r="Y102" s="141"/>
      <c r="Z102" s="139"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140" t="str">
        <f t="array" ref="AA102">IF(Z102="", "", 
  LET(
    targetRow, IFERROR(MATCH(TRUE, BYROW('PR管理'!$J$4:$T$101, LAMBDA(r, COUNTIF(r, Z102)&gt;0)), 0), 0),
    IF(targetRow=0, "",
      LET(
        startDate, INDEX('PR管理'!$C$4:$C$101, targetRow),
        delLimit, INDEX('PR管理'!$F$4:$F$101, targetRow),
        prID, INDEX('PR管理'!$A$4:$A$101, targetRow),
        IF(AND('26414_編集版 のコピー 2'!Z$1 &gt;= startDate, '26414_編集版 のコピー 2'!Z$1 &lt;= delLimit), 
          IFERROR(VLOOKUP(Z102, '新規'!$E$2:$H142, 4, 0), 
          IFERROR(VLOOKUP(Z102, '特殊配信マスタ'!$E$3:$H142, 4, 0), 
          IFERROR(VLOOKUP(Z102, '自動求人✅'!$C$3:$F142, 4, 0), prID))), 
        "")
      )
    )
  )
)</f>
        <v/>
      </c>
      <c r="AB102" s="141" t="str">
        <f t="shared" si="5"/>
        <v/>
      </c>
      <c r="AC102" s="141"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141"/>
      <c r="AE102" s="141"/>
      <c r="AF102" s="139"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140" t="str">
        <f t="array" ref="AG102">IF(AF102="", "", 
  LET(
    targetRow, IFERROR(MATCH(TRUE, BYROW('PR管理'!$J$4:$T$101, LAMBDA(r, COUNTIF(r, AF102)&gt;0)), 0), 0),
    IF(targetRow=0, "",
      LET(
        startDate, INDEX('PR管理'!$C$4:$C$101, targetRow),
        delLimit, INDEX('PR管理'!$F$4:$F$101, targetRow),
        prID, INDEX('PR管理'!$A$4:$A$101, targetRow),
        IF(AND('26414_編集版 のコピー 2'!AF$1 &gt;= startDate, '26414_編集版 のコピー 2'!AF$1 &lt;= delLimit), 
          IFERROR(VLOOKUP(AF102, '新規'!$E$2:$H142, 4, 0), 
          IFERROR(VLOOKUP(AF102, '特殊配信マスタ'!$E$3:$H142, 4, 0), 
          IFERROR(VLOOKUP(AF102, '自動求人✅'!$C$3:$F142, 4, 0), prID))), 
        "")
      )
    )
  )
)</f>
        <v/>
      </c>
      <c r="AH102" s="141" t="str">
        <f t="shared" si="6"/>
        <v/>
      </c>
      <c r="AI102" s="141"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141"/>
      <c r="AK102" s="141"/>
      <c r="AL102" s="139"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140" t="str">
        <f t="array" ref="AM102">IF(AL102="", "", 
  LET(
    targetRow, IFERROR(MATCH(TRUE, BYROW('PR管理'!$J$4:$T$101, LAMBDA(r, COUNTIF(r, AL102)&gt;0)), 0), 0),
    IF(targetRow=0, "",
      LET(
        startDate, INDEX('PR管理'!$C$4:$C$101, targetRow),
        delLimit, INDEX('PR管理'!$F$4:$F$101, targetRow),
        prID, INDEX('PR管理'!$A$4:$A$101, targetRow),
        IF(AND('26414_編集版 のコピー 2'!AL$1 &gt;= startDate, '26414_編集版 のコピー 2'!AL$1 &lt;= delLimit), 
          IFERROR(VLOOKUP(AL102, '新規'!$E$2:$H142, 4, 0), 
          IFERROR(VLOOKUP(AL102, '特殊配信マスタ'!$E$3:$H142, 4, 0), 
          IFERROR(VLOOKUP(AL102, '自動求人✅'!$C$3:$F142, 4, 0), prID))), 
        "")
      )
    )
  )
)</f>
        <v/>
      </c>
      <c r="AN102" s="141" t="str">
        <f t="shared" si="7"/>
        <v/>
      </c>
      <c r="AO102" s="141"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141"/>
      <c r="AQ102" s="141"/>
    </row>
    <row r="103" ht="17.25" customHeight="1">
      <c r="A103" s="138">
        <f>A93+1</f>
        <v>18</v>
      </c>
      <c r="B103" s="139"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140" t="str">
        <f t="array" ref="C103">IF(B103="", "", 
  LET(
    targetRow, IFERROR(MATCH(TRUE, BYROW('PR管理'!$J$4:$T$101, LAMBDA(r, COUNTIF(r, B103)&gt;0)), 0), 0),
    IF(targetRow=0, "",
      LET(
        startDate, INDEX('PR管理'!$C$4:$C$101, targetRow),
        delLimit, INDEX('PR管理'!$F$4:$F$101, targetRow),
        prID, INDEX('PR管理'!$A$4:$A$101, targetRow),
        IF(AND('26414_編集版 のコピー 2'!B$1 &gt;= startDate, '26414_編集版 のコピー 2'!B$1 &lt;= delLimit), 
          IFERROR(VLOOKUP(B103, '新規'!$E$2:$H142, 4, 0), 
          IFERROR(VLOOKUP(B103, '特殊配信マスタ'!$E$3:$H142, 4, 0), 
          IFERROR(VLOOKUP(B103, '自動求人✅'!$C$3:$F142, 4, 0), prID))), 
        "")
      )
    )
  )
)</f>
        <v/>
      </c>
      <c r="D103" s="141" t="str">
        <f t="shared" si="1"/>
        <v/>
      </c>
      <c r="E103" s="141"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141"/>
      <c r="G103" s="141"/>
      <c r="H103" s="139"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140" t="str">
        <f t="array" ref="I103">IF(H103="", "", 
  LET(
    targetRow, IFERROR(MATCH(TRUE, BYROW('PR管理'!$J$4:$T$101, LAMBDA(r, COUNTIF(r, H103)&gt;0)), 0), 0),
    IF(targetRow=0, "",
      LET(
        startDate, INDEX('PR管理'!$C$4:$C$101, targetRow),
        delLimit, INDEX('PR管理'!$F$4:$F$101, targetRow),
        prID, INDEX('PR管理'!$A$4:$A$101, targetRow),
        IF(AND('26414_編集版 のコピー 2'!H$1 &gt;= startDate, '26414_編集版 のコピー 2'!H$1 &lt;= delLimit), 
          IFERROR(VLOOKUP(H103, '新規'!$E$2:$H142, 4, 0), 
          IFERROR(VLOOKUP(H103, '特殊配信マスタ'!$E$3:$H142, 4, 0), 
          IFERROR(VLOOKUP(H103, '自動求人✅'!$C$3:$F142, 4, 0), prID))), 
        "")
      )
    )
  )
)</f>
        <v/>
      </c>
      <c r="J103" s="141" t="str">
        <f t="shared" si="2"/>
        <v/>
      </c>
      <c r="K103" s="141"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141"/>
      <c r="M103" s="141"/>
      <c r="N103" s="139"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140" t="str">
        <f t="array" ref="O103">IF(N103="", "", 
  LET(
    targetRow, IFERROR(MATCH(TRUE, BYROW('PR管理'!$J$4:$T$101, LAMBDA(r, COUNTIF(r, N103)&gt;0)), 0), 0),
    IF(targetRow=0, "",
      LET(
        startDate, INDEX('PR管理'!$C$4:$C$101, targetRow),
        delLimit, INDEX('PR管理'!$F$4:$F$101, targetRow),
        prID, INDEX('PR管理'!$A$4:$A$101, targetRow),
        IF(AND('26414_編集版 のコピー 2'!N$1 &gt;= startDate, '26414_編集版 のコピー 2'!N$1 &lt;= delLimit), 
          IFERROR(VLOOKUP(N103, '新規'!$E$2:$H142, 4, 0), 
          IFERROR(VLOOKUP(N103, '特殊配信マスタ'!$E$3:$H142, 4, 0), 
          IFERROR(VLOOKUP(N103, '自動求人✅'!$C$3:$F142, 4, 0), prID))), 
        "")
      )
    )
  )
)</f>
        <v/>
      </c>
      <c r="P103" s="141" t="str">
        <f t="shared" si="3"/>
        <v/>
      </c>
      <c r="Q103" s="141"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141"/>
      <c r="S103" s="141"/>
      <c r="T103" s="139"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140" t="str">
        <f t="array" ref="U103">IF(T103="", "", 
  LET(
    targetRow, IFERROR(MATCH(TRUE, BYROW('PR管理'!$J$4:$T$101, LAMBDA(r, COUNTIF(r, T103)&gt;0)), 0), 0),
    IF(targetRow=0, "",
      LET(
        startDate, INDEX('PR管理'!$C$4:$C$101, targetRow),
        delLimit, INDEX('PR管理'!$F$4:$F$101, targetRow),
        prID, INDEX('PR管理'!$A$4:$A$101, targetRow),
        IF(AND('26414_編集版 のコピー 2'!T$1 &gt;= startDate, '26414_編集版 のコピー 2'!T$1 &lt;= delLimit), 
          IFERROR(VLOOKUP(T103, '新規'!$E$2:$H142, 4, 0), 
          IFERROR(VLOOKUP(T103, '特殊配信マスタ'!$E$3:$H142, 4, 0), 
          IFERROR(VLOOKUP(T103, '自動求人✅'!$C$3:$F142, 4, 0), prID))), 
        "")
      )
    )
  )
)</f>
        <v/>
      </c>
      <c r="V103" s="141" t="str">
        <f t="shared" si="4"/>
        <v/>
      </c>
      <c r="W103" s="141"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141"/>
      <c r="Y103" s="141"/>
      <c r="Z103" s="139"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140" t="str">
        <f t="array" ref="AA103">IF(Z103="", "", 
  LET(
    targetRow, IFERROR(MATCH(TRUE, BYROW('PR管理'!$J$4:$T$101, LAMBDA(r, COUNTIF(r, Z103)&gt;0)), 0), 0),
    IF(targetRow=0, "",
      LET(
        startDate, INDEX('PR管理'!$C$4:$C$101, targetRow),
        delLimit, INDEX('PR管理'!$F$4:$F$101, targetRow),
        prID, INDEX('PR管理'!$A$4:$A$101, targetRow),
        IF(AND('26414_編集版 のコピー 2'!Z$1 &gt;= startDate, '26414_編集版 のコピー 2'!Z$1 &lt;= delLimit), 
          IFERROR(VLOOKUP(Z103, '新規'!$E$2:$H142, 4, 0), 
          IFERROR(VLOOKUP(Z103, '特殊配信マスタ'!$E$3:$H142, 4, 0), 
          IFERROR(VLOOKUP(Z103, '自動求人✅'!$C$3:$F142, 4, 0), prID))), 
        "")
      )
    )
  )
)</f>
        <v/>
      </c>
      <c r="AB103" s="141" t="str">
        <f t="shared" si="5"/>
        <v/>
      </c>
      <c r="AC103" s="141"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141"/>
      <c r="AE103" s="141"/>
      <c r="AF103" s="139"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140" t="str">
        <f t="array" ref="AG103">IF(AF103="", "", 
  LET(
    targetRow, IFERROR(MATCH(TRUE, BYROW('PR管理'!$J$4:$T$101, LAMBDA(r, COUNTIF(r, AF103)&gt;0)), 0), 0),
    IF(targetRow=0, "",
      LET(
        startDate, INDEX('PR管理'!$C$4:$C$101, targetRow),
        delLimit, INDEX('PR管理'!$F$4:$F$101, targetRow),
        prID, INDEX('PR管理'!$A$4:$A$101, targetRow),
        IF(AND('26414_編集版 のコピー 2'!AF$1 &gt;= startDate, '26414_編集版 のコピー 2'!AF$1 &lt;= delLimit), 
          IFERROR(VLOOKUP(AF103, '新規'!$E$2:$H142, 4, 0), 
          IFERROR(VLOOKUP(AF103, '特殊配信マスタ'!$E$3:$H142, 4, 0), 
          IFERROR(VLOOKUP(AF103, '自動求人✅'!$C$3:$F142, 4, 0), prID))), 
        "")
      )
    )
  )
)</f>
        <v/>
      </c>
      <c r="AH103" s="141" t="str">
        <f t="shared" si="6"/>
        <v/>
      </c>
      <c r="AI103" s="141"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141"/>
      <c r="AK103" s="141"/>
      <c r="AL103" s="139"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140" t="str">
        <f t="array" ref="AM103">IF(AL103="", "", 
  LET(
    targetRow, IFERROR(MATCH(TRUE, BYROW('PR管理'!$J$4:$T$101, LAMBDA(r, COUNTIF(r, AL103)&gt;0)), 0), 0),
    IF(targetRow=0, "",
      LET(
        startDate, INDEX('PR管理'!$C$4:$C$101, targetRow),
        delLimit, INDEX('PR管理'!$F$4:$F$101, targetRow),
        prID, INDEX('PR管理'!$A$4:$A$101, targetRow),
        IF(AND('26414_編集版 のコピー 2'!AL$1 &gt;= startDate, '26414_編集版 のコピー 2'!AL$1 &lt;= delLimit), 
          IFERROR(VLOOKUP(AL103, '新規'!$E$2:$H142, 4, 0), 
          IFERROR(VLOOKUP(AL103, '特殊配信マスタ'!$E$3:$H142, 4, 0), 
          IFERROR(VLOOKUP(AL103, '自動求人✅'!$C$3:$F142, 4, 0), prID))), 
        "")
      )
    )
  )
)</f>
        <v/>
      </c>
      <c r="AN103" s="141" t="str">
        <f t="shared" si="7"/>
        <v/>
      </c>
      <c r="AO103" s="141"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141"/>
      <c r="AQ103" s="141"/>
    </row>
    <row r="104" ht="17.25" customHeight="1">
      <c r="A104" s="142"/>
      <c r="B104" s="139"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140" t="str">
        <f t="array" ref="C104">IF(B104="", "", 
  LET(
    targetRow, IFERROR(MATCH(TRUE, BYROW('PR管理'!$J$4:$T$101, LAMBDA(r, COUNTIF(r, B104)&gt;0)), 0), 0),
    IF(targetRow=0, "",
      LET(
        startDate, INDEX('PR管理'!$C$4:$C$101, targetRow),
        delLimit, INDEX('PR管理'!$F$4:$F$101, targetRow),
        prID, INDEX('PR管理'!$A$4:$A$101, targetRow),
        IF(AND('26414_編集版 のコピー 2'!B$1 &gt;= startDate, '26414_編集版 のコピー 2'!B$1 &lt;= delLimit), 
          IFERROR(VLOOKUP(B104, '新規'!$E$2:$H142, 4, 0), 
          IFERROR(VLOOKUP(B104, '特殊配信マスタ'!$E$3:$H142, 4, 0), 
          IFERROR(VLOOKUP(B104, '自動求人✅'!$C$3:$F142, 4, 0), prID))), 
        "")
      )
    )
  )
)</f>
        <v/>
      </c>
      <c r="D104" s="141" t="str">
        <f t="shared" si="1"/>
        <v/>
      </c>
      <c r="E104" s="141"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141"/>
      <c r="G104" s="141"/>
      <c r="H104" s="139"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140" t="str">
        <f t="array" ref="I104">IF(H104="", "", 
  LET(
    targetRow, IFERROR(MATCH(TRUE, BYROW('PR管理'!$J$4:$T$101, LAMBDA(r, COUNTIF(r, H104)&gt;0)), 0), 0),
    IF(targetRow=0, "",
      LET(
        startDate, INDEX('PR管理'!$C$4:$C$101, targetRow),
        delLimit, INDEX('PR管理'!$F$4:$F$101, targetRow),
        prID, INDEX('PR管理'!$A$4:$A$101, targetRow),
        IF(AND('26414_編集版 のコピー 2'!H$1 &gt;= startDate, '26414_編集版 のコピー 2'!H$1 &lt;= delLimit), 
          IFERROR(VLOOKUP(H104, '新規'!$E$2:$H142, 4, 0), 
          IFERROR(VLOOKUP(H104, '特殊配信マスタ'!$E$3:$H142, 4, 0), 
          IFERROR(VLOOKUP(H104, '自動求人✅'!$C$3:$F142, 4, 0), prID))), 
        "")
      )
    )
  )
)</f>
        <v/>
      </c>
      <c r="J104" s="141" t="str">
        <f t="shared" si="2"/>
        <v/>
      </c>
      <c r="K104" s="141"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141"/>
      <c r="M104" s="141"/>
      <c r="N104" s="139"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140" t="str">
        <f t="array" ref="O104">IF(N104="", "", 
  LET(
    targetRow, IFERROR(MATCH(TRUE, BYROW('PR管理'!$J$4:$T$101, LAMBDA(r, COUNTIF(r, N104)&gt;0)), 0), 0),
    IF(targetRow=0, "",
      LET(
        startDate, INDEX('PR管理'!$C$4:$C$101, targetRow),
        delLimit, INDEX('PR管理'!$F$4:$F$101, targetRow),
        prID, INDEX('PR管理'!$A$4:$A$101, targetRow),
        IF(AND('26414_編集版 のコピー 2'!N$1 &gt;= startDate, '26414_編集版 のコピー 2'!N$1 &lt;= delLimit), 
          IFERROR(VLOOKUP(N104, '新規'!$E$2:$H142, 4, 0), 
          IFERROR(VLOOKUP(N104, '特殊配信マスタ'!$E$3:$H142, 4, 0), 
          IFERROR(VLOOKUP(N104, '自動求人✅'!$C$3:$F142, 4, 0), prID))), 
        "")
      )
    )
  )
)</f>
        <v/>
      </c>
      <c r="P104" s="141" t="str">
        <f t="shared" si="3"/>
        <v/>
      </c>
      <c r="Q104" s="141"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141"/>
      <c r="S104" s="141"/>
      <c r="T104" s="139"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140" t="str">
        <f t="array" ref="U104">IF(T104="", "", 
  LET(
    targetRow, IFERROR(MATCH(TRUE, BYROW('PR管理'!$J$4:$T$101, LAMBDA(r, COUNTIF(r, T104)&gt;0)), 0), 0),
    IF(targetRow=0, "",
      LET(
        startDate, INDEX('PR管理'!$C$4:$C$101, targetRow),
        delLimit, INDEX('PR管理'!$F$4:$F$101, targetRow),
        prID, INDEX('PR管理'!$A$4:$A$101, targetRow),
        IF(AND('26414_編集版 のコピー 2'!T$1 &gt;= startDate, '26414_編集版 のコピー 2'!T$1 &lt;= delLimit), 
          IFERROR(VLOOKUP(T104, '新規'!$E$2:$H142, 4, 0), 
          IFERROR(VLOOKUP(T104, '特殊配信マスタ'!$E$3:$H142, 4, 0), 
          IFERROR(VLOOKUP(T104, '自動求人✅'!$C$3:$F142, 4, 0), prID))), 
        "")
      )
    )
  )
)</f>
        <v/>
      </c>
      <c r="V104" s="141" t="str">
        <f t="shared" si="4"/>
        <v/>
      </c>
      <c r="W104" s="141"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141"/>
      <c r="Y104" s="141"/>
      <c r="Z104" s="139"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140" t="str">
        <f t="array" ref="AA104">IF(Z104="", "", 
  LET(
    targetRow, IFERROR(MATCH(TRUE, BYROW('PR管理'!$J$4:$T$101, LAMBDA(r, COUNTIF(r, Z104)&gt;0)), 0), 0),
    IF(targetRow=0, "",
      LET(
        startDate, INDEX('PR管理'!$C$4:$C$101, targetRow),
        delLimit, INDEX('PR管理'!$F$4:$F$101, targetRow),
        prID, INDEX('PR管理'!$A$4:$A$101, targetRow),
        IF(AND('26414_編集版 のコピー 2'!Z$1 &gt;= startDate, '26414_編集版 のコピー 2'!Z$1 &lt;= delLimit), 
          IFERROR(VLOOKUP(Z104, '新規'!$E$2:$H142, 4, 0), 
          IFERROR(VLOOKUP(Z104, '特殊配信マスタ'!$E$3:$H142, 4, 0), 
          IFERROR(VLOOKUP(Z104, '自動求人✅'!$C$3:$F142, 4, 0), prID))), 
        "")
      )
    )
  )
)</f>
        <v/>
      </c>
      <c r="AB104" s="141" t="str">
        <f t="shared" si="5"/>
        <v/>
      </c>
      <c r="AC104" s="141"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141"/>
      <c r="AE104" s="141"/>
      <c r="AF104" s="139"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140" t="str">
        <f t="array" ref="AG104">IF(AF104="", "", 
  LET(
    targetRow, IFERROR(MATCH(TRUE, BYROW('PR管理'!$J$4:$T$101, LAMBDA(r, COUNTIF(r, AF104)&gt;0)), 0), 0),
    IF(targetRow=0, "",
      LET(
        startDate, INDEX('PR管理'!$C$4:$C$101, targetRow),
        delLimit, INDEX('PR管理'!$F$4:$F$101, targetRow),
        prID, INDEX('PR管理'!$A$4:$A$101, targetRow),
        IF(AND('26414_編集版 のコピー 2'!AF$1 &gt;= startDate, '26414_編集版 のコピー 2'!AF$1 &lt;= delLimit), 
          IFERROR(VLOOKUP(AF104, '新規'!$E$2:$H142, 4, 0), 
          IFERROR(VLOOKUP(AF104, '特殊配信マスタ'!$E$3:$H142, 4, 0), 
          IFERROR(VLOOKUP(AF104, '自動求人✅'!$C$3:$F142, 4, 0), prID))), 
        "")
      )
    )
  )
)</f>
        <v/>
      </c>
      <c r="AH104" s="141" t="str">
        <f t="shared" si="6"/>
        <v/>
      </c>
      <c r="AI104" s="141"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141"/>
      <c r="AK104" s="141"/>
      <c r="AL104" s="139"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140" t="str">
        <f t="array" ref="AM104">IF(AL104="", "", 
  LET(
    targetRow, IFERROR(MATCH(TRUE, BYROW('PR管理'!$J$4:$T$101, LAMBDA(r, COUNTIF(r, AL104)&gt;0)), 0), 0),
    IF(targetRow=0, "",
      LET(
        startDate, INDEX('PR管理'!$C$4:$C$101, targetRow),
        delLimit, INDEX('PR管理'!$F$4:$F$101, targetRow),
        prID, INDEX('PR管理'!$A$4:$A$101, targetRow),
        IF(AND('26414_編集版 のコピー 2'!AL$1 &gt;= startDate, '26414_編集版 のコピー 2'!AL$1 &lt;= delLimit), 
          IFERROR(VLOOKUP(AL104, '新規'!$E$2:$H142, 4, 0), 
          IFERROR(VLOOKUP(AL104, '特殊配信マスタ'!$E$3:$H142, 4, 0), 
          IFERROR(VLOOKUP(AL104, '自動求人✅'!$C$3:$F142, 4, 0), prID))), 
        "")
      )
    )
  )
)</f>
        <v/>
      </c>
      <c r="AN104" s="141" t="str">
        <f t="shared" si="7"/>
        <v/>
      </c>
      <c r="AO104" s="141"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141"/>
      <c r="AQ104" s="141"/>
    </row>
    <row r="105" ht="17.25" customHeight="1">
      <c r="A105" s="142"/>
      <c r="B105" s="139"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140" t="str">
        <f t="array" ref="C105">IF(B105="", "", 
  LET(
    targetRow, IFERROR(MATCH(TRUE, BYROW('PR管理'!$J$4:$T$101, LAMBDA(r, COUNTIF(r, B105)&gt;0)), 0), 0),
    IF(targetRow=0, "",
      LET(
        startDate, INDEX('PR管理'!$C$4:$C$101, targetRow),
        delLimit, INDEX('PR管理'!$F$4:$F$101, targetRow),
        prID, INDEX('PR管理'!$A$4:$A$101, targetRow),
        IF(AND('26414_編集版 のコピー 2'!B$1 &gt;= startDate, '26414_編集版 のコピー 2'!B$1 &lt;= delLimit), 
          IFERROR(VLOOKUP(B105, '新規'!$E$2:$H142, 4, 0), 
          IFERROR(VLOOKUP(B105, '特殊配信マスタ'!$E$3:$H142, 4, 0), 
          IFERROR(VLOOKUP(B105, '自動求人✅'!$C$3:$F142, 4, 0), prID))), 
        "")
      )
    )
  )
)</f>
        <v/>
      </c>
      <c r="D105" s="141" t="str">
        <f t="shared" si="1"/>
        <v/>
      </c>
      <c r="E105" s="141"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141"/>
      <c r="G105" s="141"/>
      <c r="H105" s="139"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140" t="str">
        <f t="array" ref="I105">IF(H105="", "", 
  LET(
    targetRow, IFERROR(MATCH(TRUE, BYROW('PR管理'!$J$4:$T$101, LAMBDA(r, COUNTIF(r, H105)&gt;0)), 0), 0),
    IF(targetRow=0, "",
      LET(
        startDate, INDEX('PR管理'!$C$4:$C$101, targetRow),
        delLimit, INDEX('PR管理'!$F$4:$F$101, targetRow),
        prID, INDEX('PR管理'!$A$4:$A$101, targetRow),
        IF(AND('26414_編集版 のコピー 2'!H$1 &gt;= startDate, '26414_編集版 のコピー 2'!H$1 &lt;= delLimit), 
          IFERROR(VLOOKUP(H105, '新規'!$E$2:$H142, 4, 0), 
          IFERROR(VLOOKUP(H105, '特殊配信マスタ'!$E$3:$H142, 4, 0), 
          IFERROR(VLOOKUP(H105, '自動求人✅'!$C$3:$F142, 4, 0), prID))), 
        "")
      )
    )
  )
)</f>
        <v/>
      </c>
      <c r="J105" s="141" t="str">
        <f t="shared" si="2"/>
        <v/>
      </c>
      <c r="K105" s="141"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141"/>
      <c r="M105" s="141"/>
      <c r="N105" s="139"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140" t="str">
        <f t="array" ref="O105">IF(N105="", "", 
  LET(
    targetRow, IFERROR(MATCH(TRUE, BYROW('PR管理'!$J$4:$T$101, LAMBDA(r, COUNTIF(r, N105)&gt;0)), 0), 0),
    IF(targetRow=0, "",
      LET(
        startDate, INDEX('PR管理'!$C$4:$C$101, targetRow),
        delLimit, INDEX('PR管理'!$F$4:$F$101, targetRow),
        prID, INDEX('PR管理'!$A$4:$A$101, targetRow),
        IF(AND('26414_編集版 のコピー 2'!N$1 &gt;= startDate, '26414_編集版 のコピー 2'!N$1 &lt;= delLimit), 
          IFERROR(VLOOKUP(N105, '新規'!$E$2:$H142, 4, 0), 
          IFERROR(VLOOKUP(N105, '特殊配信マスタ'!$E$3:$H142, 4, 0), 
          IFERROR(VLOOKUP(N105, '自動求人✅'!$C$3:$F142, 4, 0), prID))), 
        "")
      )
    )
  )
)</f>
        <v/>
      </c>
      <c r="P105" s="141" t="str">
        <f t="shared" si="3"/>
        <v/>
      </c>
      <c r="Q105" s="141"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141"/>
      <c r="S105" s="141"/>
      <c r="T105" s="139"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140" t="str">
        <f t="array" ref="U105">IF(T105="", "", 
  LET(
    targetRow, IFERROR(MATCH(TRUE, BYROW('PR管理'!$J$4:$T$101, LAMBDA(r, COUNTIF(r, T105)&gt;0)), 0), 0),
    IF(targetRow=0, "",
      LET(
        startDate, INDEX('PR管理'!$C$4:$C$101, targetRow),
        delLimit, INDEX('PR管理'!$F$4:$F$101, targetRow),
        prID, INDEX('PR管理'!$A$4:$A$101, targetRow),
        IF(AND('26414_編集版 のコピー 2'!T$1 &gt;= startDate, '26414_編集版 のコピー 2'!T$1 &lt;= delLimit), 
          IFERROR(VLOOKUP(T105, '新規'!$E$2:$H142, 4, 0), 
          IFERROR(VLOOKUP(T105, '特殊配信マスタ'!$E$3:$H142, 4, 0), 
          IFERROR(VLOOKUP(T105, '自動求人✅'!$C$3:$F142, 4, 0), prID))), 
        "")
      )
    )
  )
)</f>
        <v/>
      </c>
      <c r="V105" s="141" t="str">
        <f t="shared" si="4"/>
        <v/>
      </c>
      <c r="W105" s="141"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141"/>
      <c r="Y105" s="141"/>
      <c r="Z105" s="139"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140" t="str">
        <f t="array" ref="AA105">IF(Z105="", "", 
  LET(
    targetRow, IFERROR(MATCH(TRUE, BYROW('PR管理'!$J$4:$T$101, LAMBDA(r, COUNTIF(r, Z105)&gt;0)), 0), 0),
    IF(targetRow=0, "",
      LET(
        startDate, INDEX('PR管理'!$C$4:$C$101, targetRow),
        delLimit, INDEX('PR管理'!$F$4:$F$101, targetRow),
        prID, INDEX('PR管理'!$A$4:$A$101, targetRow),
        IF(AND('26414_編集版 のコピー 2'!Z$1 &gt;= startDate, '26414_編集版 のコピー 2'!Z$1 &lt;= delLimit), 
          IFERROR(VLOOKUP(Z105, '新規'!$E$2:$H142, 4, 0), 
          IFERROR(VLOOKUP(Z105, '特殊配信マスタ'!$E$3:$H142, 4, 0), 
          IFERROR(VLOOKUP(Z105, '自動求人✅'!$C$3:$F142, 4, 0), prID))), 
        "")
      )
    )
  )
)</f>
        <v/>
      </c>
      <c r="AB105" s="141" t="str">
        <f t="shared" si="5"/>
        <v/>
      </c>
      <c r="AC105" s="141"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141"/>
      <c r="AE105" s="141"/>
      <c r="AF105" s="139"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140" t="str">
        <f t="array" ref="AG105">IF(AF105="", "", 
  LET(
    targetRow, IFERROR(MATCH(TRUE, BYROW('PR管理'!$J$4:$T$101, LAMBDA(r, COUNTIF(r, AF105)&gt;0)), 0), 0),
    IF(targetRow=0, "",
      LET(
        startDate, INDEX('PR管理'!$C$4:$C$101, targetRow),
        delLimit, INDEX('PR管理'!$F$4:$F$101, targetRow),
        prID, INDEX('PR管理'!$A$4:$A$101, targetRow),
        IF(AND('26414_編集版 のコピー 2'!AF$1 &gt;= startDate, '26414_編集版 のコピー 2'!AF$1 &lt;= delLimit), 
          IFERROR(VLOOKUP(AF105, '新規'!$E$2:$H142, 4, 0), 
          IFERROR(VLOOKUP(AF105, '特殊配信マスタ'!$E$3:$H142, 4, 0), 
          IFERROR(VLOOKUP(AF105, '自動求人✅'!$C$3:$F142, 4, 0), prID))), 
        "")
      )
    )
  )
)</f>
        <v/>
      </c>
      <c r="AH105" s="141" t="str">
        <f t="shared" si="6"/>
        <v/>
      </c>
      <c r="AI105" s="141"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141"/>
      <c r="AK105" s="141"/>
      <c r="AL105" s="139"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140" t="str">
        <f t="array" ref="AM105">IF(AL105="", "", 
  LET(
    targetRow, IFERROR(MATCH(TRUE, BYROW('PR管理'!$J$4:$T$101, LAMBDA(r, COUNTIF(r, AL105)&gt;0)), 0), 0),
    IF(targetRow=0, "",
      LET(
        startDate, INDEX('PR管理'!$C$4:$C$101, targetRow),
        delLimit, INDEX('PR管理'!$F$4:$F$101, targetRow),
        prID, INDEX('PR管理'!$A$4:$A$101, targetRow),
        IF(AND('26414_編集版 のコピー 2'!AL$1 &gt;= startDate, '26414_編集版 のコピー 2'!AL$1 &lt;= delLimit), 
          IFERROR(VLOOKUP(AL105, '新規'!$E$2:$H142, 4, 0), 
          IFERROR(VLOOKUP(AL105, '特殊配信マスタ'!$E$3:$H142, 4, 0), 
          IFERROR(VLOOKUP(AL105, '自動求人✅'!$C$3:$F142, 4, 0), prID))), 
        "")
      )
    )
  )
)</f>
        <v/>
      </c>
      <c r="AN105" s="141" t="str">
        <f t="shared" si="7"/>
        <v/>
      </c>
      <c r="AO105" s="141"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141"/>
      <c r="AQ105" s="141"/>
    </row>
    <row r="106" ht="17.25" customHeight="1">
      <c r="A106" s="142"/>
      <c r="B106" s="139"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140" t="str">
        <f t="array" ref="C106">IF(B106="", "", 
  LET(
    targetRow, IFERROR(MATCH(TRUE, BYROW('PR管理'!$J$4:$T$101, LAMBDA(r, COUNTIF(r, B106)&gt;0)), 0), 0),
    IF(targetRow=0, "",
      LET(
        startDate, INDEX('PR管理'!$C$4:$C$101, targetRow),
        delLimit, INDEX('PR管理'!$F$4:$F$101, targetRow),
        prID, INDEX('PR管理'!$A$4:$A$101, targetRow),
        IF(AND('26414_編集版 のコピー 2'!B$1 &gt;= startDate, '26414_編集版 のコピー 2'!B$1 &lt;= delLimit), 
          IFERROR(VLOOKUP(B106, '新規'!$E$2:$H142, 4, 0), 
          IFERROR(VLOOKUP(B106, '特殊配信マスタ'!$E$3:$H142, 4, 0), 
          IFERROR(VLOOKUP(B106, '自動求人✅'!$C$3:$F142, 4, 0), prID))), 
        "")
      )
    )
  )
)</f>
        <v/>
      </c>
      <c r="D106" s="141" t="str">
        <f t="shared" si="1"/>
        <v/>
      </c>
      <c r="E106" s="141"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141"/>
      <c r="G106" s="141"/>
      <c r="H106" s="139"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140" t="str">
        <f t="array" ref="I106">IF(H106="", "", 
  LET(
    targetRow, IFERROR(MATCH(TRUE, BYROW('PR管理'!$J$4:$T$101, LAMBDA(r, COUNTIF(r, H106)&gt;0)), 0), 0),
    IF(targetRow=0, "",
      LET(
        startDate, INDEX('PR管理'!$C$4:$C$101, targetRow),
        delLimit, INDEX('PR管理'!$F$4:$F$101, targetRow),
        prID, INDEX('PR管理'!$A$4:$A$101, targetRow),
        IF(AND('26414_編集版 のコピー 2'!H$1 &gt;= startDate, '26414_編集版 のコピー 2'!H$1 &lt;= delLimit), 
          IFERROR(VLOOKUP(H106, '新規'!$E$2:$H142, 4, 0), 
          IFERROR(VLOOKUP(H106, '特殊配信マスタ'!$E$3:$H142, 4, 0), 
          IFERROR(VLOOKUP(H106, '自動求人✅'!$C$3:$F142, 4, 0), prID))), 
        "")
      )
    )
  )
)</f>
        <v/>
      </c>
      <c r="J106" s="141" t="str">
        <f t="shared" si="2"/>
        <v/>
      </c>
      <c r="K106" s="141"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141"/>
      <c r="M106" s="141"/>
      <c r="N106" s="139"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140" t="str">
        <f t="array" ref="O106">IF(N106="", "", 
  LET(
    targetRow, IFERROR(MATCH(TRUE, BYROW('PR管理'!$J$4:$T$101, LAMBDA(r, COUNTIF(r, N106)&gt;0)), 0), 0),
    IF(targetRow=0, "",
      LET(
        startDate, INDEX('PR管理'!$C$4:$C$101, targetRow),
        delLimit, INDEX('PR管理'!$F$4:$F$101, targetRow),
        prID, INDEX('PR管理'!$A$4:$A$101, targetRow),
        IF(AND('26414_編集版 のコピー 2'!N$1 &gt;= startDate, '26414_編集版 のコピー 2'!N$1 &lt;= delLimit), 
          IFERROR(VLOOKUP(N106, '新規'!$E$2:$H142, 4, 0), 
          IFERROR(VLOOKUP(N106, '特殊配信マスタ'!$E$3:$H142, 4, 0), 
          IFERROR(VLOOKUP(N106, '自動求人✅'!$C$3:$F142, 4, 0), prID))), 
        "")
      )
    )
  )
)</f>
        <v/>
      </c>
      <c r="P106" s="141" t="str">
        <f t="shared" si="3"/>
        <v/>
      </c>
      <c r="Q106" s="141"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141"/>
      <c r="S106" s="141"/>
      <c r="T106" s="139"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140" t="str">
        <f t="array" ref="U106">IF(T106="", "", 
  LET(
    targetRow, IFERROR(MATCH(TRUE, BYROW('PR管理'!$J$4:$T$101, LAMBDA(r, COUNTIF(r, T106)&gt;0)), 0), 0),
    IF(targetRow=0, "",
      LET(
        startDate, INDEX('PR管理'!$C$4:$C$101, targetRow),
        delLimit, INDEX('PR管理'!$F$4:$F$101, targetRow),
        prID, INDEX('PR管理'!$A$4:$A$101, targetRow),
        IF(AND('26414_編集版 のコピー 2'!T$1 &gt;= startDate, '26414_編集版 のコピー 2'!T$1 &lt;= delLimit), 
          IFERROR(VLOOKUP(T106, '新規'!$E$2:$H142, 4, 0), 
          IFERROR(VLOOKUP(T106, '特殊配信マスタ'!$E$3:$H142, 4, 0), 
          IFERROR(VLOOKUP(T106, '自動求人✅'!$C$3:$F142, 4, 0), prID))), 
        "")
      )
    )
  )
)</f>
        <v/>
      </c>
      <c r="V106" s="141" t="str">
        <f t="shared" si="4"/>
        <v/>
      </c>
      <c r="W106" s="141"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141"/>
      <c r="Y106" s="141"/>
      <c r="Z106" s="139"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140" t="str">
        <f t="array" ref="AA106">IF(Z106="", "", 
  LET(
    targetRow, IFERROR(MATCH(TRUE, BYROW('PR管理'!$J$4:$T$101, LAMBDA(r, COUNTIF(r, Z106)&gt;0)), 0), 0),
    IF(targetRow=0, "",
      LET(
        startDate, INDEX('PR管理'!$C$4:$C$101, targetRow),
        delLimit, INDEX('PR管理'!$F$4:$F$101, targetRow),
        prID, INDEX('PR管理'!$A$4:$A$101, targetRow),
        IF(AND('26414_編集版 のコピー 2'!Z$1 &gt;= startDate, '26414_編集版 のコピー 2'!Z$1 &lt;= delLimit), 
          IFERROR(VLOOKUP(Z106, '新規'!$E$2:$H142, 4, 0), 
          IFERROR(VLOOKUP(Z106, '特殊配信マスタ'!$E$3:$H142, 4, 0), 
          IFERROR(VLOOKUP(Z106, '自動求人✅'!$C$3:$F142, 4, 0), prID))), 
        "")
      )
    )
  )
)</f>
        <v/>
      </c>
      <c r="AB106" s="141" t="str">
        <f t="shared" si="5"/>
        <v/>
      </c>
      <c r="AC106" s="141"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141"/>
      <c r="AE106" s="141"/>
      <c r="AF106" s="139"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140" t="str">
        <f t="array" ref="AG106">IF(AF106="", "", 
  LET(
    targetRow, IFERROR(MATCH(TRUE, BYROW('PR管理'!$J$4:$T$101, LAMBDA(r, COUNTIF(r, AF106)&gt;0)), 0), 0),
    IF(targetRow=0, "",
      LET(
        startDate, INDEX('PR管理'!$C$4:$C$101, targetRow),
        delLimit, INDEX('PR管理'!$F$4:$F$101, targetRow),
        prID, INDEX('PR管理'!$A$4:$A$101, targetRow),
        IF(AND('26414_編集版 のコピー 2'!AF$1 &gt;= startDate, '26414_編集版 のコピー 2'!AF$1 &lt;= delLimit), 
          IFERROR(VLOOKUP(AF106, '新規'!$E$2:$H142, 4, 0), 
          IFERROR(VLOOKUP(AF106, '特殊配信マスタ'!$E$3:$H142, 4, 0), 
          IFERROR(VLOOKUP(AF106, '自動求人✅'!$C$3:$F142, 4, 0), prID))), 
        "")
      )
    )
  )
)</f>
        <v/>
      </c>
      <c r="AH106" s="141" t="str">
        <f t="shared" si="6"/>
        <v/>
      </c>
      <c r="AI106" s="141"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141"/>
      <c r="AK106" s="141"/>
      <c r="AL106" s="139"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140" t="str">
        <f t="array" ref="AM106">IF(AL106="", "", 
  LET(
    targetRow, IFERROR(MATCH(TRUE, BYROW('PR管理'!$J$4:$T$101, LAMBDA(r, COUNTIF(r, AL106)&gt;0)), 0), 0),
    IF(targetRow=0, "",
      LET(
        startDate, INDEX('PR管理'!$C$4:$C$101, targetRow),
        delLimit, INDEX('PR管理'!$F$4:$F$101, targetRow),
        prID, INDEX('PR管理'!$A$4:$A$101, targetRow),
        IF(AND('26414_編集版 のコピー 2'!AL$1 &gt;= startDate, '26414_編集版 のコピー 2'!AL$1 &lt;= delLimit), 
          IFERROR(VLOOKUP(AL106, '新規'!$E$2:$H142, 4, 0), 
          IFERROR(VLOOKUP(AL106, '特殊配信マスタ'!$E$3:$H142, 4, 0), 
          IFERROR(VLOOKUP(AL106, '自動求人✅'!$C$3:$F142, 4, 0), prID))), 
        "")
      )
    )
  )
)</f>
        <v/>
      </c>
      <c r="AN106" s="141" t="str">
        <f t="shared" si="7"/>
        <v/>
      </c>
      <c r="AO106" s="141"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141"/>
      <c r="AQ106" s="141"/>
    </row>
    <row r="107" ht="17.25" customHeight="1">
      <c r="A107" s="142"/>
      <c r="B107" s="139"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140" t="str">
        <f t="array" ref="C107">IF(B107="", "", 
  LET(
    targetRow, IFERROR(MATCH(TRUE, BYROW('PR管理'!$J$4:$T$101, LAMBDA(r, COUNTIF(r, B107)&gt;0)), 0), 0),
    IF(targetRow=0, "",
      LET(
        startDate, INDEX('PR管理'!$C$4:$C$101, targetRow),
        delLimit, INDEX('PR管理'!$F$4:$F$101, targetRow),
        prID, INDEX('PR管理'!$A$4:$A$101, targetRow),
        IF(AND('26414_編集版 のコピー 2'!B$1 &gt;= startDate, '26414_編集版 のコピー 2'!B$1 &lt;= delLimit), 
          IFERROR(VLOOKUP(B107, '新規'!$E$2:$H142, 4, 0), 
          IFERROR(VLOOKUP(B107, '特殊配信マスタ'!$E$3:$H142, 4, 0), 
          IFERROR(VLOOKUP(B107, '自動求人✅'!$C$3:$F142, 4, 0), prID))), 
        "")
      )
    )
  )
)</f>
        <v/>
      </c>
      <c r="D107" s="141" t="str">
        <f t="shared" si="1"/>
        <v/>
      </c>
      <c r="E107" s="141"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141"/>
      <c r="G107" s="141"/>
      <c r="H107" s="139"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140" t="str">
        <f t="array" ref="I107">IF(H107="", "", 
  LET(
    targetRow, IFERROR(MATCH(TRUE, BYROW('PR管理'!$J$4:$T$101, LAMBDA(r, COUNTIF(r, H107)&gt;0)), 0), 0),
    IF(targetRow=0, "",
      LET(
        startDate, INDEX('PR管理'!$C$4:$C$101, targetRow),
        delLimit, INDEX('PR管理'!$F$4:$F$101, targetRow),
        prID, INDEX('PR管理'!$A$4:$A$101, targetRow),
        IF(AND('26414_編集版 のコピー 2'!H$1 &gt;= startDate, '26414_編集版 のコピー 2'!H$1 &lt;= delLimit), 
          IFERROR(VLOOKUP(H107, '新規'!$E$2:$H142, 4, 0), 
          IFERROR(VLOOKUP(H107, '特殊配信マスタ'!$E$3:$H142, 4, 0), 
          IFERROR(VLOOKUP(H107, '自動求人✅'!$C$3:$F142, 4, 0), prID))), 
        "")
      )
    )
  )
)</f>
        <v/>
      </c>
      <c r="J107" s="141" t="str">
        <f t="shared" si="2"/>
        <v/>
      </c>
      <c r="K107" s="141"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141"/>
      <c r="M107" s="141"/>
      <c r="N107" s="139"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140" t="str">
        <f t="array" ref="O107">IF(N107="", "", 
  LET(
    targetRow, IFERROR(MATCH(TRUE, BYROW('PR管理'!$J$4:$T$101, LAMBDA(r, COUNTIF(r, N107)&gt;0)), 0), 0),
    IF(targetRow=0, "",
      LET(
        startDate, INDEX('PR管理'!$C$4:$C$101, targetRow),
        delLimit, INDEX('PR管理'!$F$4:$F$101, targetRow),
        prID, INDEX('PR管理'!$A$4:$A$101, targetRow),
        IF(AND('26414_編集版 のコピー 2'!N$1 &gt;= startDate, '26414_編集版 のコピー 2'!N$1 &lt;= delLimit), 
          IFERROR(VLOOKUP(N107, '新規'!$E$2:$H142, 4, 0), 
          IFERROR(VLOOKUP(N107, '特殊配信マスタ'!$E$3:$H142, 4, 0), 
          IFERROR(VLOOKUP(N107, '自動求人✅'!$C$3:$F142, 4, 0), prID))), 
        "")
      )
    )
  )
)</f>
        <v/>
      </c>
      <c r="P107" s="141" t="str">
        <f t="shared" si="3"/>
        <v/>
      </c>
      <c r="Q107" s="141"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141"/>
      <c r="S107" s="141"/>
      <c r="T107" s="139"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140" t="str">
        <f t="array" ref="U107">IF(T107="", "", 
  LET(
    targetRow, IFERROR(MATCH(TRUE, BYROW('PR管理'!$J$4:$T$101, LAMBDA(r, COUNTIF(r, T107)&gt;0)), 0), 0),
    IF(targetRow=0, "",
      LET(
        startDate, INDEX('PR管理'!$C$4:$C$101, targetRow),
        delLimit, INDEX('PR管理'!$F$4:$F$101, targetRow),
        prID, INDEX('PR管理'!$A$4:$A$101, targetRow),
        IF(AND('26414_編集版 のコピー 2'!T$1 &gt;= startDate, '26414_編集版 のコピー 2'!T$1 &lt;= delLimit), 
          IFERROR(VLOOKUP(T107, '新規'!$E$2:$H142, 4, 0), 
          IFERROR(VLOOKUP(T107, '特殊配信マスタ'!$E$3:$H142, 4, 0), 
          IFERROR(VLOOKUP(T107, '自動求人✅'!$C$3:$F142, 4, 0), prID))), 
        "")
      )
    )
  )
)</f>
        <v/>
      </c>
      <c r="V107" s="141" t="str">
        <f t="shared" si="4"/>
        <v/>
      </c>
      <c r="W107" s="141"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141"/>
      <c r="Y107" s="141"/>
      <c r="Z107" s="139"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140" t="str">
        <f t="array" ref="AA107">IF(Z107="", "", 
  LET(
    targetRow, IFERROR(MATCH(TRUE, BYROW('PR管理'!$J$4:$T$101, LAMBDA(r, COUNTIF(r, Z107)&gt;0)), 0), 0),
    IF(targetRow=0, "",
      LET(
        startDate, INDEX('PR管理'!$C$4:$C$101, targetRow),
        delLimit, INDEX('PR管理'!$F$4:$F$101, targetRow),
        prID, INDEX('PR管理'!$A$4:$A$101, targetRow),
        IF(AND('26414_編集版 のコピー 2'!Z$1 &gt;= startDate, '26414_編集版 のコピー 2'!Z$1 &lt;= delLimit), 
          IFERROR(VLOOKUP(Z107, '新規'!$E$2:$H142, 4, 0), 
          IFERROR(VLOOKUP(Z107, '特殊配信マスタ'!$E$3:$H142, 4, 0), 
          IFERROR(VLOOKUP(Z107, '自動求人✅'!$C$3:$F142, 4, 0), prID))), 
        "")
      )
    )
  )
)</f>
        <v/>
      </c>
      <c r="AB107" s="141" t="str">
        <f t="shared" si="5"/>
        <v/>
      </c>
      <c r="AC107" s="141"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141"/>
      <c r="AE107" s="141"/>
      <c r="AF107" s="139"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140" t="str">
        <f t="array" ref="AG107">IF(AF107="", "", 
  LET(
    targetRow, IFERROR(MATCH(TRUE, BYROW('PR管理'!$J$4:$T$101, LAMBDA(r, COUNTIF(r, AF107)&gt;0)), 0), 0),
    IF(targetRow=0, "",
      LET(
        startDate, INDEX('PR管理'!$C$4:$C$101, targetRow),
        delLimit, INDEX('PR管理'!$F$4:$F$101, targetRow),
        prID, INDEX('PR管理'!$A$4:$A$101, targetRow),
        IF(AND('26414_編集版 のコピー 2'!AF$1 &gt;= startDate, '26414_編集版 のコピー 2'!AF$1 &lt;= delLimit), 
          IFERROR(VLOOKUP(AF107, '新規'!$E$2:$H142, 4, 0), 
          IFERROR(VLOOKUP(AF107, '特殊配信マスタ'!$E$3:$H142, 4, 0), 
          IFERROR(VLOOKUP(AF107, '自動求人✅'!$C$3:$F142, 4, 0), prID))), 
        "")
      )
    )
  )
)</f>
        <v/>
      </c>
      <c r="AH107" s="141" t="str">
        <f t="shared" si="6"/>
        <v/>
      </c>
      <c r="AI107" s="141"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141"/>
      <c r="AK107" s="141"/>
      <c r="AL107" s="139"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140" t="str">
        <f t="array" ref="AM107">IF(AL107="", "", 
  LET(
    targetRow, IFERROR(MATCH(TRUE, BYROW('PR管理'!$J$4:$T$101, LAMBDA(r, COUNTIF(r, AL107)&gt;0)), 0), 0),
    IF(targetRow=0, "",
      LET(
        startDate, INDEX('PR管理'!$C$4:$C$101, targetRow),
        delLimit, INDEX('PR管理'!$F$4:$F$101, targetRow),
        prID, INDEX('PR管理'!$A$4:$A$101, targetRow),
        IF(AND('26414_編集版 のコピー 2'!AL$1 &gt;= startDate, '26414_編集版 のコピー 2'!AL$1 &lt;= delLimit), 
          IFERROR(VLOOKUP(AL107, '新規'!$E$2:$H142, 4, 0), 
          IFERROR(VLOOKUP(AL107, '特殊配信マスタ'!$E$3:$H142, 4, 0), 
          IFERROR(VLOOKUP(AL107, '自動求人✅'!$C$3:$F142, 4, 0), prID))), 
        "")
      )
    )
  )
)</f>
        <v/>
      </c>
      <c r="AN107" s="141" t="str">
        <f t="shared" si="7"/>
        <v/>
      </c>
      <c r="AO107" s="141"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141"/>
      <c r="AQ107" s="141"/>
    </row>
    <row r="108" ht="17.25" customHeight="1">
      <c r="A108" s="142"/>
      <c r="B108" s="139"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140" t="str">
        <f t="array" ref="C108">IF(B108="", "", 
  LET(
    targetRow, IFERROR(MATCH(TRUE, BYROW('PR管理'!$J$4:$T$101, LAMBDA(r, COUNTIF(r, B108)&gt;0)), 0), 0),
    IF(targetRow=0, "",
      LET(
        startDate, INDEX('PR管理'!$C$4:$C$101, targetRow),
        delLimit, INDEX('PR管理'!$F$4:$F$101, targetRow),
        prID, INDEX('PR管理'!$A$4:$A$101, targetRow),
        IF(AND('26414_編集版 のコピー 2'!B$1 &gt;= startDate, '26414_編集版 のコピー 2'!B$1 &lt;= delLimit), 
          IFERROR(VLOOKUP(B108, '新規'!$E$2:$H142, 4, 0), 
          IFERROR(VLOOKUP(B108, '特殊配信マスタ'!$E$3:$H142, 4, 0), 
          IFERROR(VLOOKUP(B108, '自動求人✅'!$C$3:$F142, 4, 0), prID))), 
        "")
      )
    )
  )
)</f>
        <v/>
      </c>
      <c r="D108" s="141" t="str">
        <f t="shared" si="1"/>
        <v/>
      </c>
      <c r="E108" s="141"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141"/>
      <c r="G108" s="141"/>
      <c r="H108" s="139"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140" t="str">
        <f t="array" ref="I108">IF(H108="", "", 
  LET(
    targetRow, IFERROR(MATCH(TRUE, BYROW('PR管理'!$J$4:$T$101, LAMBDA(r, COUNTIF(r, H108)&gt;0)), 0), 0),
    IF(targetRow=0, "",
      LET(
        startDate, INDEX('PR管理'!$C$4:$C$101, targetRow),
        delLimit, INDEX('PR管理'!$F$4:$F$101, targetRow),
        prID, INDEX('PR管理'!$A$4:$A$101, targetRow),
        IF(AND('26414_編集版 のコピー 2'!H$1 &gt;= startDate, '26414_編集版 のコピー 2'!H$1 &lt;= delLimit), 
          IFERROR(VLOOKUP(H108, '新規'!$E$2:$H142, 4, 0), 
          IFERROR(VLOOKUP(H108, '特殊配信マスタ'!$E$3:$H142, 4, 0), 
          IFERROR(VLOOKUP(H108, '自動求人✅'!$C$3:$F142, 4, 0), prID))), 
        "")
      )
    )
  )
)</f>
        <v/>
      </c>
      <c r="J108" s="141" t="str">
        <f t="shared" si="2"/>
        <v/>
      </c>
      <c r="K108" s="141"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141"/>
      <c r="M108" s="141"/>
      <c r="N108" s="139"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140" t="str">
        <f t="array" ref="O108">IF(N108="", "", 
  LET(
    targetRow, IFERROR(MATCH(TRUE, BYROW('PR管理'!$J$4:$T$101, LAMBDA(r, COUNTIF(r, N108)&gt;0)), 0), 0),
    IF(targetRow=0, "",
      LET(
        startDate, INDEX('PR管理'!$C$4:$C$101, targetRow),
        delLimit, INDEX('PR管理'!$F$4:$F$101, targetRow),
        prID, INDEX('PR管理'!$A$4:$A$101, targetRow),
        IF(AND('26414_編集版 のコピー 2'!N$1 &gt;= startDate, '26414_編集版 のコピー 2'!N$1 &lt;= delLimit), 
          IFERROR(VLOOKUP(N108, '新規'!$E$2:$H142, 4, 0), 
          IFERROR(VLOOKUP(N108, '特殊配信マスタ'!$E$3:$H142, 4, 0), 
          IFERROR(VLOOKUP(N108, '自動求人✅'!$C$3:$F142, 4, 0), prID))), 
        "")
      )
    )
  )
)</f>
        <v/>
      </c>
      <c r="P108" s="141" t="str">
        <f t="shared" si="3"/>
        <v/>
      </c>
      <c r="Q108" s="141"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141"/>
      <c r="S108" s="141"/>
      <c r="T108" s="139"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140" t="str">
        <f t="array" ref="U108">IF(T108="", "", 
  LET(
    targetRow, IFERROR(MATCH(TRUE, BYROW('PR管理'!$J$4:$T$101, LAMBDA(r, COUNTIF(r, T108)&gt;0)), 0), 0),
    IF(targetRow=0, "",
      LET(
        startDate, INDEX('PR管理'!$C$4:$C$101, targetRow),
        delLimit, INDEX('PR管理'!$F$4:$F$101, targetRow),
        prID, INDEX('PR管理'!$A$4:$A$101, targetRow),
        IF(AND('26414_編集版 のコピー 2'!T$1 &gt;= startDate, '26414_編集版 のコピー 2'!T$1 &lt;= delLimit), 
          IFERROR(VLOOKUP(T108, '新規'!$E$2:$H142, 4, 0), 
          IFERROR(VLOOKUP(T108, '特殊配信マスタ'!$E$3:$H142, 4, 0), 
          IFERROR(VLOOKUP(T108, '自動求人✅'!$C$3:$F142, 4, 0), prID))), 
        "")
      )
    )
  )
)</f>
        <v/>
      </c>
      <c r="V108" s="141" t="str">
        <f t="shared" si="4"/>
        <v/>
      </c>
      <c r="W108" s="141"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141"/>
      <c r="Y108" s="141"/>
      <c r="Z108" s="139"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140" t="str">
        <f t="array" ref="AA108">IF(Z108="", "", 
  LET(
    targetRow, IFERROR(MATCH(TRUE, BYROW('PR管理'!$J$4:$T$101, LAMBDA(r, COUNTIF(r, Z108)&gt;0)), 0), 0),
    IF(targetRow=0, "",
      LET(
        startDate, INDEX('PR管理'!$C$4:$C$101, targetRow),
        delLimit, INDEX('PR管理'!$F$4:$F$101, targetRow),
        prID, INDEX('PR管理'!$A$4:$A$101, targetRow),
        IF(AND('26414_編集版 のコピー 2'!Z$1 &gt;= startDate, '26414_編集版 のコピー 2'!Z$1 &lt;= delLimit), 
          IFERROR(VLOOKUP(Z108, '新規'!$E$2:$H142, 4, 0), 
          IFERROR(VLOOKUP(Z108, '特殊配信マスタ'!$E$3:$H142, 4, 0), 
          IFERROR(VLOOKUP(Z108, '自動求人✅'!$C$3:$F142, 4, 0), prID))), 
        "")
      )
    )
  )
)</f>
        <v/>
      </c>
      <c r="AB108" s="141" t="str">
        <f t="shared" si="5"/>
        <v/>
      </c>
      <c r="AC108" s="141"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141"/>
      <c r="AE108" s="141"/>
      <c r="AF108" s="139"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140" t="str">
        <f t="array" ref="AG108">IF(AF108="", "", 
  LET(
    targetRow, IFERROR(MATCH(TRUE, BYROW('PR管理'!$J$4:$T$101, LAMBDA(r, COUNTIF(r, AF108)&gt;0)), 0), 0),
    IF(targetRow=0, "",
      LET(
        startDate, INDEX('PR管理'!$C$4:$C$101, targetRow),
        delLimit, INDEX('PR管理'!$F$4:$F$101, targetRow),
        prID, INDEX('PR管理'!$A$4:$A$101, targetRow),
        IF(AND('26414_編集版 のコピー 2'!AF$1 &gt;= startDate, '26414_編集版 のコピー 2'!AF$1 &lt;= delLimit), 
          IFERROR(VLOOKUP(AF108, '新規'!$E$2:$H142, 4, 0), 
          IFERROR(VLOOKUP(AF108, '特殊配信マスタ'!$E$3:$H142, 4, 0), 
          IFERROR(VLOOKUP(AF108, '自動求人✅'!$C$3:$F142, 4, 0), prID))), 
        "")
      )
    )
  )
)</f>
        <v/>
      </c>
      <c r="AH108" s="141" t="str">
        <f t="shared" si="6"/>
        <v/>
      </c>
      <c r="AI108" s="141"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141"/>
      <c r="AK108" s="141"/>
      <c r="AL108" s="139"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140" t="str">
        <f t="array" ref="AM108">IF(AL108="", "", 
  LET(
    targetRow, IFERROR(MATCH(TRUE, BYROW('PR管理'!$J$4:$T$101, LAMBDA(r, COUNTIF(r, AL108)&gt;0)), 0), 0),
    IF(targetRow=0, "",
      LET(
        startDate, INDEX('PR管理'!$C$4:$C$101, targetRow),
        delLimit, INDEX('PR管理'!$F$4:$F$101, targetRow),
        prID, INDEX('PR管理'!$A$4:$A$101, targetRow),
        IF(AND('26414_編集版 のコピー 2'!AL$1 &gt;= startDate, '26414_編集版 のコピー 2'!AL$1 &lt;= delLimit), 
          IFERROR(VLOOKUP(AL108, '新規'!$E$2:$H142, 4, 0), 
          IFERROR(VLOOKUP(AL108, '特殊配信マスタ'!$E$3:$H142, 4, 0), 
          IFERROR(VLOOKUP(AL108, '自動求人✅'!$C$3:$F142, 4, 0), prID))), 
        "")
      )
    )
  )
)</f>
        <v/>
      </c>
      <c r="AN108" s="141" t="str">
        <f t="shared" si="7"/>
        <v/>
      </c>
      <c r="AO108" s="141"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141"/>
      <c r="AQ108" s="141"/>
    </row>
    <row r="109" ht="17.25" customHeight="1">
      <c r="A109" s="142"/>
      <c r="B109" s="139"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140" t="str">
        <f t="array" ref="C109">IF(B109="", "", 
  LET(
    targetRow, IFERROR(MATCH(TRUE, BYROW('PR管理'!$J$4:$T$101, LAMBDA(r, COUNTIF(r, B109)&gt;0)), 0), 0),
    IF(targetRow=0, "",
      LET(
        startDate, INDEX('PR管理'!$C$4:$C$101, targetRow),
        delLimit, INDEX('PR管理'!$F$4:$F$101, targetRow),
        prID, INDEX('PR管理'!$A$4:$A$101, targetRow),
        IF(AND('26414_編集版 のコピー 2'!B$1 &gt;= startDate, '26414_編集版 のコピー 2'!B$1 &lt;= delLimit), 
          IFERROR(VLOOKUP(B109, '新規'!$E$2:$H142, 4, 0), 
          IFERROR(VLOOKUP(B109, '特殊配信マスタ'!$E$3:$H142, 4, 0), 
          IFERROR(VLOOKUP(B109, '自動求人✅'!$C$3:$F142, 4, 0), prID))), 
        "")
      )
    )
  )
)</f>
        <v/>
      </c>
      <c r="D109" s="141" t="str">
        <f t="shared" si="1"/>
        <v/>
      </c>
      <c r="E109" s="141"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141"/>
      <c r="G109" s="141"/>
      <c r="H109" s="139"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140" t="str">
        <f t="array" ref="I109">IF(H109="", "", 
  LET(
    targetRow, IFERROR(MATCH(TRUE, BYROW('PR管理'!$J$4:$T$101, LAMBDA(r, COUNTIF(r, H109)&gt;0)), 0), 0),
    IF(targetRow=0, "",
      LET(
        startDate, INDEX('PR管理'!$C$4:$C$101, targetRow),
        delLimit, INDEX('PR管理'!$F$4:$F$101, targetRow),
        prID, INDEX('PR管理'!$A$4:$A$101, targetRow),
        IF(AND('26414_編集版 のコピー 2'!H$1 &gt;= startDate, '26414_編集版 のコピー 2'!H$1 &lt;= delLimit), 
          IFERROR(VLOOKUP(H109, '新規'!$E$2:$H142, 4, 0), 
          IFERROR(VLOOKUP(H109, '特殊配信マスタ'!$E$3:$H142, 4, 0), 
          IFERROR(VLOOKUP(H109, '自動求人✅'!$C$3:$F142, 4, 0), prID))), 
        "")
      )
    )
  )
)</f>
        <v/>
      </c>
      <c r="J109" s="141" t="str">
        <f t="shared" si="2"/>
        <v/>
      </c>
      <c r="K109" s="141"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141"/>
      <c r="M109" s="141"/>
      <c r="N109" s="139"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140" t="str">
        <f t="array" ref="O109">IF(N109="", "", 
  LET(
    targetRow, IFERROR(MATCH(TRUE, BYROW('PR管理'!$J$4:$T$101, LAMBDA(r, COUNTIF(r, N109)&gt;0)), 0), 0),
    IF(targetRow=0, "",
      LET(
        startDate, INDEX('PR管理'!$C$4:$C$101, targetRow),
        delLimit, INDEX('PR管理'!$F$4:$F$101, targetRow),
        prID, INDEX('PR管理'!$A$4:$A$101, targetRow),
        IF(AND('26414_編集版 のコピー 2'!N$1 &gt;= startDate, '26414_編集版 のコピー 2'!N$1 &lt;= delLimit), 
          IFERROR(VLOOKUP(N109, '新規'!$E$2:$H142, 4, 0), 
          IFERROR(VLOOKUP(N109, '特殊配信マスタ'!$E$3:$H142, 4, 0), 
          IFERROR(VLOOKUP(N109, '自動求人✅'!$C$3:$F142, 4, 0), prID))), 
        "")
      )
    )
  )
)</f>
        <v/>
      </c>
      <c r="P109" s="141" t="str">
        <f t="shared" si="3"/>
        <v/>
      </c>
      <c r="Q109" s="141"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141"/>
      <c r="S109" s="141"/>
      <c r="T109" s="139"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140" t="str">
        <f t="array" ref="U109">IF(T109="", "", 
  LET(
    targetRow, IFERROR(MATCH(TRUE, BYROW('PR管理'!$J$4:$T$101, LAMBDA(r, COUNTIF(r, T109)&gt;0)), 0), 0),
    IF(targetRow=0, "",
      LET(
        startDate, INDEX('PR管理'!$C$4:$C$101, targetRow),
        delLimit, INDEX('PR管理'!$F$4:$F$101, targetRow),
        prID, INDEX('PR管理'!$A$4:$A$101, targetRow),
        IF(AND('26414_編集版 のコピー 2'!T$1 &gt;= startDate, '26414_編集版 のコピー 2'!T$1 &lt;= delLimit), 
          IFERROR(VLOOKUP(T109, '新規'!$E$2:$H142, 4, 0), 
          IFERROR(VLOOKUP(T109, '特殊配信マスタ'!$E$3:$H142, 4, 0), 
          IFERROR(VLOOKUP(T109, '自動求人✅'!$C$3:$F142, 4, 0), prID))), 
        "")
      )
    )
  )
)</f>
        <v/>
      </c>
      <c r="V109" s="141" t="str">
        <f t="shared" si="4"/>
        <v/>
      </c>
      <c r="W109" s="141"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141"/>
      <c r="Y109" s="141"/>
      <c r="Z109" s="139"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140" t="str">
        <f t="array" ref="AA109">IF(Z109="", "", 
  LET(
    targetRow, IFERROR(MATCH(TRUE, BYROW('PR管理'!$J$4:$T$101, LAMBDA(r, COUNTIF(r, Z109)&gt;0)), 0), 0),
    IF(targetRow=0, "",
      LET(
        startDate, INDEX('PR管理'!$C$4:$C$101, targetRow),
        delLimit, INDEX('PR管理'!$F$4:$F$101, targetRow),
        prID, INDEX('PR管理'!$A$4:$A$101, targetRow),
        IF(AND('26414_編集版 のコピー 2'!Z$1 &gt;= startDate, '26414_編集版 のコピー 2'!Z$1 &lt;= delLimit), 
          IFERROR(VLOOKUP(Z109, '新規'!$E$2:$H142, 4, 0), 
          IFERROR(VLOOKUP(Z109, '特殊配信マスタ'!$E$3:$H142, 4, 0), 
          IFERROR(VLOOKUP(Z109, '自動求人✅'!$C$3:$F142, 4, 0), prID))), 
        "")
      )
    )
  )
)</f>
        <v/>
      </c>
      <c r="AB109" s="141" t="str">
        <f t="shared" si="5"/>
        <v/>
      </c>
      <c r="AC109" s="141"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141"/>
      <c r="AE109" s="141"/>
      <c r="AF109" s="139"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140" t="str">
        <f t="array" ref="AG109">IF(AF109="", "", 
  LET(
    targetRow, IFERROR(MATCH(TRUE, BYROW('PR管理'!$J$4:$T$101, LAMBDA(r, COUNTIF(r, AF109)&gt;0)), 0), 0),
    IF(targetRow=0, "",
      LET(
        startDate, INDEX('PR管理'!$C$4:$C$101, targetRow),
        delLimit, INDEX('PR管理'!$F$4:$F$101, targetRow),
        prID, INDEX('PR管理'!$A$4:$A$101, targetRow),
        IF(AND('26414_編集版 のコピー 2'!AF$1 &gt;= startDate, '26414_編集版 のコピー 2'!AF$1 &lt;= delLimit), 
          IFERROR(VLOOKUP(AF109, '新規'!$E$2:$H142, 4, 0), 
          IFERROR(VLOOKUP(AF109, '特殊配信マスタ'!$E$3:$H142, 4, 0), 
          IFERROR(VLOOKUP(AF109, '自動求人✅'!$C$3:$F142, 4, 0), prID))), 
        "")
      )
    )
  )
)</f>
        <v/>
      </c>
      <c r="AH109" s="141" t="str">
        <f t="shared" si="6"/>
        <v/>
      </c>
      <c r="AI109" s="141"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141"/>
      <c r="AK109" s="141"/>
      <c r="AL109" s="139"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140" t="str">
        <f t="array" ref="AM109">IF(AL109="", "", 
  LET(
    targetRow, IFERROR(MATCH(TRUE, BYROW('PR管理'!$J$4:$T$101, LAMBDA(r, COUNTIF(r, AL109)&gt;0)), 0), 0),
    IF(targetRow=0, "",
      LET(
        startDate, INDEX('PR管理'!$C$4:$C$101, targetRow),
        delLimit, INDEX('PR管理'!$F$4:$F$101, targetRow),
        prID, INDEX('PR管理'!$A$4:$A$101, targetRow),
        IF(AND('26414_編集版 のコピー 2'!AL$1 &gt;= startDate, '26414_編集版 のコピー 2'!AL$1 &lt;= delLimit), 
          IFERROR(VLOOKUP(AL109, '新規'!$E$2:$H142, 4, 0), 
          IFERROR(VLOOKUP(AL109, '特殊配信マスタ'!$E$3:$H142, 4, 0), 
          IFERROR(VLOOKUP(AL109, '自動求人✅'!$C$3:$F142, 4, 0), prID))), 
        "")
      )
    )
  )
)</f>
        <v/>
      </c>
      <c r="AN109" s="141" t="str">
        <f t="shared" si="7"/>
        <v/>
      </c>
      <c r="AO109" s="141"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141"/>
      <c r="AQ109" s="141"/>
    </row>
    <row r="110" ht="17.25" customHeight="1">
      <c r="A110" s="142"/>
      <c r="B110" s="139"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140" t="str">
        <f t="array" ref="C110">IF(B110="", "", 
  LET(
    targetRow, IFERROR(MATCH(TRUE, BYROW('PR管理'!$J$4:$T$101, LAMBDA(r, COUNTIF(r, B110)&gt;0)), 0), 0),
    IF(targetRow=0, "",
      LET(
        startDate, INDEX('PR管理'!$C$4:$C$101, targetRow),
        delLimit, INDEX('PR管理'!$F$4:$F$101, targetRow),
        prID, INDEX('PR管理'!$A$4:$A$101, targetRow),
        IF(AND('26414_編集版 のコピー 2'!B$1 &gt;= startDate, '26414_編集版 のコピー 2'!B$1 &lt;= delLimit), 
          IFERROR(VLOOKUP(B110, '新規'!$E$2:$H142, 4, 0), 
          IFERROR(VLOOKUP(B110, '特殊配信マスタ'!$E$3:$H142, 4, 0), 
          IFERROR(VLOOKUP(B110, '自動求人✅'!$C$3:$F142, 4, 0), prID))), 
        "")
      )
    )
  )
)</f>
        <v/>
      </c>
      <c r="D110" s="141" t="str">
        <f t="shared" si="1"/>
        <v/>
      </c>
      <c r="E110" s="141"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141"/>
      <c r="G110" s="141"/>
      <c r="H110" s="139"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140" t="str">
        <f t="array" ref="I110">IF(H110="", "", 
  LET(
    targetRow, IFERROR(MATCH(TRUE, BYROW('PR管理'!$J$4:$T$101, LAMBDA(r, COUNTIF(r, H110)&gt;0)), 0), 0),
    IF(targetRow=0, "",
      LET(
        startDate, INDEX('PR管理'!$C$4:$C$101, targetRow),
        delLimit, INDEX('PR管理'!$F$4:$F$101, targetRow),
        prID, INDEX('PR管理'!$A$4:$A$101, targetRow),
        IF(AND('26414_編集版 のコピー 2'!H$1 &gt;= startDate, '26414_編集版 のコピー 2'!H$1 &lt;= delLimit), 
          IFERROR(VLOOKUP(H110, '新規'!$E$2:$H142, 4, 0), 
          IFERROR(VLOOKUP(H110, '特殊配信マスタ'!$E$3:$H142, 4, 0), 
          IFERROR(VLOOKUP(H110, '自動求人✅'!$C$3:$F142, 4, 0), prID))), 
        "")
      )
    )
  )
)</f>
        <v/>
      </c>
      <c r="J110" s="141" t="str">
        <f t="shared" si="2"/>
        <v/>
      </c>
      <c r="K110" s="141"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141"/>
      <c r="M110" s="141"/>
      <c r="N110" s="139"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140" t="str">
        <f t="array" ref="O110">IF(N110="", "", 
  LET(
    targetRow, IFERROR(MATCH(TRUE, BYROW('PR管理'!$J$4:$T$101, LAMBDA(r, COUNTIF(r, N110)&gt;0)), 0), 0),
    IF(targetRow=0, "",
      LET(
        startDate, INDEX('PR管理'!$C$4:$C$101, targetRow),
        delLimit, INDEX('PR管理'!$F$4:$F$101, targetRow),
        prID, INDEX('PR管理'!$A$4:$A$101, targetRow),
        IF(AND('26414_編集版 のコピー 2'!N$1 &gt;= startDate, '26414_編集版 のコピー 2'!N$1 &lt;= delLimit), 
          IFERROR(VLOOKUP(N110, '新規'!$E$2:$H142, 4, 0), 
          IFERROR(VLOOKUP(N110, '特殊配信マスタ'!$E$3:$H142, 4, 0), 
          IFERROR(VLOOKUP(N110, '自動求人✅'!$C$3:$F142, 4, 0), prID))), 
        "")
      )
    )
  )
)</f>
        <v/>
      </c>
      <c r="P110" s="141" t="str">
        <f t="shared" si="3"/>
        <v/>
      </c>
      <c r="Q110" s="141"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141"/>
      <c r="S110" s="141"/>
      <c r="T110" s="139"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140" t="str">
        <f t="array" ref="U110">IF(T110="", "", 
  LET(
    targetRow, IFERROR(MATCH(TRUE, BYROW('PR管理'!$J$4:$T$101, LAMBDA(r, COUNTIF(r, T110)&gt;0)), 0), 0),
    IF(targetRow=0, "",
      LET(
        startDate, INDEX('PR管理'!$C$4:$C$101, targetRow),
        delLimit, INDEX('PR管理'!$F$4:$F$101, targetRow),
        prID, INDEX('PR管理'!$A$4:$A$101, targetRow),
        IF(AND('26414_編集版 のコピー 2'!T$1 &gt;= startDate, '26414_編集版 のコピー 2'!T$1 &lt;= delLimit), 
          IFERROR(VLOOKUP(T110, '新規'!$E$2:$H142, 4, 0), 
          IFERROR(VLOOKUP(T110, '特殊配信マスタ'!$E$3:$H142, 4, 0), 
          IFERROR(VLOOKUP(T110, '自動求人✅'!$C$3:$F142, 4, 0), prID))), 
        "")
      )
    )
  )
)</f>
        <v/>
      </c>
      <c r="V110" s="141" t="str">
        <f t="shared" si="4"/>
        <v/>
      </c>
      <c r="W110" s="141"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141"/>
      <c r="Y110" s="141"/>
      <c r="Z110" s="139"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140" t="str">
        <f t="array" ref="AA110">IF(Z110="", "", 
  LET(
    targetRow, IFERROR(MATCH(TRUE, BYROW('PR管理'!$J$4:$T$101, LAMBDA(r, COUNTIF(r, Z110)&gt;0)), 0), 0),
    IF(targetRow=0, "",
      LET(
        startDate, INDEX('PR管理'!$C$4:$C$101, targetRow),
        delLimit, INDEX('PR管理'!$F$4:$F$101, targetRow),
        prID, INDEX('PR管理'!$A$4:$A$101, targetRow),
        IF(AND('26414_編集版 のコピー 2'!Z$1 &gt;= startDate, '26414_編集版 のコピー 2'!Z$1 &lt;= delLimit), 
          IFERROR(VLOOKUP(Z110, '新規'!$E$2:$H142, 4, 0), 
          IFERROR(VLOOKUP(Z110, '特殊配信マスタ'!$E$3:$H142, 4, 0), 
          IFERROR(VLOOKUP(Z110, '自動求人✅'!$C$3:$F142, 4, 0), prID))), 
        "")
      )
    )
  )
)</f>
        <v/>
      </c>
      <c r="AB110" s="141" t="str">
        <f t="shared" si="5"/>
        <v/>
      </c>
      <c r="AC110" s="141"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141"/>
      <c r="AE110" s="141"/>
      <c r="AF110" s="139"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140" t="str">
        <f t="array" ref="AG110">IF(AF110="", "", 
  LET(
    targetRow, IFERROR(MATCH(TRUE, BYROW('PR管理'!$J$4:$T$101, LAMBDA(r, COUNTIF(r, AF110)&gt;0)), 0), 0),
    IF(targetRow=0, "",
      LET(
        startDate, INDEX('PR管理'!$C$4:$C$101, targetRow),
        delLimit, INDEX('PR管理'!$F$4:$F$101, targetRow),
        prID, INDEX('PR管理'!$A$4:$A$101, targetRow),
        IF(AND('26414_編集版 のコピー 2'!AF$1 &gt;= startDate, '26414_編集版 のコピー 2'!AF$1 &lt;= delLimit), 
          IFERROR(VLOOKUP(AF110, '新規'!$E$2:$H142, 4, 0), 
          IFERROR(VLOOKUP(AF110, '特殊配信マスタ'!$E$3:$H142, 4, 0), 
          IFERROR(VLOOKUP(AF110, '自動求人✅'!$C$3:$F142, 4, 0), prID))), 
        "")
      )
    )
  )
)</f>
        <v/>
      </c>
      <c r="AH110" s="141" t="str">
        <f t="shared" si="6"/>
        <v/>
      </c>
      <c r="AI110" s="141"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141"/>
      <c r="AK110" s="141"/>
      <c r="AL110" s="139"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140" t="str">
        <f t="array" ref="AM110">IF(AL110="", "", 
  LET(
    targetRow, IFERROR(MATCH(TRUE, BYROW('PR管理'!$J$4:$T$101, LAMBDA(r, COUNTIF(r, AL110)&gt;0)), 0), 0),
    IF(targetRow=0, "",
      LET(
        startDate, INDEX('PR管理'!$C$4:$C$101, targetRow),
        delLimit, INDEX('PR管理'!$F$4:$F$101, targetRow),
        prID, INDEX('PR管理'!$A$4:$A$101, targetRow),
        IF(AND('26414_編集版 のコピー 2'!AL$1 &gt;= startDate, '26414_編集版 のコピー 2'!AL$1 &lt;= delLimit), 
          IFERROR(VLOOKUP(AL110, '新規'!$E$2:$H142, 4, 0), 
          IFERROR(VLOOKUP(AL110, '特殊配信マスタ'!$E$3:$H142, 4, 0), 
          IFERROR(VLOOKUP(AL110, '自動求人✅'!$C$3:$F142, 4, 0), prID))), 
        "")
      )
    )
  )
)</f>
        <v/>
      </c>
      <c r="AN110" s="141" t="str">
        <f t="shared" si="7"/>
        <v/>
      </c>
      <c r="AO110" s="141"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141"/>
      <c r="AQ110" s="141"/>
    </row>
    <row r="111" ht="17.25" customHeight="1">
      <c r="A111" s="142"/>
      <c r="B111" s="139"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140" t="str">
        <f t="array" ref="C111">IF(B111="", "", 
  LET(
    targetRow, IFERROR(MATCH(TRUE, BYROW('PR管理'!$J$4:$T$101, LAMBDA(r, COUNTIF(r, B111)&gt;0)), 0), 0),
    IF(targetRow=0, "",
      LET(
        startDate, INDEX('PR管理'!$C$4:$C$101, targetRow),
        delLimit, INDEX('PR管理'!$F$4:$F$101, targetRow),
        prID, INDEX('PR管理'!$A$4:$A$101, targetRow),
        IF(AND('26414_編集版 のコピー 2'!B$1 &gt;= startDate, '26414_編集版 のコピー 2'!B$1 &lt;= delLimit), 
          IFERROR(VLOOKUP(B111, '新規'!$E$2:$H142, 4, 0), 
          IFERROR(VLOOKUP(B111, '特殊配信マスタ'!$E$3:$H142, 4, 0), 
          IFERROR(VLOOKUP(B111, '自動求人✅'!$C$3:$F142, 4, 0), prID))), 
        "")
      )
    )
  )
)</f>
        <v/>
      </c>
      <c r="D111" s="141" t="str">
        <f t="shared" si="1"/>
        <v/>
      </c>
      <c r="E111" s="141"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141"/>
      <c r="G111" s="141"/>
      <c r="H111" s="139"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140" t="str">
        <f t="array" ref="I111">IF(H111="", "", 
  LET(
    targetRow, IFERROR(MATCH(TRUE, BYROW('PR管理'!$J$4:$T$101, LAMBDA(r, COUNTIF(r, H111)&gt;0)), 0), 0),
    IF(targetRow=0, "",
      LET(
        startDate, INDEX('PR管理'!$C$4:$C$101, targetRow),
        delLimit, INDEX('PR管理'!$F$4:$F$101, targetRow),
        prID, INDEX('PR管理'!$A$4:$A$101, targetRow),
        IF(AND('26414_編集版 のコピー 2'!H$1 &gt;= startDate, '26414_編集版 のコピー 2'!H$1 &lt;= delLimit), 
          IFERROR(VLOOKUP(H111, '新規'!$E$2:$H142, 4, 0), 
          IFERROR(VLOOKUP(H111, '特殊配信マスタ'!$E$3:$H142, 4, 0), 
          IFERROR(VLOOKUP(H111, '自動求人✅'!$C$3:$F142, 4, 0), prID))), 
        "")
      )
    )
  )
)</f>
        <v/>
      </c>
      <c r="J111" s="141" t="str">
        <f t="shared" si="2"/>
        <v/>
      </c>
      <c r="K111" s="141"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141"/>
      <c r="M111" s="141"/>
      <c r="N111" s="139"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140" t="str">
        <f t="array" ref="O111">IF(N111="", "", 
  LET(
    targetRow, IFERROR(MATCH(TRUE, BYROW('PR管理'!$J$4:$T$101, LAMBDA(r, COUNTIF(r, N111)&gt;0)), 0), 0),
    IF(targetRow=0, "",
      LET(
        startDate, INDEX('PR管理'!$C$4:$C$101, targetRow),
        delLimit, INDEX('PR管理'!$F$4:$F$101, targetRow),
        prID, INDEX('PR管理'!$A$4:$A$101, targetRow),
        IF(AND('26414_編集版 のコピー 2'!N$1 &gt;= startDate, '26414_編集版 のコピー 2'!N$1 &lt;= delLimit), 
          IFERROR(VLOOKUP(N111, '新規'!$E$2:$H142, 4, 0), 
          IFERROR(VLOOKUP(N111, '特殊配信マスタ'!$E$3:$H142, 4, 0), 
          IFERROR(VLOOKUP(N111, '自動求人✅'!$C$3:$F142, 4, 0), prID))), 
        "")
      )
    )
  )
)</f>
        <v/>
      </c>
      <c r="P111" s="141" t="str">
        <f t="shared" si="3"/>
        <v/>
      </c>
      <c r="Q111" s="141"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141"/>
      <c r="S111" s="141"/>
      <c r="T111" s="139"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140" t="str">
        <f t="array" ref="U111">IF(T111="", "", 
  LET(
    targetRow, IFERROR(MATCH(TRUE, BYROW('PR管理'!$J$4:$T$101, LAMBDA(r, COUNTIF(r, T111)&gt;0)), 0), 0),
    IF(targetRow=0, "",
      LET(
        startDate, INDEX('PR管理'!$C$4:$C$101, targetRow),
        delLimit, INDEX('PR管理'!$F$4:$F$101, targetRow),
        prID, INDEX('PR管理'!$A$4:$A$101, targetRow),
        IF(AND('26414_編集版 のコピー 2'!T$1 &gt;= startDate, '26414_編集版 のコピー 2'!T$1 &lt;= delLimit), 
          IFERROR(VLOOKUP(T111, '新規'!$E$2:$H142, 4, 0), 
          IFERROR(VLOOKUP(T111, '特殊配信マスタ'!$E$3:$H142, 4, 0), 
          IFERROR(VLOOKUP(T111, '自動求人✅'!$C$3:$F142, 4, 0), prID))), 
        "")
      )
    )
  )
)</f>
        <v/>
      </c>
      <c r="V111" s="141" t="str">
        <f t="shared" si="4"/>
        <v/>
      </c>
      <c r="W111" s="141"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141"/>
      <c r="Y111" s="141"/>
      <c r="Z111" s="139"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140" t="str">
        <f t="array" ref="AA111">IF(Z111="", "", 
  LET(
    targetRow, IFERROR(MATCH(TRUE, BYROW('PR管理'!$J$4:$T$101, LAMBDA(r, COUNTIF(r, Z111)&gt;0)), 0), 0),
    IF(targetRow=0, "",
      LET(
        startDate, INDEX('PR管理'!$C$4:$C$101, targetRow),
        delLimit, INDEX('PR管理'!$F$4:$F$101, targetRow),
        prID, INDEX('PR管理'!$A$4:$A$101, targetRow),
        IF(AND('26414_編集版 のコピー 2'!Z$1 &gt;= startDate, '26414_編集版 のコピー 2'!Z$1 &lt;= delLimit), 
          IFERROR(VLOOKUP(Z111, '新規'!$E$2:$H142, 4, 0), 
          IFERROR(VLOOKUP(Z111, '特殊配信マスタ'!$E$3:$H142, 4, 0), 
          IFERROR(VLOOKUP(Z111, '自動求人✅'!$C$3:$F142, 4, 0), prID))), 
        "")
      )
    )
  )
)</f>
        <v/>
      </c>
      <c r="AB111" s="141" t="str">
        <f t="shared" si="5"/>
        <v/>
      </c>
      <c r="AC111" s="141"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141"/>
      <c r="AE111" s="141"/>
      <c r="AF111" s="139"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140" t="str">
        <f t="array" ref="AG111">IF(AF111="", "", 
  LET(
    targetRow, IFERROR(MATCH(TRUE, BYROW('PR管理'!$J$4:$T$101, LAMBDA(r, COUNTIF(r, AF111)&gt;0)), 0), 0),
    IF(targetRow=0, "",
      LET(
        startDate, INDEX('PR管理'!$C$4:$C$101, targetRow),
        delLimit, INDEX('PR管理'!$F$4:$F$101, targetRow),
        prID, INDEX('PR管理'!$A$4:$A$101, targetRow),
        IF(AND('26414_編集版 のコピー 2'!AF$1 &gt;= startDate, '26414_編集版 のコピー 2'!AF$1 &lt;= delLimit), 
          IFERROR(VLOOKUP(AF111, '新規'!$E$2:$H142, 4, 0), 
          IFERROR(VLOOKUP(AF111, '特殊配信マスタ'!$E$3:$H142, 4, 0), 
          IFERROR(VLOOKUP(AF111, '自動求人✅'!$C$3:$F142, 4, 0), prID))), 
        "")
      )
    )
  )
)</f>
        <v/>
      </c>
      <c r="AH111" s="141" t="str">
        <f t="shared" si="6"/>
        <v/>
      </c>
      <c r="AI111" s="141"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141"/>
      <c r="AK111" s="141"/>
      <c r="AL111" s="139"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140" t="str">
        <f t="array" ref="AM111">IF(AL111="", "", 
  LET(
    targetRow, IFERROR(MATCH(TRUE, BYROW('PR管理'!$J$4:$T$101, LAMBDA(r, COUNTIF(r, AL111)&gt;0)), 0), 0),
    IF(targetRow=0, "",
      LET(
        startDate, INDEX('PR管理'!$C$4:$C$101, targetRow),
        delLimit, INDEX('PR管理'!$F$4:$F$101, targetRow),
        prID, INDEX('PR管理'!$A$4:$A$101, targetRow),
        IF(AND('26414_編集版 のコピー 2'!AL$1 &gt;= startDate, '26414_編集版 のコピー 2'!AL$1 &lt;= delLimit), 
          IFERROR(VLOOKUP(AL111, '新規'!$E$2:$H142, 4, 0), 
          IFERROR(VLOOKUP(AL111, '特殊配信マスタ'!$E$3:$H142, 4, 0), 
          IFERROR(VLOOKUP(AL111, '自動求人✅'!$C$3:$F142, 4, 0), prID))), 
        "")
      )
    )
  )
)</f>
        <v/>
      </c>
      <c r="AN111" s="141" t="str">
        <f t="shared" si="7"/>
        <v/>
      </c>
      <c r="AO111" s="141"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141"/>
      <c r="AQ111" s="141"/>
    </row>
    <row r="112" ht="17.25" customHeight="1">
      <c r="A112" s="142"/>
      <c r="B112" s="139"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140" t="str">
        <f t="array" ref="C112">IF(B112="", "", 
  LET(
    targetRow, IFERROR(MATCH(TRUE, BYROW('PR管理'!$J$4:$T$101, LAMBDA(r, COUNTIF(r, B112)&gt;0)), 0), 0),
    IF(targetRow=0, "",
      LET(
        startDate, INDEX('PR管理'!$C$4:$C$101, targetRow),
        delLimit, INDEX('PR管理'!$F$4:$F$101, targetRow),
        prID, INDEX('PR管理'!$A$4:$A$101, targetRow),
        IF(AND('26414_編集版 のコピー 2'!B$1 &gt;= startDate, '26414_編集版 のコピー 2'!B$1 &lt;= delLimit), 
          IFERROR(VLOOKUP(B112, '新規'!$E$2:$H142, 4, 0), 
          IFERROR(VLOOKUP(B112, '特殊配信マスタ'!$E$3:$H142, 4, 0), 
          IFERROR(VLOOKUP(B112, '自動求人✅'!$C$3:$F142, 4, 0), prID))), 
        "")
      )
    )
  )
)</f>
        <v/>
      </c>
      <c r="D112" s="141" t="str">
        <f t="shared" si="1"/>
        <v/>
      </c>
      <c r="E112" s="141"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141"/>
      <c r="G112" s="141"/>
      <c r="H112" s="139"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140" t="str">
        <f t="array" ref="I112">IF(H112="", "", 
  LET(
    targetRow, IFERROR(MATCH(TRUE, BYROW('PR管理'!$J$4:$T$101, LAMBDA(r, COUNTIF(r, H112)&gt;0)), 0), 0),
    IF(targetRow=0, "",
      LET(
        startDate, INDEX('PR管理'!$C$4:$C$101, targetRow),
        delLimit, INDEX('PR管理'!$F$4:$F$101, targetRow),
        prID, INDEX('PR管理'!$A$4:$A$101, targetRow),
        IF(AND('26414_編集版 のコピー 2'!H$1 &gt;= startDate, '26414_編集版 のコピー 2'!H$1 &lt;= delLimit), 
          IFERROR(VLOOKUP(H112, '新規'!$E$2:$H142, 4, 0), 
          IFERROR(VLOOKUP(H112, '特殊配信マスタ'!$E$3:$H142, 4, 0), 
          IFERROR(VLOOKUP(H112, '自動求人✅'!$C$3:$F142, 4, 0), prID))), 
        "")
      )
    )
  )
)</f>
        <v/>
      </c>
      <c r="J112" s="141" t="str">
        <f t="shared" si="2"/>
        <v/>
      </c>
      <c r="K112" s="141"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141"/>
      <c r="M112" s="141"/>
      <c r="N112" s="139"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140" t="str">
        <f t="array" ref="O112">IF(N112="", "", 
  LET(
    targetRow, IFERROR(MATCH(TRUE, BYROW('PR管理'!$J$4:$T$101, LAMBDA(r, COUNTIF(r, N112)&gt;0)), 0), 0),
    IF(targetRow=0, "",
      LET(
        startDate, INDEX('PR管理'!$C$4:$C$101, targetRow),
        delLimit, INDEX('PR管理'!$F$4:$F$101, targetRow),
        prID, INDEX('PR管理'!$A$4:$A$101, targetRow),
        IF(AND('26414_編集版 のコピー 2'!N$1 &gt;= startDate, '26414_編集版 のコピー 2'!N$1 &lt;= delLimit), 
          IFERROR(VLOOKUP(N112, '新規'!$E$2:$H142, 4, 0), 
          IFERROR(VLOOKUP(N112, '特殊配信マスタ'!$E$3:$H142, 4, 0), 
          IFERROR(VLOOKUP(N112, '自動求人✅'!$C$3:$F142, 4, 0), prID))), 
        "")
      )
    )
  )
)</f>
        <v/>
      </c>
      <c r="P112" s="141" t="str">
        <f t="shared" si="3"/>
        <v/>
      </c>
      <c r="Q112" s="141"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141"/>
      <c r="S112" s="141"/>
      <c r="T112" s="139"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140" t="str">
        <f t="array" ref="U112">IF(T112="", "", 
  LET(
    targetRow, IFERROR(MATCH(TRUE, BYROW('PR管理'!$J$4:$T$101, LAMBDA(r, COUNTIF(r, T112)&gt;0)), 0), 0),
    IF(targetRow=0, "",
      LET(
        startDate, INDEX('PR管理'!$C$4:$C$101, targetRow),
        delLimit, INDEX('PR管理'!$F$4:$F$101, targetRow),
        prID, INDEX('PR管理'!$A$4:$A$101, targetRow),
        IF(AND('26414_編集版 のコピー 2'!T$1 &gt;= startDate, '26414_編集版 のコピー 2'!T$1 &lt;= delLimit), 
          IFERROR(VLOOKUP(T112, '新規'!$E$2:$H142, 4, 0), 
          IFERROR(VLOOKUP(T112, '特殊配信マスタ'!$E$3:$H142, 4, 0), 
          IFERROR(VLOOKUP(T112, '自動求人✅'!$C$3:$F142, 4, 0), prID))), 
        "")
      )
    )
  )
)</f>
        <v/>
      </c>
      <c r="V112" s="141" t="str">
        <f t="shared" si="4"/>
        <v/>
      </c>
      <c r="W112" s="141"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141"/>
      <c r="Y112" s="141"/>
      <c r="Z112" s="139"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140" t="str">
        <f t="array" ref="AA112">IF(Z112="", "", 
  LET(
    targetRow, IFERROR(MATCH(TRUE, BYROW('PR管理'!$J$4:$T$101, LAMBDA(r, COUNTIF(r, Z112)&gt;0)), 0), 0),
    IF(targetRow=0, "",
      LET(
        startDate, INDEX('PR管理'!$C$4:$C$101, targetRow),
        delLimit, INDEX('PR管理'!$F$4:$F$101, targetRow),
        prID, INDEX('PR管理'!$A$4:$A$101, targetRow),
        IF(AND('26414_編集版 のコピー 2'!Z$1 &gt;= startDate, '26414_編集版 のコピー 2'!Z$1 &lt;= delLimit), 
          IFERROR(VLOOKUP(Z112, '新規'!$E$2:$H142, 4, 0), 
          IFERROR(VLOOKUP(Z112, '特殊配信マスタ'!$E$3:$H142, 4, 0), 
          IFERROR(VLOOKUP(Z112, '自動求人✅'!$C$3:$F142, 4, 0), prID))), 
        "")
      )
    )
  )
)</f>
        <v/>
      </c>
      <c r="AB112" s="141" t="str">
        <f t="shared" si="5"/>
        <v/>
      </c>
      <c r="AC112" s="141"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141"/>
      <c r="AE112" s="141"/>
      <c r="AF112" s="139"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140" t="str">
        <f t="array" ref="AG112">IF(AF112="", "", 
  LET(
    targetRow, IFERROR(MATCH(TRUE, BYROW('PR管理'!$J$4:$T$101, LAMBDA(r, COUNTIF(r, AF112)&gt;0)), 0), 0),
    IF(targetRow=0, "",
      LET(
        startDate, INDEX('PR管理'!$C$4:$C$101, targetRow),
        delLimit, INDEX('PR管理'!$F$4:$F$101, targetRow),
        prID, INDEX('PR管理'!$A$4:$A$101, targetRow),
        IF(AND('26414_編集版 のコピー 2'!AF$1 &gt;= startDate, '26414_編集版 のコピー 2'!AF$1 &lt;= delLimit), 
          IFERROR(VLOOKUP(AF112, '新規'!$E$2:$H142, 4, 0), 
          IFERROR(VLOOKUP(AF112, '特殊配信マスタ'!$E$3:$H142, 4, 0), 
          IFERROR(VLOOKUP(AF112, '自動求人✅'!$C$3:$F142, 4, 0), prID))), 
        "")
      )
    )
  )
)</f>
        <v/>
      </c>
      <c r="AH112" s="141" t="str">
        <f t="shared" si="6"/>
        <v/>
      </c>
      <c r="AI112" s="141"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141"/>
      <c r="AK112" s="141"/>
      <c r="AL112" s="139"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140" t="str">
        <f t="array" ref="AM112">IF(AL112="", "", 
  LET(
    targetRow, IFERROR(MATCH(TRUE, BYROW('PR管理'!$J$4:$T$101, LAMBDA(r, COUNTIF(r, AL112)&gt;0)), 0), 0),
    IF(targetRow=0, "",
      LET(
        startDate, INDEX('PR管理'!$C$4:$C$101, targetRow),
        delLimit, INDEX('PR管理'!$F$4:$F$101, targetRow),
        prID, INDEX('PR管理'!$A$4:$A$101, targetRow),
        IF(AND('26414_編集版 のコピー 2'!AL$1 &gt;= startDate, '26414_編集版 のコピー 2'!AL$1 &lt;= delLimit), 
          IFERROR(VLOOKUP(AL112, '新規'!$E$2:$H142, 4, 0), 
          IFERROR(VLOOKUP(AL112, '特殊配信マスタ'!$E$3:$H142, 4, 0), 
          IFERROR(VLOOKUP(AL112, '自動求人✅'!$C$3:$F142, 4, 0), prID))), 
        "")
      )
    )
  )
)</f>
        <v/>
      </c>
      <c r="AN112" s="141" t="str">
        <f t="shared" si="7"/>
        <v/>
      </c>
      <c r="AO112" s="141"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141"/>
      <c r="AQ112" s="141"/>
    </row>
    <row r="113" ht="17.25" customHeight="1">
      <c r="A113" s="138">
        <f>A103+1</f>
        <v>19</v>
      </c>
      <c r="B113" s="139"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140" t="str">
        <f t="array" ref="C113">IF(B113="", "", 
  LET(
    targetRow, IFERROR(MATCH(TRUE, BYROW('PR管理'!$J$4:$T$101, LAMBDA(r, COUNTIF(r, B113)&gt;0)), 0), 0),
    IF(targetRow=0, "",
      LET(
        startDate, INDEX('PR管理'!$C$4:$C$101, targetRow),
        delLimit, INDEX('PR管理'!$F$4:$F$101, targetRow),
        prID, INDEX('PR管理'!$A$4:$A$101, targetRow),
        IF(AND('26414_編集版 のコピー 2'!B$1 &gt;= startDate, '26414_編集版 のコピー 2'!B$1 &lt;= delLimit), 
          IFERROR(VLOOKUP(B113, '新規'!$E$2:$H142, 4, 0), 
          IFERROR(VLOOKUP(B113, '特殊配信マスタ'!$E$3:$H142, 4, 0), 
          IFERROR(VLOOKUP(B113, '自動求人✅'!$C$3:$F142, 4, 0), prID))), 
        "")
      )
    )
  )
)</f>
        <v/>
      </c>
      <c r="D113" s="141" t="str">
        <f t="shared" si="1"/>
        <v/>
      </c>
      <c r="E113" s="141"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141"/>
      <c r="G113" s="141"/>
      <c r="H113" s="139"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140" t="str">
        <f t="array" ref="I113">IF(H113="", "", 
  LET(
    targetRow, IFERROR(MATCH(TRUE, BYROW('PR管理'!$J$4:$T$101, LAMBDA(r, COUNTIF(r, H113)&gt;0)), 0), 0),
    IF(targetRow=0, "",
      LET(
        startDate, INDEX('PR管理'!$C$4:$C$101, targetRow),
        delLimit, INDEX('PR管理'!$F$4:$F$101, targetRow),
        prID, INDEX('PR管理'!$A$4:$A$101, targetRow),
        IF(AND('26414_編集版 のコピー 2'!H$1 &gt;= startDate, '26414_編集版 のコピー 2'!H$1 &lt;= delLimit), 
          IFERROR(VLOOKUP(H113, '新規'!$E$2:$H142, 4, 0), 
          IFERROR(VLOOKUP(H113, '特殊配信マスタ'!$E$3:$H142, 4, 0), 
          IFERROR(VLOOKUP(H113, '自動求人✅'!$C$3:$F142, 4, 0), prID))), 
        "")
      )
    )
  )
)</f>
        <v/>
      </c>
      <c r="J113" s="141" t="str">
        <f t="shared" si="2"/>
        <v/>
      </c>
      <c r="K113" s="141"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141"/>
      <c r="M113" s="141"/>
      <c r="N113" s="139"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140" t="str">
        <f t="array" ref="O113">IF(N113="", "", 
  LET(
    targetRow, IFERROR(MATCH(TRUE, BYROW('PR管理'!$J$4:$T$101, LAMBDA(r, COUNTIF(r, N113)&gt;0)), 0), 0),
    IF(targetRow=0, "",
      LET(
        startDate, INDEX('PR管理'!$C$4:$C$101, targetRow),
        delLimit, INDEX('PR管理'!$F$4:$F$101, targetRow),
        prID, INDEX('PR管理'!$A$4:$A$101, targetRow),
        IF(AND('26414_編集版 のコピー 2'!N$1 &gt;= startDate, '26414_編集版 のコピー 2'!N$1 &lt;= delLimit), 
          IFERROR(VLOOKUP(N113, '新規'!$E$2:$H142, 4, 0), 
          IFERROR(VLOOKUP(N113, '特殊配信マスタ'!$E$3:$H142, 4, 0), 
          IFERROR(VLOOKUP(N113, '自動求人✅'!$C$3:$F142, 4, 0), prID))), 
        "")
      )
    )
  )
)</f>
        <v/>
      </c>
      <c r="P113" s="141" t="str">
        <f t="shared" si="3"/>
        <v/>
      </c>
      <c r="Q113" s="141"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141"/>
      <c r="S113" s="141"/>
      <c r="T113" s="139"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140" t="str">
        <f t="array" ref="U113">IF(T113="", "", 
  LET(
    targetRow, IFERROR(MATCH(TRUE, BYROW('PR管理'!$J$4:$T$101, LAMBDA(r, COUNTIF(r, T113)&gt;0)), 0), 0),
    IF(targetRow=0, "",
      LET(
        startDate, INDEX('PR管理'!$C$4:$C$101, targetRow),
        delLimit, INDEX('PR管理'!$F$4:$F$101, targetRow),
        prID, INDEX('PR管理'!$A$4:$A$101, targetRow),
        IF(AND('26414_編集版 のコピー 2'!T$1 &gt;= startDate, '26414_編集版 のコピー 2'!T$1 &lt;= delLimit), 
          IFERROR(VLOOKUP(T113, '新規'!$E$2:$H142, 4, 0), 
          IFERROR(VLOOKUP(T113, '特殊配信マスタ'!$E$3:$H142, 4, 0), 
          IFERROR(VLOOKUP(T113, '自動求人✅'!$C$3:$F142, 4, 0), prID))), 
        "")
      )
    )
  )
)</f>
        <v/>
      </c>
      <c r="V113" s="141" t="str">
        <f t="shared" si="4"/>
        <v/>
      </c>
      <c r="W113" s="141"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141"/>
      <c r="Y113" s="141"/>
      <c r="Z113" s="139"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140" t="str">
        <f t="array" ref="AA113">IF(Z113="", "", 
  LET(
    targetRow, IFERROR(MATCH(TRUE, BYROW('PR管理'!$J$4:$T$101, LAMBDA(r, COUNTIF(r, Z113)&gt;0)), 0), 0),
    IF(targetRow=0, "",
      LET(
        startDate, INDEX('PR管理'!$C$4:$C$101, targetRow),
        delLimit, INDEX('PR管理'!$F$4:$F$101, targetRow),
        prID, INDEX('PR管理'!$A$4:$A$101, targetRow),
        IF(AND('26414_編集版 のコピー 2'!Z$1 &gt;= startDate, '26414_編集版 のコピー 2'!Z$1 &lt;= delLimit), 
          IFERROR(VLOOKUP(Z113, '新規'!$E$2:$H142, 4, 0), 
          IFERROR(VLOOKUP(Z113, '特殊配信マスタ'!$E$3:$H142, 4, 0), 
          IFERROR(VLOOKUP(Z113, '自動求人✅'!$C$3:$F142, 4, 0), prID))), 
        "")
      )
    )
  )
)</f>
        <v/>
      </c>
      <c r="AB113" s="141" t="str">
        <f t="shared" si="5"/>
        <v/>
      </c>
      <c r="AC113" s="141"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141"/>
      <c r="AE113" s="141"/>
      <c r="AF113" s="139"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140" t="str">
        <f t="array" ref="AG113">IF(AF113="", "", 
  LET(
    targetRow, IFERROR(MATCH(TRUE, BYROW('PR管理'!$J$4:$T$101, LAMBDA(r, COUNTIF(r, AF113)&gt;0)), 0), 0),
    IF(targetRow=0, "",
      LET(
        startDate, INDEX('PR管理'!$C$4:$C$101, targetRow),
        delLimit, INDEX('PR管理'!$F$4:$F$101, targetRow),
        prID, INDEX('PR管理'!$A$4:$A$101, targetRow),
        IF(AND('26414_編集版 のコピー 2'!AF$1 &gt;= startDate, '26414_編集版 のコピー 2'!AF$1 &lt;= delLimit), 
          IFERROR(VLOOKUP(AF113, '新規'!$E$2:$H142, 4, 0), 
          IFERROR(VLOOKUP(AF113, '特殊配信マスタ'!$E$3:$H142, 4, 0), 
          IFERROR(VLOOKUP(AF113, '自動求人✅'!$C$3:$F142, 4, 0), prID))), 
        "")
      )
    )
  )
)</f>
        <v/>
      </c>
      <c r="AH113" s="141" t="str">
        <f t="shared" si="6"/>
        <v/>
      </c>
      <c r="AI113" s="141"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141"/>
      <c r="AK113" s="141"/>
      <c r="AL113" s="139"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140" t="str">
        <f t="array" ref="AM113">IF(AL113="", "", 
  LET(
    targetRow, IFERROR(MATCH(TRUE, BYROW('PR管理'!$J$4:$T$101, LAMBDA(r, COUNTIF(r, AL113)&gt;0)), 0), 0),
    IF(targetRow=0, "",
      LET(
        startDate, INDEX('PR管理'!$C$4:$C$101, targetRow),
        delLimit, INDEX('PR管理'!$F$4:$F$101, targetRow),
        prID, INDEX('PR管理'!$A$4:$A$101, targetRow),
        IF(AND('26414_編集版 のコピー 2'!AL$1 &gt;= startDate, '26414_編集版 のコピー 2'!AL$1 &lt;= delLimit), 
          IFERROR(VLOOKUP(AL113, '新規'!$E$2:$H142, 4, 0), 
          IFERROR(VLOOKUP(AL113, '特殊配信マスタ'!$E$3:$H142, 4, 0), 
          IFERROR(VLOOKUP(AL113, '自動求人✅'!$C$3:$F142, 4, 0), prID))), 
        "")
      )
    )
  )
)</f>
        <v/>
      </c>
      <c r="AN113" s="141" t="str">
        <f t="shared" si="7"/>
        <v/>
      </c>
      <c r="AO113" s="141"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141"/>
      <c r="AQ113" s="141"/>
    </row>
    <row r="114" ht="17.25" customHeight="1">
      <c r="A114" s="142"/>
      <c r="B114" s="139"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140" t="str">
        <f t="array" ref="C114">IF(B114="", "", 
  LET(
    targetRow, IFERROR(MATCH(TRUE, BYROW('PR管理'!$J$4:$T$101, LAMBDA(r, COUNTIF(r, B114)&gt;0)), 0), 0),
    IF(targetRow=0, "",
      LET(
        startDate, INDEX('PR管理'!$C$4:$C$101, targetRow),
        delLimit, INDEX('PR管理'!$F$4:$F$101, targetRow),
        prID, INDEX('PR管理'!$A$4:$A$101, targetRow),
        IF(AND('26414_編集版 のコピー 2'!B$1 &gt;= startDate, '26414_編集版 のコピー 2'!B$1 &lt;= delLimit), 
          IFERROR(VLOOKUP(B114, '新規'!$E$2:$H142, 4, 0), 
          IFERROR(VLOOKUP(B114, '特殊配信マスタ'!$E$3:$H142, 4, 0), 
          IFERROR(VLOOKUP(B114, '自動求人✅'!$C$3:$F142, 4, 0), prID))), 
        "")
      )
    )
  )
)</f>
        <v/>
      </c>
      <c r="D114" s="141" t="str">
        <f t="shared" si="1"/>
        <v/>
      </c>
      <c r="E114" s="141"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141"/>
      <c r="G114" s="141"/>
      <c r="H114" s="139"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140" t="str">
        <f t="array" ref="I114">IF(H114="", "", 
  LET(
    targetRow, IFERROR(MATCH(TRUE, BYROW('PR管理'!$J$4:$T$101, LAMBDA(r, COUNTIF(r, H114)&gt;0)), 0), 0),
    IF(targetRow=0, "",
      LET(
        startDate, INDEX('PR管理'!$C$4:$C$101, targetRow),
        delLimit, INDEX('PR管理'!$F$4:$F$101, targetRow),
        prID, INDEX('PR管理'!$A$4:$A$101, targetRow),
        IF(AND('26414_編集版 のコピー 2'!H$1 &gt;= startDate, '26414_編集版 のコピー 2'!H$1 &lt;= delLimit), 
          IFERROR(VLOOKUP(H114, '新規'!$E$2:$H142, 4, 0), 
          IFERROR(VLOOKUP(H114, '特殊配信マスタ'!$E$3:$H142, 4, 0), 
          IFERROR(VLOOKUP(H114, '自動求人✅'!$C$3:$F142, 4, 0), prID))), 
        "")
      )
    )
  )
)</f>
        <v/>
      </c>
      <c r="J114" s="141" t="str">
        <f t="shared" si="2"/>
        <v/>
      </c>
      <c r="K114" s="141"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141"/>
      <c r="M114" s="141"/>
      <c r="N114" s="139"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140" t="str">
        <f t="array" ref="O114">IF(N114="", "", 
  LET(
    targetRow, IFERROR(MATCH(TRUE, BYROW('PR管理'!$J$4:$T$101, LAMBDA(r, COUNTIF(r, N114)&gt;0)), 0), 0),
    IF(targetRow=0, "",
      LET(
        startDate, INDEX('PR管理'!$C$4:$C$101, targetRow),
        delLimit, INDEX('PR管理'!$F$4:$F$101, targetRow),
        prID, INDEX('PR管理'!$A$4:$A$101, targetRow),
        IF(AND('26414_編集版 のコピー 2'!N$1 &gt;= startDate, '26414_編集版 のコピー 2'!N$1 &lt;= delLimit), 
          IFERROR(VLOOKUP(N114, '新規'!$E$2:$H142, 4, 0), 
          IFERROR(VLOOKUP(N114, '特殊配信マスタ'!$E$3:$H142, 4, 0), 
          IFERROR(VLOOKUP(N114, '自動求人✅'!$C$3:$F142, 4, 0), prID))), 
        "")
      )
    )
  )
)</f>
        <v/>
      </c>
      <c r="P114" s="141" t="str">
        <f t="shared" si="3"/>
        <v/>
      </c>
      <c r="Q114" s="141"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141"/>
      <c r="S114" s="141"/>
      <c r="T114" s="139"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140" t="str">
        <f t="array" ref="U114">IF(T114="", "", 
  LET(
    targetRow, IFERROR(MATCH(TRUE, BYROW('PR管理'!$J$4:$T$101, LAMBDA(r, COUNTIF(r, T114)&gt;0)), 0), 0),
    IF(targetRow=0, "",
      LET(
        startDate, INDEX('PR管理'!$C$4:$C$101, targetRow),
        delLimit, INDEX('PR管理'!$F$4:$F$101, targetRow),
        prID, INDEX('PR管理'!$A$4:$A$101, targetRow),
        IF(AND('26414_編集版 のコピー 2'!T$1 &gt;= startDate, '26414_編集版 のコピー 2'!T$1 &lt;= delLimit), 
          IFERROR(VLOOKUP(T114, '新規'!$E$2:$H142, 4, 0), 
          IFERROR(VLOOKUP(T114, '特殊配信マスタ'!$E$3:$H142, 4, 0), 
          IFERROR(VLOOKUP(T114, '自動求人✅'!$C$3:$F142, 4, 0), prID))), 
        "")
      )
    )
  )
)</f>
        <v/>
      </c>
      <c r="V114" s="141" t="str">
        <f t="shared" si="4"/>
        <v/>
      </c>
      <c r="W114" s="141"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141"/>
      <c r="Y114" s="141"/>
      <c r="Z114" s="139"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140" t="str">
        <f t="array" ref="AA114">IF(Z114="", "", 
  LET(
    targetRow, IFERROR(MATCH(TRUE, BYROW('PR管理'!$J$4:$T$101, LAMBDA(r, COUNTIF(r, Z114)&gt;0)), 0), 0),
    IF(targetRow=0, "",
      LET(
        startDate, INDEX('PR管理'!$C$4:$C$101, targetRow),
        delLimit, INDEX('PR管理'!$F$4:$F$101, targetRow),
        prID, INDEX('PR管理'!$A$4:$A$101, targetRow),
        IF(AND('26414_編集版 のコピー 2'!Z$1 &gt;= startDate, '26414_編集版 のコピー 2'!Z$1 &lt;= delLimit), 
          IFERROR(VLOOKUP(Z114, '新規'!$E$2:$H142, 4, 0), 
          IFERROR(VLOOKUP(Z114, '特殊配信マスタ'!$E$3:$H142, 4, 0), 
          IFERROR(VLOOKUP(Z114, '自動求人✅'!$C$3:$F142, 4, 0), prID))), 
        "")
      )
    )
  )
)</f>
        <v/>
      </c>
      <c r="AB114" s="141" t="str">
        <f t="shared" si="5"/>
        <v/>
      </c>
      <c r="AC114" s="141"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141"/>
      <c r="AE114" s="141"/>
      <c r="AF114" s="139"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140" t="str">
        <f t="array" ref="AG114">IF(AF114="", "", 
  LET(
    targetRow, IFERROR(MATCH(TRUE, BYROW('PR管理'!$J$4:$T$101, LAMBDA(r, COUNTIF(r, AF114)&gt;0)), 0), 0),
    IF(targetRow=0, "",
      LET(
        startDate, INDEX('PR管理'!$C$4:$C$101, targetRow),
        delLimit, INDEX('PR管理'!$F$4:$F$101, targetRow),
        prID, INDEX('PR管理'!$A$4:$A$101, targetRow),
        IF(AND('26414_編集版 のコピー 2'!AF$1 &gt;= startDate, '26414_編集版 のコピー 2'!AF$1 &lt;= delLimit), 
          IFERROR(VLOOKUP(AF114, '新規'!$E$2:$H142, 4, 0), 
          IFERROR(VLOOKUP(AF114, '特殊配信マスタ'!$E$3:$H142, 4, 0), 
          IFERROR(VLOOKUP(AF114, '自動求人✅'!$C$3:$F142, 4, 0), prID))), 
        "")
      )
    )
  )
)</f>
        <v/>
      </c>
      <c r="AH114" s="141" t="str">
        <f t="shared" si="6"/>
        <v/>
      </c>
      <c r="AI114" s="141"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141"/>
      <c r="AK114" s="141"/>
      <c r="AL114" s="139"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140" t="str">
        <f t="array" ref="AM114">IF(AL114="", "", 
  LET(
    targetRow, IFERROR(MATCH(TRUE, BYROW('PR管理'!$J$4:$T$101, LAMBDA(r, COUNTIF(r, AL114)&gt;0)), 0), 0),
    IF(targetRow=0, "",
      LET(
        startDate, INDEX('PR管理'!$C$4:$C$101, targetRow),
        delLimit, INDEX('PR管理'!$F$4:$F$101, targetRow),
        prID, INDEX('PR管理'!$A$4:$A$101, targetRow),
        IF(AND('26414_編集版 のコピー 2'!AL$1 &gt;= startDate, '26414_編集版 のコピー 2'!AL$1 &lt;= delLimit), 
          IFERROR(VLOOKUP(AL114, '新規'!$E$2:$H142, 4, 0), 
          IFERROR(VLOOKUP(AL114, '特殊配信マスタ'!$E$3:$H142, 4, 0), 
          IFERROR(VLOOKUP(AL114, '自動求人✅'!$C$3:$F142, 4, 0), prID))), 
        "")
      )
    )
  )
)</f>
        <v/>
      </c>
      <c r="AN114" s="141" t="str">
        <f t="shared" si="7"/>
        <v/>
      </c>
      <c r="AO114" s="141"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141"/>
      <c r="AQ114" s="141"/>
    </row>
    <row r="115" ht="17.25" customHeight="1">
      <c r="A115" s="142"/>
      <c r="B115" s="139"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140" t="str">
        <f t="array" ref="C115">IF(B115="", "", 
  LET(
    targetRow, IFERROR(MATCH(TRUE, BYROW('PR管理'!$J$4:$T$101, LAMBDA(r, COUNTIF(r, B115)&gt;0)), 0), 0),
    IF(targetRow=0, "",
      LET(
        startDate, INDEX('PR管理'!$C$4:$C$101, targetRow),
        delLimit, INDEX('PR管理'!$F$4:$F$101, targetRow),
        prID, INDEX('PR管理'!$A$4:$A$101, targetRow),
        IF(AND('26414_編集版 のコピー 2'!B$1 &gt;= startDate, '26414_編集版 のコピー 2'!B$1 &lt;= delLimit), 
          IFERROR(VLOOKUP(B115, '新規'!$E$2:$H142, 4, 0), 
          IFERROR(VLOOKUP(B115, '特殊配信マスタ'!$E$3:$H142, 4, 0), 
          IFERROR(VLOOKUP(B115, '自動求人✅'!$C$3:$F142, 4, 0), prID))), 
        "")
      )
    )
  )
)</f>
        <v/>
      </c>
      <c r="D115" s="141" t="str">
        <f t="shared" si="1"/>
        <v/>
      </c>
      <c r="E115" s="141"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141"/>
      <c r="G115" s="141"/>
      <c r="H115" s="139"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140" t="str">
        <f t="array" ref="I115">IF(H115="", "", 
  LET(
    targetRow, IFERROR(MATCH(TRUE, BYROW('PR管理'!$J$4:$T$101, LAMBDA(r, COUNTIF(r, H115)&gt;0)), 0), 0),
    IF(targetRow=0, "",
      LET(
        startDate, INDEX('PR管理'!$C$4:$C$101, targetRow),
        delLimit, INDEX('PR管理'!$F$4:$F$101, targetRow),
        prID, INDEX('PR管理'!$A$4:$A$101, targetRow),
        IF(AND('26414_編集版 のコピー 2'!H$1 &gt;= startDate, '26414_編集版 のコピー 2'!H$1 &lt;= delLimit), 
          IFERROR(VLOOKUP(H115, '新規'!$E$2:$H142, 4, 0), 
          IFERROR(VLOOKUP(H115, '特殊配信マスタ'!$E$3:$H142, 4, 0), 
          IFERROR(VLOOKUP(H115, '自動求人✅'!$C$3:$F142, 4, 0), prID))), 
        "")
      )
    )
  )
)</f>
        <v/>
      </c>
      <c r="J115" s="141" t="str">
        <f t="shared" si="2"/>
        <v/>
      </c>
      <c r="K115" s="141"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141"/>
      <c r="M115" s="141"/>
      <c r="N115" s="139"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140" t="str">
        <f t="array" ref="O115">IF(N115="", "", 
  LET(
    targetRow, IFERROR(MATCH(TRUE, BYROW('PR管理'!$J$4:$T$101, LAMBDA(r, COUNTIF(r, N115)&gt;0)), 0), 0),
    IF(targetRow=0, "",
      LET(
        startDate, INDEX('PR管理'!$C$4:$C$101, targetRow),
        delLimit, INDEX('PR管理'!$F$4:$F$101, targetRow),
        prID, INDEX('PR管理'!$A$4:$A$101, targetRow),
        IF(AND('26414_編集版 のコピー 2'!N$1 &gt;= startDate, '26414_編集版 のコピー 2'!N$1 &lt;= delLimit), 
          IFERROR(VLOOKUP(N115, '新規'!$E$2:$H142, 4, 0), 
          IFERROR(VLOOKUP(N115, '特殊配信マスタ'!$E$3:$H142, 4, 0), 
          IFERROR(VLOOKUP(N115, '自動求人✅'!$C$3:$F142, 4, 0), prID))), 
        "")
      )
    )
  )
)</f>
        <v/>
      </c>
      <c r="P115" s="141" t="str">
        <f t="shared" si="3"/>
        <v/>
      </c>
      <c r="Q115" s="141"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141"/>
      <c r="S115" s="141"/>
      <c r="T115" s="139"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140" t="str">
        <f t="array" ref="U115">IF(T115="", "", 
  LET(
    targetRow, IFERROR(MATCH(TRUE, BYROW('PR管理'!$J$4:$T$101, LAMBDA(r, COUNTIF(r, T115)&gt;0)), 0), 0),
    IF(targetRow=0, "",
      LET(
        startDate, INDEX('PR管理'!$C$4:$C$101, targetRow),
        delLimit, INDEX('PR管理'!$F$4:$F$101, targetRow),
        prID, INDEX('PR管理'!$A$4:$A$101, targetRow),
        IF(AND('26414_編集版 のコピー 2'!T$1 &gt;= startDate, '26414_編集版 のコピー 2'!T$1 &lt;= delLimit), 
          IFERROR(VLOOKUP(T115, '新規'!$E$2:$H142, 4, 0), 
          IFERROR(VLOOKUP(T115, '特殊配信マスタ'!$E$3:$H142, 4, 0), 
          IFERROR(VLOOKUP(T115, '自動求人✅'!$C$3:$F142, 4, 0), prID))), 
        "")
      )
    )
  )
)</f>
        <v/>
      </c>
      <c r="V115" s="141" t="str">
        <f t="shared" si="4"/>
        <v/>
      </c>
      <c r="W115" s="141"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141"/>
      <c r="Y115" s="141"/>
      <c r="Z115" s="139"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140" t="str">
        <f t="array" ref="AA115">IF(Z115="", "", 
  LET(
    targetRow, IFERROR(MATCH(TRUE, BYROW('PR管理'!$J$4:$T$101, LAMBDA(r, COUNTIF(r, Z115)&gt;0)), 0), 0),
    IF(targetRow=0, "",
      LET(
        startDate, INDEX('PR管理'!$C$4:$C$101, targetRow),
        delLimit, INDEX('PR管理'!$F$4:$F$101, targetRow),
        prID, INDEX('PR管理'!$A$4:$A$101, targetRow),
        IF(AND('26414_編集版 のコピー 2'!Z$1 &gt;= startDate, '26414_編集版 のコピー 2'!Z$1 &lt;= delLimit), 
          IFERROR(VLOOKUP(Z115, '新規'!$E$2:$H142, 4, 0), 
          IFERROR(VLOOKUP(Z115, '特殊配信マスタ'!$E$3:$H142, 4, 0), 
          IFERROR(VLOOKUP(Z115, '自動求人✅'!$C$3:$F142, 4, 0), prID))), 
        "")
      )
    )
  )
)</f>
        <v/>
      </c>
      <c r="AB115" s="141" t="str">
        <f t="shared" si="5"/>
        <v/>
      </c>
      <c r="AC115" s="141"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141"/>
      <c r="AE115" s="141"/>
      <c r="AF115" s="139"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140" t="str">
        <f t="array" ref="AG115">IF(AF115="", "", 
  LET(
    targetRow, IFERROR(MATCH(TRUE, BYROW('PR管理'!$J$4:$T$101, LAMBDA(r, COUNTIF(r, AF115)&gt;0)), 0), 0),
    IF(targetRow=0, "",
      LET(
        startDate, INDEX('PR管理'!$C$4:$C$101, targetRow),
        delLimit, INDEX('PR管理'!$F$4:$F$101, targetRow),
        prID, INDEX('PR管理'!$A$4:$A$101, targetRow),
        IF(AND('26414_編集版 のコピー 2'!AF$1 &gt;= startDate, '26414_編集版 のコピー 2'!AF$1 &lt;= delLimit), 
          IFERROR(VLOOKUP(AF115, '新規'!$E$2:$H142, 4, 0), 
          IFERROR(VLOOKUP(AF115, '特殊配信マスタ'!$E$3:$H142, 4, 0), 
          IFERROR(VLOOKUP(AF115, '自動求人✅'!$C$3:$F142, 4, 0), prID))), 
        "")
      )
    )
  )
)</f>
        <v/>
      </c>
      <c r="AH115" s="141" t="str">
        <f t="shared" si="6"/>
        <v/>
      </c>
      <c r="AI115" s="141"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141"/>
      <c r="AK115" s="141"/>
      <c r="AL115" s="139"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140" t="str">
        <f t="array" ref="AM115">IF(AL115="", "", 
  LET(
    targetRow, IFERROR(MATCH(TRUE, BYROW('PR管理'!$J$4:$T$101, LAMBDA(r, COUNTIF(r, AL115)&gt;0)), 0), 0),
    IF(targetRow=0, "",
      LET(
        startDate, INDEX('PR管理'!$C$4:$C$101, targetRow),
        delLimit, INDEX('PR管理'!$F$4:$F$101, targetRow),
        prID, INDEX('PR管理'!$A$4:$A$101, targetRow),
        IF(AND('26414_編集版 のコピー 2'!AL$1 &gt;= startDate, '26414_編集版 のコピー 2'!AL$1 &lt;= delLimit), 
          IFERROR(VLOOKUP(AL115, '新規'!$E$2:$H142, 4, 0), 
          IFERROR(VLOOKUP(AL115, '特殊配信マスタ'!$E$3:$H142, 4, 0), 
          IFERROR(VLOOKUP(AL115, '自動求人✅'!$C$3:$F142, 4, 0), prID))), 
        "")
      )
    )
  )
)</f>
        <v/>
      </c>
      <c r="AN115" s="141" t="str">
        <f t="shared" si="7"/>
        <v/>
      </c>
      <c r="AO115" s="141"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141"/>
      <c r="AQ115" s="141"/>
    </row>
    <row r="116" ht="17.25" customHeight="1">
      <c r="A116" s="142"/>
      <c r="B116" s="139"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140" t="str">
        <f t="array" ref="C116">IF(B116="", "", 
  LET(
    targetRow, IFERROR(MATCH(TRUE, BYROW('PR管理'!$J$4:$T$101, LAMBDA(r, COUNTIF(r, B116)&gt;0)), 0), 0),
    IF(targetRow=0, "",
      LET(
        startDate, INDEX('PR管理'!$C$4:$C$101, targetRow),
        delLimit, INDEX('PR管理'!$F$4:$F$101, targetRow),
        prID, INDEX('PR管理'!$A$4:$A$101, targetRow),
        IF(AND('26414_編集版 のコピー 2'!B$1 &gt;= startDate, '26414_編集版 のコピー 2'!B$1 &lt;= delLimit), 
          IFERROR(VLOOKUP(B116, '新規'!$E$2:$H142, 4, 0), 
          IFERROR(VLOOKUP(B116, '特殊配信マスタ'!$E$3:$H142, 4, 0), 
          IFERROR(VLOOKUP(B116, '自動求人✅'!$C$3:$F142, 4, 0), prID))), 
        "")
      )
    )
  )
)</f>
        <v/>
      </c>
      <c r="D116" s="141" t="str">
        <f t="shared" si="1"/>
        <v/>
      </c>
      <c r="E116" s="141"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141"/>
      <c r="G116" s="141"/>
      <c r="H116" s="139"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140" t="str">
        <f t="array" ref="I116">IF(H116="", "", 
  LET(
    targetRow, IFERROR(MATCH(TRUE, BYROW('PR管理'!$J$4:$T$101, LAMBDA(r, COUNTIF(r, H116)&gt;0)), 0), 0),
    IF(targetRow=0, "",
      LET(
        startDate, INDEX('PR管理'!$C$4:$C$101, targetRow),
        delLimit, INDEX('PR管理'!$F$4:$F$101, targetRow),
        prID, INDEX('PR管理'!$A$4:$A$101, targetRow),
        IF(AND('26414_編集版 のコピー 2'!H$1 &gt;= startDate, '26414_編集版 のコピー 2'!H$1 &lt;= delLimit), 
          IFERROR(VLOOKUP(H116, '新規'!$E$2:$H142, 4, 0), 
          IFERROR(VLOOKUP(H116, '特殊配信マスタ'!$E$3:$H142, 4, 0), 
          IFERROR(VLOOKUP(H116, '自動求人✅'!$C$3:$F142, 4, 0), prID))), 
        "")
      )
    )
  )
)</f>
        <v/>
      </c>
      <c r="J116" s="141" t="str">
        <f t="shared" si="2"/>
        <v/>
      </c>
      <c r="K116" s="141"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141"/>
      <c r="M116" s="141"/>
      <c r="N116" s="139"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140" t="str">
        <f t="array" ref="O116">IF(N116="", "", 
  LET(
    targetRow, IFERROR(MATCH(TRUE, BYROW('PR管理'!$J$4:$T$101, LAMBDA(r, COUNTIF(r, N116)&gt;0)), 0), 0),
    IF(targetRow=0, "",
      LET(
        startDate, INDEX('PR管理'!$C$4:$C$101, targetRow),
        delLimit, INDEX('PR管理'!$F$4:$F$101, targetRow),
        prID, INDEX('PR管理'!$A$4:$A$101, targetRow),
        IF(AND('26414_編集版 のコピー 2'!N$1 &gt;= startDate, '26414_編集版 のコピー 2'!N$1 &lt;= delLimit), 
          IFERROR(VLOOKUP(N116, '新規'!$E$2:$H142, 4, 0), 
          IFERROR(VLOOKUP(N116, '特殊配信マスタ'!$E$3:$H142, 4, 0), 
          IFERROR(VLOOKUP(N116, '自動求人✅'!$C$3:$F142, 4, 0), prID))), 
        "")
      )
    )
  )
)</f>
        <v/>
      </c>
      <c r="P116" s="141" t="str">
        <f t="shared" si="3"/>
        <v/>
      </c>
      <c r="Q116" s="141"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141"/>
      <c r="S116" s="141"/>
      <c r="T116" s="139"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140" t="str">
        <f t="array" ref="U116">IF(T116="", "", 
  LET(
    targetRow, IFERROR(MATCH(TRUE, BYROW('PR管理'!$J$4:$T$101, LAMBDA(r, COUNTIF(r, T116)&gt;0)), 0), 0),
    IF(targetRow=0, "",
      LET(
        startDate, INDEX('PR管理'!$C$4:$C$101, targetRow),
        delLimit, INDEX('PR管理'!$F$4:$F$101, targetRow),
        prID, INDEX('PR管理'!$A$4:$A$101, targetRow),
        IF(AND('26414_編集版 のコピー 2'!T$1 &gt;= startDate, '26414_編集版 のコピー 2'!T$1 &lt;= delLimit), 
          IFERROR(VLOOKUP(T116, '新規'!$E$2:$H142, 4, 0), 
          IFERROR(VLOOKUP(T116, '特殊配信マスタ'!$E$3:$H142, 4, 0), 
          IFERROR(VLOOKUP(T116, '自動求人✅'!$C$3:$F142, 4, 0), prID))), 
        "")
      )
    )
  )
)</f>
        <v/>
      </c>
      <c r="V116" s="141" t="str">
        <f t="shared" si="4"/>
        <v/>
      </c>
      <c r="W116" s="141"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141"/>
      <c r="Y116" s="141"/>
      <c r="Z116" s="139"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140" t="str">
        <f t="array" ref="AA116">IF(Z116="", "", 
  LET(
    targetRow, IFERROR(MATCH(TRUE, BYROW('PR管理'!$J$4:$T$101, LAMBDA(r, COUNTIF(r, Z116)&gt;0)), 0), 0),
    IF(targetRow=0, "",
      LET(
        startDate, INDEX('PR管理'!$C$4:$C$101, targetRow),
        delLimit, INDEX('PR管理'!$F$4:$F$101, targetRow),
        prID, INDEX('PR管理'!$A$4:$A$101, targetRow),
        IF(AND('26414_編集版 のコピー 2'!Z$1 &gt;= startDate, '26414_編集版 のコピー 2'!Z$1 &lt;= delLimit), 
          IFERROR(VLOOKUP(Z116, '新規'!$E$2:$H142, 4, 0), 
          IFERROR(VLOOKUP(Z116, '特殊配信マスタ'!$E$3:$H142, 4, 0), 
          IFERROR(VLOOKUP(Z116, '自動求人✅'!$C$3:$F142, 4, 0), prID))), 
        "")
      )
    )
  )
)</f>
        <v/>
      </c>
      <c r="AB116" s="141" t="str">
        <f t="shared" si="5"/>
        <v/>
      </c>
      <c r="AC116" s="141"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141"/>
      <c r="AE116" s="141"/>
      <c r="AF116" s="139"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140" t="str">
        <f t="array" ref="AG116">IF(AF116="", "", 
  LET(
    targetRow, IFERROR(MATCH(TRUE, BYROW('PR管理'!$J$4:$T$101, LAMBDA(r, COUNTIF(r, AF116)&gt;0)), 0), 0),
    IF(targetRow=0, "",
      LET(
        startDate, INDEX('PR管理'!$C$4:$C$101, targetRow),
        delLimit, INDEX('PR管理'!$F$4:$F$101, targetRow),
        prID, INDEX('PR管理'!$A$4:$A$101, targetRow),
        IF(AND('26414_編集版 のコピー 2'!AF$1 &gt;= startDate, '26414_編集版 のコピー 2'!AF$1 &lt;= delLimit), 
          IFERROR(VLOOKUP(AF116, '新規'!$E$2:$H142, 4, 0), 
          IFERROR(VLOOKUP(AF116, '特殊配信マスタ'!$E$3:$H142, 4, 0), 
          IFERROR(VLOOKUP(AF116, '自動求人✅'!$C$3:$F142, 4, 0), prID))), 
        "")
      )
    )
  )
)</f>
        <v/>
      </c>
      <c r="AH116" s="141" t="str">
        <f t="shared" si="6"/>
        <v/>
      </c>
      <c r="AI116" s="141"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141"/>
      <c r="AK116" s="141"/>
      <c r="AL116" s="139"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140" t="str">
        <f t="array" ref="AM116">IF(AL116="", "", 
  LET(
    targetRow, IFERROR(MATCH(TRUE, BYROW('PR管理'!$J$4:$T$101, LAMBDA(r, COUNTIF(r, AL116)&gt;0)), 0), 0),
    IF(targetRow=0, "",
      LET(
        startDate, INDEX('PR管理'!$C$4:$C$101, targetRow),
        delLimit, INDEX('PR管理'!$F$4:$F$101, targetRow),
        prID, INDEX('PR管理'!$A$4:$A$101, targetRow),
        IF(AND('26414_編集版 のコピー 2'!AL$1 &gt;= startDate, '26414_編集版 のコピー 2'!AL$1 &lt;= delLimit), 
          IFERROR(VLOOKUP(AL116, '新規'!$E$2:$H142, 4, 0), 
          IFERROR(VLOOKUP(AL116, '特殊配信マスタ'!$E$3:$H142, 4, 0), 
          IFERROR(VLOOKUP(AL116, '自動求人✅'!$C$3:$F142, 4, 0), prID))), 
        "")
      )
    )
  )
)</f>
        <v/>
      </c>
      <c r="AN116" s="141" t="str">
        <f t="shared" si="7"/>
        <v/>
      </c>
      <c r="AO116" s="141"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141"/>
      <c r="AQ116" s="141"/>
    </row>
    <row r="117" ht="17.25" customHeight="1">
      <c r="A117" s="142"/>
      <c r="B117" s="139"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140" t="str">
        <f t="array" ref="C117">IF(B117="", "", 
  LET(
    targetRow, IFERROR(MATCH(TRUE, BYROW('PR管理'!$J$4:$T$101, LAMBDA(r, COUNTIF(r, B117)&gt;0)), 0), 0),
    IF(targetRow=0, "",
      LET(
        startDate, INDEX('PR管理'!$C$4:$C$101, targetRow),
        delLimit, INDEX('PR管理'!$F$4:$F$101, targetRow),
        prID, INDEX('PR管理'!$A$4:$A$101, targetRow),
        IF(AND('26414_編集版 のコピー 2'!B$1 &gt;= startDate, '26414_編集版 のコピー 2'!B$1 &lt;= delLimit), 
          IFERROR(VLOOKUP(B117, '新規'!$E$2:$H142, 4, 0), 
          IFERROR(VLOOKUP(B117, '特殊配信マスタ'!$E$3:$H142, 4, 0), 
          IFERROR(VLOOKUP(B117, '自動求人✅'!$C$3:$F142, 4, 0), prID))), 
        "")
      )
    )
  )
)</f>
        <v/>
      </c>
      <c r="D117" s="141" t="str">
        <f t="shared" si="1"/>
        <v/>
      </c>
      <c r="E117" s="141"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141"/>
      <c r="G117" s="141"/>
      <c r="H117" s="139"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140" t="str">
        <f t="array" ref="I117">IF(H117="", "", 
  LET(
    targetRow, IFERROR(MATCH(TRUE, BYROW('PR管理'!$J$4:$T$101, LAMBDA(r, COUNTIF(r, H117)&gt;0)), 0), 0),
    IF(targetRow=0, "",
      LET(
        startDate, INDEX('PR管理'!$C$4:$C$101, targetRow),
        delLimit, INDEX('PR管理'!$F$4:$F$101, targetRow),
        prID, INDEX('PR管理'!$A$4:$A$101, targetRow),
        IF(AND('26414_編集版 のコピー 2'!H$1 &gt;= startDate, '26414_編集版 のコピー 2'!H$1 &lt;= delLimit), 
          IFERROR(VLOOKUP(H117, '新規'!$E$2:$H142, 4, 0), 
          IFERROR(VLOOKUP(H117, '特殊配信マスタ'!$E$3:$H142, 4, 0), 
          IFERROR(VLOOKUP(H117, '自動求人✅'!$C$3:$F142, 4, 0), prID))), 
        "")
      )
    )
  )
)</f>
        <v/>
      </c>
      <c r="J117" s="141" t="str">
        <f t="shared" si="2"/>
        <v/>
      </c>
      <c r="K117" s="141"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141"/>
      <c r="M117" s="141"/>
      <c r="N117" s="139"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140" t="str">
        <f t="array" ref="O117">IF(N117="", "", 
  LET(
    targetRow, IFERROR(MATCH(TRUE, BYROW('PR管理'!$J$4:$T$101, LAMBDA(r, COUNTIF(r, N117)&gt;0)), 0), 0),
    IF(targetRow=0, "",
      LET(
        startDate, INDEX('PR管理'!$C$4:$C$101, targetRow),
        delLimit, INDEX('PR管理'!$F$4:$F$101, targetRow),
        prID, INDEX('PR管理'!$A$4:$A$101, targetRow),
        IF(AND('26414_編集版 のコピー 2'!N$1 &gt;= startDate, '26414_編集版 のコピー 2'!N$1 &lt;= delLimit), 
          IFERROR(VLOOKUP(N117, '新規'!$E$2:$H142, 4, 0), 
          IFERROR(VLOOKUP(N117, '特殊配信マスタ'!$E$3:$H142, 4, 0), 
          IFERROR(VLOOKUP(N117, '自動求人✅'!$C$3:$F142, 4, 0), prID))), 
        "")
      )
    )
  )
)</f>
        <v/>
      </c>
      <c r="P117" s="141" t="str">
        <f t="shared" si="3"/>
        <v/>
      </c>
      <c r="Q117" s="141"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141"/>
      <c r="S117" s="141"/>
      <c r="T117" s="139"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140" t="str">
        <f t="array" ref="U117">IF(T117="", "", 
  LET(
    targetRow, IFERROR(MATCH(TRUE, BYROW('PR管理'!$J$4:$T$101, LAMBDA(r, COUNTIF(r, T117)&gt;0)), 0), 0),
    IF(targetRow=0, "",
      LET(
        startDate, INDEX('PR管理'!$C$4:$C$101, targetRow),
        delLimit, INDEX('PR管理'!$F$4:$F$101, targetRow),
        prID, INDEX('PR管理'!$A$4:$A$101, targetRow),
        IF(AND('26414_編集版 のコピー 2'!T$1 &gt;= startDate, '26414_編集版 のコピー 2'!T$1 &lt;= delLimit), 
          IFERROR(VLOOKUP(T117, '新規'!$E$2:$H142, 4, 0), 
          IFERROR(VLOOKUP(T117, '特殊配信マスタ'!$E$3:$H142, 4, 0), 
          IFERROR(VLOOKUP(T117, '自動求人✅'!$C$3:$F142, 4, 0), prID))), 
        "")
      )
    )
  )
)</f>
        <v/>
      </c>
      <c r="V117" s="141" t="str">
        <f t="shared" si="4"/>
        <v/>
      </c>
      <c r="W117" s="141"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141"/>
      <c r="Y117" s="141"/>
      <c r="Z117" s="139"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140" t="str">
        <f t="array" ref="AA117">IF(Z117="", "", 
  LET(
    targetRow, IFERROR(MATCH(TRUE, BYROW('PR管理'!$J$4:$T$101, LAMBDA(r, COUNTIF(r, Z117)&gt;0)), 0), 0),
    IF(targetRow=0, "",
      LET(
        startDate, INDEX('PR管理'!$C$4:$C$101, targetRow),
        delLimit, INDEX('PR管理'!$F$4:$F$101, targetRow),
        prID, INDEX('PR管理'!$A$4:$A$101, targetRow),
        IF(AND('26414_編集版 のコピー 2'!Z$1 &gt;= startDate, '26414_編集版 のコピー 2'!Z$1 &lt;= delLimit), 
          IFERROR(VLOOKUP(Z117, '新規'!$E$2:$H142, 4, 0), 
          IFERROR(VLOOKUP(Z117, '特殊配信マスタ'!$E$3:$H142, 4, 0), 
          IFERROR(VLOOKUP(Z117, '自動求人✅'!$C$3:$F142, 4, 0), prID))), 
        "")
      )
    )
  )
)</f>
        <v/>
      </c>
      <c r="AB117" s="141" t="str">
        <f t="shared" si="5"/>
        <v/>
      </c>
      <c r="AC117" s="141"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141"/>
      <c r="AE117" s="141"/>
      <c r="AF117" s="139"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140" t="str">
        <f t="array" ref="AG117">IF(AF117="", "", 
  LET(
    targetRow, IFERROR(MATCH(TRUE, BYROW('PR管理'!$J$4:$T$101, LAMBDA(r, COUNTIF(r, AF117)&gt;0)), 0), 0),
    IF(targetRow=0, "",
      LET(
        startDate, INDEX('PR管理'!$C$4:$C$101, targetRow),
        delLimit, INDEX('PR管理'!$F$4:$F$101, targetRow),
        prID, INDEX('PR管理'!$A$4:$A$101, targetRow),
        IF(AND('26414_編集版 のコピー 2'!AF$1 &gt;= startDate, '26414_編集版 のコピー 2'!AF$1 &lt;= delLimit), 
          IFERROR(VLOOKUP(AF117, '新規'!$E$2:$H142, 4, 0), 
          IFERROR(VLOOKUP(AF117, '特殊配信マスタ'!$E$3:$H142, 4, 0), 
          IFERROR(VLOOKUP(AF117, '自動求人✅'!$C$3:$F142, 4, 0), prID))), 
        "")
      )
    )
  )
)</f>
        <v/>
      </c>
      <c r="AH117" s="141" t="str">
        <f t="shared" si="6"/>
        <v/>
      </c>
      <c r="AI117" s="141"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141"/>
      <c r="AK117" s="141"/>
      <c r="AL117" s="139"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140" t="str">
        <f t="array" ref="AM117">IF(AL117="", "", 
  LET(
    targetRow, IFERROR(MATCH(TRUE, BYROW('PR管理'!$J$4:$T$101, LAMBDA(r, COUNTIF(r, AL117)&gt;0)), 0), 0),
    IF(targetRow=0, "",
      LET(
        startDate, INDEX('PR管理'!$C$4:$C$101, targetRow),
        delLimit, INDEX('PR管理'!$F$4:$F$101, targetRow),
        prID, INDEX('PR管理'!$A$4:$A$101, targetRow),
        IF(AND('26414_編集版 のコピー 2'!AL$1 &gt;= startDate, '26414_編集版 のコピー 2'!AL$1 &lt;= delLimit), 
          IFERROR(VLOOKUP(AL117, '新規'!$E$2:$H142, 4, 0), 
          IFERROR(VLOOKUP(AL117, '特殊配信マスタ'!$E$3:$H142, 4, 0), 
          IFERROR(VLOOKUP(AL117, '自動求人✅'!$C$3:$F142, 4, 0), prID))), 
        "")
      )
    )
  )
)</f>
        <v/>
      </c>
      <c r="AN117" s="141" t="str">
        <f t="shared" si="7"/>
        <v/>
      </c>
      <c r="AO117" s="141"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141"/>
      <c r="AQ117" s="141"/>
    </row>
    <row r="118" ht="17.25" customHeight="1">
      <c r="A118" s="142"/>
      <c r="B118" s="139"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140" t="str">
        <f t="array" ref="C118">IF(B118="", "", 
  LET(
    targetRow, IFERROR(MATCH(TRUE, BYROW('PR管理'!$J$4:$T$101, LAMBDA(r, COUNTIF(r, B118)&gt;0)), 0), 0),
    IF(targetRow=0, "",
      LET(
        startDate, INDEX('PR管理'!$C$4:$C$101, targetRow),
        delLimit, INDEX('PR管理'!$F$4:$F$101, targetRow),
        prID, INDEX('PR管理'!$A$4:$A$101, targetRow),
        IF(AND('26414_編集版 のコピー 2'!B$1 &gt;= startDate, '26414_編集版 のコピー 2'!B$1 &lt;= delLimit), 
          IFERROR(VLOOKUP(B118, '新規'!$E$2:$H142, 4, 0), 
          IFERROR(VLOOKUP(B118, '特殊配信マスタ'!$E$3:$H142, 4, 0), 
          IFERROR(VLOOKUP(B118, '自動求人✅'!$C$3:$F142, 4, 0), prID))), 
        "")
      )
    )
  )
)</f>
        <v/>
      </c>
      <c r="D118" s="141" t="str">
        <f t="shared" si="1"/>
        <v/>
      </c>
      <c r="E118" s="141"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141"/>
      <c r="G118" s="141"/>
      <c r="H118" s="139"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140" t="str">
        <f t="array" ref="I118">IF(H118="", "", 
  LET(
    targetRow, IFERROR(MATCH(TRUE, BYROW('PR管理'!$J$4:$T$101, LAMBDA(r, COUNTIF(r, H118)&gt;0)), 0), 0),
    IF(targetRow=0, "",
      LET(
        startDate, INDEX('PR管理'!$C$4:$C$101, targetRow),
        delLimit, INDEX('PR管理'!$F$4:$F$101, targetRow),
        prID, INDEX('PR管理'!$A$4:$A$101, targetRow),
        IF(AND('26414_編集版 のコピー 2'!H$1 &gt;= startDate, '26414_編集版 のコピー 2'!H$1 &lt;= delLimit), 
          IFERROR(VLOOKUP(H118, '新規'!$E$2:$H142, 4, 0), 
          IFERROR(VLOOKUP(H118, '特殊配信マスタ'!$E$3:$H142, 4, 0), 
          IFERROR(VLOOKUP(H118, '自動求人✅'!$C$3:$F142, 4, 0), prID))), 
        "")
      )
    )
  )
)</f>
        <v/>
      </c>
      <c r="J118" s="141" t="str">
        <f t="shared" si="2"/>
        <v/>
      </c>
      <c r="K118" s="141"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141"/>
      <c r="M118" s="141"/>
      <c r="N118" s="139"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140" t="str">
        <f t="array" ref="O118">IF(N118="", "", 
  LET(
    targetRow, IFERROR(MATCH(TRUE, BYROW('PR管理'!$J$4:$T$101, LAMBDA(r, COUNTIF(r, N118)&gt;0)), 0), 0),
    IF(targetRow=0, "",
      LET(
        startDate, INDEX('PR管理'!$C$4:$C$101, targetRow),
        delLimit, INDEX('PR管理'!$F$4:$F$101, targetRow),
        prID, INDEX('PR管理'!$A$4:$A$101, targetRow),
        IF(AND('26414_編集版 のコピー 2'!N$1 &gt;= startDate, '26414_編集版 のコピー 2'!N$1 &lt;= delLimit), 
          IFERROR(VLOOKUP(N118, '新規'!$E$2:$H142, 4, 0), 
          IFERROR(VLOOKUP(N118, '特殊配信マスタ'!$E$3:$H142, 4, 0), 
          IFERROR(VLOOKUP(N118, '自動求人✅'!$C$3:$F142, 4, 0), prID))), 
        "")
      )
    )
  )
)</f>
        <v/>
      </c>
      <c r="P118" s="141" t="str">
        <f t="shared" si="3"/>
        <v/>
      </c>
      <c r="Q118" s="141"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141"/>
      <c r="S118" s="141"/>
      <c r="T118" s="139"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140" t="str">
        <f t="array" ref="U118">IF(T118="", "", 
  LET(
    targetRow, IFERROR(MATCH(TRUE, BYROW('PR管理'!$J$4:$T$101, LAMBDA(r, COUNTIF(r, T118)&gt;0)), 0), 0),
    IF(targetRow=0, "",
      LET(
        startDate, INDEX('PR管理'!$C$4:$C$101, targetRow),
        delLimit, INDEX('PR管理'!$F$4:$F$101, targetRow),
        prID, INDEX('PR管理'!$A$4:$A$101, targetRow),
        IF(AND('26414_編集版 のコピー 2'!T$1 &gt;= startDate, '26414_編集版 のコピー 2'!T$1 &lt;= delLimit), 
          IFERROR(VLOOKUP(T118, '新規'!$E$2:$H142, 4, 0), 
          IFERROR(VLOOKUP(T118, '特殊配信マスタ'!$E$3:$H142, 4, 0), 
          IFERROR(VLOOKUP(T118, '自動求人✅'!$C$3:$F142, 4, 0), prID))), 
        "")
      )
    )
  )
)</f>
        <v/>
      </c>
      <c r="V118" s="141" t="str">
        <f t="shared" si="4"/>
        <v/>
      </c>
      <c r="W118" s="141"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141"/>
      <c r="Y118" s="141"/>
      <c r="Z118" s="139"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140" t="str">
        <f t="array" ref="AA118">IF(Z118="", "", 
  LET(
    targetRow, IFERROR(MATCH(TRUE, BYROW('PR管理'!$J$4:$T$101, LAMBDA(r, COUNTIF(r, Z118)&gt;0)), 0), 0),
    IF(targetRow=0, "",
      LET(
        startDate, INDEX('PR管理'!$C$4:$C$101, targetRow),
        delLimit, INDEX('PR管理'!$F$4:$F$101, targetRow),
        prID, INDEX('PR管理'!$A$4:$A$101, targetRow),
        IF(AND('26414_編集版 のコピー 2'!Z$1 &gt;= startDate, '26414_編集版 のコピー 2'!Z$1 &lt;= delLimit), 
          IFERROR(VLOOKUP(Z118, '新規'!$E$2:$H142, 4, 0), 
          IFERROR(VLOOKUP(Z118, '特殊配信マスタ'!$E$3:$H142, 4, 0), 
          IFERROR(VLOOKUP(Z118, '自動求人✅'!$C$3:$F142, 4, 0), prID))), 
        "")
      )
    )
  )
)</f>
        <v/>
      </c>
      <c r="AB118" s="141" t="str">
        <f t="shared" si="5"/>
        <v/>
      </c>
      <c r="AC118" s="141"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141"/>
      <c r="AE118" s="141"/>
      <c r="AF118" s="139"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140" t="str">
        <f t="array" ref="AG118">IF(AF118="", "", 
  LET(
    targetRow, IFERROR(MATCH(TRUE, BYROW('PR管理'!$J$4:$T$101, LAMBDA(r, COUNTIF(r, AF118)&gt;0)), 0), 0),
    IF(targetRow=0, "",
      LET(
        startDate, INDEX('PR管理'!$C$4:$C$101, targetRow),
        delLimit, INDEX('PR管理'!$F$4:$F$101, targetRow),
        prID, INDEX('PR管理'!$A$4:$A$101, targetRow),
        IF(AND('26414_編集版 のコピー 2'!AF$1 &gt;= startDate, '26414_編集版 のコピー 2'!AF$1 &lt;= delLimit), 
          IFERROR(VLOOKUP(AF118, '新規'!$E$2:$H142, 4, 0), 
          IFERROR(VLOOKUP(AF118, '特殊配信マスタ'!$E$3:$H142, 4, 0), 
          IFERROR(VLOOKUP(AF118, '自動求人✅'!$C$3:$F142, 4, 0), prID))), 
        "")
      )
    )
  )
)</f>
        <v/>
      </c>
      <c r="AH118" s="141" t="str">
        <f t="shared" si="6"/>
        <v/>
      </c>
      <c r="AI118" s="141"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141"/>
      <c r="AK118" s="141"/>
      <c r="AL118" s="139"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140" t="str">
        <f t="array" ref="AM118">IF(AL118="", "", 
  LET(
    targetRow, IFERROR(MATCH(TRUE, BYROW('PR管理'!$J$4:$T$101, LAMBDA(r, COUNTIF(r, AL118)&gt;0)), 0), 0),
    IF(targetRow=0, "",
      LET(
        startDate, INDEX('PR管理'!$C$4:$C$101, targetRow),
        delLimit, INDEX('PR管理'!$F$4:$F$101, targetRow),
        prID, INDEX('PR管理'!$A$4:$A$101, targetRow),
        IF(AND('26414_編集版 のコピー 2'!AL$1 &gt;= startDate, '26414_編集版 のコピー 2'!AL$1 &lt;= delLimit), 
          IFERROR(VLOOKUP(AL118, '新規'!$E$2:$H142, 4, 0), 
          IFERROR(VLOOKUP(AL118, '特殊配信マスタ'!$E$3:$H142, 4, 0), 
          IFERROR(VLOOKUP(AL118, '自動求人✅'!$C$3:$F142, 4, 0), prID))), 
        "")
      )
    )
  )
)</f>
        <v/>
      </c>
      <c r="AN118" s="141" t="str">
        <f t="shared" si="7"/>
        <v/>
      </c>
      <c r="AO118" s="141"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141"/>
      <c r="AQ118" s="141"/>
    </row>
    <row r="119" ht="17.25" customHeight="1">
      <c r="A119" s="142"/>
      <c r="B119" s="139"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140" t="str">
        <f t="array" ref="C119">IF(B119="", "", 
  LET(
    targetRow, IFERROR(MATCH(TRUE, BYROW('PR管理'!$J$4:$T$101, LAMBDA(r, COUNTIF(r, B119)&gt;0)), 0), 0),
    IF(targetRow=0, "",
      LET(
        startDate, INDEX('PR管理'!$C$4:$C$101, targetRow),
        delLimit, INDEX('PR管理'!$F$4:$F$101, targetRow),
        prID, INDEX('PR管理'!$A$4:$A$101, targetRow),
        IF(AND('26414_編集版 のコピー 2'!B$1 &gt;= startDate, '26414_編集版 のコピー 2'!B$1 &lt;= delLimit), 
          IFERROR(VLOOKUP(B119, '新規'!$E$2:$H142, 4, 0), 
          IFERROR(VLOOKUP(B119, '特殊配信マスタ'!$E$3:$H142, 4, 0), 
          IFERROR(VLOOKUP(B119, '自動求人✅'!$C$3:$F142, 4, 0), prID))), 
        "")
      )
    )
  )
)</f>
        <v/>
      </c>
      <c r="D119" s="141" t="str">
        <f t="shared" si="1"/>
        <v/>
      </c>
      <c r="E119" s="141"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141"/>
      <c r="G119" s="141"/>
      <c r="H119" s="139"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140" t="str">
        <f t="array" ref="I119">IF(H119="", "", 
  LET(
    targetRow, IFERROR(MATCH(TRUE, BYROW('PR管理'!$J$4:$T$101, LAMBDA(r, COUNTIF(r, H119)&gt;0)), 0), 0),
    IF(targetRow=0, "",
      LET(
        startDate, INDEX('PR管理'!$C$4:$C$101, targetRow),
        delLimit, INDEX('PR管理'!$F$4:$F$101, targetRow),
        prID, INDEX('PR管理'!$A$4:$A$101, targetRow),
        IF(AND('26414_編集版 のコピー 2'!H$1 &gt;= startDate, '26414_編集版 のコピー 2'!H$1 &lt;= delLimit), 
          IFERROR(VLOOKUP(H119, '新規'!$E$2:$H142, 4, 0), 
          IFERROR(VLOOKUP(H119, '特殊配信マスタ'!$E$3:$H142, 4, 0), 
          IFERROR(VLOOKUP(H119, '自動求人✅'!$C$3:$F142, 4, 0), prID))), 
        "")
      )
    )
  )
)</f>
        <v/>
      </c>
      <c r="J119" s="141" t="str">
        <f t="shared" si="2"/>
        <v/>
      </c>
      <c r="K119" s="141"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141"/>
      <c r="M119" s="141"/>
      <c r="N119" s="139"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140" t="str">
        <f t="array" ref="O119">IF(N119="", "", 
  LET(
    targetRow, IFERROR(MATCH(TRUE, BYROW('PR管理'!$J$4:$T$101, LAMBDA(r, COUNTIF(r, N119)&gt;0)), 0), 0),
    IF(targetRow=0, "",
      LET(
        startDate, INDEX('PR管理'!$C$4:$C$101, targetRow),
        delLimit, INDEX('PR管理'!$F$4:$F$101, targetRow),
        prID, INDEX('PR管理'!$A$4:$A$101, targetRow),
        IF(AND('26414_編集版 のコピー 2'!N$1 &gt;= startDate, '26414_編集版 のコピー 2'!N$1 &lt;= delLimit), 
          IFERROR(VLOOKUP(N119, '新規'!$E$2:$H142, 4, 0), 
          IFERROR(VLOOKUP(N119, '特殊配信マスタ'!$E$3:$H142, 4, 0), 
          IFERROR(VLOOKUP(N119, '自動求人✅'!$C$3:$F142, 4, 0), prID))), 
        "")
      )
    )
  )
)</f>
        <v/>
      </c>
      <c r="P119" s="141" t="str">
        <f t="shared" si="3"/>
        <v/>
      </c>
      <c r="Q119" s="141"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141"/>
      <c r="S119" s="141"/>
      <c r="T119" s="139"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140" t="str">
        <f t="array" ref="U119">IF(T119="", "", 
  LET(
    targetRow, IFERROR(MATCH(TRUE, BYROW('PR管理'!$J$4:$T$101, LAMBDA(r, COUNTIF(r, T119)&gt;0)), 0), 0),
    IF(targetRow=0, "",
      LET(
        startDate, INDEX('PR管理'!$C$4:$C$101, targetRow),
        delLimit, INDEX('PR管理'!$F$4:$F$101, targetRow),
        prID, INDEX('PR管理'!$A$4:$A$101, targetRow),
        IF(AND('26414_編集版 のコピー 2'!T$1 &gt;= startDate, '26414_編集版 のコピー 2'!T$1 &lt;= delLimit), 
          IFERROR(VLOOKUP(T119, '新規'!$E$2:$H142, 4, 0), 
          IFERROR(VLOOKUP(T119, '特殊配信マスタ'!$E$3:$H142, 4, 0), 
          IFERROR(VLOOKUP(T119, '自動求人✅'!$C$3:$F142, 4, 0), prID))), 
        "")
      )
    )
  )
)</f>
        <v/>
      </c>
      <c r="V119" s="141" t="str">
        <f t="shared" si="4"/>
        <v/>
      </c>
      <c r="W119" s="141"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141"/>
      <c r="Y119" s="141"/>
      <c r="Z119" s="139"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140" t="str">
        <f t="array" ref="AA119">IF(Z119="", "", 
  LET(
    targetRow, IFERROR(MATCH(TRUE, BYROW('PR管理'!$J$4:$T$101, LAMBDA(r, COUNTIF(r, Z119)&gt;0)), 0), 0),
    IF(targetRow=0, "",
      LET(
        startDate, INDEX('PR管理'!$C$4:$C$101, targetRow),
        delLimit, INDEX('PR管理'!$F$4:$F$101, targetRow),
        prID, INDEX('PR管理'!$A$4:$A$101, targetRow),
        IF(AND('26414_編集版 のコピー 2'!Z$1 &gt;= startDate, '26414_編集版 のコピー 2'!Z$1 &lt;= delLimit), 
          IFERROR(VLOOKUP(Z119, '新規'!$E$2:$H142, 4, 0), 
          IFERROR(VLOOKUP(Z119, '特殊配信マスタ'!$E$3:$H142, 4, 0), 
          IFERROR(VLOOKUP(Z119, '自動求人✅'!$C$3:$F142, 4, 0), prID))), 
        "")
      )
    )
  )
)</f>
        <v/>
      </c>
      <c r="AB119" s="141" t="str">
        <f t="shared" si="5"/>
        <v/>
      </c>
      <c r="AC119" s="141"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141"/>
      <c r="AE119" s="141"/>
      <c r="AF119" s="139"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140" t="str">
        <f t="array" ref="AG119">IF(AF119="", "", 
  LET(
    targetRow, IFERROR(MATCH(TRUE, BYROW('PR管理'!$J$4:$T$101, LAMBDA(r, COUNTIF(r, AF119)&gt;0)), 0), 0),
    IF(targetRow=0, "",
      LET(
        startDate, INDEX('PR管理'!$C$4:$C$101, targetRow),
        delLimit, INDEX('PR管理'!$F$4:$F$101, targetRow),
        prID, INDEX('PR管理'!$A$4:$A$101, targetRow),
        IF(AND('26414_編集版 のコピー 2'!AF$1 &gt;= startDate, '26414_編集版 のコピー 2'!AF$1 &lt;= delLimit), 
          IFERROR(VLOOKUP(AF119, '新規'!$E$2:$H142, 4, 0), 
          IFERROR(VLOOKUP(AF119, '特殊配信マスタ'!$E$3:$H142, 4, 0), 
          IFERROR(VLOOKUP(AF119, '自動求人✅'!$C$3:$F142, 4, 0), prID))), 
        "")
      )
    )
  )
)</f>
        <v/>
      </c>
      <c r="AH119" s="141" t="str">
        <f t="shared" si="6"/>
        <v/>
      </c>
      <c r="AI119" s="141"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141"/>
      <c r="AK119" s="141"/>
      <c r="AL119" s="139"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140" t="str">
        <f t="array" ref="AM119">IF(AL119="", "", 
  LET(
    targetRow, IFERROR(MATCH(TRUE, BYROW('PR管理'!$J$4:$T$101, LAMBDA(r, COUNTIF(r, AL119)&gt;0)), 0), 0),
    IF(targetRow=0, "",
      LET(
        startDate, INDEX('PR管理'!$C$4:$C$101, targetRow),
        delLimit, INDEX('PR管理'!$F$4:$F$101, targetRow),
        prID, INDEX('PR管理'!$A$4:$A$101, targetRow),
        IF(AND('26414_編集版 のコピー 2'!AL$1 &gt;= startDate, '26414_編集版 のコピー 2'!AL$1 &lt;= delLimit), 
          IFERROR(VLOOKUP(AL119, '新規'!$E$2:$H142, 4, 0), 
          IFERROR(VLOOKUP(AL119, '特殊配信マスタ'!$E$3:$H142, 4, 0), 
          IFERROR(VLOOKUP(AL119, '自動求人✅'!$C$3:$F142, 4, 0), prID))), 
        "")
      )
    )
  )
)</f>
        <v/>
      </c>
      <c r="AN119" s="141" t="str">
        <f t="shared" si="7"/>
        <v/>
      </c>
      <c r="AO119" s="141"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141"/>
      <c r="AQ119" s="141"/>
    </row>
    <row r="120" ht="17.25" customHeight="1">
      <c r="A120" s="142"/>
      <c r="B120" s="139"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140" t="str">
        <f t="array" ref="C120">IF(B120="", "", 
  LET(
    targetRow, IFERROR(MATCH(TRUE, BYROW('PR管理'!$J$4:$T$101, LAMBDA(r, COUNTIF(r, B120)&gt;0)), 0), 0),
    IF(targetRow=0, "",
      LET(
        startDate, INDEX('PR管理'!$C$4:$C$101, targetRow),
        delLimit, INDEX('PR管理'!$F$4:$F$101, targetRow),
        prID, INDEX('PR管理'!$A$4:$A$101, targetRow),
        IF(AND('26414_編集版 のコピー 2'!B$1 &gt;= startDate, '26414_編集版 のコピー 2'!B$1 &lt;= delLimit), 
          IFERROR(VLOOKUP(B120, '新規'!$E$2:$H142, 4, 0), 
          IFERROR(VLOOKUP(B120, '特殊配信マスタ'!$E$3:$H142, 4, 0), 
          IFERROR(VLOOKUP(B120, '自動求人✅'!$C$3:$F142, 4, 0), prID))), 
        "")
      )
    )
  )
)</f>
        <v/>
      </c>
      <c r="D120" s="141" t="str">
        <f t="shared" si="1"/>
        <v/>
      </c>
      <c r="E120" s="141"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141"/>
      <c r="G120" s="141"/>
      <c r="H120" s="139"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140" t="str">
        <f t="array" ref="I120">IF(H120="", "", 
  LET(
    targetRow, IFERROR(MATCH(TRUE, BYROW('PR管理'!$J$4:$T$101, LAMBDA(r, COUNTIF(r, H120)&gt;0)), 0), 0),
    IF(targetRow=0, "",
      LET(
        startDate, INDEX('PR管理'!$C$4:$C$101, targetRow),
        delLimit, INDEX('PR管理'!$F$4:$F$101, targetRow),
        prID, INDEX('PR管理'!$A$4:$A$101, targetRow),
        IF(AND('26414_編集版 のコピー 2'!H$1 &gt;= startDate, '26414_編集版 のコピー 2'!H$1 &lt;= delLimit), 
          IFERROR(VLOOKUP(H120, '新規'!$E$2:$H142, 4, 0), 
          IFERROR(VLOOKUP(H120, '特殊配信マスタ'!$E$3:$H142, 4, 0), 
          IFERROR(VLOOKUP(H120, '自動求人✅'!$C$3:$F142, 4, 0), prID))), 
        "")
      )
    )
  )
)</f>
        <v/>
      </c>
      <c r="J120" s="141" t="str">
        <f t="shared" si="2"/>
        <v/>
      </c>
      <c r="K120" s="141"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141"/>
      <c r="M120" s="141"/>
      <c r="N120" s="139"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140" t="str">
        <f t="array" ref="O120">IF(N120="", "", 
  LET(
    targetRow, IFERROR(MATCH(TRUE, BYROW('PR管理'!$J$4:$T$101, LAMBDA(r, COUNTIF(r, N120)&gt;0)), 0), 0),
    IF(targetRow=0, "",
      LET(
        startDate, INDEX('PR管理'!$C$4:$C$101, targetRow),
        delLimit, INDEX('PR管理'!$F$4:$F$101, targetRow),
        prID, INDEX('PR管理'!$A$4:$A$101, targetRow),
        IF(AND('26414_編集版 のコピー 2'!N$1 &gt;= startDate, '26414_編集版 のコピー 2'!N$1 &lt;= delLimit), 
          IFERROR(VLOOKUP(N120, '新規'!$E$2:$H142, 4, 0), 
          IFERROR(VLOOKUP(N120, '特殊配信マスタ'!$E$3:$H142, 4, 0), 
          IFERROR(VLOOKUP(N120, '自動求人✅'!$C$3:$F142, 4, 0), prID))), 
        "")
      )
    )
  )
)</f>
        <v/>
      </c>
      <c r="P120" s="141" t="str">
        <f t="shared" si="3"/>
        <v/>
      </c>
      <c r="Q120" s="141"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141"/>
      <c r="S120" s="141"/>
      <c r="T120" s="139"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140" t="str">
        <f t="array" ref="U120">IF(T120="", "", 
  LET(
    targetRow, IFERROR(MATCH(TRUE, BYROW('PR管理'!$J$4:$T$101, LAMBDA(r, COUNTIF(r, T120)&gt;0)), 0), 0),
    IF(targetRow=0, "",
      LET(
        startDate, INDEX('PR管理'!$C$4:$C$101, targetRow),
        delLimit, INDEX('PR管理'!$F$4:$F$101, targetRow),
        prID, INDEX('PR管理'!$A$4:$A$101, targetRow),
        IF(AND('26414_編集版 のコピー 2'!T$1 &gt;= startDate, '26414_編集版 のコピー 2'!T$1 &lt;= delLimit), 
          IFERROR(VLOOKUP(T120, '新規'!$E$2:$H142, 4, 0), 
          IFERROR(VLOOKUP(T120, '特殊配信マスタ'!$E$3:$H142, 4, 0), 
          IFERROR(VLOOKUP(T120, '自動求人✅'!$C$3:$F142, 4, 0), prID))), 
        "")
      )
    )
  )
)</f>
        <v/>
      </c>
      <c r="V120" s="141" t="str">
        <f t="shared" si="4"/>
        <v/>
      </c>
      <c r="W120" s="141"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141"/>
      <c r="Y120" s="141"/>
      <c r="Z120" s="139"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140" t="str">
        <f t="array" ref="AA120">IF(Z120="", "", 
  LET(
    targetRow, IFERROR(MATCH(TRUE, BYROW('PR管理'!$J$4:$T$101, LAMBDA(r, COUNTIF(r, Z120)&gt;0)), 0), 0),
    IF(targetRow=0, "",
      LET(
        startDate, INDEX('PR管理'!$C$4:$C$101, targetRow),
        delLimit, INDEX('PR管理'!$F$4:$F$101, targetRow),
        prID, INDEX('PR管理'!$A$4:$A$101, targetRow),
        IF(AND('26414_編集版 のコピー 2'!Z$1 &gt;= startDate, '26414_編集版 のコピー 2'!Z$1 &lt;= delLimit), 
          IFERROR(VLOOKUP(Z120, '新規'!$E$2:$H142, 4, 0), 
          IFERROR(VLOOKUP(Z120, '特殊配信マスタ'!$E$3:$H142, 4, 0), 
          IFERROR(VLOOKUP(Z120, '自動求人✅'!$C$3:$F142, 4, 0), prID))), 
        "")
      )
    )
  )
)</f>
        <v/>
      </c>
      <c r="AB120" s="141" t="str">
        <f t="shared" si="5"/>
        <v/>
      </c>
      <c r="AC120" s="141"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141"/>
      <c r="AE120" s="141"/>
      <c r="AF120" s="139"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140" t="str">
        <f t="array" ref="AG120">IF(AF120="", "", 
  LET(
    targetRow, IFERROR(MATCH(TRUE, BYROW('PR管理'!$J$4:$T$101, LAMBDA(r, COUNTIF(r, AF120)&gt;0)), 0), 0),
    IF(targetRow=0, "",
      LET(
        startDate, INDEX('PR管理'!$C$4:$C$101, targetRow),
        delLimit, INDEX('PR管理'!$F$4:$F$101, targetRow),
        prID, INDEX('PR管理'!$A$4:$A$101, targetRow),
        IF(AND('26414_編集版 のコピー 2'!AF$1 &gt;= startDate, '26414_編集版 のコピー 2'!AF$1 &lt;= delLimit), 
          IFERROR(VLOOKUP(AF120, '新規'!$E$2:$H142, 4, 0), 
          IFERROR(VLOOKUP(AF120, '特殊配信マスタ'!$E$3:$H142, 4, 0), 
          IFERROR(VLOOKUP(AF120, '自動求人✅'!$C$3:$F142, 4, 0), prID))), 
        "")
      )
    )
  )
)</f>
        <v/>
      </c>
      <c r="AH120" s="141" t="str">
        <f t="shared" si="6"/>
        <v/>
      </c>
      <c r="AI120" s="141"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141"/>
      <c r="AK120" s="141"/>
      <c r="AL120" s="139"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140" t="str">
        <f t="array" ref="AM120">IF(AL120="", "", 
  LET(
    targetRow, IFERROR(MATCH(TRUE, BYROW('PR管理'!$J$4:$T$101, LAMBDA(r, COUNTIF(r, AL120)&gt;0)), 0), 0),
    IF(targetRow=0, "",
      LET(
        startDate, INDEX('PR管理'!$C$4:$C$101, targetRow),
        delLimit, INDEX('PR管理'!$F$4:$F$101, targetRow),
        prID, INDEX('PR管理'!$A$4:$A$101, targetRow),
        IF(AND('26414_編集版 のコピー 2'!AL$1 &gt;= startDate, '26414_編集版 のコピー 2'!AL$1 &lt;= delLimit), 
          IFERROR(VLOOKUP(AL120, '新規'!$E$2:$H142, 4, 0), 
          IFERROR(VLOOKUP(AL120, '特殊配信マスタ'!$E$3:$H142, 4, 0), 
          IFERROR(VLOOKUP(AL120, '自動求人✅'!$C$3:$F142, 4, 0), prID))), 
        "")
      )
    )
  )
)</f>
        <v/>
      </c>
      <c r="AN120" s="141" t="str">
        <f t="shared" si="7"/>
        <v/>
      </c>
      <c r="AO120" s="141"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141"/>
      <c r="AQ120" s="141"/>
    </row>
    <row r="121" ht="17.25" customHeight="1">
      <c r="A121" s="142"/>
      <c r="B121" s="139"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140" t="str">
        <f t="array" ref="C121">IF(B121="", "", 
  LET(
    targetRow, IFERROR(MATCH(TRUE, BYROW('PR管理'!$J$4:$T$101, LAMBDA(r, COUNTIF(r, B121)&gt;0)), 0), 0),
    IF(targetRow=0, "",
      LET(
        startDate, INDEX('PR管理'!$C$4:$C$101, targetRow),
        delLimit, INDEX('PR管理'!$F$4:$F$101, targetRow),
        prID, INDEX('PR管理'!$A$4:$A$101, targetRow),
        IF(AND('26414_編集版 のコピー 2'!B$1 &gt;= startDate, '26414_編集版 のコピー 2'!B$1 &lt;= delLimit), 
          IFERROR(VLOOKUP(B121, '新規'!$E$2:$H142, 4, 0), 
          IFERROR(VLOOKUP(B121, '特殊配信マスタ'!$E$3:$H142, 4, 0), 
          IFERROR(VLOOKUP(B121, '自動求人✅'!$C$3:$F142, 4, 0), prID))), 
        "")
      )
    )
  )
)</f>
        <v/>
      </c>
      <c r="D121" s="141" t="str">
        <f t="shared" si="1"/>
        <v/>
      </c>
      <c r="E121" s="141"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141"/>
      <c r="G121" s="141"/>
      <c r="H121" s="139"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140" t="str">
        <f t="array" ref="I121">IF(H121="", "", 
  LET(
    targetRow, IFERROR(MATCH(TRUE, BYROW('PR管理'!$J$4:$T$101, LAMBDA(r, COUNTIF(r, H121)&gt;0)), 0), 0),
    IF(targetRow=0, "",
      LET(
        startDate, INDEX('PR管理'!$C$4:$C$101, targetRow),
        delLimit, INDEX('PR管理'!$F$4:$F$101, targetRow),
        prID, INDEX('PR管理'!$A$4:$A$101, targetRow),
        IF(AND('26414_編集版 のコピー 2'!H$1 &gt;= startDate, '26414_編集版 のコピー 2'!H$1 &lt;= delLimit), 
          IFERROR(VLOOKUP(H121, '新規'!$E$2:$H142, 4, 0), 
          IFERROR(VLOOKUP(H121, '特殊配信マスタ'!$E$3:$H142, 4, 0), 
          IFERROR(VLOOKUP(H121, '自動求人✅'!$C$3:$F142, 4, 0), prID))), 
        "")
      )
    )
  )
)</f>
        <v/>
      </c>
      <c r="J121" s="141" t="str">
        <f t="shared" si="2"/>
        <v/>
      </c>
      <c r="K121" s="141"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141"/>
      <c r="M121" s="141"/>
      <c r="N121" s="139"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140" t="str">
        <f t="array" ref="O121">IF(N121="", "", 
  LET(
    targetRow, IFERROR(MATCH(TRUE, BYROW('PR管理'!$J$4:$T$101, LAMBDA(r, COUNTIF(r, N121)&gt;0)), 0), 0),
    IF(targetRow=0, "",
      LET(
        startDate, INDEX('PR管理'!$C$4:$C$101, targetRow),
        delLimit, INDEX('PR管理'!$F$4:$F$101, targetRow),
        prID, INDEX('PR管理'!$A$4:$A$101, targetRow),
        IF(AND('26414_編集版 のコピー 2'!N$1 &gt;= startDate, '26414_編集版 のコピー 2'!N$1 &lt;= delLimit), 
          IFERROR(VLOOKUP(N121, '新規'!$E$2:$H142, 4, 0), 
          IFERROR(VLOOKUP(N121, '特殊配信マスタ'!$E$3:$H142, 4, 0), 
          IFERROR(VLOOKUP(N121, '自動求人✅'!$C$3:$F142, 4, 0), prID))), 
        "")
      )
    )
  )
)</f>
        <v/>
      </c>
      <c r="P121" s="141" t="str">
        <f t="shared" si="3"/>
        <v/>
      </c>
      <c r="Q121" s="141"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141"/>
      <c r="S121" s="141"/>
      <c r="T121" s="139"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140" t="str">
        <f t="array" ref="U121">IF(T121="", "", 
  LET(
    targetRow, IFERROR(MATCH(TRUE, BYROW('PR管理'!$J$4:$T$101, LAMBDA(r, COUNTIF(r, T121)&gt;0)), 0), 0),
    IF(targetRow=0, "",
      LET(
        startDate, INDEX('PR管理'!$C$4:$C$101, targetRow),
        delLimit, INDEX('PR管理'!$F$4:$F$101, targetRow),
        prID, INDEX('PR管理'!$A$4:$A$101, targetRow),
        IF(AND('26414_編集版 のコピー 2'!T$1 &gt;= startDate, '26414_編集版 のコピー 2'!T$1 &lt;= delLimit), 
          IFERROR(VLOOKUP(T121, '新規'!$E$2:$H142, 4, 0), 
          IFERROR(VLOOKUP(T121, '特殊配信マスタ'!$E$3:$H142, 4, 0), 
          IFERROR(VLOOKUP(T121, '自動求人✅'!$C$3:$F142, 4, 0), prID))), 
        "")
      )
    )
  )
)</f>
        <v/>
      </c>
      <c r="V121" s="141" t="str">
        <f t="shared" si="4"/>
        <v/>
      </c>
      <c r="W121" s="141"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141"/>
      <c r="Y121" s="141"/>
      <c r="Z121" s="139"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140" t="str">
        <f t="array" ref="AA121">IF(Z121="", "", 
  LET(
    targetRow, IFERROR(MATCH(TRUE, BYROW('PR管理'!$J$4:$T$101, LAMBDA(r, COUNTIF(r, Z121)&gt;0)), 0), 0),
    IF(targetRow=0, "",
      LET(
        startDate, INDEX('PR管理'!$C$4:$C$101, targetRow),
        delLimit, INDEX('PR管理'!$F$4:$F$101, targetRow),
        prID, INDEX('PR管理'!$A$4:$A$101, targetRow),
        IF(AND('26414_編集版 のコピー 2'!Z$1 &gt;= startDate, '26414_編集版 のコピー 2'!Z$1 &lt;= delLimit), 
          IFERROR(VLOOKUP(Z121, '新規'!$E$2:$H142, 4, 0), 
          IFERROR(VLOOKUP(Z121, '特殊配信マスタ'!$E$3:$H142, 4, 0), 
          IFERROR(VLOOKUP(Z121, '自動求人✅'!$C$3:$F142, 4, 0), prID))), 
        "")
      )
    )
  )
)</f>
        <v/>
      </c>
      <c r="AB121" s="141" t="str">
        <f t="shared" si="5"/>
        <v/>
      </c>
      <c r="AC121" s="141"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141"/>
      <c r="AE121" s="141"/>
      <c r="AF121" s="139"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140" t="str">
        <f t="array" ref="AG121">IF(AF121="", "", 
  LET(
    targetRow, IFERROR(MATCH(TRUE, BYROW('PR管理'!$J$4:$T$101, LAMBDA(r, COUNTIF(r, AF121)&gt;0)), 0), 0),
    IF(targetRow=0, "",
      LET(
        startDate, INDEX('PR管理'!$C$4:$C$101, targetRow),
        delLimit, INDEX('PR管理'!$F$4:$F$101, targetRow),
        prID, INDEX('PR管理'!$A$4:$A$101, targetRow),
        IF(AND('26414_編集版 のコピー 2'!AF$1 &gt;= startDate, '26414_編集版 のコピー 2'!AF$1 &lt;= delLimit), 
          IFERROR(VLOOKUP(AF121, '新規'!$E$2:$H142, 4, 0), 
          IFERROR(VLOOKUP(AF121, '特殊配信マスタ'!$E$3:$H142, 4, 0), 
          IFERROR(VLOOKUP(AF121, '自動求人✅'!$C$3:$F142, 4, 0), prID))), 
        "")
      )
    )
  )
)</f>
        <v/>
      </c>
      <c r="AH121" s="141" t="str">
        <f t="shared" si="6"/>
        <v/>
      </c>
      <c r="AI121" s="141"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141"/>
      <c r="AK121" s="141"/>
      <c r="AL121" s="139"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140" t="str">
        <f t="array" ref="AM121">IF(AL121="", "", 
  LET(
    targetRow, IFERROR(MATCH(TRUE, BYROW('PR管理'!$J$4:$T$101, LAMBDA(r, COUNTIF(r, AL121)&gt;0)), 0), 0),
    IF(targetRow=0, "",
      LET(
        startDate, INDEX('PR管理'!$C$4:$C$101, targetRow),
        delLimit, INDEX('PR管理'!$F$4:$F$101, targetRow),
        prID, INDEX('PR管理'!$A$4:$A$101, targetRow),
        IF(AND('26414_編集版 のコピー 2'!AL$1 &gt;= startDate, '26414_編集版 のコピー 2'!AL$1 &lt;= delLimit), 
          IFERROR(VLOOKUP(AL121, '新規'!$E$2:$H142, 4, 0), 
          IFERROR(VLOOKUP(AL121, '特殊配信マスタ'!$E$3:$H142, 4, 0), 
          IFERROR(VLOOKUP(AL121, '自動求人✅'!$C$3:$F142, 4, 0), prID))), 
        "")
      )
    )
  )
)</f>
        <v/>
      </c>
      <c r="AN121" s="141" t="str">
        <f t="shared" si="7"/>
        <v/>
      </c>
      <c r="AO121" s="141"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141"/>
      <c r="AQ121" s="141"/>
    </row>
    <row r="122" ht="17.25" customHeight="1">
      <c r="A122" s="142"/>
      <c r="B122" s="139"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140" t="str">
        <f t="array" ref="C122">IF(B122="", "", 
  LET(
    targetRow, IFERROR(MATCH(TRUE, BYROW('PR管理'!$J$4:$T$101, LAMBDA(r, COUNTIF(r, B122)&gt;0)), 0), 0),
    IF(targetRow=0, "",
      LET(
        startDate, INDEX('PR管理'!$C$4:$C$101, targetRow),
        delLimit, INDEX('PR管理'!$F$4:$F$101, targetRow),
        prID, INDEX('PR管理'!$A$4:$A$101, targetRow),
        IF(AND('26414_編集版 のコピー 2'!B$1 &gt;= startDate, '26414_編集版 のコピー 2'!B$1 &lt;= delLimit), 
          IFERROR(VLOOKUP(B122, '新規'!$E$2:$H142, 4, 0), 
          IFERROR(VLOOKUP(B122, '特殊配信マスタ'!$E$3:$H142, 4, 0), 
          IFERROR(VLOOKUP(B122, '自動求人✅'!$C$3:$F142, 4, 0), prID))), 
        "")
      )
    )
  )
)</f>
        <v/>
      </c>
      <c r="D122" s="141" t="str">
        <f t="shared" si="1"/>
        <v/>
      </c>
      <c r="E122" s="141"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141"/>
      <c r="G122" s="141"/>
      <c r="H122" s="139"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140" t="str">
        <f t="array" ref="I122">IF(H122="", "", 
  LET(
    targetRow, IFERROR(MATCH(TRUE, BYROW('PR管理'!$J$4:$T$101, LAMBDA(r, COUNTIF(r, H122)&gt;0)), 0), 0),
    IF(targetRow=0, "",
      LET(
        startDate, INDEX('PR管理'!$C$4:$C$101, targetRow),
        delLimit, INDEX('PR管理'!$F$4:$F$101, targetRow),
        prID, INDEX('PR管理'!$A$4:$A$101, targetRow),
        IF(AND('26414_編集版 のコピー 2'!H$1 &gt;= startDate, '26414_編集版 のコピー 2'!H$1 &lt;= delLimit), 
          IFERROR(VLOOKUP(H122, '新規'!$E$2:$H142, 4, 0), 
          IFERROR(VLOOKUP(H122, '特殊配信マスタ'!$E$3:$H142, 4, 0), 
          IFERROR(VLOOKUP(H122, '自動求人✅'!$C$3:$F142, 4, 0), prID))), 
        "")
      )
    )
  )
)</f>
        <v/>
      </c>
      <c r="J122" s="141" t="str">
        <f t="shared" si="2"/>
        <v/>
      </c>
      <c r="K122" s="141"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141"/>
      <c r="M122" s="141"/>
      <c r="N122" s="139"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140" t="str">
        <f t="array" ref="O122">IF(N122="", "", 
  LET(
    targetRow, IFERROR(MATCH(TRUE, BYROW('PR管理'!$J$4:$T$101, LAMBDA(r, COUNTIF(r, N122)&gt;0)), 0), 0),
    IF(targetRow=0, "",
      LET(
        startDate, INDEX('PR管理'!$C$4:$C$101, targetRow),
        delLimit, INDEX('PR管理'!$F$4:$F$101, targetRow),
        prID, INDEX('PR管理'!$A$4:$A$101, targetRow),
        IF(AND('26414_編集版 のコピー 2'!N$1 &gt;= startDate, '26414_編集版 のコピー 2'!N$1 &lt;= delLimit), 
          IFERROR(VLOOKUP(N122, '新規'!$E$2:$H142, 4, 0), 
          IFERROR(VLOOKUP(N122, '特殊配信マスタ'!$E$3:$H142, 4, 0), 
          IFERROR(VLOOKUP(N122, '自動求人✅'!$C$3:$F142, 4, 0), prID))), 
        "")
      )
    )
  )
)</f>
        <v/>
      </c>
      <c r="P122" s="141" t="str">
        <f t="shared" si="3"/>
        <v/>
      </c>
      <c r="Q122" s="141"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141"/>
      <c r="S122" s="141"/>
      <c r="T122" s="139"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140" t="str">
        <f t="array" ref="U122">IF(T122="", "", 
  LET(
    targetRow, IFERROR(MATCH(TRUE, BYROW('PR管理'!$J$4:$T$101, LAMBDA(r, COUNTIF(r, T122)&gt;0)), 0), 0),
    IF(targetRow=0, "",
      LET(
        startDate, INDEX('PR管理'!$C$4:$C$101, targetRow),
        delLimit, INDEX('PR管理'!$F$4:$F$101, targetRow),
        prID, INDEX('PR管理'!$A$4:$A$101, targetRow),
        IF(AND('26414_編集版 のコピー 2'!T$1 &gt;= startDate, '26414_編集版 のコピー 2'!T$1 &lt;= delLimit), 
          IFERROR(VLOOKUP(T122, '新規'!$E$2:$H142, 4, 0), 
          IFERROR(VLOOKUP(T122, '特殊配信マスタ'!$E$3:$H142, 4, 0), 
          IFERROR(VLOOKUP(T122, '自動求人✅'!$C$3:$F142, 4, 0), prID))), 
        "")
      )
    )
  )
)</f>
        <v/>
      </c>
      <c r="V122" s="141" t="str">
        <f t="shared" si="4"/>
        <v/>
      </c>
      <c r="W122" s="141"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141"/>
      <c r="Y122" s="141"/>
      <c r="Z122" s="139"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140" t="str">
        <f t="array" ref="AA122">IF(Z122="", "", 
  LET(
    targetRow, IFERROR(MATCH(TRUE, BYROW('PR管理'!$J$4:$T$101, LAMBDA(r, COUNTIF(r, Z122)&gt;0)), 0), 0),
    IF(targetRow=0, "",
      LET(
        startDate, INDEX('PR管理'!$C$4:$C$101, targetRow),
        delLimit, INDEX('PR管理'!$F$4:$F$101, targetRow),
        prID, INDEX('PR管理'!$A$4:$A$101, targetRow),
        IF(AND('26414_編集版 のコピー 2'!Z$1 &gt;= startDate, '26414_編集版 のコピー 2'!Z$1 &lt;= delLimit), 
          IFERROR(VLOOKUP(Z122, '新規'!$E$2:$H142, 4, 0), 
          IFERROR(VLOOKUP(Z122, '特殊配信マスタ'!$E$3:$H142, 4, 0), 
          IFERROR(VLOOKUP(Z122, '自動求人✅'!$C$3:$F142, 4, 0), prID))), 
        "")
      )
    )
  )
)</f>
        <v/>
      </c>
      <c r="AB122" s="141" t="str">
        <f t="shared" si="5"/>
        <v/>
      </c>
      <c r="AC122" s="141"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141"/>
      <c r="AE122" s="141"/>
      <c r="AF122" s="139"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140" t="str">
        <f t="array" ref="AG122">IF(AF122="", "", 
  LET(
    targetRow, IFERROR(MATCH(TRUE, BYROW('PR管理'!$J$4:$T$101, LAMBDA(r, COUNTIF(r, AF122)&gt;0)), 0), 0),
    IF(targetRow=0, "",
      LET(
        startDate, INDEX('PR管理'!$C$4:$C$101, targetRow),
        delLimit, INDEX('PR管理'!$F$4:$F$101, targetRow),
        prID, INDEX('PR管理'!$A$4:$A$101, targetRow),
        IF(AND('26414_編集版 のコピー 2'!AF$1 &gt;= startDate, '26414_編集版 のコピー 2'!AF$1 &lt;= delLimit), 
          IFERROR(VLOOKUP(AF122, '新規'!$E$2:$H142, 4, 0), 
          IFERROR(VLOOKUP(AF122, '特殊配信マスタ'!$E$3:$H142, 4, 0), 
          IFERROR(VLOOKUP(AF122, '自動求人✅'!$C$3:$F142, 4, 0), prID))), 
        "")
      )
    )
  )
)</f>
        <v/>
      </c>
      <c r="AH122" s="141" t="str">
        <f t="shared" si="6"/>
        <v/>
      </c>
      <c r="AI122" s="141"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141"/>
      <c r="AK122" s="141"/>
      <c r="AL122" s="139"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140" t="str">
        <f t="array" ref="AM122">IF(AL122="", "", 
  LET(
    targetRow, IFERROR(MATCH(TRUE, BYROW('PR管理'!$J$4:$T$101, LAMBDA(r, COUNTIF(r, AL122)&gt;0)), 0), 0),
    IF(targetRow=0, "",
      LET(
        startDate, INDEX('PR管理'!$C$4:$C$101, targetRow),
        delLimit, INDEX('PR管理'!$F$4:$F$101, targetRow),
        prID, INDEX('PR管理'!$A$4:$A$101, targetRow),
        IF(AND('26414_編集版 のコピー 2'!AL$1 &gt;= startDate, '26414_編集版 のコピー 2'!AL$1 &lt;= delLimit), 
          IFERROR(VLOOKUP(AL122, '新規'!$E$2:$H142, 4, 0), 
          IFERROR(VLOOKUP(AL122, '特殊配信マスタ'!$E$3:$H142, 4, 0), 
          IFERROR(VLOOKUP(AL122, '自動求人✅'!$C$3:$F142, 4, 0), prID))), 
        "")
      )
    )
  )
)</f>
        <v/>
      </c>
      <c r="AN122" s="141" t="str">
        <f t="shared" si="7"/>
        <v/>
      </c>
      <c r="AO122" s="141"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141"/>
      <c r="AQ122" s="141"/>
    </row>
    <row r="123" ht="17.25" customHeight="1">
      <c r="A123" s="138">
        <f>A113+1</f>
        <v>20</v>
      </c>
      <c r="B123" s="139"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140" t="str">
        <f t="array" ref="C123">IF(B123="", "", 
  LET(
    targetRow, IFERROR(MATCH(TRUE, BYROW('PR管理'!$J$4:$T$101, LAMBDA(r, COUNTIF(r, B123)&gt;0)), 0), 0),
    IF(targetRow=0, "",
      LET(
        startDate, INDEX('PR管理'!$C$4:$C$101, targetRow),
        delLimit, INDEX('PR管理'!$F$4:$F$101, targetRow),
        prID, INDEX('PR管理'!$A$4:$A$101, targetRow),
        IF(AND('26414_編集版 のコピー 2'!B$1 &gt;= startDate, '26414_編集版 のコピー 2'!B$1 &lt;= delLimit), 
          IFERROR(VLOOKUP(B123, '新規'!$E$2:$H142, 4, 0), 
          IFERROR(VLOOKUP(B123, '特殊配信マスタ'!$E$3:$H142, 4, 0), 
          IFERROR(VLOOKUP(B123, '自動求人✅'!$C$3:$F142, 4, 0), prID))), 
        "")
      )
    )
  )
)</f>
        <v/>
      </c>
      <c r="D123" s="141" t="str">
        <f t="shared" si="1"/>
        <v/>
      </c>
      <c r="E123" s="141"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141"/>
      <c r="G123" s="141"/>
      <c r="H123" s="139"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140" t="str">
        <f t="array" ref="I123">IF(H123="", "", 
  LET(
    targetRow, IFERROR(MATCH(TRUE, BYROW('PR管理'!$J$4:$T$101, LAMBDA(r, COUNTIF(r, H123)&gt;0)), 0), 0),
    IF(targetRow=0, "",
      LET(
        startDate, INDEX('PR管理'!$C$4:$C$101, targetRow),
        delLimit, INDEX('PR管理'!$F$4:$F$101, targetRow),
        prID, INDEX('PR管理'!$A$4:$A$101, targetRow),
        IF(AND('26414_編集版 のコピー 2'!H$1 &gt;= startDate, '26414_編集版 のコピー 2'!H$1 &lt;= delLimit), 
          IFERROR(VLOOKUP(H123, '新規'!$E$2:$H142, 4, 0), 
          IFERROR(VLOOKUP(H123, '特殊配信マスタ'!$E$3:$H142, 4, 0), 
          IFERROR(VLOOKUP(H123, '自動求人✅'!$C$3:$F142, 4, 0), prID))), 
        "")
      )
    )
  )
)</f>
        <v/>
      </c>
      <c r="J123" s="141" t="str">
        <f t="shared" si="2"/>
        <v/>
      </c>
      <c r="K123" s="141"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141"/>
      <c r="M123" s="141"/>
      <c r="N123" s="139"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140" t="str">
        <f t="array" ref="O123">IF(N123="", "", 
  LET(
    targetRow, IFERROR(MATCH(TRUE, BYROW('PR管理'!$J$4:$T$101, LAMBDA(r, COUNTIF(r, N123)&gt;0)), 0), 0),
    IF(targetRow=0, "",
      LET(
        startDate, INDEX('PR管理'!$C$4:$C$101, targetRow),
        delLimit, INDEX('PR管理'!$F$4:$F$101, targetRow),
        prID, INDEX('PR管理'!$A$4:$A$101, targetRow),
        IF(AND('26414_編集版 のコピー 2'!N$1 &gt;= startDate, '26414_編集版 のコピー 2'!N$1 &lt;= delLimit), 
          IFERROR(VLOOKUP(N123, '新規'!$E$2:$H142, 4, 0), 
          IFERROR(VLOOKUP(N123, '特殊配信マスタ'!$E$3:$H142, 4, 0), 
          IFERROR(VLOOKUP(N123, '自動求人✅'!$C$3:$F142, 4, 0), prID))), 
        "")
      )
    )
  )
)</f>
        <v/>
      </c>
      <c r="P123" s="141" t="str">
        <f t="shared" si="3"/>
        <v/>
      </c>
      <c r="Q123" s="141"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141"/>
      <c r="S123" s="141"/>
      <c r="T123" s="139"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140" t="str">
        <f t="array" ref="U123">IF(T123="", "", 
  LET(
    targetRow, IFERROR(MATCH(TRUE, BYROW('PR管理'!$J$4:$T$101, LAMBDA(r, COUNTIF(r, T123)&gt;0)), 0), 0),
    IF(targetRow=0, "",
      LET(
        startDate, INDEX('PR管理'!$C$4:$C$101, targetRow),
        delLimit, INDEX('PR管理'!$F$4:$F$101, targetRow),
        prID, INDEX('PR管理'!$A$4:$A$101, targetRow),
        IF(AND('26414_編集版 のコピー 2'!T$1 &gt;= startDate, '26414_編集版 のコピー 2'!T$1 &lt;= delLimit), 
          IFERROR(VLOOKUP(T123, '新規'!$E$2:$H142, 4, 0), 
          IFERROR(VLOOKUP(T123, '特殊配信マスタ'!$E$3:$H142, 4, 0), 
          IFERROR(VLOOKUP(T123, '自動求人✅'!$C$3:$F142, 4, 0), prID))), 
        "")
      )
    )
  )
)</f>
        <v/>
      </c>
      <c r="V123" s="141" t="str">
        <f t="shared" si="4"/>
        <v/>
      </c>
      <c r="W123" s="141"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141"/>
      <c r="Y123" s="141"/>
      <c r="Z123" s="139"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140" t="str">
        <f t="array" ref="AA123">IF(Z123="", "", 
  LET(
    targetRow, IFERROR(MATCH(TRUE, BYROW('PR管理'!$J$4:$T$101, LAMBDA(r, COUNTIF(r, Z123)&gt;0)), 0), 0),
    IF(targetRow=0, "",
      LET(
        startDate, INDEX('PR管理'!$C$4:$C$101, targetRow),
        delLimit, INDEX('PR管理'!$F$4:$F$101, targetRow),
        prID, INDEX('PR管理'!$A$4:$A$101, targetRow),
        IF(AND('26414_編集版 のコピー 2'!Z$1 &gt;= startDate, '26414_編集版 のコピー 2'!Z$1 &lt;= delLimit), 
          IFERROR(VLOOKUP(Z123, '新規'!$E$2:$H142, 4, 0), 
          IFERROR(VLOOKUP(Z123, '特殊配信マスタ'!$E$3:$H142, 4, 0), 
          IFERROR(VLOOKUP(Z123, '自動求人✅'!$C$3:$F142, 4, 0), prID))), 
        "")
      )
    )
  )
)</f>
        <v/>
      </c>
      <c r="AB123" s="141" t="str">
        <f t="shared" si="5"/>
        <v/>
      </c>
      <c r="AC123" s="141"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141"/>
      <c r="AE123" s="141"/>
      <c r="AF123" s="139"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140" t="str">
        <f t="array" ref="AG123">IF(AF123="", "", 
  LET(
    targetRow, IFERROR(MATCH(TRUE, BYROW('PR管理'!$J$4:$T$101, LAMBDA(r, COUNTIF(r, AF123)&gt;0)), 0), 0),
    IF(targetRow=0, "",
      LET(
        startDate, INDEX('PR管理'!$C$4:$C$101, targetRow),
        delLimit, INDEX('PR管理'!$F$4:$F$101, targetRow),
        prID, INDEX('PR管理'!$A$4:$A$101, targetRow),
        IF(AND('26414_編集版 のコピー 2'!AF$1 &gt;= startDate, '26414_編集版 のコピー 2'!AF$1 &lt;= delLimit), 
          IFERROR(VLOOKUP(AF123, '新規'!$E$2:$H142, 4, 0), 
          IFERROR(VLOOKUP(AF123, '特殊配信マスタ'!$E$3:$H142, 4, 0), 
          IFERROR(VLOOKUP(AF123, '自動求人✅'!$C$3:$F142, 4, 0), prID))), 
        "")
      )
    )
  )
)</f>
        <v/>
      </c>
      <c r="AH123" s="141" t="str">
        <f t="shared" si="6"/>
        <v/>
      </c>
      <c r="AI123" s="141"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141"/>
      <c r="AK123" s="141"/>
      <c r="AL123" s="139"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140" t="str">
        <f t="array" ref="AM123">IF(AL123="", "", 
  LET(
    targetRow, IFERROR(MATCH(TRUE, BYROW('PR管理'!$J$4:$T$101, LAMBDA(r, COUNTIF(r, AL123)&gt;0)), 0), 0),
    IF(targetRow=0, "",
      LET(
        startDate, INDEX('PR管理'!$C$4:$C$101, targetRow),
        delLimit, INDEX('PR管理'!$F$4:$F$101, targetRow),
        prID, INDEX('PR管理'!$A$4:$A$101, targetRow),
        IF(AND('26414_編集版 のコピー 2'!AL$1 &gt;= startDate, '26414_編集版 のコピー 2'!AL$1 &lt;= delLimit), 
          IFERROR(VLOOKUP(AL123, '新規'!$E$2:$H142, 4, 0), 
          IFERROR(VLOOKUP(AL123, '特殊配信マスタ'!$E$3:$H142, 4, 0), 
          IFERROR(VLOOKUP(AL123, '自動求人✅'!$C$3:$F142, 4, 0), prID))), 
        "")
      )
    )
  )
)</f>
        <v/>
      </c>
      <c r="AN123" s="141" t="str">
        <f t="shared" si="7"/>
        <v/>
      </c>
      <c r="AO123" s="141"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141"/>
      <c r="AQ123" s="141"/>
    </row>
    <row r="124" ht="17.25" customHeight="1">
      <c r="A124" s="142"/>
      <c r="B124" s="139"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140" t="str">
        <f t="array" ref="C124">IF(B124="", "", 
  LET(
    targetRow, IFERROR(MATCH(TRUE, BYROW('PR管理'!$J$4:$T$101, LAMBDA(r, COUNTIF(r, B124)&gt;0)), 0), 0),
    IF(targetRow=0, "",
      LET(
        startDate, INDEX('PR管理'!$C$4:$C$101, targetRow),
        delLimit, INDEX('PR管理'!$F$4:$F$101, targetRow),
        prID, INDEX('PR管理'!$A$4:$A$101, targetRow),
        IF(AND('26414_編集版 のコピー 2'!B$1 &gt;= startDate, '26414_編集版 のコピー 2'!B$1 &lt;= delLimit), 
          IFERROR(VLOOKUP(B124, '新規'!$E$2:$H142, 4, 0), 
          IFERROR(VLOOKUP(B124, '特殊配信マスタ'!$E$3:$H142, 4, 0), 
          IFERROR(VLOOKUP(B124, '自動求人✅'!$C$3:$F142, 4, 0), prID))), 
        "")
      )
    )
  )
)</f>
        <v/>
      </c>
      <c r="D124" s="141" t="str">
        <f t="shared" si="1"/>
        <v/>
      </c>
      <c r="E124" s="141"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141"/>
      <c r="G124" s="141"/>
      <c r="H124" s="139"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140" t="str">
        <f t="array" ref="I124">IF(H124="", "", 
  LET(
    targetRow, IFERROR(MATCH(TRUE, BYROW('PR管理'!$J$4:$T$101, LAMBDA(r, COUNTIF(r, H124)&gt;0)), 0), 0),
    IF(targetRow=0, "",
      LET(
        startDate, INDEX('PR管理'!$C$4:$C$101, targetRow),
        delLimit, INDEX('PR管理'!$F$4:$F$101, targetRow),
        prID, INDEX('PR管理'!$A$4:$A$101, targetRow),
        IF(AND('26414_編集版 のコピー 2'!H$1 &gt;= startDate, '26414_編集版 のコピー 2'!H$1 &lt;= delLimit), 
          IFERROR(VLOOKUP(H124, '新規'!$E$2:$H142, 4, 0), 
          IFERROR(VLOOKUP(H124, '特殊配信マスタ'!$E$3:$H142, 4, 0), 
          IFERROR(VLOOKUP(H124, '自動求人✅'!$C$3:$F142, 4, 0), prID))), 
        "")
      )
    )
  )
)</f>
        <v/>
      </c>
      <c r="J124" s="141" t="str">
        <f t="shared" si="2"/>
        <v/>
      </c>
      <c r="K124" s="141"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141"/>
      <c r="M124" s="141"/>
      <c r="N124" s="139"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140" t="str">
        <f t="array" ref="O124">IF(N124="", "", 
  LET(
    targetRow, IFERROR(MATCH(TRUE, BYROW('PR管理'!$J$4:$T$101, LAMBDA(r, COUNTIF(r, N124)&gt;0)), 0), 0),
    IF(targetRow=0, "",
      LET(
        startDate, INDEX('PR管理'!$C$4:$C$101, targetRow),
        delLimit, INDEX('PR管理'!$F$4:$F$101, targetRow),
        prID, INDEX('PR管理'!$A$4:$A$101, targetRow),
        IF(AND('26414_編集版 のコピー 2'!N$1 &gt;= startDate, '26414_編集版 のコピー 2'!N$1 &lt;= delLimit), 
          IFERROR(VLOOKUP(N124, '新規'!$E$2:$H142, 4, 0), 
          IFERROR(VLOOKUP(N124, '特殊配信マスタ'!$E$3:$H142, 4, 0), 
          IFERROR(VLOOKUP(N124, '自動求人✅'!$C$3:$F142, 4, 0), prID))), 
        "")
      )
    )
  )
)</f>
        <v/>
      </c>
      <c r="P124" s="141" t="str">
        <f t="shared" si="3"/>
        <v/>
      </c>
      <c r="Q124" s="141"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141"/>
      <c r="S124" s="141"/>
      <c r="T124" s="139"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140" t="str">
        <f t="array" ref="U124">IF(T124="", "", 
  LET(
    targetRow, IFERROR(MATCH(TRUE, BYROW('PR管理'!$J$4:$T$101, LAMBDA(r, COUNTIF(r, T124)&gt;0)), 0), 0),
    IF(targetRow=0, "",
      LET(
        startDate, INDEX('PR管理'!$C$4:$C$101, targetRow),
        delLimit, INDEX('PR管理'!$F$4:$F$101, targetRow),
        prID, INDEX('PR管理'!$A$4:$A$101, targetRow),
        IF(AND('26414_編集版 のコピー 2'!T$1 &gt;= startDate, '26414_編集版 のコピー 2'!T$1 &lt;= delLimit), 
          IFERROR(VLOOKUP(T124, '新規'!$E$2:$H142, 4, 0), 
          IFERROR(VLOOKUP(T124, '特殊配信マスタ'!$E$3:$H142, 4, 0), 
          IFERROR(VLOOKUP(T124, '自動求人✅'!$C$3:$F142, 4, 0), prID))), 
        "")
      )
    )
  )
)</f>
        <v/>
      </c>
      <c r="V124" s="141" t="str">
        <f t="shared" si="4"/>
        <v/>
      </c>
      <c r="W124" s="141"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141"/>
      <c r="Y124" s="141"/>
      <c r="Z124" s="139"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140" t="str">
        <f t="array" ref="AA124">IF(Z124="", "", 
  LET(
    targetRow, IFERROR(MATCH(TRUE, BYROW('PR管理'!$J$4:$T$101, LAMBDA(r, COUNTIF(r, Z124)&gt;0)), 0), 0),
    IF(targetRow=0, "",
      LET(
        startDate, INDEX('PR管理'!$C$4:$C$101, targetRow),
        delLimit, INDEX('PR管理'!$F$4:$F$101, targetRow),
        prID, INDEX('PR管理'!$A$4:$A$101, targetRow),
        IF(AND('26414_編集版 のコピー 2'!Z$1 &gt;= startDate, '26414_編集版 のコピー 2'!Z$1 &lt;= delLimit), 
          IFERROR(VLOOKUP(Z124, '新規'!$E$2:$H142, 4, 0), 
          IFERROR(VLOOKUP(Z124, '特殊配信マスタ'!$E$3:$H142, 4, 0), 
          IFERROR(VLOOKUP(Z124, '自動求人✅'!$C$3:$F142, 4, 0), prID))), 
        "")
      )
    )
  )
)</f>
        <v/>
      </c>
      <c r="AB124" s="141" t="str">
        <f t="shared" si="5"/>
        <v/>
      </c>
      <c r="AC124" s="141"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141"/>
      <c r="AE124" s="141"/>
      <c r="AF124" s="139"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140" t="str">
        <f t="array" ref="AG124">IF(AF124="", "", 
  LET(
    targetRow, IFERROR(MATCH(TRUE, BYROW('PR管理'!$J$4:$T$101, LAMBDA(r, COUNTIF(r, AF124)&gt;0)), 0), 0),
    IF(targetRow=0, "",
      LET(
        startDate, INDEX('PR管理'!$C$4:$C$101, targetRow),
        delLimit, INDEX('PR管理'!$F$4:$F$101, targetRow),
        prID, INDEX('PR管理'!$A$4:$A$101, targetRow),
        IF(AND('26414_編集版 のコピー 2'!AF$1 &gt;= startDate, '26414_編集版 のコピー 2'!AF$1 &lt;= delLimit), 
          IFERROR(VLOOKUP(AF124, '新規'!$E$2:$H142, 4, 0), 
          IFERROR(VLOOKUP(AF124, '特殊配信マスタ'!$E$3:$H142, 4, 0), 
          IFERROR(VLOOKUP(AF124, '自動求人✅'!$C$3:$F142, 4, 0), prID))), 
        "")
      )
    )
  )
)</f>
        <v/>
      </c>
      <c r="AH124" s="141" t="str">
        <f t="shared" si="6"/>
        <v/>
      </c>
      <c r="AI124" s="141"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141"/>
      <c r="AK124" s="141"/>
      <c r="AL124" s="139"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140" t="str">
        <f t="array" ref="AM124">IF(AL124="", "", 
  LET(
    targetRow, IFERROR(MATCH(TRUE, BYROW('PR管理'!$J$4:$T$101, LAMBDA(r, COUNTIF(r, AL124)&gt;0)), 0), 0),
    IF(targetRow=0, "",
      LET(
        startDate, INDEX('PR管理'!$C$4:$C$101, targetRow),
        delLimit, INDEX('PR管理'!$F$4:$F$101, targetRow),
        prID, INDEX('PR管理'!$A$4:$A$101, targetRow),
        IF(AND('26414_編集版 のコピー 2'!AL$1 &gt;= startDate, '26414_編集版 のコピー 2'!AL$1 &lt;= delLimit), 
          IFERROR(VLOOKUP(AL124, '新規'!$E$2:$H142, 4, 0), 
          IFERROR(VLOOKUP(AL124, '特殊配信マスタ'!$E$3:$H142, 4, 0), 
          IFERROR(VLOOKUP(AL124, '自動求人✅'!$C$3:$F142, 4, 0), prID))), 
        "")
      )
    )
  )
)</f>
        <v/>
      </c>
      <c r="AN124" s="141" t="str">
        <f t="shared" si="7"/>
        <v/>
      </c>
      <c r="AO124" s="141"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141"/>
      <c r="AQ124" s="141"/>
    </row>
    <row r="125" ht="17.25" customHeight="1">
      <c r="A125" s="142"/>
      <c r="B125" s="139"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140" t="str">
        <f t="array" ref="C125">IF(B125="", "", 
  LET(
    targetRow, IFERROR(MATCH(TRUE, BYROW('PR管理'!$J$4:$T$101, LAMBDA(r, COUNTIF(r, B125)&gt;0)), 0), 0),
    IF(targetRow=0, "",
      LET(
        startDate, INDEX('PR管理'!$C$4:$C$101, targetRow),
        delLimit, INDEX('PR管理'!$F$4:$F$101, targetRow),
        prID, INDEX('PR管理'!$A$4:$A$101, targetRow),
        IF(AND('26414_編集版 のコピー 2'!B$1 &gt;= startDate, '26414_編集版 のコピー 2'!B$1 &lt;= delLimit), 
          IFERROR(VLOOKUP(B125, '新規'!$E$2:$H142, 4, 0), 
          IFERROR(VLOOKUP(B125, '特殊配信マスタ'!$E$3:$H142, 4, 0), 
          IFERROR(VLOOKUP(B125, '自動求人✅'!$C$3:$F142, 4, 0), prID))), 
        "")
      )
    )
  )
)</f>
        <v/>
      </c>
      <c r="D125" s="141" t="str">
        <f t="shared" si="1"/>
        <v/>
      </c>
      <c r="E125" s="141"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141"/>
      <c r="G125" s="141"/>
      <c r="H125" s="139"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140" t="str">
        <f t="array" ref="I125">IF(H125="", "", 
  LET(
    targetRow, IFERROR(MATCH(TRUE, BYROW('PR管理'!$J$4:$T$101, LAMBDA(r, COUNTIF(r, H125)&gt;0)), 0), 0),
    IF(targetRow=0, "",
      LET(
        startDate, INDEX('PR管理'!$C$4:$C$101, targetRow),
        delLimit, INDEX('PR管理'!$F$4:$F$101, targetRow),
        prID, INDEX('PR管理'!$A$4:$A$101, targetRow),
        IF(AND('26414_編集版 のコピー 2'!H$1 &gt;= startDate, '26414_編集版 のコピー 2'!H$1 &lt;= delLimit), 
          IFERROR(VLOOKUP(H125, '新規'!$E$2:$H142, 4, 0), 
          IFERROR(VLOOKUP(H125, '特殊配信マスタ'!$E$3:$H142, 4, 0), 
          IFERROR(VLOOKUP(H125, '自動求人✅'!$C$3:$F142, 4, 0), prID))), 
        "")
      )
    )
  )
)</f>
        <v/>
      </c>
      <c r="J125" s="141" t="str">
        <f t="shared" si="2"/>
        <v/>
      </c>
      <c r="K125" s="141"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141"/>
      <c r="M125" s="141"/>
      <c r="N125" s="139"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140" t="str">
        <f t="array" ref="O125">IF(N125="", "", 
  LET(
    targetRow, IFERROR(MATCH(TRUE, BYROW('PR管理'!$J$4:$T$101, LAMBDA(r, COUNTIF(r, N125)&gt;0)), 0), 0),
    IF(targetRow=0, "",
      LET(
        startDate, INDEX('PR管理'!$C$4:$C$101, targetRow),
        delLimit, INDEX('PR管理'!$F$4:$F$101, targetRow),
        prID, INDEX('PR管理'!$A$4:$A$101, targetRow),
        IF(AND('26414_編集版 のコピー 2'!N$1 &gt;= startDate, '26414_編集版 のコピー 2'!N$1 &lt;= delLimit), 
          IFERROR(VLOOKUP(N125, '新規'!$E$2:$H142, 4, 0), 
          IFERROR(VLOOKUP(N125, '特殊配信マスタ'!$E$3:$H142, 4, 0), 
          IFERROR(VLOOKUP(N125, '自動求人✅'!$C$3:$F142, 4, 0), prID))), 
        "")
      )
    )
  )
)</f>
        <v/>
      </c>
      <c r="P125" s="141" t="str">
        <f t="shared" si="3"/>
        <v/>
      </c>
      <c r="Q125" s="141"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141"/>
      <c r="S125" s="141"/>
      <c r="T125" s="139"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140" t="str">
        <f t="array" ref="U125">IF(T125="", "", 
  LET(
    targetRow, IFERROR(MATCH(TRUE, BYROW('PR管理'!$J$4:$T$101, LAMBDA(r, COUNTIF(r, T125)&gt;0)), 0), 0),
    IF(targetRow=0, "",
      LET(
        startDate, INDEX('PR管理'!$C$4:$C$101, targetRow),
        delLimit, INDEX('PR管理'!$F$4:$F$101, targetRow),
        prID, INDEX('PR管理'!$A$4:$A$101, targetRow),
        IF(AND('26414_編集版 のコピー 2'!T$1 &gt;= startDate, '26414_編集版 のコピー 2'!T$1 &lt;= delLimit), 
          IFERROR(VLOOKUP(T125, '新規'!$E$2:$H142, 4, 0), 
          IFERROR(VLOOKUP(T125, '特殊配信マスタ'!$E$3:$H142, 4, 0), 
          IFERROR(VLOOKUP(T125, '自動求人✅'!$C$3:$F142, 4, 0), prID))), 
        "")
      )
    )
  )
)</f>
        <v/>
      </c>
      <c r="V125" s="141" t="str">
        <f t="shared" si="4"/>
        <v/>
      </c>
      <c r="W125" s="141"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141"/>
      <c r="Y125" s="141"/>
      <c r="Z125" s="139"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140" t="str">
        <f t="array" ref="AA125">IF(Z125="", "", 
  LET(
    targetRow, IFERROR(MATCH(TRUE, BYROW('PR管理'!$J$4:$T$101, LAMBDA(r, COUNTIF(r, Z125)&gt;0)), 0), 0),
    IF(targetRow=0, "",
      LET(
        startDate, INDEX('PR管理'!$C$4:$C$101, targetRow),
        delLimit, INDEX('PR管理'!$F$4:$F$101, targetRow),
        prID, INDEX('PR管理'!$A$4:$A$101, targetRow),
        IF(AND('26414_編集版 のコピー 2'!Z$1 &gt;= startDate, '26414_編集版 のコピー 2'!Z$1 &lt;= delLimit), 
          IFERROR(VLOOKUP(Z125, '新規'!$E$2:$H142, 4, 0), 
          IFERROR(VLOOKUP(Z125, '特殊配信マスタ'!$E$3:$H142, 4, 0), 
          IFERROR(VLOOKUP(Z125, '自動求人✅'!$C$3:$F142, 4, 0), prID))), 
        "")
      )
    )
  )
)</f>
        <v/>
      </c>
      <c r="AB125" s="141" t="str">
        <f t="shared" si="5"/>
        <v/>
      </c>
      <c r="AC125" s="141"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141"/>
      <c r="AE125" s="141"/>
      <c r="AF125" s="139"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140" t="str">
        <f t="array" ref="AG125">IF(AF125="", "", 
  LET(
    targetRow, IFERROR(MATCH(TRUE, BYROW('PR管理'!$J$4:$T$101, LAMBDA(r, COUNTIF(r, AF125)&gt;0)), 0), 0),
    IF(targetRow=0, "",
      LET(
        startDate, INDEX('PR管理'!$C$4:$C$101, targetRow),
        delLimit, INDEX('PR管理'!$F$4:$F$101, targetRow),
        prID, INDEX('PR管理'!$A$4:$A$101, targetRow),
        IF(AND('26414_編集版 のコピー 2'!AF$1 &gt;= startDate, '26414_編集版 のコピー 2'!AF$1 &lt;= delLimit), 
          IFERROR(VLOOKUP(AF125, '新規'!$E$2:$H142, 4, 0), 
          IFERROR(VLOOKUP(AF125, '特殊配信マスタ'!$E$3:$H142, 4, 0), 
          IFERROR(VLOOKUP(AF125, '自動求人✅'!$C$3:$F142, 4, 0), prID))), 
        "")
      )
    )
  )
)</f>
        <v/>
      </c>
      <c r="AH125" s="141" t="str">
        <f t="shared" si="6"/>
        <v/>
      </c>
      <c r="AI125" s="141"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141"/>
      <c r="AK125" s="141"/>
      <c r="AL125" s="139"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140" t="str">
        <f t="array" ref="AM125">IF(AL125="", "", 
  LET(
    targetRow, IFERROR(MATCH(TRUE, BYROW('PR管理'!$J$4:$T$101, LAMBDA(r, COUNTIF(r, AL125)&gt;0)), 0), 0),
    IF(targetRow=0, "",
      LET(
        startDate, INDEX('PR管理'!$C$4:$C$101, targetRow),
        delLimit, INDEX('PR管理'!$F$4:$F$101, targetRow),
        prID, INDEX('PR管理'!$A$4:$A$101, targetRow),
        IF(AND('26414_編集版 のコピー 2'!AL$1 &gt;= startDate, '26414_編集版 のコピー 2'!AL$1 &lt;= delLimit), 
          IFERROR(VLOOKUP(AL125, '新規'!$E$2:$H142, 4, 0), 
          IFERROR(VLOOKUP(AL125, '特殊配信マスタ'!$E$3:$H142, 4, 0), 
          IFERROR(VLOOKUP(AL125, '自動求人✅'!$C$3:$F142, 4, 0), prID))), 
        "")
      )
    )
  )
)</f>
        <v/>
      </c>
      <c r="AN125" s="141" t="str">
        <f t="shared" si="7"/>
        <v/>
      </c>
      <c r="AO125" s="141"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141"/>
      <c r="AQ125" s="141"/>
    </row>
    <row r="126" ht="17.25" customHeight="1">
      <c r="A126" s="142"/>
      <c r="B126" s="139"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140" t="str">
        <f t="array" ref="C126">IF(B126="", "", 
  LET(
    targetRow, IFERROR(MATCH(TRUE, BYROW('PR管理'!$J$4:$T$101, LAMBDA(r, COUNTIF(r, B126)&gt;0)), 0), 0),
    IF(targetRow=0, "",
      LET(
        startDate, INDEX('PR管理'!$C$4:$C$101, targetRow),
        delLimit, INDEX('PR管理'!$F$4:$F$101, targetRow),
        prID, INDEX('PR管理'!$A$4:$A$101, targetRow),
        IF(AND('26414_編集版 のコピー 2'!B$1 &gt;= startDate, '26414_編集版 のコピー 2'!B$1 &lt;= delLimit), 
          IFERROR(VLOOKUP(B126, '新規'!$E$2:$H142, 4, 0), 
          IFERROR(VLOOKUP(B126, '特殊配信マスタ'!$E$3:$H142, 4, 0), 
          IFERROR(VLOOKUP(B126, '自動求人✅'!$C$3:$F142, 4, 0), prID))), 
        "")
      )
    )
  )
)</f>
        <v/>
      </c>
      <c r="D126" s="141" t="str">
        <f t="shared" si="1"/>
        <v/>
      </c>
      <c r="E126" s="141"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141"/>
      <c r="G126" s="141"/>
      <c r="H126" s="139"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140" t="str">
        <f t="array" ref="I126">IF(H126="", "", 
  LET(
    targetRow, IFERROR(MATCH(TRUE, BYROW('PR管理'!$J$4:$T$101, LAMBDA(r, COUNTIF(r, H126)&gt;0)), 0), 0),
    IF(targetRow=0, "",
      LET(
        startDate, INDEX('PR管理'!$C$4:$C$101, targetRow),
        delLimit, INDEX('PR管理'!$F$4:$F$101, targetRow),
        prID, INDEX('PR管理'!$A$4:$A$101, targetRow),
        IF(AND('26414_編集版 のコピー 2'!H$1 &gt;= startDate, '26414_編集版 のコピー 2'!H$1 &lt;= delLimit), 
          IFERROR(VLOOKUP(H126, '新規'!$E$2:$H142, 4, 0), 
          IFERROR(VLOOKUP(H126, '特殊配信マスタ'!$E$3:$H142, 4, 0), 
          IFERROR(VLOOKUP(H126, '自動求人✅'!$C$3:$F142, 4, 0), prID))), 
        "")
      )
    )
  )
)</f>
        <v/>
      </c>
      <c r="J126" s="141" t="str">
        <f t="shared" si="2"/>
        <v/>
      </c>
      <c r="K126" s="141"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141"/>
      <c r="M126" s="141"/>
      <c r="N126" s="139"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140" t="str">
        <f t="array" ref="O126">IF(N126="", "", 
  LET(
    targetRow, IFERROR(MATCH(TRUE, BYROW('PR管理'!$J$4:$T$101, LAMBDA(r, COUNTIF(r, N126)&gt;0)), 0), 0),
    IF(targetRow=0, "",
      LET(
        startDate, INDEX('PR管理'!$C$4:$C$101, targetRow),
        delLimit, INDEX('PR管理'!$F$4:$F$101, targetRow),
        prID, INDEX('PR管理'!$A$4:$A$101, targetRow),
        IF(AND('26414_編集版 のコピー 2'!N$1 &gt;= startDate, '26414_編集版 のコピー 2'!N$1 &lt;= delLimit), 
          IFERROR(VLOOKUP(N126, '新規'!$E$2:$H142, 4, 0), 
          IFERROR(VLOOKUP(N126, '特殊配信マスタ'!$E$3:$H142, 4, 0), 
          IFERROR(VLOOKUP(N126, '自動求人✅'!$C$3:$F142, 4, 0), prID))), 
        "")
      )
    )
  )
)</f>
        <v/>
      </c>
      <c r="P126" s="141" t="str">
        <f t="shared" si="3"/>
        <v/>
      </c>
      <c r="Q126" s="141"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141"/>
      <c r="S126" s="141"/>
      <c r="T126" s="139"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140" t="str">
        <f t="array" ref="U126">IF(T126="", "", 
  LET(
    targetRow, IFERROR(MATCH(TRUE, BYROW('PR管理'!$J$4:$T$101, LAMBDA(r, COUNTIF(r, T126)&gt;0)), 0), 0),
    IF(targetRow=0, "",
      LET(
        startDate, INDEX('PR管理'!$C$4:$C$101, targetRow),
        delLimit, INDEX('PR管理'!$F$4:$F$101, targetRow),
        prID, INDEX('PR管理'!$A$4:$A$101, targetRow),
        IF(AND('26414_編集版 のコピー 2'!T$1 &gt;= startDate, '26414_編集版 のコピー 2'!T$1 &lt;= delLimit), 
          IFERROR(VLOOKUP(T126, '新規'!$E$2:$H142, 4, 0), 
          IFERROR(VLOOKUP(T126, '特殊配信マスタ'!$E$3:$H142, 4, 0), 
          IFERROR(VLOOKUP(T126, '自動求人✅'!$C$3:$F142, 4, 0), prID))), 
        "")
      )
    )
  )
)</f>
        <v/>
      </c>
      <c r="V126" s="141" t="str">
        <f t="shared" si="4"/>
        <v/>
      </c>
      <c r="W126" s="141"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141"/>
      <c r="Y126" s="141"/>
      <c r="Z126" s="139"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140" t="str">
        <f t="array" ref="AA126">IF(Z126="", "", 
  LET(
    targetRow, IFERROR(MATCH(TRUE, BYROW('PR管理'!$J$4:$T$101, LAMBDA(r, COUNTIF(r, Z126)&gt;0)), 0), 0),
    IF(targetRow=0, "",
      LET(
        startDate, INDEX('PR管理'!$C$4:$C$101, targetRow),
        delLimit, INDEX('PR管理'!$F$4:$F$101, targetRow),
        prID, INDEX('PR管理'!$A$4:$A$101, targetRow),
        IF(AND('26414_編集版 のコピー 2'!Z$1 &gt;= startDate, '26414_編集版 のコピー 2'!Z$1 &lt;= delLimit), 
          IFERROR(VLOOKUP(Z126, '新規'!$E$2:$H142, 4, 0), 
          IFERROR(VLOOKUP(Z126, '特殊配信マスタ'!$E$3:$H142, 4, 0), 
          IFERROR(VLOOKUP(Z126, '自動求人✅'!$C$3:$F142, 4, 0), prID))), 
        "")
      )
    )
  )
)</f>
        <v/>
      </c>
      <c r="AB126" s="141" t="str">
        <f t="shared" si="5"/>
        <v/>
      </c>
      <c r="AC126" s="141"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141"/>
      <c r="AE126" s="141"/>
      <c r="AF126" s="139"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140" t="str">
        <f t="array" ref="AG126">IF(AF126="", "", 
  LET(
    targetRow, IFERROR(MATCH(TRUE, BYROW('PR管理'!$J$4:$T$101, LAMBDA(r, COUNTIF(r, AF126)&gt;0)), 0), 0),
    IF(targetRow=0, "",
      LET(
        startDate, INDEX('PR管理'!$C$4:$C$101, targetRow),
        delLimit, INDEX('PR管理'!$F$4:$F$101, targetRow),
        prID, INDEX('PR管理'!$A$4:$A$101, targetRow),
        IF(AND('26414_編集版 のコピー 2'!AF$1 &gt;= startDate, '26414_編集版 のコピー 2'!AF$1 &lt;= delLimit), 
          IFERROR(VLOOKUP(AF126, '新規'!$E$2:$H142, 4, 0), 
          IFERROR(VLOOKUP(AF126, '特殊配信マスタ'!$E$3:$H142, 4, 0), 
          IFERROR(VLOOKUP(AF126, '自動求人✅'!$C$3:$F142, 4, 0), prID))), 
        "")
      )
    )
  )
)</f>
        <v/>
      </c>
      <c r="AH126" s="141" t="str">
        <f t="shared" si="6"/>
        <v/>
      </c>
      <c r="AI126" s="141"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141"/>
      <c r="AK126" s="141"/>
      <c r="AL126" s="139"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140" t="str">
        <f t="array" ref="AM126">IF(AL126="", "", 
  LET(
    targetRow, IFERROR(MATCH(TRUE, BYROW('PR管理'!$J$4:$T$101, LAMBDA(r, COUNTIF(r, AL126)&gt;0)), 0), 0),
    IF(targetRow=0, "",
      LET(
        startDate, INDEX('PR管理'!$C$4:$C$101, targetRow),
        delLimit, INDEX('PR管理'!$F$4:$F$101, targetRow),
        prID, INDEX('PR管理'!$A$4:$A$101, targetRow),
        IF(AND('26414_編集版 のコピー 2'!AL$1 &gt;= startDate, '26414_編集版 のコピー 2'!AL$1 &lt;= delLimit), 
          IFERROR(VLOOKUP(AL126, '新規'!$E$2:$H142, 4, 0), 
          IFERROR(VLOOKUP(AL126, '特殊配信マスタ'!$E$3:$H142, 4, 0), 
          IFERROR(VLOOKUP(AL126, '自動求人✅'!$C$3:$F142, 4, 0), prID))), 
        "")
      )
    )
  )
)</f>
        <v/>
      </c>
      <c r="AN126" s="141" t="str">
        <f t="shared" si="7"/>
        <v/>
      </c>
      <c r="AO126" s="141"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141"/>
      <c r="AQ126" s="141"/>
    </row>
    <row r="127" ht="17.25" customHeight="1">
      <c r="A127" s="142"/>
      <c r="B127" s="139"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140" t="str">
        <f t="array" ref="C127">IF(B127="", "", 
  LET(
    targetRow, IFERROR(MATCH(TRUE, BYROW('PR管理'!$J$4:$T$101, LAMBDA(r, COUNTIF(r, B127)&gt;0)), 0), 0),
    IF(targetRow=0, "",
      LET(
        startDate, INDEX('PR管理'!$C$4:$C$101, targetRow),
        delLimit, INDEX('PR管理'!$F$4:$F$101, targetRow),
        prID, INDEX('PR管理'!$A$4:$A$101, targetRow),
        IF(AND('26414_編集版 のコピー 2'!B$1 &gt;= startDate, '26414_編集版 のコピー 2'!B$1 &lt;= delLimit), 
          IFERROR(VLOOKUP(B127, '新規'!$E$2:$H142, 4, 0), 
          IFERROR(VLOOKUP(B127, '特殊配信マスタ'!$E$3:$H142, 4, 0), 
          IFERROR(VLOOKUP(B127, '自動求人✅'!$C$3:$F142, 4, 0), prID))), 
        "")
      )
    )
  )
)</f>
        <v/>
      </c>
      <c r="D127" s="141" t="str">
        <f t="shared" si="1"/>
        <v/>
      </c>
      <c r="E127" s="141"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141"/>
      <c r="G127" s="141"/>
      <c r="H127" s="139"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140" t="str">
        <f t="array" ref="I127">IF(H127="", "", 
  LET(
    targetRow, IFERROR(MATCH(TRUE, BYROW('PR管理'!$J$4:$T$101, LAMBDA(r, COUNTIF(r, H127)&gt;0)), 0), 0),
    IF(targetRow=0, "",
      LET(
        startDate, INDEX('PR管理'!$C$4:$C$101, targetRow),
        delLimit, INDEX('PR管理'!$F$4:$F$101, targetRow),
        prID, INDEX('PR管理'!$A$4:$A$101, targetRow),
        IF(AND('26414_編集版 のコピー 2'!H$1 &gt;= startDate, '26414_編集版 のコピー 2'!H$1 &lt;= delLimit), 
          IFERROR(VLOOKUP(H127, '新規'!$E$2:$H142, 4, 0), 
          IFERROR(VLOOKUP(H127, '特殊配信マスタ'!$E$3:$H142, 4, 0), 
          IFERROR(VLOOKUP(H127, '自動求人✅'!$C$3:$F142, 4, 0), prID))), 
        "")
      )
    )
  )
)</f>
        <v/>
      </c>
      <c r="J127" s="141" t="str">
        <f t="shared" si="2"/>
        <v/>
      </c>
      <c r="K127" s="141"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141"/>
      <c r="M127" s="141"/>
      <c r="N127" s="139"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140" t="str">
        <f t="array" ref="O127">IF(N127="", "", 
  LET(
    targetRow, IFERROR(MATCH(TRUE, BYROW('PR管理'!$J$4:$T$101, LAMBDA(r, COUNTIF(r, N127)&gt;0)), 0), 0),
    IF(targetRow=0, "",
      LET(
        startDate, INDEX('PR管理'!$C$4:$C$101, targetRow),
        delLimit, INDEX('PR管理'!$F$4:$F$101, targetRow),
        prID, INDEX('PR管理'!$A$4:$A$101, targetRow),
        IF(AND('26414_編集版 のコピー 2'!N$1 &gt;= startDate, '26414_編集版 のコピー 2'!N$1 &lt;= delLimit), 
          IFERROR(VLOOKUP(N127, '新規'!$E$2:$H142, 4, 0), 
          IFERROR(VLOOKUP(N127, '特殊配信マスタ'!$E$3:$H142, 4, 0), 
          IFERROR(VLOOKUP(N127, '自動求人✅'!$C$3:$F142, 4, 0), prID))), 
        "")
      )
    )
  )
)</f>
        <v/>
      </c>
      <c r="P127" s="141" t="str">
        <f t="shared" si="3"/>
        <v/>
      </c>
      <c r="Q127" s="141"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141"/>
      <c r="S127" s="141"/>
      <c r="T127" s="139"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140" t="str">
        <f t="array" ref="U127">IF(T127="", "", 
  LET(
    targetRow, IFERROR(MATCH(TRUE, BYROW('PR管理'!$J$4:$T$101, LAMBDA(r, COUNTIF(r, T127)&gt;0)), 0), 0),
    IF(targetRow=0, "",
      LET(
        startDate, INDEX('PR管理'!$C$4:$C$101, targetRow),
        delLimit, INDEX('PR管理'!$F$4:$F$101, targetRow),
        prID, INDEX('PR管理'!$A$4:$A$101, targetRow),
        IF(AND('26414_編集版 のコピー 2'!T$1 &gt;= startDate, '26414_編集版 のコピー 2'!T$1 &lt;= delLimit), 
          IFERROR(VLOOKUP(T127, '新規'!$E$2:$H142, 4, 0), 
          IFERROR(VLOOKUP(T127, '特殊配信マスタ'!$E$3:$H142, 4, 0), 
          IFERROR(VLOOKUP(T127, '自動求人✅'!$C$3:$F142, 4, 0), prID))), 
        "")
      )
    )
  )
)</f>
        <v/>
      </c>
      <c r="V127" s="141" t="str">
        <f t="shared" si="4"/>
        <v/>
      </c>
      <c r="W127" s="141"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141"/>
      <c r="Y127" s="141"/>
      <c r="Z127" s="139"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140" t="str">
        <f t="array" ref="AA127">IF(Z127="", "", 
  LET(
    targetRow, IFERROR(MATCH(TRUE, BYROW('PR管理'!$J$4:$T$101, LAMBDA(r, COUNTIF(r, Z127)&gt;0)), 0), 0),
    IF(targetRow=0, "",
      LET(
        startDate, INDEX('PR管理'!$C$4:$C$101, targetRow),
        delLimit, INDEX('PR管理'!$F$4:$F$101, targetRow),
        prID, INDEX('PR管理'!$A$4:$A$101, targetRow),
        IF(AND('26414_編集版 のコピー 2'!Z$1 &gt;= startDate, '26414_編集版 のコピー 2'!Z$1 &lt;= delLimit), 
          IFERROR(VLOOKUP(Z127, '新規'!$E$2:$H142, 4, 0), 
          IFERROR(VLOOKUP(Z127, '特殊配信マスタ'!$E$3:$H142, 4, 0), 
          IFERROR(VLOOKUP(Z127, '自動求人✅'!$C$3:$F142, 4, 0), prID))), 
        "")
      )
    )
  )
)</f>
        <v/>
      </c>
      <c r="AB127" s="141" t="str">
        <f t="shared" si="5"/>
        <v/>
      </c>
      <c r="AC127" s="141"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141"/>
      <c r="AE127" s="141"/>
      <c r="AF127" s="139"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140" t="str">
        <f t="array" ref="AG127">IF(AF127="", "", 
  LET(
    targetRow, IFERROR(MATCH(TRUE, BYROW('PR管理'!$J$4:$T$101, LAMBDA(r, COUNTIF(r, AF127)&gt;0)), 0), 0),
    IF(targetRow=0, "",
      LET(
        startDate, INDEX('PR管理'!$C$4:$C$101, targetRow),
        delLimit, INDEX('PR管理'!$F$4:$F$101, targetRow),
        prID, INDEX('PR管理'!$A$4:$A$101, targetRow),
        IF(AND('26414_編集版 のコピー 2'!AF$1 &gt;= startDate, '26414_編集版 のコピー 2'!AF$1 &lt;= delLimit), 
          IFERROR(VLOOKUP(AF127, '新規'!$E$2:$H142, 4, 0), 
          IFERROR(VLOOKUP(AF127, '特殊配信マスタ'!$E$3:$H142, 4, 0), 
          IFERROR(VLOOKUP(AF127, '自動求人✅'!$C$3:$F142, 4, 0), prID))), 
        "")
      )
    )
  )
)</f>
        <v/>
      </c>
      <c r="AH127" s="141" t="str">
        <f t="shared" si="6"/>
        <v/>
      </c>
      <c r="AI127" s="141"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141"/>
      <c r="AK127" s="141"/>
      <c r="AL127" s="139"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140" t="str">
        <f t="array" ref="AM127">IF(AL127="", "", 
  LET(
    targetRow, IFERROR(MATCH(TRUE, BYROW('PR管理'!$J$4:$T$101, LAMBDA(r, COUNTIF(r, AL127)&gt;0)), 0), 0),
    IF(targetRow=0, "",
      LET(
        startDate, INDEX('PR管理'!$C$4:$C$101, targetRow),
        delLimit, INDEX('PR管理'!$F$4:$F$101, targetRow),
        prID, INDEX('PR管理'!$A$4:$A$101, targetRow),
        IF(AND('26414_編集版 のコピー 2'!AL$1 &gt;= startDate, '26414_編集版 のコピー 2'!AL$1 &lt;= delLimit), 
          IFERROR(VLOOKUP(AL127, '新規'!$E$2:$H142, 4, 0), 
          IFERROR(VLOOKUP(AL127, '特殊配信マスタ'!$E$3:$H142, 4, 0), 
          IFERROR(VLOOKUP(AL127, '自動求人✅'!$C$3:$F142, 4, 0), prID))), 
        "")
      )
    )
  )
)</f>
        <v/>
      </c>
      <c r="AN127" s="141" t="str">
        <f t="shared" si="7"/>
        <v/>
      </c>
      <c r="AO127" s="141"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141"/>
      <c r="AQ127" s="141"/>
    </row>
    <row r="128" ht="17.25" customHeight="1">
      <c r="A128" s="142"/>
      <c r="B128" s="139"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140" t="str">
        <f t="array" ref="C128">IF(B128="", "", 
  LET(
    targetRow, IFERROR(MATCH(TRUE, BYROW('PR管理'!$J$4:$T$101, LAMBDA(r, COUNTIF(r, B128)&gt;0)), 0), 0),
    IF(targetRow=0, "",
      LET(
        startDate, INDEX('PR管理'!$C$4:$C$101, targetRow),
        delLimit, INDEX('PR管理'!$F$4:$F$101, targetRow),
        prID, INDEX('PR管理'!$A$4:$A$101, targetRow),
        IF(AND('26414_編集版 のコピー 2'!B$1 &gt;= startDate, '26414_編集版 のコピー 2'!B$1 &lt;= delLimit), 
          IFERROR(VLOOKUP(B128, '新規'!$E$2:$H142, 4, 0), 
          IFERROR(VLOOKUP(B128, '特殊配信マスタ'!$E$3:$H142, 4, 0), 
          IFERROR(VLOOKUP(B128, '自動求人✅'!$C$3:$F142, 4, 0), prID))), 
        "")
      )
    )
  )
)</f>
        <v/>
      </c>
      <c r="D128" s="141" t="str">
        <f t="shared" si="1"/>
        <v/>
      </c>
      <c r="E128" s="141"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141"/>
      <c r="G128" s="141"/>
      <c r="H128" s="139"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140" t="str">
        <f t="array" ref="I128">IF(H128="", "", 
  LET(
    targetRow, IFERROR(MATCH(TRUE, BYROW('PR管理'!$J$4:$T$101, LAMBDA(r, COUNTIF(r, H128)&gt;0)), 0), 0),
    IF(targetRow=0, "",
      LET(
        startDate, INDEX('PR管理'!$C$4:$C$101, targetRow),
        delLimit, INDEX('PR管理'!$F$4:$F$101, targetRow),
        prID, INDEX('PR管理'!$A$4:$A$101, targetRow),
        IF(AND('26414_編集版 のコピー 2'!H$1 &gt;= startDate, '26414_編集版 のコピー 2'!H$1 &lt;= delLimit), 
          IFERROR(VLOOKUP(H128, '新規'!$E$2:$H142, 4, 0), 
          IFERROR(VLOOKUP(H128, '特殊配信マスタ'!$E$3:$H142, 4, 0), 
          IFERROR(VLOOKUP(H128, '自動求人✅'!$C$3:$F142, 4, 0), prID))), 
        "")
      )
    )
  )
)</f>
        <v/>
      </c>
      <c r="J128" s="141" t="str">
        <f t="shared" si="2"/>
        <v/>
      </c>
      <c r="K128" s="141"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141"/>
      <c r="M128" s="141"/>
      <c r="N128" s="139"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140" t="str">
        <f t="array" ref="O128">IF(N128="", "", 
  LET(
    targetRow, IFERROR(MATCH(TRUE, BYROW('PR管理'!$J$4:$T$101, LAMBDA(r, COUNTIF(r, N128)&gt;0)), 0), 0),
    IF(targetRow=0, "",
      LET(
        startDate, INDEX('PR管理'!$C$4:$C$101, targetRow),
        delLimit, INDEX('PR管理'!$F$4:$F$101, targetRow),
        prID, INDEX('PR管理'!$A$4:$A$101, targetRow),
        IF(AND('26414_編集版 のコピー 2'!N$1 &gt;= startDate, '26414_編集版 のコピー 2'!N$1 &lt;= delLimit), 
          IFERROR(VLOOKUP(N128, '新規'!$E$2:$H142, 4, 0), 
          IFERROR(VLOOKUP(N128, '特殊配信マスタ'!$E$3:$H142, 4, 0), 
          IFERROR(VLOOKUP(N128, '自動求人✅'!$C$3:$F142, 4, 0), prID))), 
        "")
      )
    )
  )
)</f>
        <v/>
      </c>
      <c r="P128" s="141" t="str">
        <f t="shared" si="3"/>
        <v/>
      </c>
      <c r="Q128" s="141"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141"/>
      <c r="S128" s="141"/>
      <c r="T128" s="139"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140" t="str">
        <f t="array" ref="U128">IF(T128="", "", 
  LET(
    targetRow, IFERROR(MATCH(TRUE, BYROW('PR管理'!$J$4:$T$101, LAMBDA(r, COUNTIF(r, T128)&gt;0)), 0), 0),
    IF(targetRow=0, "",
      LET(
        startDate, INDEX('PR管理'!$C$4:$C$101, targetRow),
        delLimit, INDEX('PR管理'!$F$4:$F$101, targetRow),
        prID, INDEX('PR管理'!$A$4:$A$101, targetRow),
        IF(AND('26414_編集版 のコピー 2'!T$1 &gt;= startDate, '26414_編集版 のコピー 2'!T$1 &lt;= delLimit), 
          IFERROR(VLOOKUP(T128, '新規'!$E$2:$H142, 4, 0), 
          IFERROR(VLOOKUP(T128, '特殊配信マスタ'!$E$3:$H142, 4, 0), 
          IFERROR(VLOOKUP(T128, '自動求人✅'!$C$3:$F142, 4, 0), prID))), 
        "")
      )
    )
  )
)</f>
        <v/>
      </c>
      <c r="V128" s="141" t="str">
        <f t="shared" si="4"/>
        <v/>
      </c>
      <c r="W128" s="141"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141"/>
      <c r="Y128" s="141"/>
      <c r="Z128" s="139"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140" t="str">
        <f t="array" ref="AA128">IF(Z128="", "", 
  LET(
    targetRow, IFERROR(MATCH(TRUE, BYROW('PR管理'!$J$4:$T$101, LAMBDA(r, COUNTIF(r, Z128)&gt;0)), 0), 0),
    IF(targetRow=0, "",
      LET(
        startDate, INDEX('PR管理'!$C$4:$C$101, targetRow),
        delLimit, INDEX('PR管理'!$F$4:$F$101, targetRow),
        prID, INDEX('PR管理'!$A$4:$A$101, targetRow),
        IF(AND('26414_編集版 のコピー 2'!Z$1 &gt;= startDate, '26414_編集版 のコピー 2'!Z$1 &lt;= delLimit), 
          IFERROR(VLOOKUP(Z128, '新規'!$E$2:$H142, 4, 0), 
          IFERROR(VLOOKUP(Z128, '特殊配信マスタ'!$E$3:$H142, 4, 0), 
          IFERROR(VLOOKUP(Z128, '自動求人✅'!$C$3:$F142, 4, 0), prID))), 
        "")
      )
    )
  )
)</f>
        <v/>
      </c>
      <c r="AB128" s="141" t="str">
        <f t="shared" si="5"/>
        <v/>
      </c>
      <c r="AC128" s="141"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141"/>
      <c r="AE128" s="141"/>
      <c r="AF128" s="139"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140" t="str">
        <f t="array" ref="AG128">IF(AF128="", "", 
  LET(
    targetRow, IFERROR(MATCH(TRUE, BYROW('PR管理'!$J$4:$T$101, LAMBDA(r, COUNTIF(r, AF128)&gt;0)), 0), 0),
    IF(targetRow=0, "",
      LET(
        startDate, INDEX('PR管理'!$C$4:$C$101, targetRow),
        delLimit, INDEX('PR管理'!$F$4:$F$101, targetRow),
        prID, INDEX('PR管理'!$A$4:$A$101, targetRow),
        IF(AND('26414_編集版 のコピー 2'!AF$1 &gt;= startDate, '26414_編集版 のコピー 2'!AF$1 &lt;= delLimit), 
          IFERROR(VLOOKUP(AF128, '新規'!$E$2:$H142, 4, 0), 
          IFERROR(VLOOKUP(AF128, '特殊配信マスタ'!$E$3:$H142, 4, 0), 
          IFERROR(VLOOKUP(AF128, '自動求人✅'!$C$3:$F142, 4, 0), prID))), 
        "")
      )
    )
  )
)</f>
        <v/>
      </c>
      <c r="AH128" s="141" t="str">
        <f t="shared" si="6"/>
        <v/>
      </c>
      <c r="AI128" s="141"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141"/>
      <c r="AK128" s="141"/>
      <c r="AL128" s="139"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140" t="str">
        <f t="array" ref="AM128">IF(AL128="", "", 
  LET(
    targetRow, IFERROR(MATCH(TRUE, BYROW('PR管理'!$J$4:$T$101, LAMBDA(r, COUNTIF(r, AL128)&gt;0)), 0), 0),
    IF(targetRow=0, "",
      LET(
        startDate, INDEX('PR管理'!$C$4:$C$101, targetRow),
        delLimit, INDEX('PR管理'!$F$4:$F$101, targetRow),
        prID, INDEX('PR管理'!$A$4:$A$101, targetRow),
        IF(AND('26414_編集版 のコピー 2'!AL$1 &gt;= startDate, '26414_編集版 のコピー 2'!AL$1 &lt;= delLimit), 
          IFERROR(VLOOKUP(AL128, '新規'!$E$2:$H142, 4, 0), 
          IFERROR(VLOOKUP(AL128, '特殊配信マスタ'!$E$3:$H142, 4, 0), 
          IFERROR(VLOOKUP(AL128, '自動求人✅'!$C$3:$F142, 4, 0), prID))), 
        "")
      )
    )
  )
)</f>
        <v/>
      </c>
      <c r="AN128" s="141" t="str">
        <f t="shared" si="7"/>
        <v/>
      </c>
      <c r="AO128" s="141"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141"/>
      <c r="AQ128" s="141"/>
    </row>
    <row r="129" ht="17.25" customHeight="1">
      <c r="A129" s="142"/>
      <c r="B129" s="139"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140" t="str">
        <f t="array" ref="C129">IF(B129="", "", 
  LET(
    targetRow, IFERROR(MATCH(TRUE, BYROW('PR管理'!$J$4:$T$101, LAMBDA(r, COUNTIF(r, B129)&gt;0)), 0), 0),
    IF(targetRow=0, "",
      LET(
        startDate, INDEX('PR管理'!$C$4:$C$101, targetRow),
        delLimit, INDEX('PR管理'!$F$4:$F$101, targetRow),
        prID, INDEX('PR管理'!$A$4:$A$101, targetRow),
        IF(AND('26414_編集版 のコピー 2'!B$1 &gt;= startDate, '26414_編集版 のコピー 2'!B$1 &lt;= delLimit), 
          IFERROR(VLOOKUP(B129, '新規'!$E$2:$H142, 4, 0), 
          IFERROR(VLOOKUP(B129, '特殊配信マスタ'!$E$3:$H142, 4, 0), 
          IFERROR(VLOOKUP(B129, '自動求人✅'!$C$3:$F142, 4, 0), prID))), 
        "")
      )
    )
  )
)</f>
        <v/>
      </c>
      <c r="D129" s="141" t="str">
        <f t="shared" si="1"/>
        <v/>
      </c>
      <c r="E129" s="141"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141"/>
      <c r="G129" s="141"/>
      <c r="H129" s="139"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140" t="str">
        <f t="array" ref="I129">IF(H129="", "", 
  LET(
    targetRow, IFERROR(MATCH(TRUE, BYROW('PR管理'!$J$4:$T$101, LAMBDA(r, COUNTIF(r, H129)&gt;0)), 0), 0),
    IF(targetRow=0, "",
      LET(
        startDate, INDEX('PR管理'!$C$4:$C$101, targetRow),
        delLimit, INDEX('PR管理'!$F$4:$F$101, targetRow),
        prID, INDEX('PR管理'!$A$4:$A$101, targetRow),
        IF(AND('26414_編集版 のコピー 2'!H$1 &gt;= startDate, '26414_編集版 のコピー 2'!H$1 &lt;= delLimit), 
          IFERROR(VLOOKUP(H129, '新規'!$E$2:$H142, 4, 0), 
          IFERROR(VLOOKUP(H129, '特殊配信マスタ'!$E$3:$H142, 4, 0), 
          IFERROR(VLOOKUP(H129, '自動求人✅'!$C$3:$F142, 4, 0), prID))), 
        "")
      )
    )
  )
)</f>
        <v/>
      </c>
      <c r="J129" s="141" t="str">
        <f t="shared" si="2"/>
        <v/>
      </c>
      <c r="K129" s="141"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141"/>
      <c r="M129" s="141"/>
      <c r="N129" s="139"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140" t="str">
        <f t="array" ref="O129">IF(N129="", "", 
  LET(
    targetRow, IFERROR(MATCH(TRUE, BYROW('PR管理'!$J$4:$T$101, LAMBDA(r, COUNTIF(r, N129)&gt;0)), 0), 0),
    IF(targetRow=0, "",
      LET(
        startDate, INDEX('PR管理'!$C$4:$C$101, targetRow),
        delLimit, INDEX('PR管理'!$F$4:$F$101, targetRow),
        prID, INDEX('PR管理'!$A$4:$A$101, targetRow),
        IF(AND('26414_編集版 のコピー 2'!N$1 &gt;= startDate, '26414_編集版 のコピー 2'!N$1 &lt;= delLimit), 
          IFERROR(VLOOKUP(N129, '新規'!$E$2:$H142, 4, 0), 
          IFERROR(VLOOKUP(N129, '特殊配信マスタ'!$E$3:$H142, 4, 0), 
          IFERROR(VLOOKUP(N129, '自動求人✅'!$C$3:$F142, 4, 0), prID))), 
        "")
      )
    )
  )
)</f>
        <v/>
      </c>
      <c r="P129" s="141" t="str">
        <f t="shared" si="3"/>
        <v/>
      </c>
      <c r="Q129" s="141"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141"/>
      <c r="S129" s="141"/>
      <c r="T129" s="139"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140" t="str">
        <f t="array" ref="U129">IF(T129="", "", 
  LET(
    targetRow, IFERROR(MATCH(TRUE, BYROW('PR管理'!$J$4:$T$101, LAMBDA(r, COUNTIF(r, T129)&gt;0)), 0), 0),
    IF(targetRow=0, "",
      LET(
        startDate, INDEX('PR管理'!$C$4:$C$101, targetRow),
        delLimit, INDEX('PR管理'!$F$4:$F$101, targetRow),
        prID, INDEX('PR管理'!$A$4:$A$101, targetRow),
        IF(AND('26414_編集版 のコピー 2'!T$1 &gt;= startDate, '26414_編集版 のコピー 2'!T$1 &lt;= delLimit), 
          IFERROR(VLOOKUP(T129, '新規'!$E$2:$H142, 4, 0), 
          IFERROR(VLOOKUP(T129, '特殊配信マスタ'!$E$3:$H142, 4, 0), 
          IFERROR(VLOOKUP(T129, '自動求人✅'!$C$3:$F142, 4, 0), prID))), 
        "")
      )
    )
  )
)</f>
        <v/>
      </c>
      <c r="V129" s="141" t="str">
        <f t="shared" si="4"/>
        <v/>
      </c>
      <c r="W129" s="141"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141"/>
      <c r="Y129" s="141"/>
      <c r="Z129" s="139"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140" t="str">
        <f t="array" ref="AA129">IF(Z129="", "", 
  LET(
    targetRow, IFERROR(MATCH(TRUE, BYROW('PR管理'!$J$4:$T$101, LAMBDA(r, COUNTIF(r, Z129)&gt;0)), 0), 0),
    IF(targetRow=0, "",
      LET(
        startDate, INDEX('PR管理'!$C$4:$C$101, targetRow),
        delLimit, INDEX('PR管理'!$F$4:$F$101, targetRow),
        prID, INDEX('PR管理'!$A$4:$A$101, targetRow),
        IF(AND('26414_編集版 のコピー 2'!Z$1 &gt;= startDate, '26414_編集版 のコピー 2'!Z$1 &lt;= delLimit), 
          IFERROR(VLOOKUP(Z129, '新規'!$E$2:$H142, 4, 0), 
          IFERROR(VLOOKUP(Z129, '特殊配信マスタ'!$E$3:$H142, 4, 0), 
          IFERROR(VLOOKUP(Z129, '自動求人✅'!$C$3:$F142, 4, 0), prID))), 
        "")
      )
    )
  )
)</f>
        <v/>
      </c>
      <c r="AB129" s="141" t="str">
        <f t="shared" si="5"/>
        <v/>
      </c>
      <c r="AC129" s="141"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141"/>
      <c r="AE129" s="141"/>
      <c r="AF129" s="139"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140" t="str">
        <f t="array" ref="AG129">IF(AF129="", "", 
  LET(
    targetRow, IFERROR(MATCH(TRUE, BYROW('PR管理'!$J$4:$T$101, LAMBDA(r, COUNTIF(r, AF129)&gt;0)), 0), 0),
    IF(targetRow=0, "",
      LET(
        startDate, INDEX('PR管理'!$C$4:$C$101, targetRow),
        delLimit, INDEX('PR管理'!$F$4:$F$101, targetRow),
        prID, INDEX('PR管理'!$A$4:$A$101, targetRow),
        IF(AND('26414_編集版 のコピー 2'!AF$1 &gt;= startDate, '26414_編集版 のコピー 2'!AF$1 &lt;= delLimit), 
          IFERROR(VLOOKUP(AF129, '新規'!$E$2:$H142, 4, 0), 
          IFERROR(VLOOKUP(AF129, '特殊配信マスタ'!$E$3:$H142, 4, 0), 
          IFERROR(VLOOKUP(AF129, '自動求人✅'!$C$3:$F142, 4, 0), prID))), 
        "")
      )
    )
  )
)</f>
        <v/>
      </c>
      <c r="AH129" s="141" t="str">
        <f t="shared" si="6"/>
        <v/>
      </c>
      <c r="AI129" s="141"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141"/>
      <c r="AK129" s="141"/>
      <c r="AL129" s="139"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140" t="str">
        <f t="array" ref="AM129">IF(AL129="", "", 
  LET(
    targetRow, IFERROR(MATCH(TRUE, BYROW('PR管理'!$J$4:$T$101, LAMBDA(r, COUNTIF(r, AL129)&gt;0)), 0), 0),
    IF(targetRow=0, "",
      LET(
        startDate, INDEX('PR管理'!$C$4:$C$101, targetRow),
        delLimit, INDEX('PR管理'!$F$4:$F$101, targetRow),
        prID, INDEX('PR管理'!$A$4:$A$101, targetRow),
        IF(AND('26414_編集版 のコピー 2'!AL$1 &gt;= startDate, '26414_編集版 のコピー 2'!AL$1 &lt;= delLimit), 
          IFERROR(VLOOKUP(AL129, '新規'!$E$2:$H142, 4, 0), 
          IFERROR(VLOOKUP(AL129, '特殊配信マスタ'!$E$3:$H142, 4, 0), 
          IFERROR(VLOOKUP(AL129, '自動求人✅'!$C$3:$F142, 4, 0), prID))), 
        "")
      )
    )
  )
)</f>
        <v/>
      </c>
      <c r="AN129" s="141" t="str">
        <f t="shared" si="7"/>
        <v/>
      </c>
      <c r="AO129" s="141"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141"/>
      <c r="AQ129" s="141"/>
    </row>
    <row r="130" ht="17.25" customHeight="1">
      <c r="A130" s="142"/>
      <c r="B130" s="139"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140" t="str">
        <f t="array" ref="C130">IF(B130="", "", 
  LET(
    targetRow, IFERROR(MATCH(TRUE, BYROW('PR管理'!$J$4:$T$101, LAMBDA(r, COUNTIF(r, B130)&gt;0)), 0), 0),
    IF(targetRow=0, "",
      LET(
        startDate, INDEX('PR管理'!$C$4:$C$101, targetRow),
        delLimit, INDEX('PR管理'!$F$4:$F$101, targetRow),
        prID, INDEX('PR管理'!$A$4:$A$101, targetRow),
        IF(AND('26414_編集版 のコピー 2'!B$1 &gt;= startDate, '26414_編集版 のコピー 2'!B$1 &lt;= delLimit), 
          IFERROR(VLOOKUP(B130, '新規'!$E$2:$H142, 4, 0), 
          IFERROR(VLOOKUP(B130, '特殊配信マスタ'!$E$3:$H142, 4, 0), 
          IFERROR(VLOOKUP(B130, '自動求人✅'!$C$3:$F142, 4, 0), prID))), 
        "")
      )
    )
  )
)</f>
        <v/>
      </c>
      <c r="D130" s="141" t="str">
        <f t="shared" si="1"/>
        <v/>
      </c>
      <c r="E130" s="141"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141"/>
      <c r="G130" s="141"/>
      <c r="H130" s="139"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140" t="str">
        <f t="array" ref="I130">IF(H130="", "", 
  LET(
    targetRow, IFERROR(MATCH(TRUE, BYROW('PR管理'!$J$4:$T$101, LAMBDA(r, COUNTIF(r, H130)&gt;0)), 0), 0),
    IF(targetRow=0, "",
      LET(
        startDate, INDEX('PR管理'!$C$4:$C$101, targetRow),
        delLimit, INDEX('PR管理'!$F$4:$F$101, targetRow),
        prID, INDEX('PR管理'!$A$4:$A$101, targetRow),
        IF(AND('26414_編集版 のコピー 2'!H$1 &gt;= startDate, '26414_編集版 のコピー 2'!H$1 &lt;= delLimit), 
          IFERROR(VLOOKUP(H130, '新規'!$E$2:$H142, 4, 0), 
          IFERROR(VLOOKUP(H130, '特殊配信マスタ'!$E$3:$H142, 4, 0), 
          IFERROR(VLOOKUP(H130, '自動求人✅'!$C$3:$F142, 4, 0), prID))), 
        "")
      )
    )
  )
)</f>
        <v/>
      </c>
      <c r="J130" s="141" t="str">
        <f t="shared" si="2"/>
        <v/>
      </c>
      <c r="K130" s="141"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141"/>
      <c r="M130" s="141"/>
      <c r="N130" s="139"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140" t="str">
        <f t="array" ref="O130">IF(N130="", "", 
  LET(
    targetRow, IFERROR(MATCH(TRUE, BYROW('PR管理'!$J$4:$T$101, LAMBDA(r, COUNTIF(r, N130)&gt;0)), 0), 0),
    IF(targetRow=0, "",
      LET(
        startDate, INDEX('PR管理'!$C$4:$C$101, targetRow),
        delLimit, INDEX('PR管理'!$F$4:$F$101, targetRow),
        prID, INDEX('PR管理'!$A$4:$A$101, targetRow),
        IF(AND('26414_編集版 のコピー 2'!N$1 &gt;= startDate, '26414_編集版 のコピー 2'!N$1 &lt;= delLimit), 
          IFERROR(VLOOKUP(N130, '新規'!$E$2:$H142, 4, 0), 
          IFERROR(VLOOKUP(N130, '特殊配信マスタ'!$E$3:$H142, 4, 0), 
          IFERROR(VLOOKUP(N130, '自動求人✅'!$C$3:$F142, 4, 0), prID))), 
        "")
      )
    )
  )
)</f>
        <v/>
      </c>
      <c r="P130" s="141" t="str">
        <f t="shared" si="3"/>
        <v/>
      </c>
      <c r="Q130" s="141"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141"/>
      <c r="S130" s="141"/>
      <c r="T130" s="139"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140" t="str">
        <f t="array" ref="U130">IF(T130="", "", 
  LET(
    targetRow, IFERROR(MATCH(TRUE, BYROW('PR管理'!$J$4:$T$101, LAMBDA(r, COUNTIF(r, T130)&gt;0)), 0), 0),
    IF(targetRow=0, "",
      LET(
        startDate, INDEX('PR管理'!$C$4:$C$101, targetRow),
        delLimit, INDEX('PR管理'!$F$4:$F$101, targetRow),
        prID, INDEX('PR管理'!$A$4:$A$101, targetRow),
        IF(AND('26414_編集版 のコピー 2'!T$1 &gt;= startDate, '26414_編集版 のコピー 2'!T$1 &lt;= delLimit), 
          IFERROR(VLOOKUP(T130, '新規'!$E$2:$H142, 4, 0), 
          IFERROR(VLOOKUP(T130, '特殊配信マスタ'!$E$3:$H142, 4, 0), 
          IFERROR(VLOOKUP(T130, '自動求人✅'!$C$3:$F142, 4, 0), prID))), 
        "")
      )
    )
  )
)</f>
        <v/>
      </c>
      <c r="V130" s="141" t="str">
        <f t="shared" si="4"/>
        <v/>
      </c>
      <c r="W130" s="141"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141"/>
      <c r="Y130" s="141"/>
      <c r="Z130" s="139"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140" t="str">
        <f t="array" ref="AA130">IF(Z130="", "", 
  LET(
    targetRow, IFERROR(MATCH(TRUE, BYROW('PR管理'!$J$4:$T$101, LAMBDA(r, COUNTIF(r, Z130)&gt;0)), 0), 0),
    IF(targetRow=0, "",
      LET(
        startDate, INDEX('PR管理'!$C$4:$C$101, targetRow),
        delLimit, INDEX('PR管理'!$F$4:$F$101, targetRow),
        prID, INDEX('PR管理'!$A$4:$A$101, targetRow),
        IF(AND('26414_編集版 のコピー 2'!Z$1 &gt;= startDate, '26414_編集版 のコピー 2'!Z$1 &lt;= delLimit), 
          IFERROR(VLOOKUP(Z130, '新規'!$E$2:$H142, 4, 0), 
          IFERROR(VLOOKUP(Z130, '特殊配信マスタ'!$E$3:$H142, 4, 0), 
          IFERROR(VLOOKUP(Z130, '自動求人✅'!$C$3:$F142, 4, 0), prID))), 
        "")
      )
    )
  )
)</f>
        <v/>
      </c>
      <c r="AB130" s="141" t="str">
        <f t="shared" si="5"/>
        <v/>
      </c>
      <c r="AC130" s="141"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141"/>
      <c r="AE130" s="141"/>
      <c r="AF130" s="139"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140" t="str">
        <f t="array" ref="AG130">IF(AF130="", "", 
  LET(
    targetRow, IFERROR(MATCH(TRUE, BYROW('PR管理'!$J$4:$T$101, LAMBDA(r, COUNTIF(r, AF130)&gt;0)), 0), 0),
    IF(targetRow=0, "",
      LET(
        startDate, INDEX('PR管理'!$C$4:$C$101, targetRow),
        delLimit, INDEX('PR管理'!$F$4:$F$101, targetRow),
        prID, INDEX('PR管理'!$A$4:$A$101, targetRow),
        IF(AND('26414_編集版 のコピー 2'!AF$1 &gt;= startDate, '26414_編集版 のコピー 2'!AF$1 &lt;= delLimit), 
          IFERROR(VLOOKUP(AF130, '新規'!$E$2:$H142, 4, 0), 
          IFERROR(VLOOKUP(AF130, '特殊配信マスタ'!$E$3:$H142, 4, 0), 
          IFERROR(VLOOKUP(AF130, '自動求人✅'!$C$3:$F142, 4, 0), prID))), 
        "")
      )
    )
  )
)</f>
        <v/>
      </c>
      <c r="AH130" s="141" t="str">
        <f t="shared" si="6"/>
        <v/>
      </c>
      <c r="AI130" s="141"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141"/>
      <c r="AK130" s="141"/>
      <c r="AL130" s="139"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140" t="str">
        <f t="array" ref="AM130">IF(AL130="", "", 
  LET(
    targetRow, IFERROR(MATCH(TRUE, BYROW('PR管理'!$J$4:$T$101, LAMBDA(r, COUNTIF(r, AL130)&gt;0)), 0), 0),
    IF(targetRow=0, "",
      LET(
        startDate, INDEX('PR管理'!$C$4:$C$101, targetRow),
        delLimit, INDEX('PR管理'!$F$4:$F$101, targetRow),
        prID, INDEX('PR管理'!$A$4:$A$101, targetRow),
        IF(AND('26414_編集版 のコピー 2'!AL$1 &gt;= startDate, '26414_編集版 のコピー 2'!AL$1 &lt;= delLimit), 
          IFERROR(VLOOKUP(AL130, '新規'!$E$2:$H142, 4, 0), 
          IFERROR(VLOOKUP(AL130, '特殊配信マスタ'!$E$3:$H142, 4, 0), 
          IFERROR(VLOOKUP(AL130, '自動求人✅'!$C$3:$F142, 4, 0), prID))), 
        "")
      )
    )
  )
)</f>
        <v/>
      </c>
      <c r="AN130" s="141" t="str">
        <f t="shared" si="7"/>
        <v/>
      </c>
      <c r="AO130" s="141"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141"/>
      <c r="AQ130" s="141"/>
    </row>
    <row r="131" ht="17.25" customHeight="1">
      <c r="A131" s="142"/>
      <c r="B131" s="139"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140" t="str">
        <f t="array" ref="C131">IF(B131="", "", 
  LET(
    targetRow, IFERROR(MATCH(TRUE, BYROW('PR管理'!$J$4:$T$101, LAMBDA(r, COUNTIF(r, B131)&gt;0)), 0), 0),
    IF(targetRow=0, "",
      LET(
        startDate, INDEX('PR管理'!$C$4:$C$101, targetRow),
        delLimit, INDEX('PR管理'!$F$4:$F$101, targetRow),
        prID, INDEX('PR管理'!$A$4:$A$101, targetRow),
        IF(AND('26414_編集版 のコピー 2'!B$1 &gt;= startDate, '26414_編集版 のコピー 2'!B$1 &lt;= delLimit), 
          IFERROR(VLOOKUP(B131, '新規'!$E$2:$H142, 4, 0), 
          IFERROR(VLOOKUP(B131, '特殊配信マスタ'!$E$3:$H142, 4, 0), 
          IFERROR(VLOOKUP(B131, '自動求人✅'!$C$3:$F142, 4, 0), prID))), 
        "")
      )
    )
  )
)</f>
        <v/>
      </c>
      <c r="D131" s="141" t="str">
        <f t="shared" si="1"/>
        <v/>
      </c>
      <c r="E131" s="141"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141"/>
      <c r="G131" s="141"/>
      <c r="H131" s="139"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140" t="str">
        <f t="array" ref="I131">IF(H131="", "", 
  LET(
    targetRow, IFERROR(MATCH(TRUE, BYROW('PR管理'!$J$4:$T$101, LAMBDA(r, COUNTIF(r, H131)&gt;0)), 0), 0),
    IF(targetRow=0, "",
      LET(
        startDate, INDEX('PR管理'!$C$4:$C$101, targetRow),
        delLimit, INDEX('PR管理'!$F$4:$F$101, targetRow),
        prID, INDEX('PR管理'!$A$4:$A$101, targetRow),
        IF(AND('26414_編集版 のコピー 2'!H$1 &gt;= startDate, '26414_編集版 のコピー 2'!H$1 &lt;= delLimit), 
          IFERROR(VLOOKUP(H131, '新規'!$E$2:$H142, 4, 0), 
          IFERROR(VLOOKUP(H131, '特殊配信マスタ'!$E$3:$H142, 4, 0), 
          IFERROR(VLOOKUP(H131, '自動求人✅'!$C$3:$F142, 4, 0), prID))), 
        "")
      )
    )
  )
)</f>
        <v/>
      </c>
      <c r="J131" s="141" t="str">
        <f t="shared" si="2"/>
        <v/>
      </c>
      <c r="K131" s="141"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141"/>
      <c r="M131" s="141"/>
      <c r="N131" s="139"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140" t="str">
        <f t="array" ref="O131">IF(N131="", "", 
  LET(
    targetRow, IFERROR(MATCH(TRUE, BYROW('PR管理'!$J$4:$T$101, LAMBDA(r, COUNTIF(r, N131)&gt;0)), 0), 0),
    IF(targetRow=0, "",
      LET(
        startDate, INDEX('PR管理'!$C$4:$C$101, targetRow),
        delLimit, INDEX('PR管理'!$F$4:$F$101, targetRow),
        prID, INDEX('PR管理'!$A$4:$A$101, targetRow),
        IF(AND('26414_編集版 のコピー 2'!N$1 &gt;= startDate, '26414_編集版 のコピー 2'!N$1 &lt;= delLimit), 
          IFERROR(VLOOKUP(N131, '新規'!$E$2:$H142, 4, 0), 
          IFERROR(VLOOKUP(N131, '特殊配信マスタ'!$E$3:$H142, 4, 0), 
          IFERROR(VLOOKUP(N131, '自動求人✅'!$C$3:$F142, 4, 0), prID))), 
        "")
      )
    )
  )
)</f>
        <v/>
      </c>
      <c r="P131" s="141" t="str">
        <f t="shared" si="3"/>
        <v/>
      </c>
      <c r="Q131" s="141"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141"/>
      <c r="S131" s="141"/>
      <c r="T131" s="139"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140" t="str">
        <f t="array" ref="U131">IF(T131="", "", 
  LET(
    targetRow, IFERROR(MATCH(TRUE, BYROW('PR管理'!$J$4:$T$101, LAMBDA(r, COUNTIF(r, T131)&gt;0)), 0), 0),
    IF(targetRow=0, "",
      LET(
        startDate, INDEX('PR管理'!$C$4:$C$101, targetRow),
        delLimit, INDEX('PR管理'!$F$4:$F$101, targetRow),
        prID, INDEX('PR管理'!$A$4:$A$101, targetRow),
        IF(AND('26414_編集版 のコピー 2'!T$1 &gt;= startDate, '26414_編集版 のコピー 2'!T$1 &lt;= delLimit), 
          IFERROR(VLOOKUP(T131, '新規'!$E$2:$H142, 4, 0), 
          IFERROR(VLOOKUP(T131, '特殊配信マスタ'!$E$3:$H142, 4, 0), 
          IFERROR(VLOOKUP(T131, '自動求人✅'!$C$3:$F142, 4, 0), prID))), 
        "")
      )
    )
  )
)</f>
        <v/>
      </c>
      <c r="V131" s="141" t="str">
        <f t="shared" si="4"/>
        <v/>
      </c>
      <c r="W131" s="141"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141"/>
      <c r="Y131" s="141"/>
      <c r="Z131" s="139"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140" t="str">
        <f t="array" ref="AA131">IF(Z131="", "", 
  LET(
    targetRow, IFERROR(MATCH(TRUE, BYROW('PR管理'!$J$4:$T$101, LAMBDA(r, COUNTIF(r, Z131)&gt;0)), 0), 0),
    IF(targetRow=0, "",
      LET(
        startDate, INDEX('PR管理'!$C$4:$C$101, targetRow),
        delLimit, INDEX('PR管理'!$F$4:$F$101, targetRow),
        prID, INDEX('PR管理'!$A$4:$A$101, targetRow),
        IF(AND('26414_編集版 のコピー 2'!Z$1 &gt;= startDate, '26414_編集版 のコピー 2'!Z$1 &lt;= delLimit), 
          IFERROR(VLOOKUP(Z131, '新規'!$E$2:$H142, 4, 0), 
          IFERROR(VLOOKUP(Z131, '特殊配信マスタ'!$E$3:$H142, 4, 0), 
          IFERROR(VLOOKUP(Z131, '自動求人✅'!$C$3:$F142, 4, 0), prID))), 
        "")
      )
    )
  )
)</f>
        <v/>
      </c>
      <c r="AB131" s="141" t="str">
        <f t="shared" si="5"/>
        <v/>
      </c>
      <c r="AC131" s="141"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141"/>
      <c r="AE131" s="141"/>
      <c r="AF131" s="139"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140" t="str">
        <f t="array" ref="AG131">IF(AF131="", "", 
  LET(
    targetRow, IFERROR(MATCH(TRUE, BYROW('PR管理'!$J$4:$T$101, LAMBDA(r, COUNTIF(r, AF131)&gt;0)), 0), 0),
    IF(targetRow=0, "",
      LET(
        startDate, INDEX('PR管理'!$C$4:$C$101, targetRow),
        delLimit, INDEX('PR管理'!$F$4:$F$101, targetRow),
        prID, INDEX('PR管理'!$A$4:$A$101, targetRow),
        IF(AND('26414_編集版 のコピー 2'!AF$1 &gt;= startDate, '26414_編集版 のコピー 2'!AF$1 &lt;= delLimit), 
          IFERROR(VLOOKUP(AF131, '新規'!$E$2:$H142, 4, 0), 
          IFERROR(VLOOKUP(AF131, '特殊配信マスタ'!$E$3:$H142, 4, 0), 
          IFERROR(VLOOKUP(AF131, '自動求人✅'!$C$3:$F142, 4, 0), prID))), 
        "")
      )
    )
  )
)</f>
        <v/>
      </c>
      <c r="AH131" s="141" t="str">
        <f t="shared" si="6"/>
        <v/>
      </c>
      <c r="AI131" s="141"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141"/>
      <c r="AK131" s="141"/>
      <c r="AL131" s="139"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140" t="str">
        <f t="array" ref="AM131">IF(AL131="", "", 
  LET(
    targetRow, IFERROR(MATCH(TRUE, BYROW('PR管理'!$J$4:$T$101, LAMBDA(r, COUNTIF(r, AL131)&gt;0)), 0), 0),
    IF(targetRow=0, "",
      LET(
        startDate, INDEX('PR管理'!$C$4:$C$101, targetRow),
        delLimit, INDEX('PR管理'!$F$4:$F$101, targetRow),
        prID, INDEX('PR管理'!$A$4:$A$101, targetRow),
        IF(AND('26414_編集版 のコピー 2'!AL$1 &gt;= startDate, '26414_編集版 のコピー 2'!AL$1 &lt;= delLimit), 
          IFERROR(VLOOKUP(AL131, '新規'!$E$2:$H142, 4, 0), 
          IFERROR(VLOOKUP(AL131, '特殊配信マスタ'!$E$3:$H142, 4, 0), 
          IFERROR(VLOOKUP(AL131, '自動求人✅'!$C$3:$F142, 4, 0), prID))), 
        "")
      )
    )
  )
)</f>
        <v/>
      </c>
      <c r="AN131" s="141" t="str">
        <f t="shared" si="7"/>
        <v/>
      </c>
      <c r="AO131" s="141"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141"/>
      <c r="AQ131" s="141"/>
    </row>
    <row r="132" ht="17.25" customHeight="1">
      <c r="A132" s="142"/>
      <c r="B132" s="139"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140" t="str">
        <f t="array" ref="C132">IF(B132="", "", 
  LET(
    targetRow, IFERROR(MATCH(TRUE, BYROW('PR管理'!$J$4:$T$101, LAMBDA(r, COUNTIF(r, B132)&gt;0)), 0), 0),
    IF(targetRow=0, "",
      LET(
        startDate, INDEX('PR管理'!$C$4:$C$101, targetRow),
        delLimit, INDEX('PR管理'!$F$4:$F$101, targetRow),
        prID, INDEX('PR管理'!$A$4:$A$101, targetRow),
        IF(AND('26414_編集版 のコピー 2'!B$1 &gt;= startDate, '26414_編集版 のコピー 2'!B$1 &lt;= delLimit), 
          IFERROR(VLOOKUP(B132, '新規'!$E$2:$H142, 4, 0), 
          IFERROR(VLOOKUP(B132, '特殊配信マスタ'!$E$3:$H142, 4, 0), 
          IFERROR(VLOOKUP(B132, '自動求人✅'!$C$3:$F142, 4, 0), prID))), 
        "")
      )
    )
  )
)</f>
        <v/>
      </c>
      <c r="D132" s="141" t="str">
        <f t="shared" si="1"/>
        <v/>
      </c>
      <c r="E132" s="141"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141"/>
      <c r="G132" s="141"/>
      <c r="H132" s="139"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140" t="str">
        <f t="array" ref="I132">IF(H132="", "", 
  LET(
    targetRow, IFERROR(MATCH(TRUE, BYROW('PR管理'!$J$4:$T$101, LAMBDA(r, COUNTIF(r, H132)&gt;0)), 0), 0),
    IF(targetRow=0, "",
      LET(
        startDate, INDEX('PR管理'!$C$4:$C$101, targetRow),
        delLimit, INDEX('PR管理'!$F$4:$F$101, targetRow),
        prID, INDEX('PR管理'!$A$4:$A$101, targetRow),
        IF(AND('26414_編集版 のコピー 2'!H$1 &gt;= startDate, '26414_編集版 のコピー 2'!H$1 &lt;= delLimit), 
          IFERROR(VLOOKUP(H132, '新規'!$E$2:$H142, 4, 0), 
          IFERROR(VLOOKUP(H132, '特殊配信マスタ'!$E$3:$H142, 4, 0), 
          IFERROR(VLOOKUP(H132, '自動求人✅'!$C$3:$F142, 4, 0), prID))), 
        "")
      )
    )
  )
)</f>
        <v/>
      </c>
      <c r="J132" s="141" t="str">
        <f t="shared" si="2"/>
        <v/>
      </c>
      <c r="K132" s="141"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141"/>
      <c r="M132" s="141"/>
      <c r="N132" s="139"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140" t="str">
        <f t="array" ref="O132">IF(N132="", "", 
  LET(
    targetRow, IFERROR(MATCH(TRUE, BYROW('PR管理'!$J$4:$T$101, LAMBDA(r, COUNTIF(r, N132)&gt;0)), 0), 0),
    IF(targetRow=0, "",
      LET(
        startDate, INDEX('PR管理'!$C$4:$C$101, targetRow),
        delLimit, INDEX('PR管理'!$F$4:$F$101, targetRow),
        prID, INDEX('PR管理'!$A$4:$A$101, targetRow),
        IF(AND('26414_編集版 のコピー 2'!N$1 &gt;= startDate, '26414_編集版 のコピー 2'!N$1 &lt;= delLimit), 
          IFERROR(VLOOKUP(N132, '新規'!$E$2:$H142, 4, 0), 
          IFERROR(VLOOKUP(N132, '特殊配信マスタ'!$E$3:$H142, 4, 0), 
          IFERROR(VLOOKUP(N132, '自動求人✅'!$C$3:$F142, 4, 0), prID))), 
        "")
      )
    )
  )
)</f>
        <v/>
      </c>
      <c r="P132" s="141" t="str">
        <f t="shared" si="3"/>
        <v/>
      </c>
      <c r="Q132" s="141"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141"/>
      <c r="S132" s="141"/>
      <c r="T132" s="139"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140" t="str">
        <f t="array" ref="U132">IF(T132="", "", 
  LET(
    targetRow, IFERROR(MATCH(TRUE, BYROW('PR管理'!$J$4:$T$101, LAMBDA(r, COUNTIF(r, T132)&gt;0)), 0), 0),
    IF(targetRow=0, "",
      LET(
        startDate, INDEX('PR管理'!$C$4:$C$101, targetRow),
        delLimit, INDEX('PR管理'!$F$4:$F$101, targetRow),
        prID, INDEX('PR管理'!$A$4:$A$101, targetRow),
        IF(AND('26414_編集版 のコピー 2'!T$1 &gt;= startDate, '26414_編集版 のコピー 2'!T$1 &lt;= delLimit), 
          IFERROR(VLOOKUP(T132, '新規'!$E$2:$H142, 4, 0), 
          IFERROR(VLOOKUP(T132, '特殊配信マスタ'!$E$3:$H142, 4, 0), 
          IFERROR(VLOOKUP(T132, '自動求人✅'!$C$3:$F142, 4, 0), prID))), 
        "")
      )
    )
  )
)</f>
        <v/>
      </c>
      <c r="V132" s="141" t="str">
        <f t="shared" si="4"/>
        <v/>
      </c>
      <c r="W132" s="141"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141"/>
      <c r="Y132" s="141"/>
      <c r="Z132" s="139"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140" t="str">
        <f t="array" ref="AA132">IF(Z132="", "", 
  LET(
    targetRow, IFERROR(MATCH(TRUE, BYROW('PR管理'!$J$4:$T$101, LAMBDA(r, COUNTIF(r, Z132)&gt;0)), 0), 0),
    IF(targetRow=0, "",
      LET(
        startDate, INDEX('PR管理'!$C$4:$C$101, targetRow),
        delLimit, INDEX('PR管理'!$F$4:$F$101, targetRow),
        prID, INDEX('PR管理'!$A$4:$A$101, targetRow),
        IF(AND('26414_編集版 のコピー 2'!Z$1 &gt;= startDate, '26414_編集版 のコピー 2'!Z$1 &lt;= delLimit), 
          IFERROR(VLOOKUP(Z132, '新規'!$E$2:$H142, 4, 0), 
          IFERROR(VLOOKUP(Z132, '特殊配信マスタ'!$E$3:$H142, 4, 0), 
          IFERROR(VLOOKUP(Z132, '自動求人✅'!$C$3:$F142, 4, 0), prID))), 
        "")
      )
    )
  )
)</f>
        <v/>
      </c>
      <c r="AB132" s="141" t="str">
        <f t="shared" si="5"/>
        <v/>
      </c>
      <c r="AC132" s="141"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141"/>
      <c r="AE132" s="141"/>
      <c r="AF132" s="139"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140" t="str">
        <f t="array" ref="AG132">IF(AF132="", "", 
  LET(
    targetRow, IFERROR(MATCH(TRUE, BYROW('PR管理'!$J$4:$T$101, LAMBDA(r, COUNTIF(r, AF132)&gt;0)), 0), 0),
    IF(targetRow=0, "",
      LET(
        startDate, INDEX('PR管理'!$C$4:$C$101, targetRow),
        delLimit, INDEX('PR管理'!$F$4:$F$101, targetRow),
        prID, INDEX('PR管理'!$A$4:$A$101, targetRow),
        IF(AND('26414_編集版 のコピー 2'!AF$1 &gt;= startDate, '26414_編集版 のコピー 2'!AF$1 &lt;= delLimit), 
          IFERROR(VLOOKUP(AF132, '新規'!$E$2:$H142, 4, 0), 
          IFERROR(VLOOKUP(AF132, '特殊配信マスタ'!$E$3:$H142, 4, 0), 
          IFERROR(VLOOKUP(AF132, '自動求人✅'!$C$3:$F142, 4, 0), prID))), 
        "")
      )
    )
  )
)</f>
        <v/>
      </c>
      <c r="AH132" s="141" t="str">
        <f t="shared" si="6"/>
        <v/>
      </c>
      <c r="AI132" s="141"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141"/>
      <c r="AK132" s="141"/>
      <c r="AL132" s="139"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140" t="str">
        <f t="array" ref="AM132">IF(AL132="", "", 
  LET(
    targetRow, IFERROR(MATCH(TRUE, BYROW('PR管理'!$J$4:$T$101, LAMBDA(r, COUNTIF(r, AL132)&gt;0)), 0), 0),
    IF(targetRow=0, "",
      LET(
        startDate, INDEX('PR管理'!$C$4:$C$101, targetRow),
        delLimit, INDEX('PR管理'!$F$4:$F$101, targetRow),
        prID, INDEX('PR管理'!$A$4:$A$101, targetRow),
        IF(AND('26414_編集版 のコピー 2'!AL$1 &gt;= startDate, '26414_編集版 のコピー 2'!AL$1 &lt;= delLimit), 
          IFERROR(VLOOKUP(AL132, '新規'!$E$2:$H142, 4, 0), 
          IFERROR(VLOOKUP(AL132, '特殊配信マスタ'!$E$3:$H142, 4, 0), 
          IFERROR(VLOOKUP(AL132, '自動求人✅'!$C$3:$F142, 4, 0), prID))), 
        "")
      )
    )
  )
)</f>
        <v/>
      </c>
      <c r="AN132" s="141" t="str">
        <f t="shared" si="7"/>
        <v/>
      </c>
      <c r="AO132" s="141"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141"/>
      <c r="AQ132" s="141"/>
    </row>
    <row r="133" ht="17.25" customHeight="1">
      <c r="A133" s="138">
        <f>A123+1</f>
        <v>21</v>
      </c>
      <c r="B133" s="139"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140" t="str">
        <f t="array" ref="C133">IF(B133="", "", 
  LET(
    targetRow, IFERROR(MATCH(TRUE, BYROW('PR管理'!$J$4:$T$101, LAMBDA(r, COUNTIF(r, B133)&gt;0)), 0), 0),
    IF(targetRow=0, "",
      LET(
        startDate, INDEX('PR管理'!$C$4:$C$101, targetRow),
        delLimit, INDEX('PR管理'!$F$4:$F$101, targetRow),
        prID, INDEX('PR管理'!$A$4:$A$101, targetRow),
        IF(AND('26414_編集版 のコピー 2'!B$1 &gt;= startDate, '26414_編集版 のコピー 2'!B$1 &lt;= delLimit), 
          IFERROR(VLOOKUP(B133, '新規'!$E$2:$H142, 4, 0), 
          IFERROR(VLOOKUP(B133, '特殊配信マスタ'!$E$3:$H142, 4, 0), 
          IFERROR(VLOOKUP(B133, '自動求人✅'!$C$3:$F142, 4, 0), prID))), 
        "")
      )
    )
  )
)</f>
        <v/>
      </c>
      <c r="D133" s="141" t="str">
        <f t="shared" si="1"/>
        <v/>
      </c>
      <c r="E133" s="141"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141"/>
      <c r="G133" s="141"/>
      <c r="H133" s="139"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140" t="str">
        <f t="array" ref="I133">IF(H133="", "", 
  LET(
    targetRow, IFERROR(MATCH(TRUE, BYROW('PR管理'!$J$4:$T$101, LAMBDA(r, COUNTIF(r, H133)&gt;0)), 0), 0),
    IF(targetRow=0, "",
      LET(
        startDate, INDEX('PR管理'!$C$4:$C$101, targetRow),
        delLimit, INDEX('PR管理'!$F$4:$F$101, targetRow),
        prID, INDEX('PR管理'!$A$4:$A$101, targetRow),
        IF(AND('26414_編集版 のコピー 2'!H$1 &gt;= startDate, '26414_編集版 のコピー 2'!H$1 &lt;= delLimit), 
          IFERROR(VLOOKUP(H133, '新規'!$E$2:$H142, 4, 0), 
          IFERROR(VLOOKUP(H133, '特殊配信マスタ'!$E$3:$H142, 4, 0), 
          IFERROR(VLOOKUP(H133, '自動求人✅'!$C$3:$F142, 4, 0), prID))), 
        "")
      )
    )
  )
)</f>
        <v/>
      </c>
      <c r="J133" s="141" t="str">
        <f t="shared" si="2"/>
        <v/>
      </c>
      <c r="K133" s="141"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141"/>
      <c r="M133" s="141"/>
      <c r="N133" s="139"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140" t="str">
        <f t="array" ref="O133">IF(N133="", "", 
  LET(
    targetRow, IFERROR(MATCH(TRUE, BYROW('PR管理'!$J$4:$T$101, LAMBDA(r, COUNTIF(r, N133)&gt;0)), 0), 0),
    IF(targetRow=0, "",
      LET(
        startDate, INDEX('PR管理'!$C$4:$C$101, targetRow),
        delLimit, INDEX('PR管理'!$F$4:$F$101, targetRow),
        prID, INDEX('PR管理'!$A$4:$A$101, targetRow),
        IF(AND('26414_編集版 のコピー 2'!N$1 &gt;= startDate, '26414_編集版 のコピー 2'!N$1 &lt;= delLimit), 
          IFERROR(VLOOKUP(N133, '新規'!$E$2:$H142, 4, 0), 
          IFERROR(VLOOKUP(N133, '特殊配信マスタ'!$E$3:$H142, 4, 0), 
          IFERROR(VLOOKUP(N133, '自動求人✅'!$C$3:$F142, 4, 0), prID))), 
        "")
      )
    )
  )
)</f>
        <v/>
      </c>
      <c r="P133" s="141" t="str">
        <f t="shared" si="3"/>
        <v/>
      </c>
      <c r="Q133" s="141"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141"/>
      <c r="S133" s="141"/>
      <c r="T133" s="139"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140" t="str">
        <f t="array" ref="U133">IF(T133="", "", 
  LET(
    targetRow, IFERROR(MATCH(TRUE, BYROW('PR管理'!$J$4:$T$101, LAMBDA(r, COUNTIF(r, T133)&gt;0)), 0), 0),
    IF(targetRow=0, "",
      LET(
        startDate, INDEX('PR管理'!$C$4:$C$101, targetRow),
        delLimit, INDEX('PR管理'!$F$4:$F$101, targetRow),
        prID, INDEX('PR管理'!$A$4:$A$101, targetRow),
        IF(AND('26414_編集版 のコピー 2'!T$1 &gt;= startDate, '26414_編集版 のコピー 2'!T$1 &lt;= delLimit), 
          IFERROR(VLOOKUP(T133, '新規'!$E$2:$H142, 4, 0), 
          IFERROR(VLOOKUP(T133, '特殊配信マスタ'!$E$3:$H142, 4, 0), 
          IFERROR(VLOOKUP(T133, '自動求人✅'!$C$3:$F142, 4, 0), prID))), 
        "")
      )
    )
  )
)</f>
        <v/>
      </c>
      <c r="V133" s="141" t="str">
        <f t="shared" si="4"/>
        <v/>
      </c>
      <c r="W133" s="141"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141"/>
      <c r="Y133" s="141"/>
      <c r="Z133" s="139"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140" t="str">
        <f t="array" ref="AA133">IF(Z133="", "", 
  LET(
    targetRow, IFERROR(MATCH(TRUE, BYROW('PR管理'!$J$4:$T$101, LAMBDA(r, COUNTIF(r, Z133)&gt;0)), 0), 0),
    IF(targetRow=0, "",
      LET(
        startDate, INDEX('PR管理'!$C$4:$C$101, targetRow),
        delLimit, INDEX('PR管理'!$F$4:$F$101, targetRow),
        prID, INDEX('PR管理'!$A$4:$A$101, targetRow),
        IF(AND('26414_編集版 のコピー 2'!Z$1 &gt;= startDate, '26414_編集版 のコピー 2'!Z$1 &lt;= delLimit), 
          IFERROR(VLOOKUP(Z133, '新規'!$E$2:$H142, 4, 0), 
          IFERROR(VLOOKUP(Z133, '特殊配信マスタ'!$E$3:$H142, 4, 0), 
          IFERROR(VLOOKUP(Z133, '自動求人✅'!$C$3:$F142, 4, 0), prID))), 
        "")
      )
    )
  )
)</f>
        <v/>
      </c>
      <c r="AB133" s="141" t="str">
        <f t="shared" si="5"/>
        <v/>
      </c>
      <c r="AC133" s="141"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141"/>
      <c r="AE133" s="141"/>
      <c r="AF133" s="139"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140" t="str">
        <f t="array" ref="AG133">IF(AF133="", "", 
  LET(
    targetRow, IFERROR(MATCH(TRUE, BYROW('PR管理'!$J$4:$T$101, LAMBDA(r, COUNTIF(r, AF133)&gt;0)), 0), 0),
    IF(targetRow=0, "",
      LET(
        startDate, INDEX('PR管理'!$C$4:$C$101, targetRow),
        delLimit, INDEX('PR管理'!$F$4:$F$101, targetRow),
        prID, INDEX('PR管理'!$A$4:$A$101, targetRow),
        IF(AND('26414_編集版 のコピー 2'!AF$1 &gt;= startDate, '26414_編集版 のコピー 2'!AF$1 &lt;= delLimit), 
          IFERROR(VLOOKUP(AF133, '新規'!$E$2:$H142, 4, 0), 
          IFERROR(VLOOKUP(AF133, '特殊配信マスタ'!$E$3:$H142, 4, 0), 
          IFERROR(VLOOKUP(AF133, '自動求人✅'!$C$3:$F142, 4, 0), prID))), 
        "")
      )
    )
  )
)</f>
        <v/>
      </c>
      <c r="AH133" s="141" t="str">
        <f t="shared" si="6"/>
        <v/>
      </c>
      <c r="AI133" s="141"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141"/>
      <c r="AK133" s="141"/>
      <c r="AL133" s="139"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140" t="str">
        <f t="array" ref="AM133">IF(AL133="", "", 
  LET(
    targetRow, IFERROR(MATCH(TRUE, BYROW('PR管理'!$J$4:$T$101, LAMBDA(r, COUNTIF(r, AL133)&gt;0)), 0), 0),
    IF(targetRow=0, "",
      LET(
        startDate, INDEX('PR管理'!$C$4:$C$101, targetRow),
        delLimit, INDEX('PR管理'!$F$4:$F$101, targetRow),
        prID, INDEX('PR管理'!$A$4:$A$101, targetRow),
        IF(AND('26414_編集版 のコピー 2'!AL$1 &gt;= startDate, '26414_編集版 のコピー 2'!AL$1 &lt;= delLimit), 
          IFERROR(VLOOKUP(AL133, '新規'!$E$2:$H142, 4, 0), 
          IFERROR(VLOOKUP(AL133, '特殊配信マスタ'!$E$3:$H142, 4, 0), 
          IFERROR(VLOOKUP(AL133, '自動求人✅'!$C$3:$F142, 4, 0), prID))), 
        "")
      )
    )
  )
)</f>
        <v/>
      </c>
      <c r="AN133" s="141" t="str">
        <f t="shared" si="7"/>
        <v/>
      </c>
      <c r="AO133" s="141"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141"/>
      <c r="AQ133" s="141"/>
    </row>
    <row r="134" ht="17.25" customHeight="1">
      <c r="A134" s="142"/>
      <c r="B134" s="139"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140" t="str">
        <f t="array" ref="C134">IF(B134="", "", 
  LET(
    targetRow, IFERROR(MATCH(TRUE, BYROW('PR管理'!$J$4:$T$101, LAMBDA(r, COUNTIF(r, B134)&gt;0)), 0), 0),
    IF(targetRow=0, "",
      LET(
        startDate, INDEX('PR管理'!$C$4:$C$101, targetRow),
        delLimit, INDEX('PR管理'!$F$4:$F$101, targetRow),
        prID, INDEX('PR管理'!$A$4:$A$101, targetRow),
        IF(AND('26414_編集版 のコピー 2'!B$1 &gt;= startDate, '26414_編集版 のコピー 2'!B$1 &lt;= delLimit), 
          IFERROR(VLOOKUP(B134, '新規'!$E$2:$H142, 4, 0), 
          IFERROR(VLOOKUP(B134, '特殊配信マスタ'!$E$3:$H142, 4, 0), 
          IFERROR(VLOOKUP(B134, '自動求人✅'!$C$3:$F142, 4, 0), prID))), 
        "")
      )
    )
  )
)</f>
        <v/>
      </c>
      <c r="D134" s="141" t="str">
        <f t="shared" si="1"/>
        <v/>
      </c>
      <c r="E134" s="141"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141"/>
      <c r="G134" s="141"/>
      <c r="H134" s="139"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140" t="str">
        <f t="array" ref="I134">IF(H134="", "", 
  LET(
    targetRow, IFERROR(MATCH(TRUE, BYROW('PR管理'!$J$4:$T$101, LAMBDA(r, COUNTIF(r, H134)&gt;0)), 0), 0),
    IF(targetRow=0, "",
      LET(
        startDate, INDEX('PR管理'!$C$4:$C$101, targetRow),
        delLimit, INDEX('PR管理'!$F$4:$F$101, targetRow),
        prID, INDEX('PR管理'!$A$4:$A$101, targetRow),
        IF(AND('26414_編集版 のコピー 2'!H$1 &gt;= startDate, '26414_編集版 のコピー 2'!H$1 &lt;= delLimit), 
          IFERROR(VLOOKUP(H134, '新規'!$E$2:$H142, 4, 0), 
          IFERROR(VLOOKUP(H134, '特殊配信マスタ'!$E$3:$H142, 4, 0), 
          IFERROR(VLOOKUP(H134, '自動求人✅'!$C$3:$F142, 4, 0), prID))), 
        "")
      )
    )
  )
)</f>
        <v/>
      </c>
      <c r="J134" s="141" t="str">
        <f t="shared" si="2"/>
        <v/>
      </c>
      <c r="K134" s="141"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141"/>
      <c r="M134" s="141"/>
      <c r="N134" s="139"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140" t="str">
        <f t="array" ref="O134">IF(N134="", "", 
  LET(
    targetRow, IFERROR(MATCH(TRUE, BYROW('PR管理'!$J$4:$T$101, LAMBDA(r, COUNTIF(r, N134)&gt;0)), 0), 0),
    IF(targetRow=0, "",
      LET(
        startDate, INDEX('PR管理'!$C$4:$C$101, targetRow),
        delLimit, INDEX('PR管理'!$F$4:$F$101, targetRow),
        prID, INDEX('PR管理'!$A$4:$A$101, targetRow),
        IF(AND('26414_編集版 のコピー 2'!N$1 &gt;= startDate, '26414_編集版 のコピー 2'!N$1 &lt;= delLimit), 
          IFERROR(VLOOKUP(N134, '新規'!$E$2:$H142, 4, 0), 
          IFERROR(VLOOKUP(N134, '特殊配信マスタ'!$E$3:$H142, 4, 0), 
          IFERROR(VLOOKUP(N134, '自動求人✅'!$C$3:$F142, 4, 0), prID))), 
        "")
      )
    )
  )
)</f>
        <v/>
      </c>
      <c r="P134" s="141" t="str">
        <f t="shared" si="3"/>
        <v/>
      </c>
      <c r="Q134" s="141"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141"/>
      <c r="S134" s="141"/>
      <c r="T134" s="139"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140" t="str">
        <f t="array" ref="U134">IF(T134="", "", 
  LET(
    targetRow, IFERROR(MATCH(TRUE, BYROW('PR管理'!$J$4:$T$101, LAMBDA(r, COUNTIF(r, T134)&gt;0)), 0), 0),
    IF(targetRow=0, "",
      LET(
        startDate, INDEX('PR管理'!$C$4:$C$101, targetRow),
        delLimit, INDEX('PR管理'!$F$4:$F$101, targetRow),
        prID, INDEX('PR管理'!$A$4:$A$101, targetRow),
        IF(AND('26414_編集版 のコピー 2'!T$1 &gt;= startDate, '26414_編集版 のコピー 2'!T$1 &lt;= delLimit), 
          IFERROR(VLOOKUP(T134, '新規'!$E$2:$H142, 4, 0), 
          IFERROR(VLOOKUP(T134, '特殊配信マスタ'!$E$3:$H142, 4, 0), 
          IFERROR(VLOOKUP(T134, '自動求人✅'!$C$3:$F142, 4, 0), prID))), 
        "")
      )
    )
  )
)</f>
        <v/>
      </c>
      <c r="V134" s="141" t="str">
        <f t="shared" si="4"/>
        <v/>
      </c>
      <c r="W134" s="141"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141"/>
      <c r="Y134" s="141"/>
      <c r="Z134" s="139"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140" t="str">
        <f t="array" ref="AA134">IF(Z134="", "", 
  LET(
    targetRow, IFERROR(MATCH(TRUE, BYROW('PR管理'!$J$4:$T$101, LAMBDA(r, COUNTIF(r, Z134)&gt;0)), 0), 0),
    IF(targetRow=0, "",
      LET(
        startDate, INDEX('PR管理'!$C$4:$C$101, targetRow),
        delLimit, INDEX('PR管理'!$F$4:$F$101, targetRow),
        prID, INDEX('PR管理'!$A$4:$A$101, targetRow),
        IF(AND('26414_編集版 のコピー 2'!Z$1 &gt;= startDate, '26414_編集版 のコピー 2'!Z$1 &lt;= delLimit), 
          IFERROR(VLOOKUP(Z134, '新規'!$E$2:$H142, 4, 0), 
          IFERROR(VLOOKUP(Z134, '特殊配信マスタ'!$E$3:$H142, 4, 0), 
          IFERROR(VLOOKUP(Z134, '自動求人✅'!$C$3:$F142, 4, 0), prID))), 
        "")
      )
    )
  )
)</f>
        <v/>
      </c>
      <c r="AB134" s="141" t="str">
        <f t="shared" si="5"/>
        <v/>
      </c>
      <c r="AC134" s="141"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141"/>
      <c r="AE134" s="141"/>
      <c r="AF134" s="139"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140" t="str">
        <f t="array" ref="AG134">IF(AF134="", "", 
  LET(
    targetRow, IFERROR(MATCH(TRUE, BYROW('PR管理'!$J$4:$T$101, LAMBDA(r, COUNTIF(r, AF134)&gt;0)), 0), 0),
    IF(targetRow=0, "",
      LET(
        startDate, INDEX('PR管理'!$C$4:$C$101, targetRow),
        delLimit, INDEX('PR管理'!$F$4:$F$101, targetRow),
        prID, INDEX('PR管理'!$A$4:$A$101, targetRow),
        IF(AND('26414_編集版 のコピー 2'!AF$1 &gt;= startDate, '26414_編集版 のコピー 2'!AF$1 &lt;= delLimit), 
          IFERROR(VLOOKUP(AF134, '新規'!$E$2:$H142, 4, 0), 
          IFERROR(VLOOKUP(AF134, '特殊配信マスタ'!$E$3:$H142, 4, 0), 
          IFERROR(VLOOKUP(AF134, '自動求人✅'!$C$3:$F142, 4, 0), prID))), 
        "")
      )
    )
  )
)</f>
        <v/>
      </c>
      <c r="AH134" s="141" t="str">
        <f t="shared" si="6"/>
        <v/>
      </c>
      <c r="AI134" s="141"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141"/>
      <c r="AK134" s="141"/>
      <c r="AL134" s="139"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140" t="str">
        <f t="array" ref="AM134">IF(AL134="", "", 
  LET(
    targetRow, IFERROR(MATCH(TRUE, BYROW('PR管理'!$J$4:$T$101, LAMBDA(r, COUNTIF(r, AL134)&gt;0)), 0), 0),
    IF(targetRow=0, "",
      LET(
        startDate, INDEX('PR管理'!$C$4:$C$101, targetRow),
        delLimit, INDEX('PR管理'!$F$4:$F$101, targetRow),
        prID, INDEX('PR管理'!$A$4:$A$101, targetRow),
        IF(AND('26414_編集版 のコピー 2'!AL$1 &gt;= startDate, '26414_編集版 のコピー 2'!AL$1 &lt;= delLimit), 
          IFERROR(VLOOKUP(AL134, '新規'!$E$2:$H142, 4, 0), 
          IFERROR(VLOOKUP(AL134, '特殊配信マスタ'!$E$3:$H142, 4, 0), 
          IFERROR(VLOOKUP(AL134, '自動求人✅'!$C$3:$F142, 4, 0), prID))), 
        "")
      )
    )
  )
)</f>
        <v/>
      </c>
      <c r="AN134" s="141" t="str">
        <f t="shared" si="7"/>
        <v/>
      </c>
      <c r="AO134" s="141"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141"/>
      <c r="AQ134" s="141"/>
    </row>
    <row r="135" ht="17.25" customHeight="1">
      <c r="A135" s="142"/>
      <c r="B135" s="139"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140" t="str">
        <f t="array" ref="C135">IF(B135="", "", 
  LET(
    targetRow, IFERROR(MATCH(TRUE, BYROW('PR管理'!$J$4:$T$101, LAMBDA(r, COUNTIF(r, B135)&gt;0)), 0), 0),
    IF(targetRow=0, "",
      LET(
        startDate, INDEX('PR管理'!$C$4:$C$101, targetRow),
        delLimit, INDEX('PR管理'!$F$4:$F$101, targetRow),
        prID, INDEX('PR管理'!$A$4:$A$101, targetRow),
        IF(AND('26414_編集版 のコピー 2'!B$1 &gt;= startDate, '26414_編集版 のコピー 2'!B$1 &lt;= delLimit), 
          IFERROR(VLOOKUP(B135, '新規'!$E$2:$H142, 4, 0), 
          IFERROR(VLOOKUP(B135, '特殊配信マスタ'!$E$3:$H142, 4, 0), 
          IFERROR(VLOOKUP(B135, '自動求人✅'!$C$3:$F142, 4, 0), prID))), 
        "")
      )
    )
  )
)</f>
        <v/>
      </c>
      <c r="D135" s="141" t="str">
        <f t="shared" si="1"/>
        <v/>
      </c>
      <c r="E135" s="141"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141"/>
      <c r="G135" s="141"/>
      <c r="H135" s="139"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140" t="str">
        <f t="array" ref="I135">IF(H135="", "", 
  LET(
    targetRow, IFERROR(MATCH(TRUE, BYROW('PR管理'!$J$4:$T$101, LAMBDA(r, COUNTIF(r, H135)&gt;0)), 0), 0),
    IF(targetRow=0, "",
      LET(
        startDate, INDEX('PR管理'!$C$4:$C$101, targetRow),
        delLimit, INDEX('PR管理'!$F$4:$F$101, targetRow),
        prID, INDEX('PR管理'!$A$4:$A$101, targetRow),
        IF(AND('26414_編集版 のコピー 2'!H$1 &gt;= startDate, '26414_編集版 のコピー 2'!H$1 &lt;= delLimit), 
          IFERROR(VLOOKUP(H135, '新規'!$E$2:$H142, 4, 0), 
          IFERROR(VLOOKUP(H135, '特殊配信マスタ'!$E$3:$H142, 4, 0), 
          IFERROR(VLOOKUP(H135, '自動求人✅'!$C$3:$F142, 4, 0), prID))), 
        "")
      )
    )
  )
)</f>
        <v/>
      </c>
      <c r="J135" s="141" t="str">
        <f t="shared" si="2"/>
        <v/>
      </c>
      <c r="K135" s="141"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141"/>
      <c r="M135" s="141"/>
      <c r="N135" s="139"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140" t="str">
        <f t="array" ref="O135">IF(N135="", "", 
  LET(
    targetRow, IFERROR(MATCH(TRUE, BYROW('PR管理'!$J$4:$T$101, LAMBDA(r, COUNTIF(r, N135)&gt;0)), 0), 0),
    IF(targetRow=0, "",
      LET(
        startDate, INDEX('PR管理'!$C$4:$C$101, targetRow),
        delLimit, INDEX('PR管理'!$F$4:$F$101, targetRow),
        prID, INDEX('PR管理'!$A$4:$A$101, targetRow),
        IF(AND('26414_編集版 のコピー 2'!N$1 &gt;= startDate, '26414_編集版 のコピー 2'!N$1 &lt;= delLimit), 
          IFERROR(VLOOKUP(N135, '新規'!$E$2:$H142, 4, 0), 
          IFERROR(VLOOKUP(N135, '特殊配信マスタ'!$E$3:$H142, 4, 0), 
          IFERROR(VLOOKUP(N135, '自動求人✅'!$C$3:$F142, 4, 0), prID))), 
        "")
      )
    )
  )
)</f>
        <v/>
      </c>
      <c r="P135" s="141" t="str">
        <f t="shared" si="3"/>
        <v/>
      </c>
      <c r="Q135" s="141"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141"/>
      <c r="S135" s="141"/>
      <c r="T135" s="139"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140" t="str">
        <f t="array" ref="U135">IF(T135="", "", 
  LET(
    targetRow, IFERROR(MATCH(TRUE, BYROW('PR管理'!$J$4:$T$101, LAMBDA(r, COUNTIF(r, T135)&gt;0)), 0), 0),
    IF(targetRow=0, "",
      LET(
        startDate, INDEX('PR管理'!$C$4:$C$101, targetRow),
        delLimit, INDEX('PR管理'!$F$4:$F$101, targetRow),
        prID, INDEX('PR管理'!$A$4:$A$101, targetRow),
        IF(AND('26414_編集版 のコピー 2'!T$1 &gt;= startDate, '26414_編集版 のコピー 2'!T$1 &lt;= delLimit), 
          IFERROR(VLOOKUP(T135, '新規'!$E$2:$H142, 4, 0), 
          IFERROR(VLOOKUP(T135, '特殊配信マスタ'!$E$3:$H142, 4, 0), 
          IFERROR(VLOOKUP(T135, '自動求人✅'!$C$3:$F142, 4, 0), prID))), 
        "")
      )
    )
  )
)</f>
        <v/>
      </c>
      <c r="V135" s="141" t="str">
        <f t="shared" si="4"/>
        <v/>
      </c>
      <c r="W135" s="141"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141"/>
      <c r="Y135" s="141"/>
      <c r="Z135" s="139"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140" t="str">
        <f t="array" ref="AA135">IF(Z135="", "", 
  LET(
    targetRow, IFERROR(MATCH(TRUE, BYROW('PR管理'!$J$4:$T$101, LAMBDA(r, COUNTIF(r, Z135)&gt;0)), 0), 0),
    IF(targetRow=0, "",
      LET(
        startDate, INDEX('PR管理'!$C$4:$C$101, targetRow),
        delLimit, INDEX('PR管理'!$F$4:$F$101, targetRow),
        prID, INDEX('PR管理'!$A$4:$A$101, targetRow),
        IF(AND('26414_編集版 のコピー 2'!Z$1 &gt;= startDate, '26414_編集版 のコピー 2'!Z$1 &lt;= delLimit), 
          IFERROR(VLOOKUP(Z135, '新規'!$E$2:$H142, 4, 0), 
          IFERROR(VLOOKUP(Z135, '特殊配信マスタ'!$E$3:$H142, 4, 0), 
          IFERROR(VLOOKUP(Z135, '自動求人✅'!$C$3:$F142, 4, 0), prID))), 
        "")
      )
    )
  )
)</f>
        <v/>
      </c>
      <c r="AB135" s="141" t="str">
        <f t="shared" si="5"/>
        <v/>
      </c>
      <c r="AC135" s="141"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141"/>
      <c r="AE135" s="141"/>
      <c r="AF135" s="139"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140" t="str">
        <f t="array" ref="AG135">IF(AF135="", "", 
  LET(
    targetRow, IFERROR(MATCH(TRUE, BYROW('PR管理'!$J$4:$T$101, LAMBDA(r, COUNTIF(r, AF135)&gt;0)), 0), 0),
    IF(targetRow=0, "",
      LET(
        startDate, INDEX('PR管理'!$C$4:$C$101, targetRow),
        delLimit, INDEX('PR管理'!$F$4:$F$101, targetRow),
        prID, INDEX('PR管理'!$A$4:$A$101, targetRow),
        IF(AND('26414_編集版 のコピー 2'!AF$1 &gt;= startDate, '26414_編集版 のコピー 2'!AF$1 &lt;= delLimit), 
          IFERROR(VLOOKUP(AF135, '新規'!$E$2:$H142, 4, 0), 
          IFERROR(VLOOKUP(AF135, '特殊配信マスタ'!$E$3:$H142, 4, 0), 
          IFERROR(VLOOKUP(AF135, '自動求人✅'!$C$3:$F142, 4, 0), prID))), 
        "")
      )
    )
  )
)</f>
        <v/>
      </c>
      <c r="AH135" s="141" t="str">
        <f t="shared" si="6"/>
        <v/>
      </c>
      <c r="AI135" s="141"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141"/>
      <c r="AK135" s="141"/>
      <c r="AL135" s="139"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140" t="str">
        <f t="array" ref="AM135">IF(AL135="", "", 
  LET(
    targetRow, IFERROR(MATCH(TRUE, BYROW('PR管理'!$J$4:$T$101, LAMBDA(r, COUNTIF(r, AL135)&gt;0)), 0), 0),
    IF(targetRow=0, "",
      LET(
        startDate, INDEX('PR管理'!$C$4:$C$101, targetRow),
        delLimit, INDEX('PR管理'!$F$4:$F$101, targetRow),
        prID, INDEX('PR管理'!$A$4:$A$101, targetRow),
        IF(AND('26414_編集版 のコピー 2'!AL$1 &gt;= startDate, '26414_編集版 のコピー 2'!AL$1 &lt;= delLimit), 
          IFERROR(VLOOKUP(AL135, '新規'!$E$2:$H142, 4, 0), 
          IFERROR(VLOOKUP(AL135, '特殊配信マスタ'!$E$3:$H142, 4, 0), 
          IFERROR(VLOOKUP(AL135, '自動求人✅'!$C$3:$F142, 4, 0), prID))), 
        "")
      )
    )
  )
)</f>
        <v/>
      </c>
      <c r="AN135" s="141" t="str">
        <f t="shared" si="7"/>
        <v/>
      </c>
      <c r="AO135" s="141"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141"/>
      <c r="AQ135" s="141"/>
    </row>
    <row r="136" ht="17.25" customHeight="1">
      <c r="A136" s="142"/>
      <c r="B136" s="139"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140" t="str">
        <f t="array" ref="C136">IF(B136="", "", 
  LET(
    targetRow, IFERROR(MATCH(TRUE, BYROW('PR管理'!$J$4:$T$101, LAMBDA(r, COUNTIF(r, B136)&gt;0)), 0), 0),
    IF(targetRow=0, "",
      LET(
        startDate, INDEX('PR管理'!$C$4:$C$101, targetRow),
        delLimit, INDEX('PR管理'!$F$4:$F$101, targetRow),
        prID, INDEX('PR管理'!$A$4:$A$101, targetRow),
        IF(AND('26414_編集版 のコピー 2'!B$1 &gt;= startDate, '26414_編集版 のコピー 2'!B$1 &lt;= delLimit), 
          IFERROR(VLOOKUP(B136, '新規'!$E$2:$H142, 4, 0), 
          IFERROR(VLOOKUP(B136, '特殊配信マスタ'!$E$3:$H142, 4, 0), 
          IFERROR(VLOOKUP(B136, '自動求人✅'!$C$3:$F142, 4, 0), prID))), 
        "")
      )
    )
  )
)</f>
        <v/>
      </c>
      <c r="D136" s="141" t="str">
        <f t="shared" si="1"/>
        <v/>
      </c>
      <c r="E136" s="141"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141"/>
      <c r="G136" s="141"/>
      <c r="H136" s="139"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140" t="str">
        <f t="array" ref="I136">IF(H136="", "", 
  LET(
    targetRow, IFERROR(MATCH(TRUE, BYROW('PR管理'!$J$4:$T$101, LAMBDA(r, COUNTIF(r, H136)&gt;0)), 0), 0),
    IF(targetRow=0, "",
      LET(
        startDate, INDEX('PR管理'!$C$4:$C$101, targetRow),
        delLimit, INDEX('PR管理'!$F$4:$F$101, targetRow),
        prID, INDEX('PR管理'!$A$4:$A$101, targetRow),
        IF(AND('26414_編集版 のコピー 2'!H$1 &gt;= startDate, '26414_編集版 のコピー 2'!H$1 &lt;= delLimit), 
          IFERROR(VLOOKUP(H136, '新規'!$E$2:$H142, 4, 0), 
          IFERROR(VLOOKUP(H136, '特殊配信マスタ'!$E$3:$H142, 4, 0), 
          IFERROR(VLOOKUP(H136, '自動求人✅'!$C$3:$F142, 4, 0), prID))), 
        "")
      )
    )
  )
)</f>
        <v/>
      </c>
      <c r="J136" s="141" t="str">
        <f t="shared" si="2"/>
        <v/>
      </c>
      <c r="K136" s="141"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141"/>
      <c r="M136" s="141"/>
      <c r="N136" s="139"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140" t="str">
        <f t="array" ref="O136">IF(N136="", "", 
  LET(
    targetRow, IFERROR(MATCH(TRUE, BYROW('PR管理'!$J$4:$T$101, LAMBDA(r, COUNTIF(r, N136)&gt;0)), 0), 0),
    IF(targetRow=0, "",
      LET(
        startDate, INDEX('PR管理'!$C$4:$C$101, targetRow),
        delLimit, INDEX('PR管理'!$F$4:$F$101, targetRow),
        prID, INDEX('PR管理'!$A$4:$A$101, targetRow),
        IF(AND('26414_編集版 のコピー 2'!N$1 &gt;= startDate, '26414_編集版 のコピー 2'!N$1 &lt;= delLimit), 
          IFERROR(VLOOKUP(N136, '新規'!$E$2:$H142, 4, 0), 
          IFERROR(VLOOKUP(N136, '特殊配信マスタ'!$E$3:$H142, 4, 0), 
          IFERROR(VLOOKUP(N136, '自動求人✅'!$C$3:$F142, 4, 0), prID))), 
        "")
      )
    )
  )
)</f>
        <v/>
      </c>
      <c r="P136" s="141" t="str">
        <f t="shared" si="3"/>
        <v/>
      </c>
      <c r="Q136" s="141"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141"/>
      <c r="S136" s="141"/>
      <c r="T136" s="139"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140" t="str">
        <f t="array" ref="U136">IF(T136="", "", 
  LET(
    targetRow, IFERROR(MATCH(TRUE, BYROW('PR管理'!$J$4:$T$101, LAMBDA(r, COUNTIF(r, T136)&gt;0)), 0), 0),
    IF(targetRow=0, "",
      LET(
        startDate, INDEX('PR管理'!$C$4:$C$101, targetRow),
        delLimit, INDEX('PR管理'!$F$4:$F$101, targetRow),
        prID, INDEX('PR管理'!$A$4:$A$101, targetRow),
        IF(AND('26414_編集版 のコピー 2'!T$1 &gt;= startDate, '26414_編集版 のコピー 2'!T$1 &lt;= delLimit), 
          IFERROR(VLOOKUP(T136, '新規'!$E$2:$H142, 4, 0), 
          IFERROR(VLOOKUP(T136, '特殊配信マスタ'!$E$3:$H142, 4, 0), 
          IFERROR(VLOOKUP(T136, '自動求人✅'!$C$3:$F142, 4, 0), prID))), 
        "")
      )
    )
  )
)</f>
        <v/>
      </c>
      <c r="V136" s="141" t="str">
        <f t="shared" si="4"/>
        <v/>
      </c>
      <c r="W136" s="141"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141"/>
      <c r="Y136" s="141"/>
      <c r="Z136" s="139"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140" t="str">
        <f t="array" ref="AA136">IF(Z136="", "", 
  LET(
    targetRow, IFERROR(MATCH(TRUE, BYROW('PR管理'!$J$4:$T$101, LAMBDA(r, COUNTIF(r, Z136)&gt;0)), 0), 0),
    IF(targetRow=0, "",
      LET(
        startDate, INDEX('PR管理'!$C$4:$C$101, targetRow),
        delLimit, INDEX('PR管理'!$F$4:$F$101, targetRow),
        prID, INDEX('PR管理'!$A$4:$A$101, targetRow),
        IF(AND('26414_編集版 のコピー 2'!Z$1 &gt;= startDate, '26414_編集版 のコピー 2'!Z$1 &lt;= delLimit), 
          IFERROR(VLOOKUP(Z136, '新規'!$E$2:$H142, 4, 0), 
          IFERROR(VLOOKUP(Z136, '特殊配信マスタ'!$E$3:$H142, 4, 0), 
          IFERROR(VLOOKUP(Z136, '自動求人✅'!$C$3:$F142, 4, 0), prID))), 
        "")
      )
    )
  )
)</f>
        <v/>
      </c>
      <c r="AB136" s="141" t="str">
        <f t="shared" si="5"/>
        <v/>
      </c>
      <c r="AC136" s="141"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141"/>
      <c r="AE136" s="141"/>
      <c r="AF136" s="139"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140" t="str">
        <f t="array" ref="AG136">IF(AF136="", "", 
  LET(
    targetRow, IFERROR(MATCH(TRUE, BYROW('PR管理'!$J$4:$T$101, LAMBDA(r, COUNTIF(r, AF136)&gt;0)), 0), 0),
    IF(targetRow=0, "",
      LET(
        startDate, INDEX('PR管理'!$C$4:$C$101, targetRow),
        delLimit, INDEX('PR管理'!$F$4:$F$101, targetRow),
        prID, INDEX('PR管理'!$A$4:$A$101, targetRow),
        IF(AND('26414_編集版 のコピー 2'!AF$1 &gt;= startDate, '26414_編集版 のコピー 2'!AF$1 &lt;= delLimit), 
          IFERROR(VLOOKUP(AF136, '新規'!$E$2:$H142, 4, 0), 
          IFERROR(VLOOKUP(AF136, '特殊配信マスタ'!$E$3:$H142, 4, 0), 
          IFERROR(VLOOKUP(AF136, '自動求人✅'!$C$3:$F142, 4, 0), prID))), 
        "")
      )
    )
  )
)</f>
        <v/>
      </c>
      <c r="AH136" s="141" t="str">
        <f t="shared" si="6"/>
        <v/>
      </c>
      <c r="AI136" s="141"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141"/>
      <c r="AK136" s="141"/>
      <c r="AL136" s="139"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140" t="str">
        <f t="array" ref="AM136">IF(AL136="", "", 
  LET(
    targetRow, IFERROR(MATCH(TRUE, BYROW('PR管理'!$J$4:$T$101, LAMBDA(r, COUNTIF(r, AL136)&gt;0)), 0), 0),
    IF(targetRow=0, "",
      LET(
        startDate, INDEX('PR管理'!$C$4:$C$101, targetRow),
        delLimit, INDEX('PR管理'!$F$4:$F$101, targetRow),
        prID, INDEX('PR管理'!$A$4:$A$101, targetRow),
        IF(AND('26414_編集版 のコピー 2'!AL$1 &gt;= startDate, '26414_編集版 のコピー 2'!AL$1 &lt;= delLimit), 
          IFERROR(VLOOKUP(AL136, '新規'!$E$2:$H142, 4, 0), 
          IFERROR(VLOOKUP(AL136, '特殊配信マスタ'!$E$3:$H142, 4, 0), 
          IFERROR(VLOOKUP(AL136, '自動求人✅'!$C$3:$F142, 4, 0), prID))), 
        "")
      )
    )
  )
)</f>
        <v/>
      </c>
      <c r="AN136" s="141" t="str">
        <f t="shared" si="7"/>
        <v/>
      </c>
      <c r="AO136" s="141"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141"/>
      <c r="AQ136" s="141"/>
    </row>
    <row r="137" ht="17.25" customHeight="1">
      <c r="A137" s="142"/>
      <c r="B137" s="139"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140" t="str">
        <f t="array" ref="C137">IF(B137="", "", 
  LET(
    targetRow, IFERROR(MATCH(TRUE, BYROW('PR管理'!$J$4:$T$101, LAMBDA(r, COUNTIF(r, B137)&gt;0)), 0), 0),
    IF(targetRow=0, "",
      LET(
        startDate, INDEX('PR管理'!$C$4:$C$101, targetRow),
        delLimit, INDEX('PR管理'!$F$4:$F$101, targetRow),
        prID, INDEX('PR管理'!$A$4:$A$101, targetRow),
        IF(AND('26414_編集版 のコピー 2'!B$1 &gt;= startDate, '26414_編集版 のコピー 2'!B$1 &lt;= delLimit), 
          IFERROR(VLOOKUP(B137, '新規'!$E$2:$H142, 4, 0), 
          IFERROR(VLOOKUP(B137, '特殊配信マスタ'!$E$3:$H142, 4, 0), 
          IFERROR(VLOOKUP(B137, '自動求人✅'!$C$3:$F142, 4, 0), prID))), 
        "")
      )
    )
  )
)</f>
        <v/>
      </c>
      <c r="D137" s="141" t="str">
        <f t="shared" si="1"/>
        <v/>
      </c>
      <c r="E137" s="141"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141"/>
      <c r="G137" s="141"/>
      <c r="H137" s="139"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140" t="str">
        <f t="array" ref="I137">IF(H137="", "", 
  LET(
    targetRow, IFERROR(MATCH(TRUE, BYROW('PR管理'!$J$4:$T$101, LAMBDA(r, COUNTIF(r, H137)&gt;0)), 0), 0),
    IF(targetRow=0, "",
      LET(
        startDate, INDEX('PR管理'!$C$4:$C$101, targetRow),
        delLimit, INDEX('PR管理'!$F$4:$F$101, targetRow),
        prID, INDEX('PR管理'!$A$4:$A$101, targetRow),
        IF(AND('26414_編集版 のコピー 2'!H$1 &gt;= startDate, '26414_編集版 のコピー 2'!H$1 &lt;= delLimit), 
          IFERROR(VLOOKUP(H137, '新規'!$E$2:$H142, 4, 0), 
          IFERROR(VLOOKUP(H137, '特殊配信マスタ'!$E$3:$H142, 4, 0), 
          IFERROR(VLOOKUP(H137, '自動求人✅'!$C$3:$F142, 4, 0), prID))), 
        "")
      )
    )
  )
)</f>
        <v/>
      </c>
      <c r="J137" s="141" t="str">
        <f t="shared" si="2"/>
        <v/>
      </c>
      <c r="K137" s="141"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141"/>
      <c r="M137" s="141"/>
      <c r="N137" s="139"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140" t="str">
        <f t="array" ref="O137">IF(N137="", "", 
  LET(
    targetRow, IFERROR(MATCH(TRUE, BYROW('PR管理'!$J$4:$T$101, LAMBDA(r, COUNTIF(r, N137)&gt;0)), 0), 0),
    IF(targetRow=0, "",
      LET(
        startDate, INDEX('PR管理'!$C$4:$C$101, targetRow),
        delLimit, INDEX('PR管理'!$F$4:$F$101, targetRow),
        prID, INDEX('PR管理'!$A$4:$A$101, targetRow),
        IF(AND('26414_編集版 のコピー 2'!N$1 &gt;= startDate, '26414_編集版 のコピー 2'!N$1 &lt;= delLimit), 
          IFERROR(VLOOKUP(N137, '新規'!$E$2:$H142, 4, 0), 
          IFERROR(VLOOKUP(N137, '特殊配信マスタ'!$E$3:$H142, 4, 0), 
          IFERROR(VLOOKUP(N137, '自動求人✅'!$C$3:$F142, 4, 0), prID))), 
        "")
      )
    )
  )
)</f>
        <v/>
      </c>
      <c r="P137" s="141" t="str">
        <f t="shared" si="3"/>
        <v/>
      </c>
      <c r="Q137" s="141"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141"/>
      <c r="S137" s="141"/>
      <c r="T137" s="139"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140" t="str">
        <f t="array" ref="U137">IF(T137="", "", 
  LET(
    targetRow, IFERROR(MATCH(TRUE, BYROW('PR管理'!$J$4:$T$101, LAMBDA(r, COUNTIF(r, T137)&gt;0)), 0), 0),
    IF(targetRow=0, "",
      LET(
        startDate, INDEX('PR管理'!$C$4:$C$101, targetRow),
        delLimit, INDEX('PR管理'!$F$4:$F$101, targetRow),
        prID, INDEX('PR管理'!$A$4:$A$101, targetRow),
        IF(AND('26414_編集版 のコピー 2'!T$1 &gt;= startDate, '26414_編集版 のコピー 2'!T$1 &lt;= delLimit), 
          IFERROR(VLOOKUP(T137, '新規'!$E$2:$H142, 4, 0), 
          IFERROR(VLOOKUP(T137, '特殊配信マスタ'!$E$3:$H142, 4, 0), 
          IFERROR(VLOOKUP(T137, '自動求人✅'!$C$3:$F142, 4, 0), prID))), 
        "")
      )
    )
  )
)</f>
        <v/>
      </c>
      <c r="V137" s="141" t="str">
        <f t="shared" si="4"/>
        <v/>
      </c>
      <c r="W137" s="141"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141"/>
      <c r="Y137" s="141"/>
      <c r="Z137" s="139"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140" t="str">
        <f t="array" ref="AA137">IF(Z137="", "", 
  LET(
    targetRow, IFERROR(MATCH(TRUE, BYROW('PR管理'!$J$4:$T$101, LAMBDA(r, COUNTIF(r, Z137)&gt;0)), 0), 0),
    IF(targetRow=0, "",
      LET(
        startDate, INDEX('PR管理'!$C$4:$C$101, targetRow),
        delLimit, INDEX('PR管理'!$F$4:$F$101, targetRow),
        prID, INDEX('PR管理'!$A$4:$A$101, targetRow),
        IF(AND('26414_編集版 のコピー 2'!Z$1 &gt;= startDate, '26414_編集版 のコピー 2'!Z$1 &lt;= delLimit), 
          IFERROR(VLOOKUP(Z137, '新規'!$E$2:$H142, 4, 0), 
          IFERROR(VLOOKUP(Z137, '特殊配信マスタ'!$E$3:$H142, 4, 0), 
          IFERROR(VLOOKUP(Z137, '自動求人✅'!$C$3:$F142, 4, 0), prID))), 
        "")
      )
    )
  )
)</f>
        <v/>
      </c>
      <c r="AB137" s="141" t="str">
        <f t="shared" si="5"/>
        <v/>
      </c>
      <c r="AC137" s="141"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141"/>
      <c r="AE137" s="141"/>
      <c r="AF137" s="139"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140" t="str">
        <f t="array" ref="AG137">IF(AF137="", "", 
  LET(
    targetRow, IFERROR(MATCH(TRUE, BYROW('PR管理'!$J$4:$T$101, LAMBDA(r, COUNTIF(r, AF137)&gt;0)), 0), 0),
    IF(targetRow=0, "",
      LET(
        startDate, INDEX('PR管理'!$C$4:$C$101, targetRow),
        delLimit, INDEX('PR管理'!$F$4:$F$101, targetRow),
        prID, INDEX('PR管理'!$A$4:$A$101, targetRow),
        IF(AND('26414_編集版 のコピー 2'!AF$1 &gt;= startDate, '26414_編集版 のコピー 2'!AF$1 &lt;= delLimit), 
          IFERROR(VLOOKUP(AF137, '新規'!$E$2:$H142, 4, 0), 
          IFERROR(VLOOKUP(AF137, '特殊配信マスタ'!$E$3:$H142, 4, 0), 
          IFERROR(VLOOKUP(AF137, '自動求人✅'!$C$3:$F142, 4, 0), prID))), 
        "")
      )
    )
  )
)</f>
        <v/>
      </c>
      <c r="AH137" s="141" t="str">
        <f t="shared" si="6"/>
        <v/>
      </c>
      <c r="AI137" s="141"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141"/>
      <c r="AK137" s="141"/>
      <c r="AL137" s="139"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140" t="str">
        <f t="array" ref="AM137">IF(AL137="", "", 
  LET(
    targetRow, IFERROR(MATCH(TRUE, BYROW('PR管理'!$J$4:$T$101, LAMBDA(r, COUNTIF(r, AL137)&gt;0)), 0), 0),
    IF(targetRow=0, "",
      LET(
        startDate, INDEX('PR管理'!$C$4:$C$101, targetRow),
        delLimit, INDEX('PR管理'!$F$4:$F$101, targetRow),
        prID, INDEX('PR管理'!$A$4:$A$101, targetRow),
        IF(AND('26414_編集版 のコピー 2'!AL$1 &gt;= startDate, '26414_編集版 のコピー 2'!AL$1 &lt;= delLimit), 
          IFERROR(VLOOKUP(AL137, '新規'!$E$2:$H142, 4, 0), 
          IFERROR(VLOOKUP(AL137, '特殊配信マスタ'!$E$3:$H142, 4, 0), 
          IFERROR(VLOOKUP(AL137, '自動求人✅'!$C$3:$F142, 4, 0), prID))), 
        "")
      )
    )
  )
)</f>
        <v/>
      </c>
      <c r="AN137" s="141" t="str">
        <f t="shared" si="7"/>
        <v/>
      </c>
      <c r="AO137" s="141"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141"/>
      <c r="AQ137" s="141"/>
    </row>
    <row r="138" ht="17.25" customHeight="1">
      <c r="A138" s="142"/>
      <c r="B138" s="139"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140" t="str">
        <f t="array" ref="C138">IF(B138="", "", 
  LET(
    targetRow, IFERROR(MATCH(TRUE, BYROW('PR管理'!$J$4:$T$101, LAMBDA(r, COUNTIF(r, B138)&gt;0)), 0), 0),
    IF(targetRow=0, "",
      LET(
        startDate, INDEX('PR管理'!$C$4:$C$101, targetRow),
        delLimit, INDEX('PR管理'!$F$4:$F$101, targetRow),
        prID, INDEX('PR管理'!$A$4:$A$101, targetRow),
        IF(AND('26414_編集版 のコピー 2'!B$1 &gt;= startDate, '26414_編集版 のコピー 2'!B$1 &lt;= delLimit), 
          IFERROR(VLOOKUP(B138, '新規'!$E$2:$H142, 4, 0), 
          IFERROR(VLOOKUP(B138, '特殊配信マスタ'!$E$3:$H142, 4, 0), 
          IFERROR(VLOOKUP(B138, '自動求人✅'!$C$3:$F142, 4, 0), prID))), 
        "")
      )
    )
  )
)</f>
        <v/>
      </c>
      <c r="D138" s="141" t="str">
        <f t="shared" si="1"/>
        <v/>
      </c>
      <c r="E138" s="141"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141"/>
      <c r="G138" s="141"/>
      <c r="H138" s="139"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140" t="str">
        <f t="array" ref="I138">IF(H138="", "", 
  LET(
    targetRow, IFERROR(MATCH(TRUE, BYROW('PR管理'!$J$4:$T$101, LAMBDA(r, COUNTIF(r, H138)&gt;0)), 0), 0),
    IF(targetRow=0, "",
      LET(
        startDate, INDEX('PR管理'!$C$4:$C$101, targetRow),
        delLimit, INDEX('PR管理'!$F$4:$F$101, targetRow),
        prID, INDEX('PR管理'!$A$4:$A$101, targetRow),
        IF(AND('26414_編集版 のコピー 2'!H$1 &gt;= startDate, '26414_編集版 のコピー 2'!H$1 &lt;= delLimit), 
          IFERROR(VLOOKUP(H138, '新規'!$E$2:$H142, 4, 0), 
          IFERROR(VLOOKUP(H138, '特殊配信マスタ'!$E$3:$H142, 4, 0), 
          IFERROR(VLOOKUP(H138, '自動求人✅'!$C$3:$F142, 4, 0), prID))), 
        "")
      )
    )
  )
)</f>
        <v/>
      </c>
      <c r="J138" s="141" t="str">
        <f t="shared" si="2"/>
        <v/>
      </c>
      <c r="K138" s="141"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141"/>
      <c r="M138" s="141"/>
      <c r="N138" s="139"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140" t="str">
        <f t="array" ref="O138">IF(N138="", "", 
  LET(
    targetRow, IFERROR(MATCH(TRUE, BYROW('PR管理'!$J$4:$T$101, LAMBDA(r, COUNTIF(r, N138)&gt;0)), 0), 0),
    IF(targetRow=0, "",
      LET(
        startDate, INDEX('PR管理'!$C$4:$C$101, targetRow),
        delLimit, INDEX('PR管理'!$F$4:$F$101, targetRow),
        prID, INDEX('PR管理'!$A$4:$A$101, targetRow),
        IF(AND('26414_編集版 のコピー 2'!N$1 &gt;= startDate, '26414_編集版 のコピー 2'!N$1 &lt;= delLimit), 
          IFERROR(VLOOKUP(N138, '新規'!$E$2:$H142, 4, 0), 
          IFERROR(VLOOKUP(N138, '特殊配信マスタ'!$E$3:$H142, 4, 0), 
          IFERROR(VLOOKUP(N138, '自動求人✅'!$C$3:$F142, 4, 0), prID))), 
        "")
      )
    )
  )
)</f>
        <v/>
      </c>
      <c r="P138" s="141" t="str">
        <f t="shared" si="3"/>
        <v/>
      </c>
      <c r="Q138" s="141"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141"/>
      <c r="S138" s="141"/>
      <c r="T138" s="139"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140" t="str">
        <f t="array" ref="U138">IF(T138="", "", 
  LET(
    targetRow, IFERROR(MATCH(TRUE, BYROW('PR管理'!$J$4:$T$101, LAMBDA(r, COUNTIF(r, T138)&gt;0)), 0), 0),
    IF(targetRow=0, "",
      LET(
        startDate, INDEX('PR管理'!$C$4:$C$101, targetRow),
        delLimit, INDEX('PR管理'!$F$4:$F$101, targetRow),
        prID, INDEX('PR管理'!$A$4:$A$101, targetRow),
        IF(AND('26414_編集版 のコピー 2'!T$1 &gt;= startDate, '26414_編集版 のコピー 2'!T$1 &lt;= delLimit), 
          IFERROR(VLOOKUP(T138, '新規'!$E$2:$H142, 4, 0), 
          IFERROR(VLOOKUP(T138, '特殊配信マスタ'!$E$3:$H142, 4, 0), 
          IFERROR(VLOOKUP(T138, '自動求人✅'!$C$3:$F142, 4, 0), prID))), 
        "")
      )
    )
  )
)</f>
        <v/>
      </c>
      <c r="V138" s="141" t="str">
        <f t="shared" si="4"/>
        <v/>
      </c>
      <c r="W138" s="141"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141"/>
      <c r="Y138" s="141"/>
      <c r="Z138" s="139"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140" t="str">
        <f t="array" ref="AA138">IF(Z138="", "", 
  LET(
    targetRow, IFERROR(MATCH(TRUE, BYROW('PR管理'!$J$4:$T$101, LAMBDA(r, COUNTIF(r, Z138)&gt;0)), 0), 0),
    IF(targetRow=0, "",
      LET(
        startDate, INDEX('PR管理'!$C$4:$C$101, targetRow),
        delLimit, INDEX('PR管理'!$F$4:$F$101, targetRow),
        prID, INDEX('PR管理'!$A$4:$A$101, targetRow),
        IF(AND('26414_編集版 のコピー 2'!Z$1 &gt;= startDate, '26414_編集版 のコピー 2'!Z$1 &lt;= delLimit), 
          IFERROR(VLOOKUP(Z138, '新規'!$E$2:$H142, 4, 0), 
          IFERROR(VLOOKUP(Z138, '特殊配信マスタ'!$E$3:$H142, 4, 0), 
          IFERROR(VLOOKUP(Z138, '自動求人✅'!$C$3:$F142, 4, 0), prID))), 
        "")
      )
    )
  )
)</f>
        <v/>
      </c>
      <c r="AB138" s="141" t="str">
        <f t="shared" si="5"/>
        <v/>
      </c>
      <c r="AC138" s="141"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141"/>
      <c r="AE138" s="141"/>
      <c r="AF138" s="139"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140" t="str">
        <f t="array" ref="AG138">IF(AF138="", "", 
  LET(
    targetRow, IFERROR(MATCH(TRUE, BYROW('PR管理'!$J$4:$T$101, LAMBDA(r, COUNTIF(r, AF138)&gt;0)), 0), 0),
    IF(targetRow=0, "",
      LET(
        startDate, INDEX('PR管理'!$C$4:$C$101, targetRow),
        delLimit, INDEX('PR管理'!$F$4:$F$101, targetRow),
        prID, INDEX('PR管理'!$A$4:$A$101, targetRow),
        IF(AND('26414_編集版 のコピー 2'!AF$1 &gt;= startDate, '26414_編集版 のコピー 2'!AF$1 &lt;= delLimit), 
          IFERROR(VLOOKUP(AF138, '新規'!$E$2:$H142, 4, 0), 
          IFERROR(VLOOKUP(AF138, '特殊配信マスタ'!$E$3:$H142, 4, 0), 
          IFERROR(VLOOKUP(AF138, '自動求人✅'!$C$3:$F142, 4, 0), prID))), 
        "")
      )
    )
  )
)</f>
        <v/>
      </c>
      <c r="AH138" s="141" t="str">
        <f t="shared" si="6"/>
        <v/>
      </c>
      <c r="AI138" s="141"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141"/>
      <c r="AK138" s="141"/>
      <c r="AL138" s="139"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140" t="str">
        <f t="array" ref="AM138">IF(AL138="", "", 
  LET(
    targetRow, IFERROR(MATCH(TRUE, BYROW('PR管理'!$J$4:$T$101, LAMBDA(r, COUNTIF(r, AL138)&gt;0)), 0), 0),
    IF(targetRow=0, "",
      LET(
        startDate, INDEX('PR管理'!$C$4:$C$101, targetRow),
        delLimit, INDEX('PR管理'!$F$4:$F$101, targetRow),
        prID, INDEX('PR管理'!$A$4:$A$101, targetRow),
        IF(AND('26414_編集版 のコピー 2'!AL$1 &gt;= startDate, '26414_編集版 のコピー 2'!AL$1 &lt;= delLimit), 
          IFERROR(VLOOKUP(AL138, '新規'!$E$2:$H142, 4, 0), 
          IFERROR(VLOOKUP(AL138, '特殊配信マスタ'!$E$3:$H142, 4, 0), 
          IFERROR(VLOOKUP(AL138, '自動求人✅'!$C$3:$F142, 4, 0), prID))), 
        "")
      )
    )
  )
)</f>
        <v/>
      </c>
      <c r="AN138" s="141" t="str">
        <f t="shared" si="7"/>
        <v/>
      </c>
      <c r="AO138" s="141"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141"/>
      <c r="AQ138" s="141"/>
    </row>
    <row r="139" ht="17.25" customHeight="1">
      <c r="A139" s="142"/>
      <c r="B139" s="139"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140" t="str">
        <f t="array" ref="C139">IF(B139="", "", 
  LET(
    targetRow, IFERROR(MATCH(TRUE, BYROW('PR管理'!$J$4:$T$101, LAMBDA(r, COUNTIF(r, B139)&gt;0)), 0), 0),
    IF(targetRow=0, "",
      LET(
        startDate, INDEX('PR管理'!$C$4:$C$101, targetRow),
        delLimit, INDEX('PR管理'!$F$4:$F$101, targetRow),
        prID, INDEX('PR管理'!$A$4:$A$101, targetRow),
        IF(AND('26414_編集版 のコピー 2'!B$1 &gt;= startDate, '26414_編集版 のコピー 2'!B$1 &lt;= delLimit), 
          IFERROR(VLOOKUP(B139, '新規'!$E$2:$H142, 4, 0), 
          IFERROR(VLOOKUP(B139, '特殊配信マスタ'!$E$3:$H142, 4, 0), 
          IFERROR(VLOOKUP(B139, '自動求人✅'!$C$3:$F142, 4, 0), prID))), 
        "")
      )
    )
  )
)</f>
        <v/>
      </c>
      <c r="D139" s="141" t="str">
        <f t="shared" si="1"/>
        <v/>
      </c>
      <c r="E139" s="141"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141"/>
      <c r="G139" s="141"/>
      <c r="H139" s="139"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140" t="str">
        <f t="array" ref="I139">IF(H139="", "", 
  LET(
    targetRow, IFERROR(MATCH(TRUE, BYROW('PR管理'!$J$4:$T$101, LAMBDA(r, COUNTIF(r, H139)&gt;0)), 0), 0),
    IF(targetRow=0, "",
      LET(
        startDate, INDEX('PR管理'!$C$4:$C$101, targetRow),
        delLimit, INDEX('PR管理'!$F$4:$F$101, targetRow),
        prID, INDEX('PR管理'!$A$4:$A$101, targetRow),
        IF(AND('26414_編集版 のコピー 2'!H$1 &gt;= startDate, '26414_編集版 のコピー 2'!H$1 &lt;= delLimit), 
          IFERROR(VLOOKUP(H139, '新規'!$E$2:$H142, 4, 0), 
          IFERROR(VLOOKUP(H139, '特殊配信マスタ'!$E$3:$H142, 4, 0), 
          IFERROR(VLOOKUP(H139, '自動求人✅'!$C$3:$F142, 4, 0), prID))), 
        "")
      )
    )
  )
)</f>
        <v/>
      </c>
      <c r="J139" s="141" t="str">
        <f t="shared" si="2"/>
        <v/>
      </c>
      <c r="K139" s="141"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141"/>
      <c r="M139" s="141"/>
      <c r="N139" s="139"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140" t="str">
        <f t="array" ref="O139">IF(N139="", "", 
  LET(
    targetRow, IFERROR(MATCH(TRUE, BYROW('PR管理'!$J$4:$T$101, LAMBDA(r, COUNTIF(r, N139)&gt;0)), 0), 0),
    IF(targetRow=0, "",
      LET(
        startDate, INDEX('PR管理'!$C$4:$C$101, targetRow),
        delLimit, INDEX('PR管理'!$F$4:$F$101, targetRow),
        prID, INDEX('PR管理'!$A$4:$A$101, targetRow),
        IF(AND('26414_編集版 のコピー 2'!N$1 &gt;= startDate, '26414_編集版 のコピー 2'!N$1 &lt;= delLimit), 
          IFERROR(VLOOKUP(N139, '新規'!$E$2:$H142, 4, 0), 
          IFERROR(VLOOKUP(N139, '特殊配信マスタ'!$E$3:$H142, 4, 0), 
          IFERROR(VLOOKUP(N139, '自動求人✅'!$C$3:$F142, 4, 0), prID))), 
        "")
      )
    )
  )
)</f>
        <v/>
      </c>
      <c r="P139" s="141" t="str">
        <f t="shared" si="3"/>
        <v/>
      </c>
      <c r="Q139" s="141"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141"/>
      <c r="S139" s="141"/>
      <c r="T139" s="139"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140" t="str">
        <f t="array" ref="U139">IF(T139="", "", 
  LET(
    targetRow, IFERROR(MATCH(TRUE, BYROW('PR管理'!$J$4:$T$101, LAMBDA(r, COUNTIF(r, T139)&gt;0)), 0), 0),
    IF(targetRow=0, "",
      LET(
        startDate, INDEX('PR管理'!$C$4:$C$101, targetRow),
        delLimit, INDEX('PR管理'!$F$4:$F$101, targetRow),
        prID, INDEX('PR管理'!$A$4:$A$101, targetRow),
        IF(AND('26414_編集版 のコピー 2'!T$1 &gt;= startDate, '26414_編集版 のコピー 2'!T$1 &lt;= delLimit), 
          IFERROR(VLOOKUP(T139, '新規'!$E$2:$H142, 4, 0), 
          IFERROR(VLOOKUP(T139, '特殊配信マスタ'!$E$3:$H142, 4, 0), 
          IFERROR(VLOOKUP(T139, '自動求人✅'!$C$3:$F142, 4, 0), prID))), 
        "")
      )
    )
  )
)</f>
        <v/>
      </c>
      <c r="V139" s="141" t="str">
        <f t="shared" si="4"/>
        <v/>
      </c>
      <c r="W139" s="141"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141"/>
      <c r="Y139" s="141"/>
      <c r="Z139" s="139"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140" t="str">
        <f t="array" ref="AA139">IF(Z139="", "", 
  LET(
    targetRow, IFERROR(MATCH(TRUE, BYROW('PR管理'!$J$4:$T$101, LAMBDA(r, COUNTIF(r, Z139)&gt;0)), 0), 0),
    IF(targetRow=0, "",
      LET(
        startDate, INDEX('PR管理'!$C$4:$C$101, targetRow),
        delLimit, INDEX('PR管理'!$F$4:$F$101, targetRow),
        prID, INDEX('PR管理'!$A$4:$A$101, targetRow),
        IF(AND('26414_編集版 のコピー 2'!Z$1 &gt;= startDate, '26414_編集版 のコピー 2'!Z$1 &lt;= delLimit), 
          IFERROR(VLOOKUP(Z139, '新規'!$E$2:$H142, 4, 0), 
          IFERROR(VLOOKUP(Z139, '特殊配信マスタ'!$E$3:$H142, 4, 0), 
          IFERROR(VLOOKUP(Z139, '自動求人✅'!$C$3:$F142, 4, 0), prID))), 
        "")
      )
    )
  )
)</f>
        <v/>
      </c>
      <c r="AB139" s="141" t="str">
        <f t="shared" si="5"/>
        <v/>
      </c>
      <c r="AC139" s="141"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141"/>
      <c r="AE139" s="141"/>
      <c r="AF139" s="139"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140" t="str">
        <f t="array" ref="AG139">IF(AF139="", "", 
  LET(
    targetRow, IFERROR(MATCH(TRUE, BYROW('PR管理'!$J$4:$T$101, LAMBDA(r, COUNTIF(r, AF139)&gt;0)), 0), 0),
    IF(targetRow=0, "",
      LET(
        startDate, INDEX('PR管理'!$C$4:$C$101, targetRow),
        delLimit, INDEX('PR管理'!$F$4:$F$101, targetRow),
        prID, INDEX('PR管理'!$A$4:$A$101, targetRow),
        IF(AND('26414_編集版 のコピー 2'!AF$1 &gt;= startDate, '26414_編集版 のコピー 2'!AF$1 &lt;= delLimit), 
          IFERROR(VLOOKUP(AF139, '新規'!$E$2:$H142, 4, 0), 
          IFERROR(VLOOKUP(AF139, '特殊配信マスタ'!$E$3:$H142, 4, 0), 
          IFERROR(VLOOKUP(AF139, '自動求人✅'!$C$3:$F142, 4, 0), prID))), 
        "")
      )
    )
  )
)</f>
        <v/>
      </c>
      <c r="AH139" s="141" t="str">
        <f t="shared" si="6"/>
        <v/>
      </c>
      <c r="AI139" s="141"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141"/>
      <c r="AK139" s="141"/>
      <c r="AL139" s="139"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140" t="str">
        <f t="array" ref="AM139">IF(AL139="", "", 
  LET(
    targetRow, IFERROR(MATCH(TRUE, BYROW('PR管理'!$J$4:$T$101, LAMBDA(r, COUNTIF(r, AL139)&gt;0)), 0), 0),
    IF(targetRow=0, "",
      LET(
        startDate, INDEX('PR管理'!$C$4:$C$101, targetRow),
        delLimit, INDEX('PR管理'!$F$4:$F$101, targetRow),
        prID, INDEX('PR管理'!$A$4:$A$101, targetRow),
        IF(AND('26414_編集版 のコピー 2'!AL$1 &gt;= startDate, '26414_編集版 のコピー 2'!AL$1 &lt;= delLimit), 
          IFERROR(VLOOKUP(AL139, '新規'!$E$2:$H142, 4, 0), 
          IFERROR(VLOOKUP(AL139, '特殊配信マスタ'!$E$3:$H142, 4, 0), 
          IFERROR(VLOOKUP(AL139, '自動求人✅'!$C$3:$F142, 4, 0), prID))), 
        "")
      )
    )
  )
)</f>
        <v/>
      </c>
      <c r="AN139" s="141" t="str">
        <f t="shared" si="7"/>
        <v/>
      </c>
      <c r="AO139" s="141"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141"/>
      <c r="AQ139" s="141"/>
    </row>
    <row r="140" ht="17.25" customHeight="1">
      <c r="A140" s="142"/>
      <c r="B140" s="139"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140" t="str">
        <f t="array" ref="C140">IF(B140="", "", 
  LET(
    targetRow, IFERROR(MATCH(TRUE, BYROW('PR管理'!$J$4:$T$101, LAMBDA(r, COUNTIF(r, B140)&gt;0)), 0), 0),
    IF(targetRow=0, "",
      LET(
        startDate, INDEX('PR管理'!$C$4:$C$101, targetRow),
        delLimit, INDEX('PR管理'!$F$4:$F$101, targetRow),
        prID, INDEX('PR管理'!$A$4:$A$101, targetRow),
        IF(AND('26414_編集版 のコピー 2'!B$1 &gt;= startDate, '26414_編集版 のコピー 2'!B$1 &lt;= delLimit), 
          IFERROR(VLOOKUP(B140, '新規'!$E$2:$H142, 4, 0), 
          IFERROR(VLOOKUP(B140, '特殊配信マスタ'!$E$3:$H142, 4, 0), 
          IFERROR(VLOOKUP(B140, '自動求人✅'!$C$3:$F142, 4, 0), prID))), 
        "")
      )
    )
  )
)</f>
        <v/>
      </c>
      <c r="D140" s="141" t="str">
        <f t="shared" si="1"/>
        <v/>
      </c>
      <c r="E140" s="141"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141"/>
      <c r="G140" s="141"/>
      <c r="H140" s="139"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140" t="str">
        <f t="array" ref="I140">IF(H140="", "", 
  LET(
    targetRow, IFERROR(MATCH(TRUE, BYROW('PR管理'!$J$4:$T$101, LAMBDA(r, COUNTIF(r, H140)&gt;0)), 0), 0),
    IF(targetRow=0, "",
      LET(
        startDate, INDEX('PR管理'!$C$4:$C$101, targetRow),
        delLimit, INDEX('PR管理'!$F$4:$F$101, targetRow),
        prID, INDEX('PR管理'!$A$4:$A$101, targetRow),
        IF(AND('26414_編集版 のコピー 2'!H$1 &gt;= startDate, '26414_編集版 のコピー 2'!H$1 &lt;= delLimit), 
          IFERROR(VLOOKUP(H140, '新規'!$E$2:$H142, 4, 0), 
          IFERROR(VLOOKUP(H140, '特殊配信マスタ'!$E$3:$H142, 4, 0), 
          IFERROR(VLOOKUP(H140, '自動求人✅'!$C$3:$F142, 4, 0), prID))), 
        "")
      )
    )
  )
)</f>
        <v/>
      </c>
      <c r="J140" s="141" t="str">
        <f t="shared" si="2"/>
        <v/>
      </c>
      <c r="K140" s="141"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141"/>
      <c r="M140" s="141"/>
      <c r="N140" s="139"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140" t="str">
        <f t="array" ref="O140">IF(N140="", "", 
  LET(
    targetRow, IFERROR(MATCH(TRUE, BYROW('PR管理'!$J$4:$T$101, LAMBDA(r, COUNTIF(r, N140)&gt;0)), 0), 0),
    IF(targetRow=0, "",
      LET(
        startDate, INDEX('PR管理'!$C$4:$C$101, targetRow),
        delLimit, INDEX('PR管理'!$F$4:$F$101, targetRow),
        prID, INDEX('PR管理'!$A$4:$A$101, targetRow),
        IF(AND('26414_編集版 のコピー 2'!N$1 &gt;= startDate, '26414_編集版 のコピー 2'!N$1 &lt;= delLimit), 
          IFERROR(VLOOKUP(N140, '新規'!$E$2:$H142, 4, 0), 
          IFERROR(VLOOKUP(N140, '特殊配信マスタ'!$E$3:$H142, 4, 0), 
          IFERROR(VLOOKUP(N140, '自動求人✅'!$C$3:$F142, 4, 0), prID))), 
        "")
      )
    )
  )
)</f>
        <v/>
      </c>
      <c r="P140" s="141" t="str">
        <f t="shared" si="3"/>
        <v/>
      </c>
      <c r="Q140" s="141"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141"/>
      <c r="S140" s="141"/>
      <c r="T140" s="139"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140" t="str">
        <f t="array" ref="U140">IF(T140="", "", 
  LET(
    targetRow, IFERROR(MATCH(TRUE, BYROW('PR管理'!$J$4:$T$101, LAMBDA(r, COUNTIF(r, T140)&gt;0)), 0), 0),
    IF(targetRow=0, "",
      LET(
        startDate, INDEX('PR管理'!$C$4:$C$101, targetRow),
        delLimit, INDEX('PR管理'!$F$4:$F$101, targetRow),
        prID, INDEX('PR管理'!$A$4:$A$101, targetRow),
        IF(AND('26414_編集版 のコピー 2'!T$1 &gt;= startDate, '26414_編集版 のコピー 2'!T$1 &lt;= delLimit), 
          IFERROR(VLOOKUP(T140, '新規'!$E$2:$H142, 4, 0), 
          IFERROR(VLOOKUP(T140, '特殊配信マスタ'!$E$3:$H142, 4, 0), 
          IFERROR(VLOOKUP(T140, '自動求人✅'!$C$3:$F142, 4, 0), prID))), 
        "")
      )
    )
  )
)</f>
        <v/>
      </c>
      <c r="V140" s="141" t="str">
        <f t="shared" si="4"/>
        <v/>
      </c>
      <c r="W140" s="141"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141"/>
      <c r="Y140" s="141"/>
      <c r="Z140" s="139"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140" t="str">
        <f t="array" ref="AA140">IF(Z140="", "", 
  LET(
    targetRow, IFERROR(MATCH(TRUE, BYROW('PR管理'!$J$4:$T$101, LAMBDA(r, COUNTIF(r, Z140)&gt;0)), 0), 0),
    IF(targetRow=0, "",
      LET(
        startDate, INDEX('PR管理'!$C$4:$C$101, targetRow),
        delLimit, INDEX('PR管理'!$F$4:$F$101, targetRow),
        prID, INDEX('PR管理'!$A$4:$A$101, targetRow),
        IF(AND('26414_編集版 のコピー 2'!Z$1 &gt;= startDate, '26414_編集版 のコピー 2'!Z$1 &lt;= delLimit), 
          IFERROR(VLOOKUP(Z140, '新規'!$E$2:$H142, 4, 0), 
          IFERROR(VLOOKUP(Z140, '特殊配信マスタ'!$E$3:$H142, 4, 0), 
          IFERROR(VLOOKUP(Z140, '自動求人✅'!$C$3:$F142, 4, 0), prID))), 
        "")
      )
    )
  )
)</f>
        <v/>
      </c>
      <c r="AB140" s="141" t="str">
        <f t="shared" si="5"/>
        <v/>
      </c>
      <c r="AC140" s="141"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141"/>
      <c r="AE140" s="141"/>
      <c r="AF140" s="139"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140" t="str">
        <f t="array" ref="AG140">IF(AF140="", "", 
  LET(
    targetRow, IFERROR(MATCH(TRUE, BYROW('PR管理'!$J$4:$T$101, LAMBDA(r, COUNTIF(r, AF140)&gt;0)), 0), 0),
    IF(targetRow=0, "",
      LET(
        startDate, INDEX('PR管理'!$C$4:$C$101, targetRow),
        delLimit, INDEX('PR管理'!$F$4:$F$101, targetRow),
        prID, INDEX('PR管理'!$A$4:$A$101, targetRow),
        IF(AND('26414_編集版 のコピー 2'!AF$1 &gt;= startDate, '26414_編集版 のコピー 2'!AF$1 &lt;= delLimit), 
          IFERROR(VLOOKUP(AF140, '新規'!$E$2:$H142, 4, 0), 
          IFERROR(VLOOKUP(AF140, '特殊配信マスタ'!$E$3:$H142, 4, 0), 
          IFERROR(VLOOKUP(AF140, '自動求人✅'!$C$3:$F142, 4, 0), prID))), 
        "")
      )
    )
  )
)</f>
        <v/>
      </c>
      <c r="AH140" s="141" t="str">
        <f t="shared" si="6"/>
        <v/>
      </c>
      <c r="AI140" s="141"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141"/>
      <c r="AK140" s="141"/>
      <c r="AL140" s="139"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140" t="str">
        <f t="array" ref="AM140">IF(AL140="", "", 
  LET(
    targetRow, IFERROR(MATCH(TRUE, BYROW('PR管理'!$J$4:$T$101, LAMBDA(r, COUNTIF(r, AL140)&gt;0)), 0), 0),
    IF(targetRow=0, "",
      LET(
        startDate, INDEX('PR管理'!$C$4:$C$101, targetRow),
        delLimit, INDEX('PR管理'!$F$4:$F$101, targetRow),
        prID, INDEX('PR管理'!$A$4:$A$101, targetRow),
        IF(AND('26414_編集版 のコピー 2'!AL$1 &gt;= startDate, '26414_編集版 のコピー 2'!AL$1 &lt;= delLimit), 
          IFERROR(VLOOKUP(AL140, '新規'!$E$2:$H142, 4, 0), 
          IFERROR(VLOOKUP(AL140, '特殊配信マスタ'!$E$3:$H142, 4, 0), 
          IFERROR(VLOOKUP(AL140, '自動求人✅'!$C$3:$F142, 4, 0), prID))), 
        "")
      )
    )
  )
)</f>
        <v/>
      </c>
      <c r="AN140" s="141" t="str">
        <f t="shared" si="7"/>
        <v/>
      </c>
      <c r="AO140" s="141"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141"/>
      <c r="AQ140" s="141"/>
    </row>
    <row r="141" ht="17.25" customHeight="1">
      <c r="A141" s="142"/>
      <c r="B141" s="139"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140" t="str">
        <f t="array" ref="C141">IF(B141="", "", 
  LET(
    targetRow, IFERROR(MATCH(TRUE, BYROW('PR管理'!$J$4:$T$101, LAMBDA(r, COUNTIF(r, B141)&gt;0)), 0), 0),
    IF(targetRow=0, "",
      LET(
        startDate, INDEX('PR管理'!$C$4:$C$101, targetRow),
        delLimit, INDEX('PR管理'!$F$4:$F$101, targetRow),
        prID, INDEX('PR管理'!$A$4:$A$101, targetRow),
        IF(AND('26414_編集版 のコピー 2'!B$1 &gt;= startDate, '26414_編集版 のコピー 2'!B$1 &lt;= delLimit), 
          IFERROR(VLOOKUP(B141, '新規'!$E$2:$H142, 4, 0), 
          IFERROR(VLOOKUP(B141, '特殊配信マスタ'!$E$3:$H142, 4, 0), 
          IFERROR(VLOOKUP(B141, '自動求人✅'!$C$3:$F142, 4, 0), prID))), 
        "")
      )
    )
  )
)</f>
        <v/>
      </c>
      <c r="D141" s="141" t="str">
        <f t="shared" si="1"/>
        <v/>
      </c>
      <c r="E141" s="141"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141"/>
      <c r="G141" s="141"/>
      <c r="H141" s="139"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140" t="str">
        <f t="array" ref="I141">IF(H141="", "", 
  LET(
    targetRow, IFERROR(MATCH(TRUE, BYROW('PR管理'!$J$4:$T$101, LAMBDA(r, COUNTIF(r, H141)&gt;0)), 0), 0),
    IF(targetRow=0, "",
      LET(
        startDate, INDEX('PR管理'!$C$4:$C$101, targetRow),
        delLimit, INDEX('PR管理'!$F$4:$F$101, targetRow),
        prID, INDEX('PR管理'!$A$4:$A$101, targetRow),
        IF(AND('26414_編集版 のコピー 2'!H$1 &gt;= startDate, '26414_編集版 のコピー 2'!H$1 &lt;= delLimit), 
          IFERROR(VLOOKUP(H141, '新規'!$E$2:$H142, 4, 0), 
          IFERROR(VLOOKUP(H141, '特殊配信マスタ'!$E$3:$H142, 4, 0), 
          IFERROR(VLOOKUP(H141, '自動求人✅'!$C$3:$F142, 4, 0), prID))), 
        "")
      )
    )
  )
)</f>
        <v/>
      </c>
      <c r="J141" s="141" t="str">
        <f t="shared" si="2"/>
        <v/>
      </c>
      <c r="K141" s="141"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141"/>
      <c r="M141" s="141"/>
      <c r="N141" s="139"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140" t="str">
        <f t="array" ref="O141">IF(N141="", "", 
  LET(
    targetRow, IFERROR(MATCH(TRUE, BYROW('PR管理'!$J$4:$T$101, LAMBDA(r, COUNTIF(r, N141)&gt;0)), 0), 0),
    IF(targetRow=0, "",
      LET(
        startDate, INDEX('PR管理'!$C$4:$C$101, targetRow),
        delLimit, INDEX('PR管理'!$F$4:$F$101, targetRow),
        prID, INDEX('PR管理'!$A$4:$A$101, targetRow),
        IF(AND('26414_編集版 のコピー 2'!N$1 &gt;= startDate, '26414_編集版 のコピー 2'!N$1 &lt;= delLimit), 
          IFERROR(VLOOKUP(N141, '新規'!$E$2:$H142, 4, 0), 
          IFERROR(VLOOKUP(N141, '特殊配信マスタ'!$E$3:$H142, 4, 0), 
          IFERROR(VLOOKUP(N141, '自動求人✅'!$C$3:$F142, 4, 0), prID))), 
        "")
      )
    )
  )
)</f>
        <v/>
      </c>
      <c r="P141" s="141" t="str">
        <f t="shared" si="3"/>
        <v/>
      </c>
      <c r="Q141" s="141"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141"/>
      <c r="S141" s="141"/>
      <c r="T141" s="139"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140" t="str">
        <f t="array" ref="U141">IF(T141="", "", 
  LET(
    targetRow, IFERROR(MATCH(TRUE, BYROW('PR管理'!$J$4:$T$101, LAMBDA(r, COUNTIF(r, T141)&gt;0)), 0), 0),
    IF(targetRow=0, "",
      LET(
        startDate, INDEX('PR管理'!$C$4:$C$101, targetRow),
        delLimit, INDEX('PR管理'!$F$4:$F$101, targetRow),
        prID, INDEX('PR管理'!$A$4:$A$101, targetRow),
        IF(AND('26414_編集版 のコピー 2'!T$1 &gt;= startDate, '26414_編集版 のコピー 2'!T$1 &lt;= delLimit), 
          IFERROR(VLOOKUP(T141, '新規'!$E$2:$H142, 4, 0), 
          IFERROR(VLOOKUP(T141, '特殊配信マスタ'!$E$3:$H142, 4, 0), 
          IFERROR(VLOOKUP(T141, '自動求人✅'!$C$3:$F142, 4, 0), prID))), 
        "")
      )
    )
  )
)</f>
        <v/>
      </c>
      <c r="V141" s="141" t="str">
        <f t="shared" si="4"/>
        <v/>
      </c>
      <c r="W141" s="141"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141"/>
      <c r="Y141" s="141"/>
      <c r="Z141" s="139"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140" t="str">
        <f t="array" ref="AA141">IF(Z141="", "", 
  LET(
    targetRow, IFERROR(MATCH(TRUE, BYROW('PR管理'!$J$4:$T$101, LAMBDA(r, COUNTIF(r, Z141)&gt;0)), 0), 0),
    IF(targetRow=0, "",
      LET(
        startDate, INDEX('PR管理'!$C$4:$C$101, targetRow),
        delLimit, INDEX('PR管理'!$F$4:$F$101, targetRow),
        prID, INDEX('PR管理'!$A$4:$A$101, targetRow),
        IF(AND('26414_編集版 のコピー 2'!Z$1 &gt;= startDate, '26414_編集版 のコピー 2'!Z$1 &lt;= delLimit), 
          IFERROR(VLOOKUP(Z141, '新規'!$E$2:$H142, 4, 0), 
          IFERROR(VLOOKUP(Z141, '特殊配信マスタ'!$E$3:$H142, 4, 0), 
          IFERROR(VLOOKUP(Z141, '自動求人✅'!$C$3:$F142, 4, 0), prID))), 
        "")
      )
    )
  )
)</f>
        <v/>
      </c>
      <c r="AB141" s="141" t="str">
        <f t="shared" si="5"/>
        <v/>
      </c>
      <c r="AC141" s="141"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141"/>
      <c r="AE141" s="141"/>
      <c r="AF141" s="139"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140" t="str">
        <f t="array" ref="AG141">IF(AF141="", "", 
  LET(
    targetRow, IFERROR(MATCH(TRUE, BYROW('PR管理'!$J$4:$T$101, LAMBDA(r, COUNTIF(r, AF141)&gt;0)), 0), 0),
    IF(targetRow=0, "",
      LET(
        startDate, INDEX('PR管理'!$C$4:$C$101, targetRow),
        delLimit, INDEX('PR管理'!$F$4:$F$101, targetRow),
        prID, INDEX('PR管理'!$A$4:$A$101, targetRow),
        IF(AND('26414_編集版 のコピー 2'!AF$1 &gt;= startDate, '26414_編集版 のコピー 2'!AF$1 &lt;= delLimit), 
          IFERROR(VLOOKUP(AF141, '新規'!$E$2:$H142, 4, 0), 
          IFERROR(VLOOKUP(AF141, '特殊配信マスタ'!$E$3:$H142, 4, 0), 
          IFERROR(VLOOKUP(AF141, '自動求人✅'!$C$3:$F142, 4, 0), prID))), 
        "")
      )
    )
  )
)</f>
        <v/>
      </c>
      <c r="AH141" s="141" t="str">
        <f t="shared" si="6"/>
        <v/>
      </c>
      <c r="AI141" s="141"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141"/>
      <c r="AK141" s="141"/>
      <c r="AL141" s="139"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140" t="str">
        <f t="array" ref="AM141">IF(AL141="", "", 
  LET(
    targetRow, IFERROR(MATCH(TRUE, BYROW('PR管理'!$J$4:$T$101, LAMBDA(r, COUNTIF(r, AL141)&gt;0)), 0), 0),
    IF(targetRow=0, "",
      LET(
        startDate, INDEX('PR管理'!$C$4:$C$101, targetRow),
        delLimit, INDEX('PR管理'!$F$4:$F$101, targetRow),
        prID, INDEX('PR管理'!$A$4:$A$101, targetRow),
        IF(AND('26414_編集版 のコピー 2'!AL$1 &gt;= startDate, '26414_編集版 のコピー 2'!AL$1 &lt;= delLimit), 
          IFERROR(VLOOKUP(AL141, '新規'!$E$2:$H142, 4, 0), 
          IFERROR(VLOOKUP(AL141, '特殊配信マスタ'!$E$3:$H142, 4, 0), 
          IFERROR(VLOOKUP(AL141, '自動求人✅'!$C$3:$F142, 4, 0), prID))), 
        "")
      )
    )
  )
)</f>
        <v/>
      </c>
      <c r="AN141" s="141" t="str">
        <f t="shared" si="7"/>
        <v/>
      </c>
      <c r="AO141" s="141"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141"/>
      <c r="AQ141" s="141"/>
    </row>
    <row r="142" ht="17.25" customHeight="1">
      <c r="A142" s="142"/>
      <c r="B142" s="139"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140" t="str">
        <f t="array" ref="C142">IF(B142="", "", 
  LET(
    targetRow, IFERROR(MATCH(TRUE, BYROW('PR管理'!$J$4:$T$101, LAMBDA(r, COUNTIF(r, B142)&gt;0)), 0), 0),
    IF(targetRow=0, "",
      LET(
        startDate, INDEX('PR管理'!$C$4:$C$101, targetRow),
        delLimit, INDEX('PR管理'!$F$4:$F$101, targetRow),
        prID, INDEX('PR管理'!$A$4:$A$101, targetRow),
        IF(AND('26414_編集版 のコピー 2'!B$1 &gt;= startDate, '26414_編集版 のコピー 2'!B$1 &lt;= delLimit), 
          IFERROR(VLOOKUP(B142, '新規'!$E$2:$H142, 4, 0), 
          IFERROR(VLOOKUP(B142, '特殊配信マスタ'!$E$3:$H142, 4, 0), 
          IFERROR(VLOOKUP(B142, '自動求人✅'!$C$3:$F142, 4, 0), prID))), 
        "")
      )
    )
  )
)</f>
        <v/>
      </c>
      <c r="D142" s="141" t="str">
        <f t="shared" si="1"/>
        <v/>
      </c>
      <c r="E142" s="141"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141"/>
      <c r="G142" s="141"/>
      <c r="H142" s="139"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140" t="str">
        <f t="array" ref="I142">IF(H142="", "", 
  LET(
    targetRow, IFERROR(MATCH(TRUE, BYROW('PR管理'!$J$4:$T$101, LAMBDA(r, COUNTIF(r, H142)&gt;0)), 0), 0),
    IF(targetRow=0, "",
      LET(
        startDate, INDEX('PR管理'!$C$4:$C$101, targetRow),
        delLimit, INDEX('PR管理'!$F$4:$F$101, targetRow),
        prID, INDEX('PR管理'!$A$4:$A$101, targetRow),
        IF(AND('26414_編集版 のコピー 2'!H$1 &gt;= startDate, '26414_編集版 のコピー 2'!H$1 &lt;= delLimit), 
          IFERROR(VLOOKUP(H142, '新規'!$E$2:$H142, 4, 0), 
          IFERROR(VLOOKUP(H142, '特殊配信マスタ'!$E$3:$H142, 4, 0), 
          IFERROR(VLOOKUP(H142, '自動求人✅'!$C$3:$F142, 4, 0), prID))), 
        "")
      )
    )
  )
)</f>
        <v/>
      </c>
      <c r="J142" s="141" t="str">
        <f t="shared" si="2"/>
        <v/>
      </c>
      <c r="K142" s="141"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141"/>
      <c r="M142" s="141"/>
      <c r="N142" s="139"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140" t="str">
        <f t="array" ref="O142">IF(N142="", "", 
  LET(
    targetRow, IFERROR(MATCH(TRUE, BYROW('PR管理'!$J$4:$T$101, LAMBDA(r, COUNTIF(r, N142)&gt;0)), 0), 0),
    IF(targetRow=0, "",
      LET(
        startDate, INDEX('PR管理'!$C$4:$C$101, targetRow),
        delLimit, INDEX('PR管理'!$F$4:$F$101, targetRow),
        prID, INDEX('PR管理'!$A$4:$A$101, targetRow),
        IF(AND('26414_編集版 のコピー 2'!N$1 &gt;= startDate, '26414_編集版 のコピー 2'!N$1 &lt;= delLimit), 
          IFERROR(VLOOKUP(N142, '新規'!$E$2:$H142, 4, 0), 
          IFERROR(VLOOKUP(N142, '特殊配信マスタ'!$E$3:$H142, 4, 0), 
          IFERROR(VLOOKUP(N142, '自動求人✅'!$C$3:$F142, 4, 0), prID))), 
        "")
      )
    )
  )
)</f>
        <v/>
      </c>
      <c r="P142" s="141" t="str">
        <f t="shared" si="3"/>
        <v/>
      </c>
      <c r="Q142" s="141"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141"/>
      <c r="S142" s="141"/>
      <c r="T142" s="139"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140" t="str">
        <f t="array" ref="U142">IF(T142="", "", 
  LET(
    targetRow, IFERROR(MATCH(TRUE, BYROW('PR管理'!$J$4:$T$101, LAMBDA(r, COUNTIF(r, T142)&gt;0)), 0), 0),
    IF(targetRow=0, "",
      LET(
        startDate, INDEX('PR管理'!$C$4:$C$101, targetRow),
        delLimit, INDEX('PR管理'!$F$4:$F$101, targetRow),
        prID, INDEX('PR管理'!$A$4:$A$101, targetRow),
        IF(AND('26414_編集版 のコピー 2'!T$1 &gt;= startDate, '26414_編集版 のコピー 2'!T$1 &lt;= delLimit), 
          IFERROR(VLOOKUP(T142, '新規'!$E$2:$H142, 4, 0), 
          IFERROR(VLOOKUP(T142, '特殊配信マスタ'!$E$3:$H142, 4, 0), 
          IFERROR(VLOOKUP(T142, '自動求人✅'!$C$3:$F142, 4, 0), prID))), 
        "")
      )
    )
  )
)</f>
        <v/>
      </c>
      <c r="V142" s="141" t="str">
        <f t="shared" si="4"/>
        <v/>
      </c>
      <c r="W142" s="141"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141"/>
      <c r="Y142" s="141"/>
      <c r="Z142" s="139"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140" t="str">
        <f t="array" ref="AA142">IF(Z142="", "", 
  LET(
    targetRow, IFERROR(MATCH(TRUE, BYROW('PR管理'!$J$4:$T$101, LAMBDA(r, COUNTIF(r, Z142)&gt;0)), 0), 0),
    IF(targetRow=0, "",
      LET(
        startDate, INDEX('PR管理'!$C$4:$C$101, targetRow),
        delLimit, INDEX('PR管理'!$F$4:$F$101, targetRow),
        prID, INDEX('PR管理'!$A$4:$A$101, targetRow),
        IF(AND('26414_編集版 のコピー 2'!Z$1 &gt;= startDate, '26414_編集版 のコピー 2'!Z$1 &lt;= delLimit), 
          IFERROR(VLOOKUP(Z142, '新規'!$E$2:$H142, 4, 0), 
          IFERROR(VLOOKUP(Z142, '特殊配信マスタ'!$E$3:$H142, 4, 0), 
          IFERROR(VLOOKUP(Z142, '自動求人✅'!$C$3:$F142, 4, 0), prID))), 
        "")
      )
    )
  )
)</f>
        <v/>
      </c>
      <c r="AB142" s="141" t="str">
        <f t="shared" si="5"/>
        <v/>
      </c>
      <c r="AC142" s="141"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141"/>
      <c r="AE142" s="141"/>
      <c r="AF142" s="139"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140" t="str">
        <f t="array" ref="AG142">IF(AF142="", "", 
  LET(
    targetRow, IFERROR(MATCH(TRUE, BYROW('PR管理'!$J$4:$T$101, LAMBDA(r, COUNTIF(r, AF142)&gt;0)), 0), 0),
    IF(targetRow=0, "",
      LET(
        startDate, INDEX('PR管理'!$C$4:$C$101, targetRow),
        delLimit, INDEX('PR管理'!$F$4:$F$101, targetRow),
        prID, INDEX('PR管理'!$A$4:$A$101, targetRow),
        IF(AND('26414_編集版 のコピー 2'!AF$1 &gt;= startDate, '26414_編集版 のコピー 2'!AF$1 &lt;= delLimit), 
          IFERROR(VLOOKUP(AF142, '新規'!$E$2:$H142, 4, 0), 
          IFERROR(VLOOKUP(AF142, '特殊配信マスタ'!$E$3:$H142, 4, 0), 
          IFERROR(VLOOKUP(AF142, '自動求人✅'!$C$3:$F142, 4, 0), prID))), 
        "")
      )
    )
  )
)</f>
        <v/>
      </c>
      <c r="AH142" s="141" t="str">
        <f t="shared" si="6"/>
        <v/>
      </c>
      <c r="AI142" s="141"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141"/>
      <c r="AK142" s="141"/>
      <c r="AL142" s="139"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140" t="str">
        <f t="array" ref="AM142">IF(AL142="", "", 
  LET(
    targetRow, IFERROR(MATCH(TRUE, BYROW('PR管理'!$J$4:$T$101, LAMBDA(r, COUNTIF(r, AL142)&gt;0)), 0), 0),
    IF(targetRow=0, "",
      LET(
        startDate, INDEX('PR管理'!$C$4:$C$101, targetRow),
        delLimit, INDEX('PR管理'!$F$4:$F$101, targetRow),
        prID, INDEX('PR管理'!$A$4:$A$101, targetRow),
        IF(AND('26414_編集版 のコピー 2'!AL$1 &gt;= startDate, '26414_編集版 のコピー 2'!AL$1 &lt;= delLimit), 
          IFERROR(VLOOKUP(AL142, '新規'!$E$2:$H142, 4, 0), 
          IFERROR(VLOOKUP(AL142, '特殊配信マスタ'!$E$3:$H142, 4, 0), 
          IFERROR(VLOOKUP(AL142, '自動求人✅'!$C$3:$F142, 4, 0), prID))), 
        "")
      )
    )
  )
)</f>
        <v/>
      </c>
      <c r="AN142" s="141" t="str">
        <f t="shared" si="7"/>
        <v/>
      </c>
      <c r="AO142" s="141"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141"/>
      <c r="AQ142" s="141"/>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6" priority="1" stopIfTrue="1">
      <formula>AND(B3&lt;&gt;"", COUNTIF(INDIRECT("'特殊配信マスタ'!$E:$E"), B3)&gt;0)</formula>
    </cfRule>
  </conditionalFormatting>
  <conditionalFormatting sqref="A3:B142 E3:H142 K3:N142 Q3:T142 W3:Z142 AC3:AF142 AI3:AL142 AO3:AQ142">
    <cfRule type="cellIs" dxfId="7" priority="2" operator="equal">
      <formula>"配信不可"</formula>
    </cfRule>
  </conditionalFormatting>
  <conditionalFormatting sqref="A3:B142 E3:H142 K3:N142 Q3:T142 W3:Z142 AC3:AF142 AI3:AL142 AO3:AQ142">
    <cfRule type="expression" dxfId="5" priority="3">
      <formula>AND(MOD(COLUMN()-3, 5)=0, IFERROR(VLOOKUP(B3, INDIRECT("リスト!$C$2:$O"), 13, FALSE), FALSE))</formula>
    </cfRule>
  </conditionalFormatting>
  <conditionalFormatting sqref="B3:B142 E3:H142 K3:N142 Q3:T142 W3:Z142 AC3:AF142 AI3:AL142 AO3:AQ142">
    <cfRule type="expression" dxfId="8" priority="4">
      <formula>AND(MOD(COLUMN(B3)-2, 5)=0, B3&lt;&gt;"", COUNTIF(INDIRECT("'新規'!$E:$E"), B3)&gt;0)</formula>
    </cfRule>
  </conditionalFormatting>
  <conditionalFormatting sqref="B3:B142 E3:H142 K3:N142 Q3:T142 W3:Z142 AC3:AF142 AI3:AL142 AO3:AQ142">
    <cfRule type="expression" dxfId="9" priority="5">
      <formula>AND(MOD(COLUMN(B3)-2, 5)=0, XLOOKUP(B3, INDIRECT("'リスト'!$E:$E"), INDIRECT("'リスト'!$G:$G")) = "隔週B")</formula>
    </cfRule>
  </conditionalFormatting>
  <conditionalFormatting sqref="B3:B142 E3:H142 K3:N142 Q3:T142 W3:Z142 AC3:AF142 AI3:AL142 AO3:AQ142">
    <cfRule type="expression" dxfId="10" priority="6" stopIfTrue="1">
      <formula>AND(MOD(COLUMN(B3)-2, 5)=0, XLOOKUP(B3, INDIRECT("'リスト'!$E:$E"), INDIRECT("'リスト'!$G:$G")) = "隔週A")</formula>
    </cfRule>
  </conditionalFormatting>
  <conditionalFormatting sqref="A1:AQ142">
    <cfRule type="cellIs" dxfId="11"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0"/>
    <col customWidth="1" min="2" max="2" width="26.13"/>
    <col customWidth="1" min="3" max="4" width="9.5"/>
    <col customWidth="1" min="5" max="5" width="57.25"/>
    <col customWidth="1" min="6" max="6" width="53.25"/>
  </cols>
  <sheetData>
    <row r="1" ht="15.75" customHeight="1">
      <c r="A1" s="143" t="s">
        <v>128</v>
      </c>
      <c r="B1" s="143" t="s">
        <v>129</v>
      </c>
      <c r="C1" s="143" t="s">
        <v>85</v>
      </c>
      <c r="D1" s="143" t="s">
        <v>86</v>
      </c>
      <c r="E1" s="143" t="s">
        <v>130</v>
      </c>
      <c r="F1" s="143" t="s">
        <v>95</v>
      </c>
      <c r="G1" s="144" t="s">
        <v>133</v>
      </c>
    </row>
    <row r="2" ht="15.75" customHeight="1">
      <c r="A2" s="145">
        <v>200.0</v>
      </c>
      <c r="B2" s="146" t="s">
        <v>1171</v>
      </c>
      <c r="C2" s="147">
        <v>45495.0</v>
      </c>
      <c r="D2" s="147">
        <v>72888.0</v>
      </c>
      <c r="E2" s="146" t="s">
        <v>1172</v>
      </c>
      <c r="F2" s="146" t="s">
        <v>1173</v>
      </c>
    </row>
    <row r="3" ht="15.75" customHeight="1">
      <c r="A3" s="145">
        <v>201.0</v>
      </c>
      <c r="B3" s="146" t="s">
        <v>1174</v>
      </c>
      <c r="C3" s="147">
        <v>45495.0</v>
      </c>
      <c r="D3" s="147">
        <v>72888.0</v>
      </c>
      <c r="E3" s="146" t="s">
        <v>1175</v>
      </c>
      <c r="F3" s="146" t="s">
        <v>1173</v>
      </c>
    </row>
    <row r="4" ht="15.75" customHeight="1">
      <c r="A4" s="145">
        <v>202.0</v>
      </c>
      <c r="B4" s="146" t="s">
        <v>1176</v>
      </c>
      <c r="C4" s="147">
        <v>45495.0</v>
      </c>
      <c r="D4" s="147">
        <v>72888.0</v>
      </c>
      <c r="E4" s="146" t="s">
        <v>1177</v>
      </c>
      <c r="F4" s="146" t="s">
        <v>1173</v>
      </c>
    </row>
    <row r="5" ht="15.75" customHeight="1">
      <c r="A5" s="145">
        <v>203.0</v>
      </c>
      <c r="B5" s="145" t="s">
        <v>1178</v>
      </c>
      <c r="C5" s="147">
        <v>46140.0</v>
      </c>
      <c r="D5" s="147">
        <v>46167.0</v>
      </c>
      <c r="E5" s="146" t="s">
        <v>1179</v>
      </c>
      <c r="F5" s="146" t="s">
        <v>1180</v>
      </c>
    </row>
    <row r="6" ht="15.75" customHeight="1">
      <c r="A6" s="145">
        <v>204.0</v>
      </c>
      <c r="B6" s="145" t="s">
        <v>1181</v>
      </c>
      <c r="C6" s="147">
        <v>46156.0</v>
      </c>
      <c r="D6" s="147">
        <v>46207.0</v>
      </c>
      <c r="E6" s="146" t="s">
        <v>1182</v>
      </c>
      <c r="F6" s="146" t="s">
        <v>1180</v>
      </c>
    </row>
    <row r="7" ht="15.75" customHeight="1">
      <c r="A7" s="145">
        <v>205.0</v>
      </c>
      <c r="B7" s="145" t="s">
        <v>1183</v>
      </c>
      <c r="C7" s="148">
        <v>46168.0</v>
      </c>
      <c r="D7" s="148">
        <v>46195.0</v>
      </c>
      <c r="E7" s="146" t="s">
        <v>1184</v>
      </c>
      <c r="F7" s="146" t="s">
        <v>1185</v>
      </c>
    </row>
    <row r="8" ht="15.75" customHeight="1">
      <c r="C8" s="149"/>
      <c r="D8" s="149"/>
    </row>
    <row r="9" ht="15.75" customHeight="1">
      <c r="C9" s="149"/>
      <c r="D9" s="149"/>
    </row>
    <row r="10" ht="15.75" customHeight="1">
      <c r="C10" s="149"/>
      <c r="D10" s="149"/>
    </row>
    <row r="11" ht="15.75" customHeight="1">
      <c r="C11" s="149"/>
      <c r="D11" s="149"/>
    </row>
    <row r="12" ht="15.75" customHeight="1">
      <c r="C12" s="149"/>
      <c r="D12" s="149"/>
    </row>
    <row r="13" ht="15.75" customHeight="1">
      <c r="C13" s="149"/>
      <c r="D13" s="149"/>
    </row>
    <row r="14" ht="15.75" customHeight="1">
      <c r="C14" s="149"/>
      <c r="D14" s="149"/>
    </row>
    <row r="15" ht="15.75" customHeight="1">
      <c r="C15" s="149"/>
      <c r="D15" s="149"/>
    </row>
    <row r="16" ht="15.75" customHeight="1">
      <c r="C16" s="149"/>
      <c r="D16" s="149"/>
    </row>
    <row r="17" ht="15.75" customHeight="1">
      <c r="C17" s="149"/>
      <c r="D17" s="149"/>
    </row>
    <row r="18" ht="15.75" customHeight="1">
      <c r="C18" s="149"/>
      <c r="D18" s="149"/>
    </row>
    <row r="19" ht="15.75" customHeight="1">
      <c r="C19" s="149"/>
      <c r="D19" s="149"/>
    </row>
    <row r="20" ht="15.75" customHeight="1">
      <c r="C20" s="149"/>
      <c r="D20" s="149"/>
    </row>
    <row r="21" ht="15.75" customHeight="1">
      <c r="C21" s="149"/>
      <c r="D21" s="149"/>
    </row>
    <row r="22" ht="15.75" customHeight="1">
      <c r="C22" s="149"/>
      <c r="D22" s="149"/>
    </row>
    <row r="23" ht="15.75" customHeight="1">
      <c r="C23" s="149"/>
      <c r="D23" s="149"/>
    </row>
    <row r="24" ht="15.75" customHeight="1">
      <c r="C24" s="149"/>
      <c r="D24" s="149"/>
    </row>
    <row r="25" ht="15.75" customHeight="1">
      <c r="C25" s="149"/>
      <c r="D25" s="149"/>
    </row>
    <row r="26" ht="15.75" customHeight="1">
      <c r="C26" s="149"/>
      <c r="D26" s="149"/>
    </row>
    <row r="27" ht="15.75" customHeight="1">
      <c r="C27" s="149"/>
      <c r="D27" s="149"/>
    </row>
    <row r="28" ht="15.75" customHeight="1">
      <c r="C28" s="149"/>
      <c r="D28" s="149"/>
    </row>
    <row r="29" ht="15.75" customHeight="1">
      <c r="C29" s="149"/>
      <c r="D29" s="149"/>
    </row>
    <row r="30" ht="15.75" customHeight="1">
      <c r="C30" s="149"/>
      <c r="D30" s="149"/>
    </row>
    <row r="31" ht="15.75" customHeight="1">
      <c r="C31" s="149"/>
      <c r="D31" s="149"/>
    </row>
    <row r="32" ht="15.75" customHeight="1">
      <c r="C32" s="149"/>
      <c r="D32" s="149"/>
    </row>
    <row r="33" ht="15.75" customHeight="1">
      <c r="C33" s="149"/>
      <c r="D33" s="149"/>
    </row>
    <row r="34" ht="15.75" customHeight="1">
      <c r="C34" s="149"/>
      <c r="D34" s="149"/>
    </row>
    <row r="35" ht="15.75" customHeight="1">
      <c r="C35" s="149"/>
      <c r="D35" s="149"/>
    </row>
    <row r="36" ht="15.75" customHeight="1">
      <c r="C36" s="149"/>
      <c r="D36" s="149"/>
    </row>
    <row r="37" ht="15.75" customHeight="1">
      <c r="C37" s="149"/>
      <c r="D37" s="149"/>
    </row>
    <row r="38" ht="15.75" customHeight="1">
      <c r="C38" s="149"/>
      <c r="D38" s="149"/>
    </row>
    <row r="39" ht="15.75" customHeight="1">
      <c r="C39" s="149"/>
      <c r="D39" s="149"/>
    </row>
    <row r="40" ht="15.75" customHeight="1">
      <c r="C40" s="149"/>
      <c r="D40" s="149"/>
    </row>
    <row r="41" ht="15.75" customHeight="1">
      <c r="C41" s="149"/>
      <c r="D41" s="149"/>
    </row>
    <row r="42" ht="15.75" customHeight="1">
      <c r="C42" s="149"/>
      <c r="D42" s="149"/>
    </row>
    <row r="43" ht="15.75" customHeight="1">
      <c r="C43" s="149"/>
      <c r="D43" s="149"/>
    </row>
    <row r="44" ht="15.75" customHeight="1">
      <c r="C44" s="149"/>
      <c r="D44" s="149"/>
    </row>
    <row r="45" ht="15.75" customHeight="1">
      <c r="C45" s="149"/>
      <c r="D45" s="149"/>
    </row>
    <row r="46" ht="15.75" customHeight="1">
      <c r="C46" s="149"/>
      <c r="D46" s="149"/>
    </row>
    <row r="47" ht="15.75" customHeight="1">
      <c r="C47" s="149"/>
      <c r="D47" s="149"/>
    </row>
    <row r="48" ht="15.75" customHeight="1">
      <c r="C48" s="149"/>
      <c r="D48" s="149"/>
    </row>
    <row r="49" ht="15.75" customHeight="1">
      <c r="C49" s="149"/>
      <c r="D49" s="149"/>
    </row>
    <row r="50" ht="15.75" customHeight="1">
      <c r="C50" s="149"/>
      <c r="D50" s="149"/>
    </row>
    <row r="51" ht="15.75" customHeight="1">
      <c r="C51" s="149"/>
      <c r="D51" s="149"/>
    </row>
    <row r="52" ht="15.75" customHeight="1">
      <c r="C52" s="149"/>
      <c r="D52" s="149"/>
    </row>
    <row r="53" ht="15.75" customHeight="1">
      <c r="C53" s="149"/>
      <c r="D53" s="149"/>
    </row>
    <row r="54" ht="15.75" customHeight="1">
      <c r="C54" s="149"/>
      <c r="D54" s="149"/>
    </row>
    <row r="55" ht="15.75" customHeight="1">
      <c r="C55" s="149"/>
      <c r="D55" s="149"/>
    </row>
    <row r="56" ht="15.75" customHeight="1">
      <c r="C56" s="149"/>
      <c r="D56" s="149"/>
    </row>
    <row r="57" ht="15.75" customHeight="1">
      <c r="C57" s="149"/>
      <c r="D57" s="149"/>
    </row>
    <row r="58" ht="15.75" customHeight="1">
      <c r="C58" s="149"/>
      <c r="D58" s="149"/>
    </row>
    <row r="59" ht="15.75" customHeight="1">
      <c r="C59" s="149"/>
      <c r="D59" s="149"/>
    </row>
    <row r="60" ht="15.75" customHeight="1">
      <c r="C60" s="149"/>
      <c r="D60" s="149"/>
    </row>
    <row r="61" ht="15.75" customHeight="1">
      <c r="C61" s="149"/>
      <c r="D61" s="149"/>
    </row>
    <row r="62" ht="15.75" customHeight="1">
      <c r="C62" s="149"/>
      <c r="D62" s="149"/>
    </row>
    <row r="63" ht="15.75" customHeight="1">
      <c r="C63" s="149"/>
      <c r="D63" s="149"/>
    </row>
    <row r="64" ht="15.75" customHeight="1">
      <c r="C64" s="149"/>
      <c r="D64" s="149"/>
    </row>
    <row r="65" ht="15.75" customHeight="1">
      <c r="C65" s="149"/>
      <c r="D65" s="149"/>
    </row>
    <row r="66" ht="15.75" customHeight="1">
      <c r="C66" s="149"/>
      <c r="D66" s="149"/>
    </row>
    <row r="67" ht="15.75" customHeight="1">
      <c r="C67" s="149"/>
      <c r="D67" s="149"/>
    </row>
    <row r="68" ht="15.75" customHeight="1">
      <c r="C68" s="149"/>
      <c r="D68" s="149"/>
    </row>
    <row r="69" ht="15.75" customHeight="1">
      <c r="C69" s="149"/>
      <c r="D69" s="149"/>
    </row>
    <row r="70" ht="15.75" customHeight="1">
      <c r="C70" s="149"/>
      <c r="D70" s="149"/>
    </row>
    <row r="71" ht="15.75" customHeight="1">
      <c r="C71" s="149"/>
      <c r="D71" s="149"/>
    </row>
    <row r="72" ht="15.75" customHeight="1">
      <c r="C72" s="149"/>
      <c r="D72" s="149"/>
    </row>
    <row r="73" ht="15.75" customHeight="1">
      <c r="C73" s="149"/>
      <c r="D73" s="149"/>
    </row>
    <row r="74" ht="15.75" customHeight="1">
      <c r="C74" s="149"/>
      <c r="D74" s="149"/>
    </row>
    <row r="75" ht="15.75" customHeight="1">
      <c r="C75" s="149"/>
      <c r="D75" s="149"/>
    </row>
    <row r="76" ht="15.75" customHeight="1">
      <c r="C76" s="149"/>
      <c r="D76" s="149"/>
    </row>
    <row r="77" ht="15.75" customHeight="1">
      <c r="C77" s="149"/>
      <c r="D77" s="149"/>
    </row>
    <row r="78" ht="15.75" customHeight="1">
      <c r="C78" s="149"/>
      <c r="D78" s="149"/>
    </row>
    <row r="79" ht="15.75" customHeight="1">
      <c r="C79" s="149"/>
      <c r="D79" s="149"/>
    </row>
    <row r="80" ht="15.75" customHeight="1">
      <c r="C80" s="149"/>
      <c r="D80" s="149"/>
    </row>
    <row r="81" ht="15.75" customHeight="1">
      <c r="C81" s="149"/>
      <c r="D81" s="149"/>
    </row>
    <row r="82" ht="15.75" customHeight="1">
      <c r="C82" s="149"/>
      <c r="D82" s="149"/>
    </row>
    <row r="83" ht="15.75" customHeight="1">
      <c r="C83" s="149"/>
      <c r="D83" s="149"/>
    </row>
    <row r="84" ht="15.75" customHeight="1">
      <c r="C84" s="149"/>
      <c r="D84" s="149"/>
    </row>
    <row r="85" ht="15.75" customHeight="1">
      <c r="C85" s="149"/>
      <c r="D85" s="149"/>
    </row>
    <row r="86" ht="15.75" customHeight="1">
      <c r="C86" s="149"/>
      <c r="D86" s="149"/>
    </row>
    <row r="87" ht="15.75" customHeight="1">
      <c r="C87" s="149"/>
      <c r="D87" s="149"/>
    </row>
    <row r="88" ht="15.75" customHeight="1">
      <c r="C88" s="149"/>
      <c r="D88" s="149"/>
    </row>
    <row r="89" ht="15.75" customHeight="1">
      <c r="C89" s="149"/>
      <c r="D89" s="149"/>
    </row>
    <row r="90" ht="15.75" customHeight="1">
      <c r="C90" s="149"/>
      <c r="D90" s="149"/>
    </row>
    <row r="91" ht="15.75" customHeight="1">
      <c r="C91" s="149"/>
      <c r="D91" s="149"/>
    </row>
    <row r="92" ht="15.75" customHeight="1">
      <c r="C92" s="149"/>
      <c r="D92" s="149"/>
    </row>
    <row r="93" ht="15.75" customHeight="1">
      <c r="C93" s="149"/>
      <c r="D93" s="149"/>
    </row>
    <row r="94" ht="15.75" customHeight="1">
      <c r="C94" s="149"/>
      <c r="D94" s="149"/>
    </row>
    <row r="95" ht="15.75" customHeight="1">
      <c r="C95" s="149"/>
      <c r="D95" s="149"/>
    </row>
    <row r="96" ht="15.75" customHeight="1">
      <c r="C96" s="149"/>
      <c r="D96" s="149"/>
    </row>
    <row r="97" ht="15.75" customHeight="1">
      <c r="C97" s="149"/>
      <c r="D97" s="149"/>
    </row>
    <row r="98" ht="15.75" customHeight="1">
      <c r="C98" s="149"/>
      <c r="D98" s="149"/>
    </row>
    <row r="99" ht="15.75" customHeight="1">
      <c r="C99" s="149"/>
      <c r="D99" s="149"/>
    </row>
    <row r="100" ht="15.75" customHeight="1">
      <c r="C100" s="149"/>
      <c r="D100" s="149"/>
    </row>
    <row r="101" ht="15.75" customHeight="1">
      <c r="C101" s="149"/>
      <c r="D101" s="149"/>
    </row>
    <row r="102" ht="15.75" customHeight="1">
      <c r="C102" s="149"/>
      <c r="D102" s="149"/>
    </row>
    <row r="103" ht="15.75" customHeight="1">
      <c r="C103" s="149"/>
      <c r="D103" s="149"/>
    </row>
    <row r="104" ht="15.75" customHeight="1">
      <c r="C104" s="149"/>
      <c r="D104" s="149"/>
    </row>
    <row r="105" ht="15.75" customHeight="1">
      <c r="C105" s="149"/>
      <c r="D105" s="149"/>
    </row>
    <row r="106" ht="15.75" customHeight="1">
      <c r="C106" s="149"/>
      <c r="D106" s="149"/>
    </row>
    <row r="107" ht="15.75" customHeight="1">
      <c r="C107" s="149"/>
      <c r="D107" s="149"/>
    </row>
    <row r="108" ht="15.75" customHeight="1">
      <c r="C108" s="149"/>
      <c r="D108" s="149"/>
    </row>
    <row r="109" ht="15.75" customHeight="1">
      <c r="C109" s="149"/>
      <c r="D109" s="149"/>
    </row>
    <row r="110" ht="15.75" customHeight="1">
      <c r="C110" s="149"/>
      <c r="D110" s="149"/>
    </row>
    <row r="111" ht="15.75" customHeight="1">
      <c r="C111" s="149"/>
      <c r="D111" s="149"/>
    </row>
    <row r="112" ht="15.75" customHeight="1">
      <c r="C112" s="149"/>
      <c r="D112" s="149"/>
    </row>
    <row r="113" ht="15.75" customHeight="1">
      <c r="C113" s="149"/>
      <c r="D113" s="149"/>
    </row>
    <row r="114" ht="15.75" customHeight="1">
      <c r="C114" s="149"/>
      <c r="D114" s="149"/>
    </row>
    <row r="115" ht="15.75" customHeight="1">
      <c r="C115" s="149"/>
      <c r="D115" s="149"/>
    </row>
    <row r="116" ht="15.75" customHeight="1">
      <c r="C116" s="149"/>
      <c r="D116" s="149"/>
    </row>
    <row r="117" ht="15.75" customHeight="1">
      <c r="C117" s="149"/>
      <c r="D117" s="149"/>
    </row>
    <row r="118" ht="15.75" customHeight="1">
      <c r="C118" s="149"/>
      <c r="D118" s="149"/>
    </row>
    <row r="119" ht="15.75" customHeight="1">
      <c r="C119" s="149"/>
      <c r="D119" s="149"/>
    </row>
    <row r="120" ht="15.75" customHeight="1">
      <c r="C120" s="149"/>
      <c r="D120" s="149"/>
    </row>
    <row r="121" ht="15.75" customHeight="1">
      <c r="C121" s="149"/>
      <c r="D121" s="149"/>
    </row>
    <row r="122" ht="15.75" customHeight="1">
      <c r="C122" s="149"/>
      <c r="D122" s="149"/>
    </row>
    <row r="123" ht="15.75" customHeight="1">
      <c r="C123" s="149"/>
      <c r="D123" s="149"/>
    </row>
    <row r="124" ht="15.75" customHeight="1">
      <c r="C124" s="149"/>
      <c r="D124" s="149"/>
    </row>
    <row r="125" ht="15.75" customHeight="1">
      <c r="C125" s="149"/>
      <c r="D125" s="149"/>
    </row>
    <row r="126" ht="15.75" customHeight="1">
      <c r="C126" s="149"/>
      <c r="D126" s="149"/>
    </row>
    <row r="127" ht="15.75" customHeight="1">
      <c r="C127" s="149"/>
      <c r="D127" s="149"/>
    </row>
    <row r="128" ht="15.75" customHeight="1">
      <c r="C128" s="149"/>
      <c r="D128" s="149"/>
    </row>
    <row r="129" ht="15.75" customHeight="1">
      <c r="C129" s="149"/>
      <c r="D129" s="149"/>
    </row>
    <row r="130" ht="15.75" customHeight="1">
      <c r="C130" s="149"/>
      <c r="D130" s="149"/>
    </row>
    <row r="131" ht="15.75" customHeight="1">
      <c r="C131" s="149"/>
      <c r="D131" s="149"/>
    </row>
    <row r="132" ht="15.75" customHeight="1">
      <c r="C132" s="149"/>
      <c r="D132" s="149"/>
    </row>
    <row r="133" ht="15.75" customHeight="1">
      <c r="C133" s="149"/>
      <c r="D133" s="149"/>
    </row>
    <row r="134" ht="15.75" customHeight="1">
      <c r="C134" s="149"/>
      <c r="D134" s="149"/>
    </row>
    <row r="135" ht="15.75" customHeight="1">
      <c r="C135" s="149"/>
      <c r="D135" s="149"/>
    </row>
    <row r="136" ht="15.75" customHeight="1">
      <c r="C136" s="149"/>
      <c r="D136" s="149"/>
    </row>
    <row r="137" ht="15.75" customHeight="1">
      <c r="C137" s="149"/>
      <c r="D137" s="149"/>
    </row>
    <row r="138" ht="15.75" customHeight="1">
      <c r="C138" s="149"/>
      <c r="D138" s="149"/>
    </row>
    <row r="139" ht="15.75" customHeight="1">
      <c r="C139" s="149"/>
      <c r="D139" s="149"/>
    </row>
    <row r="140" ht="15.75" customHeight="1">
      <c r="C140" s="149"/>
      <c r="D140" s="149"/>
    </row>
    <row r="141" ht="15.75" customHeight="1">
      <c r="C141" s="149"/>
      <c r="D141" s="149"/>
    </row>
    <row r="142" ht="15.75" customHeight="1">
      <c r="C142" s="149"/>
      <c r="D142" s="149"/>
    </row>
    <row r="143" ht="15.75" customHeight="1">
      <c r="C143" s="149"/>
      <c r="D143" s="149"/>
    </row>
    <row r="144" ht="15.75" customHeight="1">
      <c r="C144" s="149"/>
      <c r="D144" s="149"/>
    </row>
    <row r="145" ht="15.75" customHeight="1">
      <c r="C145" s="149"/>
      <c r="D145" s="149"/>
    </row>
    <row r="146" ht="15.75" customHeight="1">
      <c r="C146" s="149"/>
      <c r="D146" s="149"/>
    </row>
    <row r="147" ht="15.75" customHeight="1">
      <c r="C147" s="149"/>
      <c r="D147" s="149"/>
    </row>
    <row r="148" ht="15.75" customHeight="1">
      <c r="C148" s="149"/>
      <c r="D148" s="149"/>
    </row>
    <row r="149" ht="15.75" customHeight="1">
      <c r="C149" s="149"/>
      <c r="D149" s="149"/>
    </row>
    <row r="150" ht="15.75" customHeight="1">
      <c r="C150" s="149"/>
      <c r="D150" s="149"/>
    </row>
    <row r="151" ht="15.75" customHeight="1">
      <c r="C151" s="149"/>
      <c r="D151" s="149"/>
    </row>
    <row r="152" ht="15.75" customHeight="1">
      <c r="C152" s="149"/>
      <c r="D152" s="149"/>
    </row>
    <row r="153" ht="15.75" customHeight="1">
      <c r="C153" s="149"/>
      <c r="D153" s="149"/>
    </row>
    <row r="154" ht="15.75" customHeight="1">
      <c r="C154" s="149"/>
      <c r="D154" s="149"/>
    </row>
    <row r="155" ht="15.75" customHeight="1">
      <c r="C155" s="149"/>
      <c r="D155" s="149"/>
    </row>
    <row r="156" ht="15.75" customHeight="1">
      <c r="C156" s="149"/>
      <c r="D156" s="149"/>
    </row>
    <row r="157" ht="15.75" customHeight="1">
      <c r="C157" s="149"/>
      <c r="D157" s="149"/>
    </row>
    <row r="158" ht="15.75" customHeight="1">
      <c r="C158" s="149"/>
      <c r="D158" s="149"/>
    </row>
    <row r="159" ht="15.75" customHeight="1">
      <c r="C159" s="149"/>
      <c r="D159" s="149"/>
    </row>
    <row r="160" ht="15.75" customHeight="1">
      <c r="C160" s="149"/>
      <c r="D160" s="149"/>
    </row>
    <row r="161" ht="15.75" customHeight="1">
      <c r="C161" s="149"/>
      <c r="D161" s="149"/>
    </row>
    <row r="162" ht="15.75" customHeight="1">
      <c r="C162" s="149"/>
      <c r="D162" s="149"/>
    </row>
    <row r="163" ht="15.75" customHeight="1">
      <c r="C163" s="149"/>
      <c r="D163" s="149"/>
    </row>
    <row r="164" ht="15.75" customHeight="1">
      <c r="C164" s="149"/>
      <c r="D164" s="149"/>
    </row>
    <row r="165" ht="15.75" customHeight="1">
      <c r="C165" s="149"/>
      <c r="D165" s="149"/>
    </row>
    <row r="166" ht="15.75" customHeight="1">
      <c r="C166" s="149"/>
      <c r="D166" s="149"/>
    </row>
    <row r="167" ht="15.75" customHeight="1">
      <c r="C167" s="149"/>
      <c r="D167" s="149"/>
    </row>
    <row r="168" ht="15.75" customHeight="1">
      <c r="C168" s="149"/>
      <c r="D168" s="149"/>
    </row>
    <row r="169" ht="15.75" customHeight="1">
      <c r="C169" s="149"/>
      <c r="D169" s="149"/>
    </row>
    <row r="170" ht="15.75" customHeight="1">
      <c r="C170" s="149"/>
      <c r="D170" s="149"/>
    </row>
    <row r="171" ht="15.75" customHeight="1">
      <c r="C171" s="149"/>
      <c r="D171" s="149"/>
    </row>
    <row r="172" ht="15.75" customHeight="1">
      <c r="C172" s="149"/>
      <c r="D172" s="149"/>
    </row>
    <row r="173" ht="15.75" customHeight="1">
      <c r="C173" s="149"/>
      <c r="D173" s="149"/>
    </row>
    <row r="174" ht="15.75" customHeight="1">
      <c r="C174" s="149"/>
      <c r="D174" s="149"/>
    </row>
    <row r="175" ht="15.75" customHeight="1">
      <c r="C175" s="149"/>
      <c r="D175" s="149"/>
    </row>
    <row r="176" ht="15.75" customHeight="1">
      <c r="C176" s="149"/>
      <c r="D176" s="149"/>
    </row>
    <row r="177" ht="15.75" customHeight="1">
      <c r="C177" s="149"/>
      <c r="D177" s="149"/>
    </row>
    <row r="178" ht="15.75" customHeight="1">
      <c r="C178" s="149"/>
      <c r="D178" s="149"/>
    </row>
    <row r="179" ht="15.75" customHeight="1">
      <c r="C179" s="149"/>
      <c r="D179" s="149"/>
    </row>
    <row r="180" ht="15.75" customHeight="1">
      <c r="C180" s="149"/>
      <c r="D180" s="149"/>
    </row>
    <row r="181" ht="15.75" customHeight="1">
      <c r="C181" s="149"/>
      <c r="D181" s="149"/>
    </row>
    <row r="182" ht="15.75" customHeight="1">
      <c r="C182" s="149"/>
      <c r="D182" s="149"/>
    </row>
    <row r="183" ht="15.75" customHeight="1">
      <c r="C183" s="149"/>
      <c r="D183" s="149"/>
    </row>
    <row r="184" ht="15.75" customHeight="1">
      <c r="C184" s="149"/>
      <c r="D184" s="149"/>
    </row>
    <row r="185" ht="15.75" customHeight="1">
      <c r="C185" s="149"/>
      <c r="D185" s="149"/>
    </row>
    <row r="186" ht="15.75" customHeight="1">
      <c r="C186" s="149"/>
      <c r="D186" s="149"/>
    </row>
    <row r="187" ht="15.75" customHeight="1">
      <c r="C187" s="149"/>
      <c r="D187" s="149"/>
    </row>
    <row r="188" ht="15.75" customHeight="1">
      <c r="C188" s="149"/>
      <c r="D188" s="149"/>
    </row>
    <row r="189" ht="15.75" customHeight="1">
      <c r="C189" s="149"/>
      <c r="D189" s="149"/>
    </row>
    <row r="190" ht="15.75" customHeight="1">
      <c r="C190" s="149"/>
      <c r="D190" s="149"/>
    </row>
    <row r="191" ht="15.75" customHeight="1">
      <c r="C191" s="149"/>
      <c r="D191" s="149"/>
    </row>
    <row r="192" ht="15.75" customHeight="1">
      <c r="C192" s="149"/>
      <c r="D192" s="149"/>
    </row>
    <row r="193" ht="15.75" customHeight="1">
      <c r="C193" s="149"/>
      <c r="D193" s="149"/>
    </row>
    <row r="194" ht="15.75" customHeight="1">
      <c r="C194" s="149"/>
      <c r="D194" s="149"/>
    </row>
    <row r="195" ht="15.75" customHeight="1">
      <c r="C195" s="149"/>
      <c r="D195" s="149"/>
    </row>
    <row r="196" ht="15.75" customHeight="1">
      <c r="C196" s="149"/>
      <c r="D196" s="149"/>
    </row>
    <row r="197" ht="15.75" customHeight="1">
      <c r="C197" s="149"/>
      <c r="D197" s="149"/>
    </row>
    <row r="198" ht="15.75" customHeight="1">
      <c r="C198" s="149"/>
      <c r="D198" s="149"/>
    </row>
    <row r="199" ht="15.75" customHeight="1">
      <c r="C199" s="149"/>
      <c r="D199" s="149"/>
    </row>
    <row r="200" ht="15.75" customHeight="1">
      <c r="C200" s="149"/>
      <c r="D200" s="149"/>
    </row>
    <row r="201" ht="15.75" customHeight="1">
      <c r="C201" s="149"/>
      <c r="D201" s="149"/>
    </row>
    <row r="202" ht="15.75" customHeight="1">
      <c r="C202" s="149"/>
      <c r="D202" s="149"/>
    </row>
    <row r="203" ht="15.75" customHeight="1">
      <c r="C203" s="149"/>
      <c r="D203" s="149"/>
    </row>
    <row r="204" ht="15.75" customHeight="1">
      <c r="C204" s="149"/>
      <c r="D204" s="149"/>
    </row>
    <row r="205" ht="15.75" customHeight="1">
      <c r="C205" s="149"/>
      <c r="D205" s="149"/>
    </row>
    <row r="206" ht="15.75" customHeight="1">
      <c r="C206" s="149"/>
      <c r="D206" s="149"/>
    </row>
    <row r="207" ht="15.75" customHeight="1">
      <c r="C207" s="149"/>
      <c r="D207" s="149"/>
    </row>
    <row r="208" ht="15.75" customHeight="1">
      <c r="C208" s="149"/>
      <c r="D208" s="149"/>
    </row>
    <row r="209" ht="15.75" customHeight="1">
      <c r="C209" s="149"/>
      <c r="D209" s="149"/>
    </row>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2"/>
  <legacyDrawing r:id="rId3"/>
  <tableParts count="1">
    <tablePart r:id="rId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6.75"/>
    <col customWidth="1" min="2" max="2" width="37.0"/>
    <col customWidth="1" min="3" max="4" width="7.63"/>
    <col customWidth="1" min="5" max="6" width="12.63"/>
  </cols>
  <sheetData>
    <row r="1" ht="12.75" customHeight="1">
      <c r="A1" s="143" t="s">
        <v>128</v>
      </c>
      <c r="B1" s="143" t="s">
        <v>87</v>
      </c>
    </row>
    <row r="2" ht="12.75" customHeight="1">
      <c r="A2" s="145">
        <v>200.0</v>
      </c>
      <c r="B2" s="145" t="s">
        <v>792</v>
      </c>
    </row>
    <row r="3" ht="12.75" customHeight="1">
      <c r="A3" s="145">
        <v>200.0</v>
      </c>
      <c r="B3" s="145" t="s">
        <v>754</v>
      </c>
    </row>
    <row r="4" ht="12.75" customHeight="1">
      <c r="A4" s="145">
        <v>200.0</v>
      </c>
      <c r="B4" s="145" t="s">
        <v>924</v>
      </c>
    </row>
    <row r="5" ht="12.75" customHeight="1">
      <c r="A5" s="145">
        <v>200.0</v>
      </c>
      <c r="B5" s="145" t="s">
        <v>918</v>
      </c>
    </row>
    <row r="6" ht="12.75" customHeight="1">
      <c r="A6" s="145">
        <v>200.0</v>
      </c>
      <c r="B6" s="145" t="s">
        <v>483</v>
      </c>
    </row>
    <row r="7" ht="12.75" customHeight="1">
      <c r="A7" s="145">
        <v>200.0</v>
      </c>
      <c r="B7" s="145" t="s">
        <v>458</v>
      </c>
    </row>
    <row r="8" ht="12.75" customHeight="1">
      <c r="A8" s="145">
        <v>201.0</v>
      </c>
      <c r="B8" s="145" t="s">
        <v>854</v>
      </c>
    </row>
    <row r="9" ht="12.75" customHeight="1">
      <c r="A9" s="145">
        <v>201.0</v>
      </c>
      <c r="B9" s="145" t="s">
        <v>790</v>
      </c>
    </row>
    <row r="10" ht="12.75" customHeight="1">
      <c r="A10" s="145">
        <v>201.0</v>
      </c>
      <c r="B10" s="145" t="s">
        <v>752</v>
      </c>
    </row>
    <row r="11" ht="12.75" customHeight="1">
      <c r="A11" s="145">
        <v>202.0</v>
      </c>
      <c r="B11" s="145" t="s">
        <v>916</v>
      </c>
    </row>
    <row r="12" ht="12.75" customHeight="1">
      <c r="A12" s="145">
        <v>202.0</v>
      </c>
      <c r="B12" s="145" t="s">
        <v>886</v>
      </c>
    </row>
    <row r="13" ht="12.75" customHeight="1">
      <c r="A13" s="145">
        <v>202.0</v>
      </c>
      <c r="B13" s="145" t="s">
        <v>347</v>
      </c>
    </row>
    <row r="14" ht="12.75" customHeight="1">
      <c r="A14" s="145">
        <v>203.0</v>
      </c>
      <c r="B14" s="145" t="s">
        <v>498</v>
      </c>
    </row>
    <row r="15" ht="12.75" customHeight="1">
      <c r="A15" s="145">
        <v>203.0</v>
      </c>
      <c r="B15" s="145" t="s">
        <v>504</v>
      </c>
    </row>
    <row r="16" ht="12.75" customHeight="1">
      <c r="A16" s="145">
        <v>203.0</v>
      </c>
      <c r="B16" s="145" t="s">
        <v>508</v>
      </c>
    </row>
    <row r="17" ht="12.75" customHeight="1">
      <c r="A17" s="145">
        <v>203.0</v>
      </c>
      <c r="B17" s="145" t="s">
        <v>512</v>
      </c>
    </row>
    <row r="18" ht="12.75" customHeight="1">
      <c r="A18" s="145">
        <v>203.0</v>
      </c>
      <c r="B18" s="145" t="s">
        <v>516</v>
      </c>
    </row>
    <row r="19" ht="12.75" customHeight="1">
      <c r="A19" s="145">
        <v>203.0</v>
      </c>
      <c r="B19" s="145" t="s">
        <v>501</v>
      </c>
    </row>
    <row r="20" ht="12.75" customHeight="1">
      <c r="A20" s="145">
        <v>203.0</v>
      </c>
      <c r="B20" s="145" t="s">
        <v>506</v>
      </c>
    </row>
    <row r="21" ht="12.75" customHeight="1">
      <c r="A21" s="145">
        <v>203.0</v>
      </c>
      <c r="B21" s="145" t="s">
        <v>510</v>
      </c>
    </row>
    <row r="22" ht="12.75" customHeight="1">
      <c r="A22" s="145">
        <v>203.0</v>
      </c>
      <c r="B22" s="145" t="s">
        <v>514</v>
      </c>
    </row>
    <row r="23" ht="12.75" customHeight="1">
      <c r="A23" s="145">
        <v>203.0</v>
      </c>
      <c r="B23" s="145" t="s">
        <v>518</v>
      </c>
    </row>
    <row r="24" ht="12.75" customHeight="1">
      <c r="A24" s="145">
        <v>203.0</v>
      </c>
      <c r="B24" s="145" t="s">
        <v>520</v>
      </c>
    </row>
    <row r="25" ht="12.75" customHeight="1">
      <c r="A25" s="145">
        <v>204.0</v>
      </c>
      <c r="B25" s="145" t="s">
        <v>498</v>
      </c>
    </row>
    <row r="26" ht="12.75" customHeight="1">
      <c r="A26" s="145">
        <v>204.0</v>
      </c>
      <c r="B26" s="145" t="s">
        <v>504</v>
      </c>
    </row>
    <row r="27" ht="12.75" customHeight="1">
      <c r="A27" s="145">
        <v>204.0</v>
      </c>
      <c r="B27" s="145" t="s">
        <v>508</v>
      </c>
    </row>
    <row r="28" ht="12.75" customHeight="1">
      <c r="A28" s="145">
        <v>204.0</v>
      </c>
      <c r="B28" s="145" t="s">
        <v>512</v>
      </c>
    </row>
    <row r="29" ht="12.75" customHeight="1">
      <c r="A29" s="145">
        <v>204.0</v>
      </c>
      <c r="B29" s="145" t="s">
        <v>516</v>
      </c>
    </row>
    <row r="30" ht="12.75" customHeight="1">
      <c r="A30" s="145">
        <v>204.0</v>
      </c>
      <c r="B30" s="145" t="s">
        <v>501</v>
      </c>
    </row>
    <row r="31" ht="12.75" customHeight="1">
      <c r="A31" s="145">
        <v>204.0</v>
      </c>
      <c r="B31" s="145" t="s">
        <v>506</v>
      </c>
    </row>
    <row r="32" ht="12.75" customHeight="1">
      <c r="A32" s="145">
        <v>204.0</v>
      </c>
      <c r="B32" s="145" t="s">
        <v>510</v>
      </c>
    </row>
    <row r="33" ht="12.75" customHeight="1">
      <c r="A33" s="145">
        <v>204.0</v>
      </c>
      <c r="B33" s="145" t="s">
        <v>514</v>
      </c>
    </row>
    <row r="34" ht="12.75" customHeight="1">
      <c r="A34" s="145">
        <v>204.0</v>
      </c>
      <c r="B34" s="145" t="s">
        <v>518</v>
      </c>
    </row>
    <row r="35" ht="12.75" customHeight="1">
      <c r="A35" s="145">
        <v>204.0</v>
      </c>
      <c r="B35" s="145" t="s">
        <v>520</v>
      </c>
    </row>
    <row r="36" ht="12.75" customHeight="1">
      <c r="A36" s="145">
        <v>204.0</v>
      </c>
      <c r="B36" s="145" t="s">
        <v>369</v>
      </c>
    </row>
    <row r="37" ht="12.75" customHeight="1">
      <c r="A37" s="145">
        <v>204.0</v>
      </c>
      <c r="B37" s="145" t="s">
        <v>272</v>
      </c>
    </row>
    <row r="38" ht="12.75" customHeight="1">
      <c r="A38" s="145">
        <v>205.0</v>
      </c>
      <c r="B38" s="145" t="s">
        <v>498</v>
      </c>
    </row>
    <row r="39" ht="12.75" customHeight="1">
      <c r="A39" s="145">
        <v>205.0</v>
      </c>
      <c r="B39" s="145" t="s">
        <v>501</v>
      </c>
    </row>
    <row r="40" ht="12.75" customHeight="1">
      <c r="A40" s="145">
        <v>205.0</v>
      </c>
      <c r="B40" s="145" t="s">
        <v>504</v>
      </c>
    </row>
    <row r="41" ht="12.75" customHeight="1">
      <c r="A41" s="145">
        <v>205.0</v>
      </c>
      <c r="B41" s="145" t="s">
        <v>506</v>
      </c>
    </row>
    <row r="42" ht="12.75" customHeight="1">
      <c r="A42" s="145">
        <v>205.0</v>
      </c>
      <c r="B42" s="145" t="s">
        <v>508</v>
      </c>
    </row>
    <row r="43" ht="12.75" customHeight="1">
      <c r="A43" s="145">
        <v>205.0</v>
      </c>
      <c r="B43" s="145" t="s">
        <v>510</v>
      </c>
    </row>
    <row r="44" ht="12.75" customHeight="1">
      <c r="A44" s="145">
        <v>205.0</v>
      </c>
      <c r="B44" s="145" t="s">
        <v>512</v>
      </c>
    </row>
    <row r="45" ht="12.75" customHeight="1">
      <c r="A45" s="145">
        <v>205.0</v>
      </c>
      <c r="B45" s="145" t="s">
        <v>514</v>
      </c>
    </row>
    <row r="46" ht="12.75" customHeight="1">
      <c r="A46" s="145">
        <v>205.0</v>
      </c>
      <c r="B46" s="145" t="s">
        <v>516</v>
      </c>
    </row>
    <row r="47" ht="12.75" customHeight="1">
      <c r="A47" s="145">
        <v>205.0</v>
      </c>
      <c r="B47" s="145" t="s">
        <v>518</v>
      </c>
    </row>
    <row r="48" ht="12.75" customHeight="1">
      <c r="A48" s="145">
        <v>205.0</v>
      </c>
      <c r="B48" s="145" t="s">
        <v>520</v>
      </c>
    </row>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2"/>
  <legacyDrawing r:id="rId3"/>
  <tableParts count="1">
    <tablePart r:id="rId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63"/>
    <col customWidth="1" min="2" max="2" width="20.0"/>
    <col customWidth="1" min="3" max="3" width="25.38"/>
    <col customWidth="1" min="4" max="6" width="31.25"/>
  </cols>
  <sheetData>
    <row r="1" ht="15.75" customHeight="1">
      <c r="A1" s="143" t="s">
        <v>1186</v>
      </c>
      <c r="B1" s="143" t="s">
        <v>1068</v>
      </c>
      <c r="C1" s="143" t="s">
        <v>87</v>
      </c>
      <c r="D1" s="143" t="s">
        <v>1187</v>
      </c>
      <c r="E1" s="143" t="s">
        <v>1188</v>
      </c>
      <c r="F1" s="143" t="s">
        <v>1189</v>
      </c>
    </row>
    <row r="2" ht="15.75" customHeight="1">
      <c r="A2" s="145" t="s">
        <v>1190</v>
      </c>
      <c r="B2" s="150">
        <v>43957.0</v>
      </c>
      <c r="C2" s="145" t="s">
        <v>1191</v>
      </c>
      <c r="D2" s="145" t="s">
        <v>1192</v>
      </c>
      <c r="E2" s="145" t="s">
        <v>1193</v>
      </c>
      <c r="F2" s="145"/>
    </row>
    <row r="3" ht="15.75" customHeight="1">
      <c r="A3" s="145" t="s">
        <v>1190</v>
      </c>
      <c r="B3" s="150">
        <v>43957.0</v>
      </c>
      <c r="C3" s="145" t="s">
        <v>1194</v>
      </c>
      <c r="D3" s="145" t="s">
        <v>1195</v>
      </c>
      <c r="E3" s="145" t="s">
        <v>1196</v>
      </c>
      <c r="F3" s="145"/>
    </row>
    <row r="4" ht="15.75" customHeight="1">
      <c r="A4" s="145" t="s">
        <v>1190</v>
      </c>
      <c r="B4" s="150">
        <v>43957.0</v>
      </c>
      <c r="C4" s="145" t="s">
        <v>1197</v>
      </c>
      <c r="D4" s="145" t="s">
        <v>1198</v>
      </c>
      <c r="E4" s="145" t="s">
        <v>1196</v>
      </c>
      <c r="F4" s="145"/>
    </row>
    <row r="5" ht="15.75" customHeight="1">
      <c r="A5" s="145" t="s">
        <v>1190</v>
      </c>
      <c r="B5" s="150">
        <v>43958.0</v>
      </c>
      <c r="C5" s="145" t="s">
        <v>1199</v>
      </c>
      <c r="D5" s="145" t="s">
        <v>1200</v>
      </c>
      <c r="E5" s="145" t="s">
        <v>1201</v>
      </c>
      <c r="F5" s="145"/>
    </row>
    <row r="6" ht="15.75" customHeight="1">
      <c r="A6" s="145" t="s">
        <v>1190</v>
      </c>
      <c r="B6" s="150">
        <v>43959.0</v>
      </c>
      <c r="C6" s="145" t="s">
        <v>1202</v>
      </c>
      <c r="D6" s="145" t="s">
        <v>1203</v>
      </c>
      <c r="E6" s="145" t="s">
        <v>1204</v>
      </c>
      <c r="F6" s="145"/>
    </row>
    <row r="7" ht="15.75" customHeight="1">
      <c r="A7" s="145" t="s">
        <v>1190</v>
      </c>
      <c r="B7" s="150">
        <v>43960.0</v>
      </c>
      <c r="C7" s="145" t="s">
        <v>1205</v>
      </c>
      <c r="D7" s="145" t="s">
        <v>1192</v>
      </c>
      <c r="E7" s="145" t="s">
        <v>1201</v>
      </c>
      <c r="F7" s="145"/>
    </row>
    <row r="8" ht="15.75" customHeight="1">
      <c r="A8" s="145" t="s">
        <v>1190</v>
      </c>
      <c r="B8" s="150">
        <v>43960.0</v>
      </c>
      <c r="C8" s="145" t="s">
        <v>1206</v>
      </c>
      <c r="D8" s="145" t="s">
        <v>1207</v>
      </c>
      <c r="E8" s="145" t="s">
        <v>1201</v>
      </c>
      <c r="F8" s="145"/>
    </row>
    <row r="9" ht="15.75" customHeight="1">
      <c r="A9" s="145" t="s">
        <v>1190</v>
      </c>
      <c r="B9" s="150">
        <v>43961.0</v>
      </c>
      <c r="C9" s="145" t="s">
        <v>1208</v>
      </c>
      <c r="D9" s="145" t="s">
        <v>1209</v>
      </c>
      <c r="E9" s="145" t="s">
        <v>1201</v>
      </c>
      <c r="F9" s="145"/>
    </row>
    <row r="10" ht="15.75" customHeight="1">
      <c r="A10" s="145" t="s">
        <v>1190</v>
      </c>
      <c r="B10" s="150">
        <v>43961.0</v>
      </c>
      <c r="C10" s="145" t="s">
        <v>1210</v>
      </c>
      <c r="D10" s="145" t="s">
        <v>1195</v>
      </c>
      <c r="E10" s="145" t="s">
        <v>1201</v>
      </c>
      <c r="F10" s="145"/>
    </row>
    <row r="11" ht="15.75" customHeight="1">
      <c r="A11" s="145" t="s">
        <v>1190</v>
      </c>
      <c r="B11" s="150">
        <v>43962.0</v>
      </c>
      <c r="C11" s="145" t="s">
        <v>1191</v>
      </c>
      <c r="D11" s="145" t="s">
        <v>1192</v>
      </c>
      <c r="E11" s="145" t="s">
        <v>1201</v>
      </c>
      <c r="F11" s="145"/>
    </row>
    <row r="12" ht="15.75" customHeight="1">
      <c r="A12" s="145" t="s">
        <v>1190</v>
      </c>
      <c r="B12" s="150">
        <v>43962.0</v>
      </c>
      <c r="C12" s="145" t="s">
        <v>1211</v>
      </c>
      <c r="D12" s="145" t="s">
        <v>1212</v>
      </c>
      <c r="E12" s="145" t="s">
        <v>1201</v>
      </c>
      <c r="F12" s="145"/>
    </row>
    <row r="13" ht="15.75" customHeight="1">
      <c r="A13" s="145" t="s">
        <v>1190</v>
      </c>
      <c r="B13" s="150">
        <v>43962.0</v>
      </c>
      <c r="C13" s="145" t="s">
        <v>1213</v>
      </c>
      <c r="D13" s="145" t="s">
        <v>1212</v>
      </c>
      <c r="E13" s="145" t="s">
        <v>1201</v>
      </c>
      <c r="F13" s="145"/>
    </row>
    <row r="14" ht="15.75" customHeight="1">
      <c r="A14" s="145" t="s">
        <v>1190</v>
      </c>
      <c r="B14" s="150">
        <v>43962.0</v>
      </c>
      <c r="C14" s="145" t="s">
        <v>1214</v>
      </c>
      <c r="D14" s="145" t="s">
        <v>1215</v>
      </c>
      <c r="E14" s="145" t="s">
        <v>1216</v>
      </c>
      <c r="F14" s="145"/>
    </row>
    <row r="15" ht="15.75" customHeight="1">
      <c r="A15" s="145" t="s">
        <v>1217</v>
      </c>
      <c r="B15" s="150">
        <v>44194.0</v>
      </c>
      <c r="C15" s="145" t="s">
        <v>1218</v>
      </c>
      <c r="D15" s="145"/>
      <c r="E15" s="145" t="s">
        <v>1219</v>
      </c>
      <c r="F15" s="145"/>
    </row>
    <row r="16" ht="15.75" customHeight="1">
      <c r="A16" s="145" t="s">
        <v>1217</v>
      </c>
      <c r="B16" s="150">
        <v>44195.0</v>
      </c>
      <c r="C16" s="145" t="s">
        <v>1220</v>
      </c>
      <c r="D16" s="145"/>
      <c r="E16" s="145" t="s">
        <v>1196</v>
      </c>
      <c r="F16" s="145"/>
    </row>
    <row r="17" ht="15.75" customHeight="1">
      <c r="A17" s="145" t="s">
        <v>1217</v>
      </c>
      <c r="B17" s="150">
        <v>44195.0</v>
      </c>
      <c r="C17" s="145" t="s">
        <v>1194</v>
      </c>
      <c r="D17" s="145"/>
      <c r="E17" s="145" t="s">
        <v>1221</v>
      </c>
      <c r="F17" s="145"/>
    </row>
    <row r="18" ht="15.75" customHeight="1">
      <c r="A18" s="145" t="s">
        <v>1217</v>
      </c>
      <c r="B18" s="150">
        <v>44195.0</v>
      </c>
      <c r="C18" s="145" t="s">
        <v>1222</v>
      </c>
      <c r="D18" s="145" t="s">
        <v>1223</v>
      </c>
      <c r="E18" s="145" t="s">
        <v>1224</v>
      </c>
      <c r="F18" s="145" t="s">
        <v>1225</v>
      </c>
    </row>
    <row r="19" ht="15.75" customHeight="1">
      <c r="A19" s="145" t="s">
        <v>1217</v>
      </c>
      <c r="B19" s="150">
        <v>44195.0</v>
      </c>
      <c r="C19" s="145" t="s">
        <v>1226</v>
      </c>
      <c r="D19" s="145" t="s">
        <v>1227</v>
      </c>
      <c r="E19" s="145" t="s">
        <v>1196</v>
      </c>
      <c r="F19" s="145" t="s">
        <v>1225</v>
      </c>
    </row>
    <row r="20" ht="15.75" customHeight="1">
      <c r="A20" s="145" t="s">
        <v>1217</v>
      </c>
      <c r="B20" s="150">
        <v>44196.0</v>
      </c>
      <c r="C20" s="145" t="s">
        <v>1228</v>
      </c>
      <c r="D20" s="145"/>
      <c r="E20" s="145" t="s">
        <v>1196</v>
      </c>
      <c r="F20" s="145"/>
    </row>
    <row r="21" ht="15.75" customHeight="1">
      <c r="A21" s="145" t="s">
        <v>1217</v>
      </c>
      <c r="B21" s="150">
        <v>44197.0</v>
      </c>
      <c r="C21" s="145" t="s">
        <v>1229</v>
      </c>
      <c r="D21" s="145"/>
      <c r="E21" s="145" t="s">
        <v>1196</v>
      </c>
      <c r="F21" s="145"/>
    </row>
    <row r="22" ht="15.75" customHeight="1">
      <c r="A22" s="145" t="s">
        <v>1217</v>
      </c>
      <c r="B22" s="150">
        <v>44197.0</v>
      </c>
      <c r="C22" s="145" t="s">
        <v>1202</v>
      </c>
      <c r="D22" s="145" t="s">
        <v>1230</v>
      </c>
      <c r="E22" s="145" t="s">
        <v>1196</v>
      </c>
      <c r="F22" s="145" t="s">
        <v>1225</v>
      </c>
    </row>
    <row r="23" ht="15.75" customHeight="1">
      <c r="A23" s="145" t="s">
        <v>1217</v>
      </c>
      <c r="B23" s="150">
        <v>44198.0</v>
      </c>
      <c r="C23" s="145" t="s">
        <v>1231</v>
      </c>
      <c r="D23" s="145"/>
      <c r="E23" s="145" t="s">
        <v>1196</v>
      </c>
      <c r="F23" s="145"/>
    </row>
    <row r="24" ht="15.75" customHeight="1">
      <c r="A24" s="145" t="s">
        <v>1217</v>
      </c>
      <c r="B24" s="150">
        <v>44198.0</v>
      </c>
      <c r="C24" s="145" t="s">
        <v>1232</v>
      </c>
      <c r="D24" s="145" t="s">
        <v>1233</v>
      </c>
      <c r="E24" s="145" t="s">
        <v>1234</v>
      </c>
      <c r="F24" s="145" t="s">
        <v>1225</v>
      </c>
    </row>
    <row r="25" ht="15.75" customHeight="1">
      <c r="A25" s="145" t="s">
        <v>1217</v>
      </c>
      <c r="B25" s="150">
        <v>44198.0</v>
      </c>
      <c r="C25" s="145" t="s">
        <v>1235</v>
      </c>
      <c r="D25" s="145" t="s">
        <v>1223</v>
      </c>
      <c r="E25" s="145" t="s">
        <v>1196</v>
      </c>
      <c r="F25" s="145" t="s">
        <v>1225</v>
      </c>
    </row>
    <row r="26" ht="15.75" customHeight="1">
      <c r="A26" s="145" t="s">
        <v>1217</v>
      </c>
      <c r="B26" s="150">
        <v>44199.0</v>
      </c>
      <c r="C26" s="145" t="s">
        <v>1210</v>
      </c>
      <c r="D26" s="145" t="s">
        <v>1236</v>
      </c>
      <c r="E26" s="145" t="s">
        <v>1196</v>
      </c>
      <c r="F26" s="145" t="s">
        <v>1225</v>
      </c>
    </row>
    <row r="27" ht="15.75" customHeight="1">
      <c r="A27" s="145" t="s">
        <v>1217</v>
      </c>
      <c r="B27" s="150">
        <v>44200.0</v>
      </c>
      <c r="C27" s="145" t="s">
        <v>1237</v>
      </c>
      <c r="D27" s="145" t="s">
        <v>1238</v>
      </c>
      <c r="E27" s="145" t="s">
        <v>1196</v>
      </c>
      <c r="F27" s="145" t="s">
        <v>1225</v>
      </c>
    </row>
    <row r="28" ht="15.75" customHeight="1">
      <c r="A28" s="145" t="s">
        <v>1217</v>
      </c>
      <c r="B28" s="150">
        <v>44200.0</v>
      </c>
      <c r="C28" s="145" t="s">
        <v>1239</v>
      </c>
      <c r="D28" s="145" t="s">
        <v>1240</v>
      </c>
      <c r="E28" s="145" t="s">
        <v>1196</v>
      </c>
      <c r="F28" s="145" t="s">
        <v>1225</v>
      </c>
    </row>
    <row r="29" ht="15.75" customHeight="1">
      <c r="A29" s="145" t="s">
        <v>1241</v>
      </c>
      <c r="B29" s="150">
        <v>44317.0</v>
      </c>
      <c r="C29" s="145" t="s">
        <v>1210</v>
      </c>
      <c r="D29" s="145" t="s">
        <v>1242</v>
      </c>
      <c r="E29" s="145" t="s">
        <v>1201</v>
      </c>
      <c r="F29" s="145" t="s">
        <v>1243</v>
      </c>
    </row>
    <row r="30" ht="15.75" customHeight="1">
      <c r="A30" s="145" t="s">
        <v>1241</v>
      </c>
      <c r="B30" s="150">
        <v>44317.0</v>
      </c>
      <c r="C30" s="145" t="s">
        <v>1235</v>
      </c>
      <c r="D30" s="145" t="s">
        <v>1244</v>
      </c>
      <c r="E30" s="145" t="s">
        <v>1245</v>
      </c>
      <c r="F30" s="145" t="s">
        <v>1246</v>
      </c>
    </row>
    <row r="31" ht="15.75" customHeight="1">
      <c r="A31" s="145" t="s">
        <v>1241</v>
      </c>
      <c r="B31" s="150">
        <v>44317.0</v>
      </c>
      <c r="C31" s="145" t="s">
        <v>1206</v>
      </c>
      <c r="D31" s="145" t="s">
        <v>1207</v>
      </c>
      <c r="E31" s="145" t="s">
        <v>1201</v>
      </c>
      <c r="F31" s="145" t="s">
        <v>1243</v>
      </c>
    </row>
    <row r="32" ht="15.75" customHeight="1">
      <c r="A32" s="145" t="s">
        <v>1241</v>
      </c>
      <c r="B32" s="150">
        <v>44318.0</v>
      </c>
      <c r="C32" s="145" t="s">
        <v>1208</v>
      </c>
      <c r="D32" s="145" t="s">
        <v>1209</v>
      </c>
      <c r="E32" s="145" t="s">
        <v>1201</v>
      </c>
      <c r="F32" s="145" t="s">
        <v>1243</v>
      </c>
    </row>
    <row r="33" ht="15.75" customHeight="1">
      <c r="A33" s="145" t="s">
        <v>1241</v>
      </c>
      <c r="B33" s="150">
        <v>44319.0</v>
      </c>
      <c r="C33" s="145" t="s">
        <v>1211</v>
      </c>
      <c r="D33" s="145" t="s">
        <v>1212</v>
      </c>
      <c r="E33" s="145" t="s">
        <v>1196</v>
      </c>
      <c r="F33" s="145" t="s">
        <v>1246</v>
      </c>
    </row>
    <row r="34" ht="15.75" customHeight="1">
      <c r="A34" s="145" t="s">
        <v>1241</v>
      </c>
      <c r="B34" s="150">
        <v>44319.0</v>
      </c>
      <c r="C34" s="145" t="s">
        <v>1213</v>
      </c>
      <c r="D34" s="145" t="s">
        <v>1212</v>
      </c>
      <c r="E34" s="145" t="s">
        <v>1196</v>
      </c>
      <c r="F34" s="145" t="s">
        <v>1246</v>
      </c>
    </row>
    <row r="35" ht="15.75" customHeight="1">
      <c r="A35" s="145" t="s">
        <v>1241</v>
      </c>
      <c r="B35" s="150">
        <v>44320.0</v>
      </c>
      <c r="C35" s="145" t="s">
        <v>1247</v>
      </c>
      <c r="D35" s="145"/>
      <c r="E35" s="145" t="s">
        <v>1219</v>
      </c>
      <c r="F35" s="145" t="s">
        <v>1243</v>
      </c>
    </row>
    <row r="36" ht="15.75" customHeight="1">
      <c r="A36" s="145" t="s">
        <v>1241</v>
      </c>
      <c r="B36" s="150">
        <v>44321.0</v>
      </c>
      <c r="C36" s="145" t="s">
        <v>1248</v>
      </c>
      <c r="D36" s="145" t="s">
        <v>1244</v>
      </c>
      <c r="E36" s="145" t="s">
        <v>1249</v>
      </c>
      <c r="F36" s="145" t="s">
        <v>1250</v>
      </c>
    </row>
    <row r="37" ht="15.75" customHeight="1">
      <c r="A37" s="145" t="s">
        <v>1241</v>
      </c>
      <c r="B37" s="150">
        <v>44321.0</v>
      </c>
      <c r="C37" s="145" t="s">
        <v>1220</v>
      </c>
      <c r="D37" s="145"/>
      <c r="E37" s="145" t="s">
        <v>1251</v>
      </c>
      <c r="F37" s="145" t="s">
        <v>1243</v>
      </c>
    </row>
    <row r="38" ht="15.75" customHeight="1">
      <c r="A38" s="145" t="s">
        <v>1241</v>
      </c>
      <c r="B38" s="150">
        <v>44321.0</v>
      </c>
      <c r="C38" s="145" t="s">
        <v>1197</v>
      </c>
      <c r="D38" s="145" t="s">
        <v>1227</v>
      </c>
      <c r="E38" s="145" t="s">
        <v>1196</v>
      </c>
      <c r="F38" s="145" t="s">
        <v>1250</v>
      </c>
    </row>
    <row r="39" ht="15.75" customHeight="1">
      <c r="A39" s="145" t="s">
        <v>1241</v>
      </c>
      <c r="B39" s="150">
        <v>44322.0</v>
      </c>
      <c r="C39" s="145" t="s">
        <v>1199</v>
      </c>
      <c r="D39" s="145" t="s">
        <v>1252</v>
      </c>
      <c r="E39" s="145" t="s">
        <v>1196</v>
      </c>
      <c r="F39" s="145" t="s">
        <v>1246</v>
      </c>
    </row>
    <row r="40" ht="15.75" customHeight="1">
      <c r="A40" s="145" t="s">
        <v>1241</v>
      </c>
      <c r="B40" s="150">
        <v>44324.0</v>
      </c>
      <c r="C40" s="145" t="s">
        <v>1232</v>
      </c>
      <c r="D40" s="145" t="s">
        <v>1233</v>
      </c>
      <c r="E40" s="145" t="s">
        <v>1234</v>
      </c>
      <c r="F40" s="145"/>
    </row>
    <row r="41" ht="15.75" customHeight="1">
      <c r="A41" s="145" t="s">
        <v>1253</v>
      </c>
      <c r="B41" s="150">
        <v>44400.0</v>
      </c>
      <c r="C41" s="145" t="s">
        <v>1254</v>
      </c>
      <c r="D41" s="145" t="s">
        <v>1255</v>
      </c>
      <c r="E41" s="145" t="s">
        <v>1256</v>
      </c>
      <c r="F41" s="145" t="s">
        <v>20</v>
      </c>
    </row>
    <row r="42" ht="15.75" customHeight="1">
      <c r="A42" s="145" t="s">
        <v>1253</v>
      </c>
      <c r="B42" s="150">
        <v>44400.0</v>
      </c>
      <c r="C42" s="145" t="s">
        <v>1202</v>
      </c>
      <c r="D42" s="145" t="s">
        <v>1257</v>
      </c>
      <c r="E42" s="145" t="s">
        <v>1258</v>
      </c>
      <c r="F42" s="145" t="s">
        <v>1225</v>
      </c>
    </row>
    <row r="43" ht="15.75" customHeight="1">
      <c r="A43" s="145" t="s">
        <v>1253</v>
      </c>
      <c r="B43" s="150">
        <v>44401.0</v>
      </c>
      <c r="C43" s="145" t="s">
        <v>1259</v>
      </c>
      <c r="D43" s="145" t="s">
        <v>1260</v>
      </c>
      <c r="E43" s="145" t="s">
        <v>1196</v>
      </c>
      <c r="F43" s="145" t="s">
        <v>1225</v>
      </c>
    </row>
    <row r="44" ht="15.75" customHeight="1">
      <c r="A44" s="145" t="s">
        <v>1253</v>
      </c>
      <c r="B44" s="150">
        <v>44401.0</v>
      </c>
      <c r="C44" s="145" t="s">
        <v>1232</v>
      </c>
      <c r="D44" s="145" t="s">
        <v>1233</v>
      </c>
      <c r="E44" s="145" t="s">
        <v>1234</v>
      </c>
      <c r="F44" s="145" t="s">
        <v>1225</v>
      </c>
    </row>
    <row r="45" ht="15.75" customHeight="1">
      <c r="A45" s="145" t="s">
        <v>1253</v>
      </c>
      <c r="B45" s="150">
        <v>44401.0</v>
      </c>
      <c r="C45" s="145" t="s">
        <v>1261</v>
      </c>
      <c r="D45" s="145" t="s">
        <v>1255</v>
      </c>
      <c r="E45" s="145" t="s">
        <v>1262</v>
      </c>
      <c r="F45" s="145" t="s">
        <v>20</v>
      </c>
    </row>
    <row r="46" ht="15.75" customHeight="1">
      <c r="A46" s="145" t="s">
        <v>1253</v>
      </c>
      <c r="B46" s="150">
        <v>44401.0</v>
      </c>
      <c r="C46" s="145" t="s">
        <v>1235</v>
      </c>
      <c r="D46" s="145" t="s">
        <v>1223</v>
      </c>
      <c r="E46" s="145" t="s">
        <v>1263</v>
      </c>
      <c r="F46" s="145" t="s">
        <v>1225</v>
      </c>
    </row>
    <row r="47" ht="15.75" customHeight="1">
      <c r="A47" s="145" t="s">
        <v>1253</v>
      </c>
      <c r="B47" s="150">
        <v>44402.0</v>
      </c>
      <c r="C47" s="145" t="s">
        <v>1208</v>
      </c>
      <c r="D47" s="145" t="s">
        <v>1264</v>
      </c>
      <c r="E47" s="145" t="s">
        <v>1265</v>
      </c>
      <c r="F47" s="145" t="s">
        <v>1225</v>
      </c>
    </row>
    <row r="48" ht="15.75" customHeight="1">
      <c r="A48" s="145" t="s">
        <v>1253</v>
      </c>
      <c r="B48" s="150">
        <v>44402.0</v>
      </c>
      <c r="C48" s="145" t="s">
        <v>1266</v>
      </c>
      <c r="D48" s="145" t="s">
        <v>1267</v>
      </c>
      <c r="E48" s="145" t="s">
        <v>1258</v>
      </c>
      <c r="F48" s="145" t="s">
        <v>1225</v>
      </c>
    </row>
    <row r="49" ht="15.75" customHeight="1">
      <c r="A49" s="145" t="s">
        <v>1253</v>
      </c>
      <c r="B49" s="150">
        <v>44402.0</v>
      </c>
      <c r="C49" s="145" t="s">
        <v>1268</v>
      </c>
      <c r="D49" s="145" t="s">
        <v>1260</v>
      </c>
      <c r="E49" s="145" t="s">
        <v>1196</v>
      </c>
      <c r="F49" s="145" t="s">
        <v>1225</v>
      </c>
    </row>
    <row r="50" ht="15.75" customHeight="1">
      <c r="A50" s="145" t="s">
        <v>1253</v>
      </c>
      <c r="B50" s="150">
        <v>44403.0</v>
      </c>
      <c r="C50" s="145" t="s">
        <v>1269</v>
      </c>
      <c r="D50" s="145" t="s">
        <v>1223</v>
      </c>
      <c r="E50" s="145" t="s">
        <v>1258</v>
      </c>
      <c r="F50" s="145" t="s">
        <v>1225</v>
      </c>
    </row>
    <row r="51" ht="15.75" customHeight="1">
      <c r="A51" s="145" t="s">
        <v>1253</v>
      </c>
      <c r="B51" s="150">
        <v>44403.0</v>
      </c>
      <c r="C51" s="145" t="s">
        <v>1211</v>
      </c>
      <c r="D51" s="145" t="s">
        <v>1212</v>
      </c>
      <c r="E51" s="145" t="s">
        <v>1196</v>
      </c>
      <c r="F51" s="145" t="s">
        <v>1225</v>
      </c>
    </row>
    <row r="52" ht="15.75" customHeight="1">
      <c r="A52" s="145" t="s">
        <v>1253</v>
      </c>
      <c r="B52" s="150">
        <v>44403.0</v>
      </c>
      <c r="C52" s="145" t="s">
        <v>1213</v>
      </c>
      <c r="D52" s="145" t="s">
        <v>1212</v>
      </c>
      <c r="E52" s="145" t="s">
        <v>1196</v>
      </c>
      <c r="F52" s="145" t="s">
        <v>1225</v>
      </c>
    </row>
    <row r="53" ht="15.75" customHeight="1">
      <c r="A53" s="145" t="s">
        <v>1253</v>
      </c>
      <c r="B53" s="150" t="s">
        <v>1270</v>
      </c>
      <c r="C53" s="145"/>
      <c r="D53" s="145"/>
      <c r="E53" s="145"/>
      <c r="F53" s="145"/>
    </row>
    <row r="54" ht="15.75" customHeight="1">
      <c r="A54" s="145" t="s">
        <v>1253</v>
      </c>
      <c r="B54" s="150">
        <v>44418.0</v>
      </c>
      <c r="C54" s="145" t="s">
        <v>1254</v>
      </c>
      <c r="D54" s="145" t="s">
        <v>1255</v>
      </c>
      <c r="E54" s="145" t="s">
        <v>1271</v>
      </c>
      <c r="F54" s="145" t="s">
        <v>20</v>
      </c>
    </row>
    <row r="55" ht="15.75" customHeight="1">
      <c r="A55" s="145" t="s">
        <v>1253</v>
      </c>
      <c r="B55" s="150">
        <v>44418.0</v>
      </c>
      <c r="C55" s="145" t="s">
        <v>1272</v>
      </c>
      <c r="D55" s="145" t="s">
        <v>1273</v>
      </c>
      <c r="E55" s="145" t="s">
        <v>1271</v>
      </c>
      <c r="F55" s="145" t="s">
        <v>20</v>
      </c>
    </row>
    <row r="56" ht="15.75" customHeight="1">
      <c r="A56" s="145" t="s">
        <v>1253</v>
      </c>
      <c r="B56" s="150">
        <v>44418.0</v>
      </c>
      <c r="C56" s="145" t="s">
        <v>1220</v>
      </c>
      <c r="D56" s="145" t="s">
        <v>1255</v>
      </c>
      <c r="E56" s="145" t="s">
        <v>1274</v>
      </c>
      <c r="F56" s="145" t="s">
        <v>20</v>
      </c>
    </row>
    <row r="57" ht="15.75" customHeight="1">
      <c r="A57" s="145" t="s">
        <v>1253</v>
      </c>
      <c r="B57" s="150">
        <v>44419.0</v>
      </c>
      <c r="C57" s="145" t="s">
        <v>1248</v>
      </c>
      <c r="D57" s="145" t="s">
        <v>1223</v>
      </c>
      <c r="E57" s="145" t="s">
        <v>1271</v>
      </c>
      <c r="F57" s="145" t="s">
        <v>1225</v>
      </c>
    </row>
    <row r="58" ht="15.75" customHeight="1">
      <c r="A58" s="145" t="s">
        <v>1253</v>
      </c>
      <c r="B58" s="150">
        <v>44419.0</v>
      </c>
      <c r="C58" s="145" t="s">
        <v>1275</v>
      </c>
      <c r="D58" s="145" t="s">
        <v>1276</v>
      </c>
      <c r="E58" s="145" t="s">
        <v>1196</v>
      </c>
      <c r="F58" s="145" t="s">
        <v>1225</v>
      </c>
    </row>
    <row r="59" ht="15.75" customHeight="1">
      <c r="A59" s="145" t="s">
        <v>1253</v>
      </c>
      <c r="B59" s="150">
        <v>44419.0</v>
      </c>
      <c r="C59" s="145" t="s">
        <v>1277</v>
      </c>
      <c r="D59" s="145" t="s">
        <v>1273</v>
      </c>
      <c r="E59" s="145" t="s">
        <v>1271</v>
      </c>
      <c r="F59" s="145" t="s">
        <v>20</v>
      </c>
    </row>
    <row r="60" ht="15.75" customHeight="1">
      <c r="A60" s="145" t="s">
        <v>1253</v>
      </c>
      <c r="B60" s="150">
        <v>44419.0</v>
      </c>
      <c r="C60" s="145" t="s">
        <v>1226</v>
      </c>
      <c r="D60" s="145" t="s">
        <v>1227</v>
      </c>
      <c r="E60" s="145" t="s">
        <v>1196</v>
      </c>
      <c r="F60" s="145" t="s">
        <v>1225</v>
      </c>
    </row>
    <row r="61" ht="15.75" customHeight="1">
      <c r="A61" s="145" t="s">
        <v>1253</v>
      </c>
      <c r="B61" s="150">
        <v>44420.0</v>
      </c>
      <c r="C61" s="145" t="s">
        <v>1278</v>
      </c>
      <c r="D61" s="145" t="s">
        <v>1273</v>
      </c>
      <c r="E61" s="145" t="s">
        <v>1271</v>
      </c>
      <c r="F61" s="145" t="s">
        <v>20</v>
      </c>
    </row>
    <row r="62" ht="15.75" customHeight="1">
      <c r="A62" s="145" t="s">
        <v>1253</v>
      </c>
      <c r="B62" s="150">
        <v>44420.0</v>
      </c>
      <c r="C62" s="145" t="s">
        <v>1199</v>
      </c>
      <c r="D62" s="145" t="s">
        <v>395</v>
      </c>
      <c r="E62" s="145" t="s">
        <v>1196</v>
      </c>
      <c r="F62" s="145" t="s">
        <v>1225</v>
      </c>
    </row>
    <row r="63" ht="15.75" customHeight="1">
      <c r="A63" s="145" t="s">
        <v>1253</v>
      </c>
      <c r="B63" s="150">
        <v>44421.0</v>
      </c>
      <c r="C63" s="145" t="s">
        <v>1254</v>
      </c>
      <c r="D63" s="145" t="s">
        <v>1255</v>
      </c>
      <c r="E63" s="145" t="s">
        <v>1271</v>
      </c>
      <c r="F63" s="145" t="s">
        <v>20</v>
      </c>
    </row>
    <row r="64" ht="15.75" customHeight="1">
      <c r="A64" s="145" t="s">
        <v>1253</v>
      </c>
      <c r="B64" s="150">
        <v>44421.0</v>
      </c>
      <c r="C64" s="145" t="s">
        <v>1202</v>
      </c>
      <c r="D64" s="145" t="s">
        <v>1279</v>
      </c>
      <c r="E64" s="145" t="s">
        <v>1196</v>
      </c>
      <c r="F64" s="145" t="s">
        <v>1225</v>
      </c>
    </row>
    <row r="65" ht="15.75" customHeight="1">
      <c r="A65" s="145" t="s">
        <v>1253</v>
      </c>
      <c r="B65" s="150">
        <v>44422.0</v>
      </c>
      <c r="C65" s="145" t="s">
        <v>1259</v>
      </c>
      <c r="D65" s="145" t="s">
        <v>1276</v>
      </c>
      <c r="E65" s="145" t="s">
        <v>1196</v>
      </c>
      <c r="F65" s="145" t="s">
        <v>1225</v>
      </c>
    </row>
    <row r="66" ht="15.75" customHeight="1">
      <c r="A66" s="145" t="s">
        <v>1253</v>
      </c>
      <c r="B66" s="150">
        <v>44422.0</v>
      </c>
      <c r="C66" s="145" t="s">
        <v>1232</v>
      </c>
      <c r="D66" s="145" t="s">
        <v>1233</v>
      </c>
      <c r="E66" s="145" t="s">
        <v>1280</v>
      </c>
      <c r="F66" s="145" t="s">
        <v>1225</v>
      </c>
    </row>
    <row r="67" ht="15.75" customHeight="1">
      <c r="A67" s="145" t="s">
        <v>1253</v>
      </c>
      <c r="B67" s="150">
        <v>44422.0</v>
      </c>
      <c r="C67" s="145" t="s">
        <v>1235</v>
      </c>
      <c r="D67" s="145" t="s">
        <v>1223</v>
      </c>
      <c r="E67" s="145" t="s">
        <v>1281</v>
      </c>
      <c r="F67" s="145" t="s">
        <v>1225</v>
      </c>
    </row>
    <row r="68" ht="15.75" customHeight="1">
      <c r="A68" s="145" t="s">
        <v>1253</v>
      </c>
      <c r="B68" s="150">
        <v>44422.0</v>
      </c>
      <c r="C68" s="145" t="s">
        <v>1231</v>
      </c>
      <c r="D68" s="145" t="s">
        <v>1255</v>
      </c>
      <c r="E68" s="145" t="s">
        <v>1262</v>
      </c>
      <c r="F68" s="145" t="s">
        <v>20</v>
      </c>
    </row>
    <row r="69" ht="15.75" customHeight="1">
      <c r="A69" s="145" t="s">
        <v>1253</v>
      </c>
      <c r="B69" s="150">
        <v>44423.0</v>
      </c>
      <c r="C69" s="145" t="s">
        <v>1208</v>
      </c>
      <c r="D69" s="145" t="s">
        <v>1273</v>
      </c>
      <c r="E69" s="145" t="s">
        <v>1196</v>
      </c>
      <c r="F69" s="145" t="s">
        <v>20</v>
      </c>
    </row>
    <row r="70" ht="15.75" customHeight="1">
      <c r="A70" s="145" t="s">
        <v>1253</v>
      </c>
      <c r="B70" s="150">
        <v>44423.0</v>
      </c>
      <c r="C70" s="145" t="s">
        <v>1210</v>
      </c>
      <c r="D70" s="145" t="s">
        <v>1276</v>
      </c>
      <c r="E70" s="145" t="s">
        <v>1196</v>
      </c>
      <c r="F70" s="145" t="s">
        <v>1225</v>
      </c>
    </row>
    <row r="71" ht="15.75" customHeight="1">
      <c r="A71" s="145" t="s">
        <v>1253</v>
      </c>
      <c r="B71" s="150">
        <v>44424.0</v>
      </c>
      <c r="C71" s="145" t="s">
        <v>1269</v>
      </c>
      <c r="D71" s="145" t="s">
        <v>1223</v>
      </c>
      <c r="E71" s="145" t="s">
        <v>1271</v>
      </c>
      <c r="F71" s="145" t="s">
        <v>1225</v>
      </c>
    </row>
    <row r="72" ht="15.75" customHeight="1">
      <c r="A72" s="145" t="s">
        <v>1253</v>
      </c>
      <c r="B72" s="150">
        <v>44424.0</v>
      </c>
      <c r="C72" s="145" t="s">
        <v>1282</v>
      </c>
      <c r="D72" s="145" t="s">
        <v>1283</v>
      </c>
      <c r="E72" s="145" t="s">
        <v>1196</v>
      </c>
      <c r="F72" s="145" t="s">
        <v>1225</v>
      </c>
    </row>
    <row r="73" ht="15.75" customHeight="1">
      <c r="A73" s="145" t="s">
        <v>1253</v>
      </c>
      <c r="B73" s="150">
        <v>44424.0</v>
      </c>
      <c r="C73" s="145" t="s">
        <v>1284</v>
      </c>
      <c r="D73" s="145" t="s">
        <v>1212</v>
      </c>
      <c r="E73" s="145" t="s">
        <v>1196</v>
      </c>
      <c r="F73" s="145" t="s">
        <v>1225</v>
      </c>
    </row>
    <row r="74" ht="15.75" customHeight="1">
      <c r="A74" s="145" t="s">
        <v>1253</v>
      </c>
      <c r="B74" s="150"/>
      <c r="C74" s="145" t="s">
        <v>1285</v>
      </c>
      <c r="D74" s="145"/>
      <c r="E74" s="145"/>
      <c r="F74" s="145"/>
    </row>
    <row r="75" ht="15.75" customHeight="1">
      <c r="A75" s="145" t="s">
        <v>1253</v>
      </c>
      <c r="B75" s="150"/>
      <c r="C75" s="145" t="s">
        <v>1286</v>
      </c>
      <c r="D75" s="145"/>
      <c r="E75" s="145"/>
      <c r="F75" s="145"/>
    </row>
    <row r="76" ht="15.75" customHeight="1">
      <c r="A76" s="145" t="s">
        <v>1253</v>
      </c>
      <c r="B76" s="150"/>
      <c r="C76" s="145" t="s">
        <v>1287</v>
      </c>
      <c r="D76" s="145"/>
      <c r="E76" s="145"/>
      <c r="F76" s="145"/>
    </row>
    <row r="77" ht="15.75" customHeight="1">
      <c r="A77" s="145" t="s">
        <v>1253</v>
      </c>
      <c r="B77" s="150"/>
      <c r="C77" s="145" t="s">
        <v>1288</v>
      </c>
      <c r="D77" s="145"/>
      <c r="E77" s="145"/>
      <c r="F77" s="145"/>
    </row>
    <row r="78" ht="15.75" customHeight="1">
      <c r="A78" s="145" t="s">
        <v>1253</v>
      </c>
      <c r="B78" s="150"/>
      <c r="C78" s="145" t="s">
        <v>1289</v>
      </c>
      <c r="D78" s="145"/>
      <c r="E78" s="145"/>
      <c r="F78" s="145"/>
    </row>
    <row r="79" ht="15.75" customHeight="1">
      <c r="A79" s="145" t="s">
        <v>1253</v>
      </c>
      <c r="B79" s="150"/>
      <c r="C79" s="145" t="s">
        <v>1290</v>
      </c>
      <c r="D79" s="145"/>
      <c r="E79" s="145"/>
      <c r="F79" s="145"/>
    </row>
    <row r="80" ht="15.75" customHeight="1">
      <c r="A80" s="145" t="s">
        <v>1253</v>
      </c>
      <c r="B80" s="150"/>
      <c r="C80" s="145" t="s">
        <v>1291</v>
      </c>
      <c r="D80" s="145"/>
      <c r="E80" s="145"/>
      <c r="F80" s="145"/>
    </row>
    <row r="81" ht="15.75" customHeight="1">
      <c r="A81" s="145" t="s">
        <v>1253</v>
      </c>
      <c r="B81" s="150"/>
      <c r="C81" s="145" t="s">
        <v>1292</v>
      </c>
      <c r="D81" s="145"/>
      <c r="E81" s="145"/>
      <c r="F81" s="145"/>
    </row>
    <row r="82" ht="15.75" customHeight="1">
      <c r="A82" s="145" t="s">
        <v>1253</v>
      </c>
      <c r="B82" s="150"/>
      <c r="C82" s="145" t="s">
        <v>1293</v>
      </c>
      <c r="D82" s="145"/>
      <c r="E82" s="145"/>
      <c r="F82" s="145"/>
    </row>
    <row r="83" ht="15.75" customHeight="1">
      <c r="A83" s="145" t="s">
        <v>1253</v>
      </c>
      <c r="B83" s="150"/>
      <c r="C83" s="145" t="s">
        <v>1294</v>
      </c>
      <c r="D83" s="145"/>
      <c r="E83" s="145"/>
      <c r="F83" s="145"/>
    </row>
    <row r="84" ht="15.75" customHeight="1">
      <c r="A84" s="145" t="s">
        <v>1253</v>
      </c>
      <c r="B84" s="150"/>
      <c r="C84" s="145" t="s">
        <v>1295</v>
      </c>
      <c r="D84" s="145"/>
      <c r="E84" s="145"/>
      <c r="F84" s="145"/>
    </row>
    <row r="85" ht="15.75" customHeight="1">
      <c r="A85" s="145" t="s">
        <v>1253</v>
      </c>
      <c r="B85" s="150"/>
      <c r="C85" s="145" t="s">
        <v>1296</v>
      </c>
      <c r="D85" s="145"/>
      <c r="E85" s="145"/>
      <c r="F85" s="145"/>
    </row>
    <row r="86" ht="15.75" customHeight="1">
      <c r="A86" s="145" t="s">
        <v>1253</v>
      </c>
      <c r="B86" s="150"/>
      <c r="C86" s="145" t="s">
        <v>1297</v>
      </c>
      <c r="D86" s="145"/>
      <c r="E86" s="145"/>
      <c r="F86" s="145"/>
    </row>
    <row r="87" ht="15.75" customHeight="1">
      <c r="A87" s="145" t="s">
        <v>1253</v>
      </c>
      <c r="B87" s="150"/>
      <c r="C87" s="145" t="s">
        <v>1298</v>
      </c>
      <c r="D87" s="145"/>
      <c r="E87" s="145"/>
      <c r="F87" s="145"/>
    </row>
    <row r="88" ht="15.75" customHeight="1">
      <c r="A88" s="145" t="s">
        <v>1253</v>
      </c>
      <c r="B88" s="150"/>
      <c r="C88" s="145" t="s">
        <v>1299</v>
      </c>
      <c r="D88" s="145"/>
      <c r="E88" s="145"/>
      <c r="F88" s="145"/>
    </row>
    <row r="89" ht="15.75" customHeight="1">
      <c r="A89" s="145" t="s">
        <v>1253</v>
      </c>
      <c r="B89" s="150"/>
      <c r="C89" s="145" t="s">
        <v>1300</v>
      </c>
      <c r="D89" s="145"/>
      <c r="E89" s="145"/>
      <c r="F89" s="145"/>
    </row>
    <row r="90" ht="15.75" customHeight="1">
      <c r="A90" s="145" t="s">
        <v>1253</v>
      </c>
      <c r="B90" s="150"/>
      <c r="C90" s="145" t="s">
        <v>1301</v>
      </c>
      <c r="D90" s="145"/>
      <c r="E90" s="145"/>
      <c r="F90" s="145"/>
    </row>
    <row r="91" ht="15.75" customHeight="1">
      <c r="A91" s="145" t="s">
        <v>1253</v>
      </c>
      <c r="B91" s="150"/>
      <c r="C91" s="145" t="s">
        <v>1302</v>
      </c>
      <c r="D91" s="145"/>
      <c r="E91" s="145"/>
      <c r="F91" s="145"/>
    </row>
    <row r="92" ht="15.75" customHeight="1">
      <c r="A92" s="145" t="s">
        <v>1253</v>
      </c>
      <c r="B92" s="150"/>
      <c r="C92" s="145" t="s">
        <v>1303</v>
      </c>
      <c r="D92" s="145"/>
      <c r="E92" s="145"/>
      <c r="F92" s="145"/>
    </row>
    <row r="93" ht="15.75" customHeight="1">
      <c r="A93" s="145" t="s">
        <v>1253</v>
      </c>
      <c r="B93" s="150"/>
      <c r="C93" s="145" t="s">
        <v>1304</v>
      </c>
      <c r="D93" s="145"/>
      <c r="E93" s="145"/>
      <c r="F93" s="145"/>
    </row>
    <row r="94" ht="15.75" customHeight="1">
      <c r="A94" s="145" t="s">
        <v>1305</v>
      </c>
      <c r="B94" s="150">
        <v>44561.0</v>
      </c>
      <c r="C94" s="145" t="s">
        <v>1218</v>
      </c>
      <c r="D94" s="145"/>
      <c r="E94" s="145" t="s">
        <v>1219</v>
      </c>
      <c r="F94" s="145" t="s">
        <v>20</v>
      </c>
    </row>
    <row r="95" ht="15.75" customHeight="1">
      <c r="A95" s="145" t="s">
        <v>1305</v>
      </c>
      <c r="B95" s="150">
        <v>44561.0</v>
      </c>
      <c r="C95" s="145" t="s">
        <v>1202</v>
      </c>
      <c r="D95" s="145" t="s">
        <v>1230</v>
      </c>
      <c r="E95" s="145" t="s">
        <v>1196</v>
      </c>
      <c r="F95" s="145" t="s">
        <v>1225</v>
      </c>
    </row>
    <row r="96" ht="15.75" customHeight="1">
      <c r="A96" s="145" t="s">
        <v>1305</v>
      </c>
      <c r="B96" s="150">
        <v>44561.0</v>
      </c>
      <c r="C96" s="145" t="s">
        <v>1228</v>
      </c>
      <c r="D96" s="145"/>
      <c r="E96" s="145" t="s">
        <v>1196</v>
      </c>
      <c r="F96" s="145" t="s">
        <v>1243</v>
      </c>
    </row>
    <row r="97" ht="15.75" customHeight="1">
      <c r="A97" s="145" t="s">
        <v>1305</v>
      </c>
      <c r="B97" s="150">
        <v>44562.0</v>
      </c>
      <c r="C97" s="145" t="s">
        <v>1229</v>
      </c>
      <c r="D97" s="145"/>
      <c r="E97" s="145" t="s">
        <v>1196</v>
      </c>
      <c r="F97" s="145" t="s">
        <v>1243</v>
      </c>
    </row>
    <row r="98" ht="15.75" customHeight="1">
      <c r="A98" s="145" t="s">
        <v>1305</v>
      </c>
      <c r="B98" s="150">
        <v>44562.0</v>
      </c>
      <c r="C98" s="145" t="s">
        <v>1259</v>
      </c>
      <c r="D98" s="145" t="s">
        <v>1276</v>
      </c>
      <c r="E98" s="145" t="s">
        <v>1196</v>
      </c>
      <c r="F98" s="145" t="s">
        <v>1225</v>
      </c>
    </row>
    <row r="99" ht="15.75" customHeight="1">
      <c r="A99" s="145" t="s">
        <v>1305</v>
      </c>
      <c r="B99" s="150">
        <v>44562.0</v>
      </c>
      <c r="C99" s="145" t="s">
        <v>1232</v>
      </c>
      <c r="D99" s="145" t="s">
        <v>1233</v>
      </c>
      <c r="E99" s="145" t="s">
        <v>1196</v>
      </c>
      <c r="F99" s="145" t="s">
        <v>1225</v>
      </c>
    </row>
    <row r="100" ht="15.75" customHeight="1">
      <c r="A100" s="145" t="s">
        <v>1305</v>
      </c>
      <c r="B100" s="150">
        <v>44562.0</v>
      </c>
      <c r="C100" s="145" t="s">
        <v>1235</v>
      </c>
      <c r="D100" s="145" t="s">
        <v>1223</v>
      </c>
      <c r="E100" s="145" t="s">
        <v>1196</v>
      </c>
      <c r="F100" s="145" t="s">
        <v>1225</v>
      </c>
    </row>
    <row r="101" ht="15.75" customHeight="1">
      <c r="A101" s="145" t="s">
        <v>1305</v>
      </c>
      <c r="B101" s="150">
        <v>44562.0</v>
      </c>
      <c r="C101" s="145" t="s">
        <v>1231</v>
      </c>
      <c r="D101" s="145" t="s">
        <v>1255</v>
      </c>
      <c r="E101" s="145" t="s">
        <v>1196</v>
      </c>
      <c r="F101" s="145" t="s">
        <v>20</v>
      </c>
    </row>
    <row r="102" ht="15.75" customHeight="1">
      <c r="A102" s="145" t="s">
        <v>1305</v>
      </c>
      <c r="B102" s="150">
        <v>44563.0</v>
      </c>
      <c r="C102" s="145" t="s">
        <v>1208</v>
      </c>
      <c r="D102" s="145" t="s">
        <v>1273</v>
      </c>
      <c r="E102" s="145" t="s">
        <v>1196</v>
      </c>
      <c r="F102" s="145" t="s">
        <v>1225</v>
      </c>
    </row>
    <row r="103" ht="15.75" customHeight="1">
      <c r="A103" s="145" t="s">
        <v>1305</v>
      </c>
      <c r="B103" s="150">
        <v>44563.0</v>
      </c>
      <c r="C103" s="145" t="s">
        <v>1210</v>
      </c>
      <c r="D103" s="145" t="s">
        <v>1276</v>
      </c>
      <c r="E103" s="145" t="s">
        <v>1196</v>
      </c>
      <c r="F103" s="145" t="s">
        <v>1225</v>
      </c>
    </row>
    <row r="104" ht="15.75" customHeight="1">
      <c r="A104" s="145" t="s">
        <v>1305</v>
      </c>
      <c r="B104" s="150">
        <v>44564.0</v>
      </c>
      <c r="C104" s="145" t="s">
        <v>1237</v>
      </c>
      <c r="D104" s="145" t="s">
        <v>1238</v>
      </c>
      <c r="E104" s="145" t="s">
        <v>1271</v>
      </c>
      <c r="F104" s="145" t="s">
        <v>1225</v>
      </c>
    </row>
    <row r="105" ht="15.75" customHeight="1">
      <c r="A105" s="145" t="s">
        <v>1305</v>
      </c>
      <c r="B105" s="150">
        <v>44564.0</v>
      </c>
      <c r="C105" s="145" t="s">
        <v>1239</v>
      </c>
      <c r="D105" s="145" t="s">
        <v>1240</v>
      </c>
      <c r="E105" s="145" t="s">
        <v>1196</v>
      </c>
      <c r="F105" s="145" t="s">
        <v>1225</v>
      </c>
    </row>
    <row r="106" ht="15.75" customHeight="1">
      <c r="A106" s="145" t="s">
        <v>1305</v>
      </c>
      <c r="B106" s="150">
        <v>44565.0</v>
      </c>
      <c r="C106" s="145" t="s">
        <v>1254</v>
      </c>
      <c r="D106" s="145" t="s">
        <v>1255</v>
      </c>
      <c r="E106" s="145" t="s">
        <v>1271</v>
      </c>
      <c r="F106" s="145" t="s">
        <v>20</v>
      </c>
    </row>
    <row r="107" ht="15.75" customHeight="1">
      <c r="A107" s="145" t="s">
        <v>1305</v>
      </c>
      <c r="B107" s="150">
        <v>44565.0</v>
      </c>
      <c r="C107" s="145" t="s">
        <v>1272</v>
      </c>
      <c r="D107" s="145" t="s">
        <v>1273</v>
      </c>
      <c r="E107" s="145" t="s">
        <v>1271</v>
      </c>
      <c r="F107" s="145" t="s">
        <v>20</v>
      </c>
    </row>
    <row r="108" ht="15.75" customHeight="1">
      <c r="A108" s="145" t="s">
        <v>1305</v>
      </c>
      <c r="B108" s="150">
        <v>44565.0</v>
      </c>
      <c r="C108" s="145" t="s">
        <v>1220</v>
      </c>
      <c r="D108" s="145" t="s">
        <v>1255</v>
      </c>
      <c r="E108" s="145" t="s">
        <v>1274</v>
      </c>
      <c r="F108" s="145" t="s">
        <v>20</v>
      </c>
    </row>
    <row r="109" ht="15.75" customHeight="1">
      <c r="A109" s="145" t="s">
        <v>1305</v>
      </c>
      <c r="B109" s="150">
        <v>44566.0</v>
      </c>
      <c r="C109" s="145" t="s">
        <v>1248</v>
      </c>
      <c r="D109" s="145" t="s">
        <v>1223</v>
      </c>
      <c r="E109" s="145" t="s">
        <v>1271</v>
      </c>
      <c r="F109" s="145" t="s">
        <v>1225</v>
      </c>
    </row>
    <row r="110" ht="15.75" customHeight="1">
      <c r="A110" s="145" t="s">
        <v>1305</v>
      </c>
      <c r="B110" s="150">
        <v>44566.0</v>
      </c>
      <c r="C110" s="145" t="s">
        <v>1277</v>
      </c>
      <c r="D110" s="145" t="s">
        <v>1273</v>
      </c>
      <c r="E110" s="145" t="s">
        <v>1271</v>
      </c>
      <c r="F110" s="145" t="s">
        <v>1225</v>
      </c>
    </row>
    <row r="111" ht="15.75" customHeight="1">
      <c r="A111" s="145" t="s">
        <v>1305</v>
      </c>
      <c r="B111" s="150">
        <v>44567.0</v>
      </c>
      <c r="C111" s="145" t="s">
        <v>1278</v>
      </c>
      <c r="D111" s="145" t="s">
        <v>1273</v>
      </c>
      <c r="E111" s="145" t="s">
        <v>1271</v>
      </c>
      <c r="F111" s="145" t="s">
        <v>1225</v>
      </c>
    </row>
    <row r="112" ht="15.75" customHeight="1">
      <c r="A112" s="145" t="s">
        <v>1306</v>
      </c>
      <c r="B112" s="150">
        <v>44603.0</v>
      </c>
      <c r="C112" s="145" t="s">
        <v>1218</v>
      </c>
      <c r="D112" s="145"/>
      <c r="E112" s="146" t="s">
        <v>1307</v>
      </c>
      <c r="F112" s="145" t="s">
        <v>20</v>
      </c>
    </row>
    <row r="113" ht="15.75" customHeight="1">
      <c r="A113" s="145" t="s">
        <v>1306</v>
      </c>
      <c r="B113" s="150">
        <v>44603.0</v>
      </c>
      <c r="C113" s="145" t="s">
        <v>1202</v>
      </c>
      <c r="D113" s="145" t="s">
        <v>1230</v>
      </c>
      <c r="E113" s="145" t="s">
        <v>1308</v>
      </c>
      <c r="F113" s="145" t="s">
        <v>1225</v>
      </c>
    </row>
    <row r="114" ht="15.75" customHeight="1">
      <c r="A114" s="145" t="s">
        <v>1306</v>
      </c>
      <c r="B114" s="150">
        <v>44604.0</v>
      </c>
      <c r="C114" s="145" t="s">
        <v>1259</v>
      </c>
      <c r="D114" s="145" t="s">
        <v>1276</v>
      </c>
      <c r="E114" s="145" t="s">
        <v>1196</v>
      </c>
      <c r="F114" s="145" t="s">
        <v>1225</v>
      </c>
    </row>
    <row r="115" ht="15.75" customHeight="1">
      <c r="A115" s="145" t="s">
        <v>1306</v>
      </c>
      <c r="B115" s="150">
        <v>44604.0</v>
      </c>
      <c r="C115" s="145" t="s">
        <v>1232</v>
      </c>
      <c r="D115" s="145" t="s">
        <v>1309</v>
      </c>
      <c r="E115" s="145" t="s">
        <v>1310</v>
      </c>
      <c r="F115" s="145" t="s">
        <v>1243</v>
      </c>
    </row>
    <row r="116" ht="15.75" customHeight="1">
      <c r="A116" s="145" t="s">
        <v>1306</v>
      </c>
      <c r="B116" s="150">
        <v>44604.0</v>
      </c>
      <c r="C116" s="145" t="s">
        <v>1235</v>
      </c>
      <c r="D116" s="145" t="s">
        <v>1311</v>
      </c>
      <c r="E116" s="145" t="s">
        <v>1312</v>
      </c>
      <c r="F116" s="145" t="s">
        <v>1225</v>
      </c>
    </row>
    <row r="117" ht="15.75" customHeight="1">
      <c r="A117" s="145" t="s">
        <v>1306</v>
      </c>
      <c r="B117" s="150">
        <v>44604.0</v>
      </c>
      <c r="C117" s="145" t="s">
        <v>1231</v>
      </c>
      <c r="D117" s="145" t="s">
        <v>1255</v>
      </c>
      <c r="E117" s="145" t="s">
        <v>1313</v>
      </c>
      <c r="F117" s="145" t="s">
        <v>20</v>
      </c>
    </row>
    <row r="118" ht="15.75" customHeight="1">
      <c r="A118" s="145" t="s">
        <v>1306</v>
      </c>
      <c r="B118" s="150">
        <v>44605.0</v>
      </c>
      <c r="C118" s="145" t="s">
        <v>1208</v>
      </c>
      <c r="D118" s="145" t="s">
        <v>1314</v>
      </c>
      <c r="E118" s="145" t="s">
        <v>1315</v>
      </c>
      <c r="F118" s="145" t="s">
        <v>1225</v>
      </c>
    </row>
    <row r="119" ht="15.75" customHeight="1">
      <c r="A119" s="145" t="s">
        <v>1306</v>
      </c>
      <c r="B119" s="150">
        <v>44605.0</v>
      </c>
      <c r="C119" s="145" t="s">
        <v>1210</v>
      </c>
      <c r="D119" s="145" t="s">
        <v>1276</v>
      </c>
      <c r="E119" s="145" t="s">
        <v>1316</v>
      </c>
      <c r="F119" s="145" t="s">
        <v>1225</v>
      </c>
    </row>
    <row r="120" ht="15.75" customHeight="1">
      <c r="A120" s="145" t="s">
        <v>1306</v>
      </c>
      <c r="B120" s="150">
        <v>44605.0</v>
      </c>
      <c r="C120" s="145" t="s">
        <v>1266</v>
      </c>
      <c r="D120" s="145" t="s">
        <v>1317</v>
      </c>
      <c r="E120" s="145" t="s">
        <v>1318</v>
      </c>
      <c r="F120" s="145" t="s">
        <v>1225</v>
      </c>
    </row>
    <row r="121" ht="15.75" customHeight="1">
      <c r="A121" s="145" t="s">
        <v>1306</v>
      </c>
      <c r="B121" s="150">
        <v>44606.0</v>
      </c>
      <c r="C121" s="145" t="s">
        <v>1237</v>
      </c>
      <c r="D121" s="145" t="s">
        <v>1319</v>
      </c>
      <c r="E121" s="145" t="s">
        <v>1316</v>
      </c>
      <c r="F121" s="145" t="s">
        <v>1225</v>
      </c>
    </row>
    <row r="122" ht="15.75" customHeight="1">
      <c r="A122" s="145" t="s">
        <v>1306</v>
      </c>
      <c r="B122" s="150">
        <v>44606.0</v>
      </c>
      <c r="C122" s="145" t="s">
        <v>1239</v>
      </c>
      <c r="D122" s="145" t="s">
        <v>1320</v>
      </c>
      <c r="E122" s="145" t="s">
        <v>1318</v>
      </c>
      <c r="F122" s="145" t="s">
        <v>1225</v>
      </c>
    </row>
    <row r="123" ht="15.75" customHeight="1">
      <c r="A123" s="145" t="s">
        <v>1321</v>
      </c>
      <c r="B123" s="150">
        <v>44615.0</v>
      </c>
      <c r="C123" s="145" t="s">
        <v>1248</v>
      </c>
      <c r="D123" s="145" t="s">
        <v>1319</v>
      </c>
      <c r="E123" s="145" t="s">
        <v>1322</v>
      </c>
      <c r="F123" s="145" t="s">
        <v>1225</v>
      </c>
    </row>
    <row r="124" ht="15.75" customHeight="1">
      <c r="A124" s="145" t="s">
        <v>1323</v>
      </c>
      <c r="B124" s="150">
        <v>44640.0</v>
      </c>
      <c r="C124" s="145" t="s">
        <v>1208</v>
      </c>
      <c r="D124" s="145" t="s">
        <v>1273</v>
      </c>
      <c r="E124" s="145" t="s">
        <v>1196</v>
      </c>
      <c r="F124" s="145" t="s">
        <v>1225</v>
      </c>
    </row>
    <row r="125" ht="15.75" customHeight="1">
      <c r="A125" s="145" t="s">
        <v>1323</v>
      </c>
      <c r="B125" s="150">
        <v>44640.0</v>
      </c>
      <c r="C125" s="145" t="s">
        <v>1210</v>
      </c>
      <c r="D125" s="145" t="s">
        <v>1276</v>
      </c>
      <c r="E125" s="145" t="s">
        <v>1324</v>
      </c>
      <c r="F125" s="145"/>
    </row>
    <row r="126" ht="15.75" customHeight="1">
      <c r="A126" s="145" t="s">
        <v>1323</v>
      </c>
      <c r="B126" s="150">
        <v>44641.0</v>
      </c>
      <c r="C126" s="145" t="s">
        <v>1237</v>
      </c>
      <c r="D126" s="145" t="s">
        <v>1319</v>
      </c>
      <c r="E126" s="145" t="s">
        <v>1324</v>
      </c>
      <c r="F126" s="145"/>
    </row>
    <row r="127" ht="15.75" customHeight="1">
      <c r="A127" s="145" t="s">
        <v>1323</v>
      </c>
      <c r="B127" s="150">
        <v>44641.0</v>
      </c>
      <c r="C127" s="145" t="s">
        <v>1325</v>
      </c>
      <c r="D127" s="145" t="s">
        <v>1255</v>
      </c>
      <c r="E127" s="145" t="s">
        <v>1326</v>
      </c>
      <c r="F127" s="145" t="s">
        <v>20</v>
      </c>
    </row>
    <row r="128" ht="15.75" customHeight="1">
      <c r="A128" s="145" t="s">
        <v>1323</v>
      </c>
      <c r="B128" s="150">
        <v>44641.0</v>
      </c>
      <c r="C128" s="145" t="s">
        <v>1239</v>
      </c>
      <c r="D128" s="145" t="s">
        <v>1320</v>
      </c>
      <c r="E128" s="145" t="s">
        <v>1327</v>
      </c>
      <c r="F128" s="145"/>
    </row>
    <row r="129" ht="15.75" customHeight="1">
      <c r="A129" s="145" t="s">
        <v>1323</v>
      </c>
      <c r="B129" s="150">
        <v>44642.0</v>
      </c>
      <c r="C129" s="145" t="s">
        <v>1328</v>
      </c>
      <c r="D129" s="145" t="s">
        <v>1255</v>
      </c>
      <c r="E129" s="145" t="s">
        <v>1326</v>
      </c>
      <c r="F129" s="145" t="s">
        <v>20</v>
      </c>
    </row>
    <row r="130" ht="15.75" customHeight="1">
      <c r="A130" s="145" t="s">
        <v>1323</v>
      </c>
      <c r="B130" s="150">
        <v>44642.0</v>
      </c>
      <c r="C130" s="145" t="s">
        <v>1329</v>
      </c>
      <c r="D130" s="145" t="s">
        <v>1255</v>
      </c>
      <c r="E130" s="145" t="s">
        <v>1326</v>
      </c>
      <c r="F130" s="145" t="s">
        <v>20</v>
      </c>
    </row>
    <row r="131" ht="15.75" customHeight="1">
      <c r="A131" s="145" t="s">
        <v>1323</v>
      </c>
      <c r="B131" s="150">
        <v>44642.0</v>
      </c>
      <c r="C131" s="145" t="s">
        <v>1330</v>
      </c>
      <c r="D131" s="145" t="s">
        <v>1255</v>
      </c>
      <c r="E131" s="145" t="s">
        <v>1326</v>
      </c>
      <c r="F131" s="145" t="s">
        <v>20</v>
      </c>
    </row>
    <row r="132" ht="15.75" customHeight="1">
      <c r="A132" s="145" t="s">
        <v>1331</v>
      </c>
      <c r="B132" s="150" t="s">
        <v>1332</v>
      </c>
      <c r="C132" s="145"/>
      <c r="D132" s="145"/>
      <c r="E132" s="145"/>
      <c r="F132" s="145"/>
    </row>
    <row r="133" ht="15.75" customHeight="1">
      <c r="A133" s="145" t="s">
        <v>1331</v>
      </c>
      <c r="B133" s="150">
        <v>44680.0</v>
      </c>
      <c r="C133" s="145" t="s">
        <v>1254</v>
      </c>
      <c r="D133" s="145"/>
      <c r="E133" s="146" t="s">
        <v>1307</v>
      </c>
      <c r="F133" s="145" t="s">
        <v>20</v>
      </c>
    </row>
    <row r="134" ht="15.75" customHeight="1">
      <c r="A134" s="145" t="s">
        <v>1331</v>
      </c>
      <c r="B134" s="150">
        <v>44680.0</v>
      </c>
      <c r="C134" s="145" t="s">
        <v>1202</v>
      </c>
      <c r="D134" s="145" t="s">
        <v>1333</v>
      </c>
      <c r="E134" s="145" t="s">
        <v>1334</v>
      </c>
      <c r="F134" s="145" t="s">
        <v>1225</v>
      </c>
    </row>
    <row r="135" ht="15.75" customHeight="1">
      <c r="A135" s="145" t="s">
        <v>1331</v>
      </c>
      <c r="B135" s="150">
        <v>44681.0</v>
      </c>
      <c r="C135" s="145" t="s">
        <v>1259</v>
      </c>
      <c r="D135" s="145" t="s">
        <v>1276</v>
      </c>
      <c r="E135" s="145" t="s">
        <v>1335</v>
      </c>
      <c r="F135" s="145" t="s">
        <v>1225</v>
      </c>
    </row>
    <row r="136" ht="15.75" customHeight="1">
      <c r="A136" s="145" t="s">
        <v>1331</v>
      </c>
      <c r="B136" s="150">
        <v>44681.0</v>
      </c>
      <c r="C136" s="145" t="s">
        <v>1232</v>
      </c>
      <c r="D136" s="145" t="s">
        <v>1309</v>
      </c>
      <c r="E136" s="145" t="s">
        <v>1310</v>
      </c>
      <c r="F136" s="145" t="s">
        <v>1225</v>
      </c>
    </row>
    <row r="137" ht="15.75" customHeight="1">
      <c r="A137" s="145" t="s">
        <v>1331</v>
      </c>
      <c r="B137" s="150">
        <v>44681.0</v>
      </c>
      <c r="C137" s="145" t="s">
        <v>1235</v>
      </c>
      <c r="D137" s="145" t="s">
        <v>1311</v>
      </c>
      <c r="E137" s="145" t="s">
        <v>1312</v>
      </c>
      <c r="F137" s="145" t="s">
        <v>1225</v>
      </c>
    </row>
    <row r="138" ht="15.75" customHeight="1">
      <c r="A138" s="145" t="s">
        <v>1331</v>
      </c>
      <c r="B138" s="150">
        <v>44681.0</v>
      </c>
      <c r="C138" s="145" t="s">
        <v>1231</v>
      </c>
      <c r="D138" s="145" t="s">
        <v>1255</v>
      </c>
      <c r="E138" s="145" t="s">
        <v>1313</v>
      </c>
      <c r="F138" s="145" t="s">
        <v>20</v>
      </c>
    </row>
    <row r="139" ht="15.75" customHeight="1">
      <c r="A139" s="145" t="s">
        <v>1331</v>
      </c>
      <c r="B139" s="150">
        <v>44682.0</v>
      </c>
      <c r="C139" s="145" t="s">
        <v>1208</v>
      </c>
      <c r="D139" s="145" t="s">
        <v>1314</v>
      </c>
      <c r="E139" s="145" t="s">
        <v>1336</v>
      </c>
      <c r="F139" s="145" t="s">
        <v>1225</v>
      </c>
    </row>
    <row r="140" ht="15.75" customHeight="1">
      <c r="A140" s="145" t="s">
        <v>1331</v>
      </c>
      <c r="B140" s="150">
        <v>44682.0</v>
      </c>
      <c r="C140" s="145" t="s">
        <v>1210</v>
      </c>
      <c r="D140" s="145" t="s">
        <v>1276</v>
      </c>
      <c r="E140" s="145" t="s">
        <v>1337</v>
      </c>
      <c r="F140" s="145" t="s">
        <v>1225</v>
      </c>
    </row>
    <row r="141" ht="15.75" customHeight="1">
      <c r="A141" s="145" t="s">
        <v>1331</v>
      </c>
      <c r="B141" s="150">
        <v>44683.0</v>
      </c>
      <c r="C141" s="145" t="s">
        <v>1237</v>
      </c>
      <c r="D141" s="145" t="s">
        <v>1319</v>
      </c>
      <c r="E141" s="145" t="s">
        <v>1337</v>
      </c>
      <c r="F141" s="145" t="s">
        <v>1225</v>
      </c>
    </row>
    <row r="142" ht="15.75" customHeight="1">
      <c r="A142" s="145" t="s">
        <v>1331</v>
      </c>
      <c r="B142" s="150">
        <v>44683.0</v>
      </c>
      <c r="C142" s="145" t="s">
        <v>1239</v>
      </c>
      <c r="D142" s="145" t="s">
        <v>1320</v>
      </c>
      <c r="E142" s="146" t="s">
        <v>1338</v>
      </c>
      <c r="F142" s="145" t="s">
        <v>1225</v>
      </c>
    </row>
    <row r="143" ht="15.75" customHeight="1">
      <c r="A143" s="145" t="s">
        <v>1331</v>
      </c>
      <c r="B143" s="150">
        <v>44684.0</v>
      </c>
      <c r="C143" s="145" t="s">
        <v>1254</v>
      </c>
      <c r="D143" s="145" t="s">
        <v>1255</v>
      </c>
      <c r="E143" s="146" t="s">
        <v>1307</v>
      </c>
      <c r="F143" s="145" t="s">
        <v>20</v>
      </c>
    </row>
    <row r="144" ht="15.75" customHeight="1">
      <c r="A144" s="145" t="s">
        <v>1331</v>
      </c>
      <c r="B144" s="150">
        <v>44685.0</v>
      </c>
      <c r="C144" s="145" t="s">
        <v>1220</v>
      </c>
      <c r="D144" s="145" t="s">
        <v>1255</v>
      </c>
      <c r="E144" s="145" t="s">
        <v>1274</v>
      </c>
      <c r="F144" s="145" t="s">
        <v>20</v>
      </c>
    </row>
    <row r="145" ht="15.75" customHeight="1">
      <c r="A145" s="145" t="s">
        <v>1331</v>
      </c>
      <c r="B145" s="150">
        <v>44685.0</v>
      </c>
      <c r="C145" s="145" t="s">
        <v>1275</v>
      </c>
      <c r="D145" s="145" t="s">
        <v>1276</v>
      </c>
      <c r="E145" s="145" t="s">
        <v>1339</v>
      </c>
      <c r="F145" s="145" t="s">
        <v>1225</v>
      </c>
    </row>
    <row r="146" ht="15.75" customHeight="1">
      <c r="A146" s="145" t="s">
        <v>1331</v>
      </c>
      <c r="B146" s="150">
        <v>44685.0</v>
      </c>
      <c r="C146" s="145" t="s">
        <v>1237</v>
      </c>
      <c r="D146" s="145" t="s">
        <v>1319</v>
      </c>
      <c r="E146" s="145" t="s">
        <v>1340</v>
      </c>
      <c r="F146" s="145" t="s">
        <v>1225</v>
      </c>
    </row>
    <row r="147" ht="15.75" customHeight="1">
      <c r="A147" s="145" t="s">
        <v>1331</v>
      </c>
      <c r="B147" s="150">
        <v>44685.0</v>
      </c>
      <c r="C147" s="145" t="s">
        <v>1341</v>
      </c>
      <c r="D147" s="145" t="s">
        <v>1342</v>
      </c>
      <c r="E147" s="145" t="s">
        <v>1196</v>
      </c>
      <c r="F147" s="145" t="s">
        <v>1225</v>
      </c>
    </row>
    <row r="148" ht="15.75" customHeight="1">
      <c r="A148" s="145" t="s">
        <v>1331</v>
      </c>
      <c r="B148" s="150">
        <v>44686.0</v>
      </c>
      <c r="C148" s="145" t="s">
        <v>1199</v>
      </c>
      <c r="D148" s="145" t="s">
        <v>395</v>
      </c>
      <c r="E148" s="145" t="s">
        <v>1196</v>
      </c>
      <c r="F148" s="145" t="s">
        <v>1225</v>
      </c>
    </row>
    <row r="149" ht="15.75" customHeight="1">
      <c r="A149" s="145" t="s">
        <v>1331</v>
      </c>
      <c r="B149" s="150">
        <v>44687.0</v>
      </c>
      <c r="C149" s="145" t="s">
        <v>1202</v>
      </c>
      <c r="D149" s="145" t="s">
        <v>1333</v>
      </c>
      <c r="E149" s="145" t="s">
        <v>1334</v>
      </c>
      <c r="F149" s="145" t="s">
        <v>1225</v>
      </c>
    </row>
    <row r="150" ht="15.75" customHeight="1">
      <c r="A150" s="145" t="s">
        <v>1331</v>
      </c>
      <c r="B150" s="150">
        <v>44688.0</v>
      </c>
      <c r="C150" s="145" t="s">
        <v>1232</v>
      </c>
      <c r="D150" s="145" t="s">
        <v>1309</v>
      </c>
      <c r="E150" s="145" t="s">
        <v>1343</v>
      </c>
      <c r="F150" s="145" t="s">
        <v>1225</v>
      </c>
    </row>
    <row r="151" ht="15.75" customHeight="1">
      <c r="A151" s="145" t="s">
        <v>1331</v>
      </c>
      <c r="B151" s="150">
        <v>44688.0</v>
      </c>
      <c r="C151" s="145" t="s">
        <v>1235</v>
      </c>
      <c r="D151" s="145" t="s">
        <v>1311</v>
      </c>
      <c r="E151" s="145" t="s">
        <v>1344</v>
      </c>
      <c r="F151" s="145" t="s">
        <v>1225</v>
      </c>
    </row>
    <row r="152" ht="15.75" customHeight="1">
      <c r="A152" s="145" t="s">
        <v>1331</v>
      </c>
      <c r="B152" s="150">
        <v>44688.0</v>
      </c>
      <c r="C152" s="145" t="s">
        <v>1231</v>
      </c>
      <c r="D152" s="145" t="s">
        <v>1255</v>
      </c>
      <c r="E152" s="145" t="s">
        <v>1345</v>
      </c>
      <c r="F152" s="145" t="s">
        <v>20</v>
      </c>
    </row>
    <row r="153" ht="15.75" customHeight="1">
      <c r="A153" s="145" t="s">
        <v>1331</v>
      </c>
      <c r="B153" s="150">
        <v>44689.0</v>
      </c>
      <c r="C153" s="145" t="s">
        <v>1208</v>
      </c>
      <c r="D153" s="145" t="s">
        <v>1314</v>
      </c>
      <c r="E153" s="145" t="s">
        <v>1346</v>
      </c>
      <c r="F153" s="145" t="s">
        <v>1225</v>
      </c>
    </row>
    <row r="154" ht="15.75" customHeight="1">
      <c r="A154" s="145" t="s">
        <v>1331</v>
      </c>
      <c r="B154" s="150">
        <v>44689.0</v>
      </c>
      <c r="C154" s="145" t="s">
        <v>1210</v>
      </c>
      <c r="D154" s="145" t="s">
        <v>1276</v>
      </c>
      <c r="E154" s="145" t="s">
        <v>1347</v>
      </c>
      <c r="F154" s="145" t="s">
        <v>1225</v>
      </c>
    </row>
    <row r="155" ht="15.75" customHeight="1">
      <c r="A155" s="145" t="s">
        <v>1331</v>
      </c>
      <c r="B155" s="150">
        <v>44689.0</v>
      </c>
      <c r="C155" s="145" t="s">
        <v>1266</v>
      </c>
      <c r="D155" s="145" t="s">
        <v>1348</v>
      </c>
      <c r="E155" s="145" t="s">
        <v>1349</v>
      </c>
      <c r="F155" s="145" t="s">
        <v>1225</v>
      </c>
    </row>
    <row r="156" ht="15.75" customHeight="1">
      <c r="A156" s="145" t="s">
        <v>1331</v>
      </c>
      <c r="B156" s="150">
        <v>44690.0</v>
      </c>
      <c r="C156" s="145" t="s">
        <v>1237</v>
      </c>
      <c r="D156" s="145" t="s">
        <v>1319</v>
      </c>
      <c r="E156" s="145" t="s">
        <v>1347</v>
      </c>
      <c r="F156" s="145" t="s">
        <v>1225</v>
      </c>
    </row>
    <row r="157" ht="15.75" customHeight="1">
      <c r="A157" s="145" t="s">
        <v>1331</v>
      </c>
      <c r="B157" s="150">
        <v>44690.0</v>
      </c>
      <c r="C157" s="145" t="s">
        <v>1239</v>
      </c>
      <c r="D157" s="145" t="s">
        <v>1320</v>
      </c>
      <c r="E157" s="146" t="s">
        <v>1350</v>
      </c>
      <c r="F157" s="145" t="s">
        <v>1225</v>
      </c>
    </row>
    <row r="158" ht="15.75" customHeight="1">
      <c r="A158" s="145" t="s">
        <v>1331</v>
      </c>
      <c r="B158" s="150">
        <v>44691.0</v>
      </c>
      <c r="C158" s="145" t="s">
        <v>1272</v>
      </c>
      <c r="D158" s="145" t="s">
        <v>1314</v>
      </c>
      <c r="E158" s="145" t="s">
        <v>1351</v>
      </c>
      <c r="F158" s="145" t="s">
        <v>1225</v>
      </c>
    </row>
    <row r="159" ht="15.75" customHeight="1">
      <c r="A159" s="145" t="s">
        <v>1331</v>
      </c>
      <c r="B159" s="150">
        <v>44692.0</v>
      </c>
      <c r="C159" s="145" t="s">
        <v>1277</v>
      </c>
      <c r="D159" s="145" t="s">
        <v>1314</v>
      </c>
      <c r="E159" s="145" t="s">
        <v>1351</v>
      </c>
      <c r="F159" s="145" t="s">
        <v>1225</v>
      </c>
    </row>
    <row r="160" ht="15.75" customHeight="1">
      <c r="A160" s="145" t="s">
        <v>1331</v>
      </c>
      <c r="B160" s="150">
        <v>44693.0</v>
      </c>
      <c r="C160" s="145" t="s">
        <v>1278</v>
      </c>
      <c r="D160" s="145" t="s">
        <v>1314</v>
      </c>
      <c r="E160" s="145" t="s">
        <v>1351</v>
      </c>
      <c r="F160" s="145" t="s">
        <v>1225</v>
      </c>
    </row>
    <row r="161" ht="15.75" customHeight="1">
      <c r="A161" s="145" t="s">
        <v>1352</v>
      </c>
      <c r="B161" s="150">
        <v>44760.0</v>
      </c>
      <c r="C161" s="145" t="s">
        <v>1269</v>
      </c>
      <c r="D161" s="145" t="s">
        <v>1319</v>
      </c>
      <c r="E161" s="145" t="s">
        <v>1353</v>
      </c>
      <c r="F161" s="145" t="s">
        <v>20</v>
      </c>
    </row>
    <row r="162" ht="15.75" customHeight="1">
      <c r="A162" s="145" t="s">
        <v>1352</v>
      </c>
      <c r="B162" s="150">
        <v>44760.0</v>
      </c>
      <c r="C162" s="145" t="s">
        <v>1325</v>
      </c>
      <c r="D162" s="145" t="s">
        <v>1255</v>
      </c>
      <c r="E162" s="145" t="s">
        <v>1326</v>
      </c>
      <c r="F162" s="145" t="s">
        <v>20</v>
      </c>
    </row>
    <row r="163" ht="15.75" customHeight="1">
      <c r="A163" s="145" t="s">
        <v>1352</v>
      </c>
      <c r="B163" s="150">
        <v>44760.0</v>
      </c>
      <c r="C163" s="145" t="s">
        <v>1239</v>
      </c>
      <c r="D163" s="145" t="s">
        <v>1320</v>
      </c>
      <c r="E163" s="145" t="s">
        <v>1353</v>
      </c>
      <c r="F163" s="145" t="s">
        <v>20</v>
      </c>
    </row>
    <row r="164" ht="15.75" customHeight="1">
      <c r="A164" s="145" t="s">
        <v>1352</v>
      </c>
      <c r="B164" s="150">
        <v>44761.0</v>
      </c>
      <c r="C164" s="145" t="s">
        <v>1354</v>
      </c>
      <c r="D164" s="145" t="s">
        <v>1255</v>
      </c>
      <c r="E164" s="145" t="s">
        <v>1326</v>
      </c>
      <c r="F164" s="145" t="s">
        <v>20</v>
      </c>
    </row>
    <row r="165" ht="15.75" customHeight="1">
      <c r="A165" s="145" t="s">
        <v>1352</v>
      </c>
      <c r="B165" s="150">
        <v>44761.0</v>
      </c>
      <c r="C165" s="145" t="s">
        <v>1329</v>
      </c>
      <c r="D165" s="145" t="s">
        <v>1255</v>
      </c>
      <c r="E165" s="145" t="s">
        <v>1326</v>
      </c>
      <c r="F165" s="145" t="s">
        <v>20</v>
      </c>
    </row>
    <row r="166" ht="15.75" customHeight="1">
      <c r="A166" s="145" t="s">
        <v>1352</v>
      </c>
      <c r="B166" s="150">
        <v>44761.0</v>
      </c>
      <c r="C166" s="145" t="s">
        <v>1208</v>
      </c>
      <c r="D166" s="145" t="s">
        <v>1314</v>
      </c>
      <c r="E166" s="145" t="s">
        <v>1326</v>
      </c>
      <c r="F166" s="145" t="s">
        <v>20</v>
      </c>
    </row>
    <row r="167" ht="15.75" customHeight="1">
      <c r="A167" s="145" t="s">
        <v>1352</v>
      </c>
      <c r="B167" s="150">
        <v>44761.0</v>
      </c>
      <c r="C167" s="145" t="s">
        <v>1330</v>
      </c>
      <c r="D167" s="145" t="s">
        <v>1255</v>
      </c>
      <c r="E167" s="145" t="s">
        <v>1326</v>
      </c>
      <c r="F167" s="145" t="s">
        <v>20</v>
      </c>
    </row>
    <row r="168" ht="15.75" customHeight="1">
      <c r="A168" s="145" t="s">
        <v>1352</v>
      </c>
      <c r="B168" s="150" t="s">
        <v>1355</v>
      </c>
      <c r="C168" s="145"/>
      <c r="D168" s="145"/>
      <c r="E168" s="145"/>
      <c r="F168" s="145"/>
    </row>
    <row r="169" ht="15.75" customHeight="1">
      <c r="A169" s="145" t="s">
        <v>1352</v>
      </c>
      <c r="B169" s="150">
        <v>44784.0</v>
      </c>
      <c r="C169" s="145" t="s">
        <v>1278</v>
      </c>
      <c r="D169" s="145" t="s">
        <v>1314</v>
      </c>
      <c r="E169" s="145" t="s">
        <v>1326</v>
      </c>
      <c r="F169" s="145" t="s">
        <v>20</v>
      </c>
    </row>
    <row r="170" ht="15.75" customHeight="1">
      <c r="A170" s="145" t="s">
        <v>1352</v>
      </c>
      <c r="B170" s="150">
        <v>44784.0</v>
      </c>
      <c r="C170" s="145" t="s">
        <v>1199</v>
      </c>
      <c r="D170" s="145" t="s">
        <v>395</v>
      </c>
      <c r="E170" s="145" t="s">
        <v>1326</v>
      </c>
      <c r="F170" s="145" t="s">
        <v>20</v>
      </c>
    </row>
    <row r="171" ht="15.75" customHeight="1">
      <c r="A171" s="145" t="s">
        <v>1352</v>
      </c>
      <c r="B171" s="150">
        <v>44785.0</v>
      </c>
      <c r="C171" s="145" t="s">
        <v>1254</v>
      </c>
      <c r="D171" s="145" t="s">
        <v>1255</v>
      </c>
      <c r="E171" s="146" t="s">
        <v>1307</v>
      </c>
      <c r="F171" s="145" t="s">
        <v>20</v>
      </c>
    </row>
    <row r="172" ht="15.75" customHeight="1">
      <c r="A172" s="145" t="s">
        <v>1352</v>
      </c>
      <c r="B172" s="150">
        <v>44785.0</v>
      </c>
      <c r="C172" s="145" t="s">
        <v>1202</v>
      </c>
      <c r="D172" s="145" t="s">
        <v>1356</v>
      </c>
      <c r="E172" s="145" t="s">
        <v>1196</v>
      </c>
      <c r="F172" s="145" t="s">
        <v>1225</v>
      </c>
    </row>
    <row r="173" ht="15.75" customHeight="1">
      <c r="A173" s="145" t="s">
        <v>1352</v>
      </c>
      <c r="B173" s="150">
        <v>44786.0</v>
      </c>
      <c r="C173" s="145" t="s">
        <v>1259</v>
      </c>
      <c r="D173" s="145" t="s">
        <v>1276</v>
      </c>
      <c r="E173" s="145" t="s">
        <v>1196</v>
      </c>
      <c r="F173" s="145" t="s">
        <v>1225</v>
      </c>
    </row>
    <row r="174" ht="15.75" customHeight="1">
      <c r="A174" s="145" t="s">
        <v>1352</v>
      </c>
      <c r="B174" s="150">
        <v>44786.0</v>
      </c>
      <c r="C174" s="145" t="s">
        <v>1232</v>
      </c>
      <c r="D174" s="145" t="s">
        <v>1357</v>
      </c>
      <c r="E174" s="145" t="s">
        <v>1358</v>
      </c>
      <c r="F174" s="145" t="s">
        <v>1225</v>
      </c>
    </row>
    <row r="175" ht="15.75" customHeight="1">
      <c r="A175" s="145" t="s">
        <v>1352</v>
      </c>
      <c r="B175" s="150">
        <v>44786.0</v>
      </c>
      <c r="C175" s="145" t="s">
        <v>1235</v>
      </c>
      <c r="D175" s="145" t="s">
        <v>1311</v>
      </c>
      <c r="E175" s="145" t="s">
        <v>1196</v>
      </c>
      <c r="F175" s="145" t="s">
        <v>1225</v>
      </c>
    </row>
    <row r="176" ht="15.75" customHeight="1">
      <c r="A176" s="145" t="s">
        <v>1352</v>
      </c>
      <c r="B176" s="150">
        <v>44786.0</v>
      </c>
      <c r="C176" s="145" t="s">
        <v>1231</v>
      </c>
      <c r="D176" s="145" t="s">
        <v>1255</v>
      </c>
      <c r="E176" s="145" t="s">
        <v>1262</v>
      </c>
      <c r="F176" s="145" t="s">
        <v>20</v>
      </c>
    </row>
    <row r="177" ht="15.75" customHeight="1">
      <c r="A177" s="145" t="s">
        <v>1352</v>
      </c>
      <c r="B177" s="150">
        <v>44787.0</v>
      </c>
      <c r="C177" s="145" t="s">
        <v>1208</v>
      </c>
      <c r="D177" s="145" t="s">
        <v>1314</v>
      </c>
      <c r="E177" s="145" t="s">
        <v>1359</v>
      </c>
      <c r="F177" s="145" t="s">
        <v>1225</v>
      </c>
    </row>
    <row r="178" ht="15.75" customHeight="1">
      <c r="A178" s="145" t="s">
        <v>1352</v>
      </c>
      <c r="B178" s="150">
        <v>44787.0</v>
      </c>
      <c r="C178" s="145" t="s">
        <v>1210</v>
      </c>
      <c r="D178" s="145" t="s">
        <v>1276</v>
      </c>
      <c r="E178" s="145" t="s">
        <v>1196</v>
      </c>
      <c r="F178" s="145" t="s">
        <v>1225</v>
      </c>
    </row>
    <row r="179" ht="15.75" customHeight="1">
      <c r="A179" s="145" t="s">
        <v>1352</v>
      </c>
      <c r="B179" s="150">
        <v>44787.0</v>
      </c>
      <c r="C179" s="145" t="s">
        <v>1266</v>
      </c>
      <c r="D179" s="145" t="s">
        <v>1348</v>
      </c>
      <c r="E179" s="145" t="s">
        <v>1360</v>
      </c>
      <c r="F179" s="145" t="s">
        <v>1225</v>
      </c>
    </row>
    <row r="180" ht="15.75" customHeight="1">
      <c r="A180" s="145" t="s">
        <v>1352</v>
      </c>
      <c r="B180" s="150">
        <v>44788.0</v>
      </c>
      <c r="C180" s="145" t="s">
        <v>1269</v>
      </c>
      <c r="D180" s="145" t="s">
        <v>1311</v>
      </c>
      <c r="E180" s="145" t="s">
        <v>1271</v>
      </c>
      <c r="F180" s="145" t="s">
        <v>1225</v>
      </c>
    </row>
    <row r="181" ht="15.75" customHeight="1">
      <c r="A181" s="145" t="s">
        <v>1352</v>
      </c>
      <c r="B181" s="150">
        <v>44788.0</v>
      </c>
      <c r="C181" s="145" t="s">
        <v>1282</v>
      </c>
      <c r="D181" s="145" t="s">
        <v>1361</v>
      </c>
      <c r="E181" s="145" t="s">
        <v>1196</v>
      </c>
      <c r="F181" s="145" t="s">
        <v>1225</v>
      </c>
    </row>
    <row r="182" ht="15.75" customHeight="1">
      <c r="A182" s="145" t="s">
        <v>1352</v>
      </c>
      <c r="B182" s="150">
        <v>44788.0</v>
      </c>
      <c r="C182" s="145" t="s">
        <v>1284</v>
      </c>
      <c r="D182" s="145" t="s">
        <v>1361</v>
      </c>
      <c r="E182" s="145" t="s">
        <v>1196</v>
      </c>
      <c r="F182" s="145" t="s">
        <v>1225</v>
      </c>
    </row>
    <row r="183" ht="15.75" customHeight="1">
      <c r="A183" s="145" t="s">
        <v>1352</v>
      </c>
      <c r="B183" s="150">
        <v>44788.0</v>
      </c>
      <c r="C183" s="145" t="s">
        <v>1325</v>
      </c>
      <c r="D183" s="145" t="s">
        <v>1255</v>
      </c>
      <c r="E183" s="145" t="s">
        <v>1196</v>
      </c>
      <c r="F183" s="145" t="s">
        <v>20</v>
      </c>
    </row>
    <row r="184" ht="15.75" customHeight="1">
      <c r="A184" s="145" t="s">
        <v>1352</v>
      </c>
      <c r="B184" s="150">
        <v>44789.0</v>
      </c>
      <c r="C184" s="145" t="s">
        <v>1254</v>
      </c>
      <c r="D184" s="145" t="s">
        <v>1255</v>
      </c>
      <c r="E184" s="146" t="s">
        <v>1307</v>
      </c>
      <c r="F184" s="145" t="s">
        <v>20</v>
      </c>
    </row>
    <row r="185" ht="15.75" customHeight="1">
      <c r="A185" s="145" t="s">
        <v>1352</v>
      </c>
      <c r="B185" s="150">
        <v>44789.0</v>
      </c>
      <c r="C185" s="145" t="s">
        <v>1272</v>
      </c>
      <c r="D185" s="145" t="s">
        <v>1314</v>
      </c>
      <c r="E185" s="145" t="s">
        <v>1362</v>
      </c>
      <c r="F185" s="145" t="s">
        <v>1225</v>
      </c>
    </row>
    <row r="186" ht="15.75" customHeight="1">
      <c r="A186" s="145" t="s">
        <v>1352</v>
      </c>
      <c r="B186" s="150">
        <v>44789.0</v>
      </c>
      <c r="C186" s="145" t="s">
        <v>1330</v>
      </c>
      <c r="D186" s="145" t="s">
        <v>1255</v>
      </c>
      <c r="E186" s="145" t="s">
        <v>1326</v>
      </c>
      <c r="F186" s="145" t="s">
        <v>20</v>
      </c>
    </row>
    <row r="187" ht="15.75" customHeight="1">
      <c r="A187" s="145" t="s">
        <v>1352</v>
      </c>
      <c r="B187" s="150">
        <v>44790.0</v>
      </c>
      <c r="C187" s="145" t="s">
        <v>1220</v>
      </c>
      <c r="D187" s="145" t="s">
        <v>1255</v>
      </c>
      <c r="E187" s="145" t="s">
        <v>1274</v>
      </c>
      <c r="F187" s="145" t="s">
        <v>20</v>
      </c>
    </row>
    <row r="188" ht="15.75" customHeight="1">
      <c r="A188" s="145" t="s">
        <v>1352</v>
      </c>
      <c r="B188" s="150">
        <v>44790.0</v>
      </c>
      <c r="C188" s="145" t="s">
        <v>1248</v>
      </c>
      <c r="D188" s="145" t="s">
        <v>1311</v>
      </c>
      <c r="E188" s="145" t="s">
        <v>1271</v>
      </c>
      <c r="F188" s="145" t="s">
        <v>1225</v>
      </c>
    </row>
    <row r="189" ht="15.75" customHeight="1">
      <c r="A189" s="145" t="s">
        <v>1352</v>
      </c>
      <c r="B189" s="150">
        <v>44790.0</v>
      </c>
      <c r="C189" s="145" t="s">
        <v>1275</v>
      </c>
      <c r="D189" s="145" t="s">
        <v>1276</v>
      </c>
      <c r="E189" s="145" t="s">
        <v>1196</v>
      </c>
      <c r="F189" s="145" t="s">
        <v>1225</v>
      </c>
    </row>
    <row r="190" ht="15.75" customHeight="1">
      <c r="A190" s="145" t="s">
        <v>1352</v>
      </c>
      <c r="B190" s="150">
        <v>44790.0</v>
      </c>
      <c r="C190" s="145" t="s">
        <v>1277</v>
      </c>
      <c r="D190" s="145" t="s">
        <v>1314</v>
      </c>
      <c r="E190" s="145" t="s">
        <v>1362</v>
      </c>
      <c r="F190" s="145" t="s">
        <v>1225</v>
      </c>
    </row>
    <row r="191" ht="15.75" customHeight="1">
      <c r="A191" s="145" t="s">
        <v>1352</v>
      </c>
      <c r="B191" s="150">
        <v>44790.0</v>
      </c>
      <c r="C191" s="145" t="s">
        <v>1226</v>
      </c>
      <c r="D191" s="145" t="s">
        <v>1342</v>
      </c>
      <c r="E191" s="145" t="s">
        <v>1196</v>
      </c>
      <c r="F191" s="145" t="s">
        <v>1225</v>
      </c>
    </row>
    <row r="192" ht="15.75" customHeight="1">
      <c r="A192" s="145" t="s">
        <v>1352</v>
      </c>
      <c r="B192" s="150">
        <v>44791.0</v>
      </c>
      <c r="C192" s="145" t="s">
        <v>1278</v>
      </c>
      <c r="D192" s="145" t="s">
        <v>1314</v>
      </c>
      <c r="E192" s="145" t="s">
        <v>1362</v>
      </c>
      <c r="F192" s="145" t="s">
        <v>1225</v>
      </c>
    </row>
    <row r="193" ht="15.75" customHeight="1">
      <c r="A193" s="145" t="s">
        <v>1352</v>
      </c>
      <c r="B193" s="150">
        <v>44791.0</v>
      </c>
      <c r="C193" s="145" t="s">
        <v>1199</v>
      </c>
      <c r="D193" s="145" t="s">
        <v>395</v>
      </c>
      <c r="E193" s="145" t="s">
        <v>1196</v>
      </c>
      <c r="F193" s="145" t="s">
        <v>1225</v>
      </c>
    </row>
    <row r="194" ht="15.75" customHeight="1">
      <c r="A194" s="145" t="s">
        <v>1352</v>
      </c>
      <c r="B194" s="150">
        <v>44793.0</v>
      </c>
      <c r="C194" s="145" t="s">
        <v>1232</v>
      </c>
      <c r="D194" s="145" t="s">
        <v>1357</v>
      </c>
      <c r="E194" s="145" t="s">
        <v>1363</v>
      </c>
      <c r="F194" s="145" t="s">
        <v>1225</v>
      </c>
    </row>
    <row r="195" ht="15.75" customHeight="1">
      <c r="A195" s="145" t="s">
        <v>1352</v>
      </c>
      <c r="B195" s="150">
        <v>44794.0</v>
      </c>
      <c r="C195" s="145" t="s">
        <v>1208</v>
      </c>
      <c r="D195" s="145" t="s">
        <v>1314</v>
      </c>
      <c r="E195" s="145" t="s">
        <v>1196</v>
      </c>
      <c r="F195" s="145" t="s">
        <v>1225</v>
      </c>
    </row>
    <row r="196" ht="15.75" customHeight="1">
      <c r="A196" s="145" t="s">
        <v>1352</v>
      </c>
      <c r="B196" s="150">
        <v>44796.0</v>
      </c>
      <c r="C196" s="145" t="s">
        <v>1272</v>
      </c>
      <c r="D196" s="145" t="s">
        <v>1314</v>
      </c>
      <c r="E196" s="145" t="s">
        <v>1271</v>
      </c>
      <c r="F196" s="145" t="s">
        <v>1225</v>
      </c>
    </row>
    <row r="197" ht="15.75" customHeight="1">
      <c r="A197" s="145" t="s">
        <v>1352</v>
      </c>
      <c r="B197" s="150">
        <v>44797.0</v>
      </c>
      <c r="C197" s="145" t="s">
        <v>1277</v>
      </c>
      <c r="D197" s="145" t="s">
        <v>1314</v>
      </c>
      <c r="E197" s="145" t="s">
        <v>1271</v>
      </c>
      <c r="F197" s="145" t="s">
        <v>1225</v>
      </c>
    </row>
    <row r="198" ht="15.75" customHeight="1">
      <c r="A198" s="145" t="s">
        <v>1352</v>
      </c>
      <c r="B198" s="150">
        <v>44798.0</v>
      </c>
      <c r="C198" s="145" t="s">
        <v>1278</v>
      </c>
      <c r="D198" s="145" t="s">
        <v>1314</v>
      </c>
      <c r="E198" s="145" t="s">
        <v>1271</v>
      </c>
      <c r="F198" s="145" t="s">
        <v>1225</v>
      </c>
    </row>
    <row r="199" ht="15.75" customHeight="1">
      <c r="A199" s="145" t="s">
        <v>1364</v>
      </c>
      <c r="B199" s="150">
        <v>44826.0</v>
      </c>
      <c r="C199" s="145" t="s">
        <v>1199</v>
      </c>
      <c r="D199" s="145" t="s">
        <v>395</v>
      </c>
      <c r="E199" s="145" t="s">
        <v>1326</v>
      </c>
      <c r="F199" s="145" t="s">
        <v>20</v>
      </c>
    </row>
    <row r="200" ht="15.75" customHeight="1">
      <c r="A200" s="145" t="s">
        <v>1364</v>
      </c>
      <c r="B200" s="150">
        <v>44827.0</v>
      </c>
      <c r="C200" s="145" t="s">
        <v>1254</v>
      </c>
      <c r="D200" s="145" t="s">
        <v>1255</v>
      </c>
      <c r="E200" s="146" t="s">
        <v>1307</v>
      </c>
      <c r="F200" s="145" t="s">
        <v>20</v>
      </c>
    </row>
    <row r="201" ht="15.75" customHeight="1">
      <c r="A201" s="145" t="s">
        <v>1364</v>
      </c>
      <c r="B201" s="150">
        <v>44827.0</v>
      </c>
      <c r="C201" s="145" t="s">
        <v>1365</v>
      </c>
      <c r="D201" s="145" t="s">
        <v>1255</v>
      </c>
      <c r="E201" s="145" t="s">
        <v>1326</v>
      </c>
      <c r="F201" s="145" t="s">
        <v>20</v>
      </c>
    </row>
    <row r="202" ht="15.75" customHeight="1">
      <c r="A202" s="145" t="s">
        <v>1364</v>
      </c>
      <c r="B202" s="150">
        <v>44827.0</v>
      </c>
      <c r="C202" s="145" t="s">
        <v>1202</v>
      </c>
      <c r="D202" s="145" t="s">
        <v>1333</v>
      </c>
      <c r="E202" s="145" t="s">
        <v>1366</v>
      </c>
      <c r="F202" s="145" t="s">
        <v>1225</v>
      </c>
    </row>
    <row r="203" ht="15.75" customHeight="1">
      <c r="A203" s="145" t="s">
        <v>1364</v>
      </c>
      <c r="B203" s="150">
        <v>44828.0</v>
      </c>
      <c r="C203" s="145" t="s">
        <v>1231</v>
      </c>
      <c r="D203" s="145" t="s">
        <v>1255</v>
      </c>
      <c r="E203" s="145" t="s">
        <v>1262</v>
      </c>
      <c r="F203" s="145" t="s">
        <v>20</v>
      </c>
    </row>
    <row r="204" ht="15.75" customHeight="1">
      <c r="A204" s="145" t="s">
        <v>1364</v>
      </c>
      <c r="B204" s="150">
        <v>44828.0</v>
      </c>
      <c r="C204" s="145" t="s">
        <v>1259</v>
      </c>
      <c r="D204" s="145" t="s">
        <v>1276</v>
      </c>
      <c r="E204" s="145" t="s">
        <v>1196</v>
      </c>
      <c r="F204" s="145" t="s">
        <v>1225</v>
      </c>
    </row>
    <row r="205" ht="15.75" customHeight="1">
      <c r="A205" s="145" t="s">
        <v>1364</v>
      </c>
      <c r="B205" s="150">
        <v>44828.0</v>
      </c>
      <c r="C205" s="145" t="s">
        <v>1232</v>
      </c>
      <c r="D205" s="145" t="s">
        <v>1357</v>
      </c>
      <c r="E205" s="145" t="s">
        <v>1310</v>
      </c>
      <c r="F205" s="145" t="s">
        <v>20</v>
      </c>
    </row>
    <row r="206" ht="15.75" customHeight="1">
      <c r="A206" s="145" t="s">
        <v>1364</v>
      </c>
      <c r="B206" s="150">
        <v>44828.0</v>
      </c>
      <c r="C206" s="145" t="s">
        <v>1235</v>
      </c>
      <c r="D206" s="145" t="s">
        <v>1311</v>
      </c>
      <c r="E206" s="145" t="s">
        <v>1367</v>
      </c>
      <c r="F206" s="145" t="s">
        <v>1225</v>
      </c>
    </row>
    <row r="207" ht="15.75" customHeight="1">
      <c r="A207" s="145" t="s">
        <v>1364</v>
      </c>
      <c r="B207" s="150">
        <v>44829.0</v>
      </c>
      <c r="C207" s="145" t="s">
        <v>1266</v>
      </c>
      <c r="D207" s="145" t="s">
        <v>1348</v>
      </c>
      <c r="E207" s="145" t="s">
        <v>1368</v>
      </c>
      <c r="F207" s="145" t="s">
        <v>1225</v>
      </c>
    </row>
    <row r="208" ht="15.75" customHeight="1">
      <c r="A208" s="145" t="s">
        <v>1364</v>
      </c>
      <c r="B208" s="150">
        <v>44829.0</v>
      </c>
      <c r="C208" s="145" t="s">
        <v>1210</v>
      </c>
      <c r="D208" s="145" t="s">
        <v>1276</v>
      </c>
      <c r="E208" s="145" t="s">
        <v>1367</v>
      </c>
      <c r="F208" s="145" t="s">
        <v>1225</v>
      </c>
    </row>
    <row r="209" ht="15.75" customHeight="1">
      <c r="A209" s="145" t="s">
        <v>1364</v>
      </c>
      <c r="B209" s="150">
        <v>44830.0</v>
      </c>
      <c r="C209" s="145" t="s">
        <v>1269</v>
      </c>
      <c r="D209" s="145" t="s">
        <v>1311</v>
      </c>
      <c r="E209" s="145" t="s">
        <v>1367</v>
      </c>
      <c r="F209" s="145" t="s">
        <v>1225</v>
      </c>
    </row>
    <row r="210" ht="15.75" customHeight="1">
      <c r="A210" s="145" t="s">
        <v>1364</v>
      </c>
      <c r="B210" s="150">
        <v>44830.0</v>
      </c>
      <c r="C210" s="145" t="s">
        <v>1325</v>
      </c>
      <c r="D210" s="145" t="s">
        <v>1255</v>
      </c>
      <c r="E210" s="145" t="s">
        <v>1326</v>
      </c>
      <c r="F210" s="145" t="s">
        <v>20</v>
      </c>
    </row>
    <row r="211" ht="15.75" customHeight="1">
      <c r="A211" s="145" t="s">
        <v>1364</v>
      </c>
      <c r="B211" s="150" t="s">
        <v>1369</v>
      </c>
      <c r="C211" s="145"/>
      <c r="D211" s="145"/>
      <c r="E211" s="145"/>
      <c r="F211" s="145"/>
    </row>
    <row r="212" ht="15.75" customHeight="1">
      <c r="A212" s="145" t="s">
        <v>1364</v>
      </c>
      <c r="B212" s="150">
        <v>44857.0</v>
      </c>
      <c r="C212" s="145" t="s">
        <v>1208</v>
      </c>
      <c r="D212" s="145" t="s">
        <v>1370</v>
      </c>
      <c r="E212" s="145" t="s">
        <v>1196</v>
      </c>
      <c r="F212" s="145" t="s">
        <v>1225</v>
      </c>
    </row>
    <row r="213" ht="15.75" customHeight="1">
      <c r="A213" s="145" t="s">
        <v>1364</v>
      </c>
      <c r="B213" s="150">
        <v>44857.0</v>
      </c>
      <c r="C213" s="145" t="s">
        <v>1266</v>
      </c>
      <c r="D213" s="145" t="s">
        <v>1371</v>
      </c>
      <c r="E213" s="145" t="s">
        <v>1196</v>
      </c>
      <c r="F213" s="145" t="s">
        <v>1225</v>
      </c>
    </row>
    <row r="214" ht="15.75" customHeight="1">
      <c r="A214" s="145" t="s">
        <v>1364</v>
      </c>
      <c r="B214" s="150">
        <v>44857.0</v>
      </c>
      <c r="C214" s="145" t="s">
        <v>1210</v>
      </c>
      <c r="D214" s="145" t="s">
        <v>1276</v>
      </c>
      <c r="E214" s="145" t="s">
        <v>1196</v>
      </c>
      <c r="F214" s="145" t="s">
        <v>1225</v>
      </c>
    </row>
    <row r="215" ht="15.75" customHeight="1">
      <c r="A215" s="145" t="s">
        <v>1364</v>
      </c>
      <c r="B215" s="150">
        <v>44858.0</v>
      </c>
      <c r="C215" s="145" t="s">
        <v>1269</v>
      </c>
      <c r="D215" s="145" t="s">
        <v>1311</v>
      </c>
      <c r="E215" s="145" t="s">
        <v>1196</v>
      </c>
      <c r="F215" s="145" t="s">
        <v>1225</v>
      </c>
    </row>
    <row r="216" ht="15.75" customHeight="1">
      <c r="A216" s="145" t="s">
        <v>1364</v>
      </c>
      <c r="B216" s="150">
        <v>44858.0</v>
      </c>
      <c r="C216" s="145" t="s">
        <v>1325</v>
      </c>
      <c r="D216" s="145" t="s">
        <v>1255</v>
      </c>
      <c r="E216" s="145" t="s">
        <v>1196</v>
      </c>
      <c r="F216" s="145" t="s">
        <v>20</v>
      </c>
    </row>
    <row r="217" ht="15.75" customHeight="1">
      <c r="A217" s="145" t="s">
        <v>1364</v>
      </c>
      <c r="B217" s="150">
        <v>44858.0</v>
      </c>
      <c r="C217" s="145" t="s">
        <v>1282</v>
      </c>
      <c r="D217" s="145" t="s">
        <v>1361</v>
      </c>
      <c r="E217" s="145" t="s">
        <v>1196</v>
      </c>
      <c r="F217" s="145" t="s">
        <v>1225</v>
      </c>
    </row>
    <row r="218" ht="15.75" customHeight="1">
      <c r="A218" s="145" t="s">
        <v>1364</v>
      </c>
      <c r="B218" s="150">
        <v>44858.0</v>
      </c>
      <c r="C218" s="145" t="s">
        <v>1284</v>
      </c>
      <c r="D218" s="145" t="s">
        <v>1361</v>
      </c>
      <c r="E218" s="145" t="s">
        <v>1196</v>
      </c>
      <c r="F218" s="145" t="s">
        <v>1225</v>
      </c>
    </row>
    <row r="219" ht="15.75" customHeight="1">
      <c r="A219" s="145" t="s">
        <v>1372</v>
      </c>
      <c r="B219" s="150">
        <v>44867.0</v>
      </c>
      <c r="C219" s="145" t="s">
        <v>1231</v>
      </c>
      <c r="D219" s="145" t="s">
        <v>1255</v>
      </c>
      <c r="E219" s="145" t="s">
        <v>1345</v>
      </c>
      <c r="F219" s="145" t="s">
        <v>20</v>
      </c>
    </row>
    <row r="220" ht="15.75" customHeight="1">
      <c r="A220" s="145" t="s">
        <v>1372</v>
      </c>
      <c r="B220" s="150">
        <v>44867.0</v>
      </c>
      <c r="C220" s="145" t="s">
        <v>1248</v>
      </c>
      <c r="D220" s="145" t="s">
        <v>1311</v>
      </c>
      <c r="E220" s="145" t="s">
        <v>1373</v>
      </c>
      <c r="F220" s="145" t="s">
        <v>20</v>
      </c>
    </row>
    <row r="221" ht="15.75" customHeight="1">
      <c r="A221" s="145" t="s">
        <v>1372</v>
      </c>
      <c r="B221" s="150">
        <v>44867.0</v>
      </c>
      <c r="C221" s="145" t="s">
        <v>1275</v>
      </c>
      <c r="D221" s="145" t="s">
        <v>1276</v>
      </c>
      <c r="E221" s="145" t="s">
        <v>1201</v>
      </c>
      <c r="F221" s="145" t="s">
        <v>20</v>
      </c>
    </row>
    <row r="222" ht="15.75" customHeight="1">
      <c r="A222" s="145" t="s">
        <v>1372</v>
      </c>
      <c r="B222" s="150">
        <v>44867.0</v>
      </c>
      <c r="C222" s="145" t="s">
        <v>1226</v>
      </c>
      <c r="D222" s="145" t="s">
        <v>1342</v>
      </c>
      <c r="E222" s="145" t="s">
        <v>1201</v>
      </c>
      <c r="F222" s="145" t="s">
        <v>20</v>
      </c>
    </row>
    <row r="223" ht="15.75" customHeight="1">
      <c r="A223" s="145" t="s">
        <v>1372</v>
      </c>
      <c r="B223" s="150">
        <v>44868.0</v>
      </c>
      <c r="C223" s="145" t="s">
        <v>1208</v>
      </c>
      <c r="D223" s="145" t="s">
        <v>1370</v>
      </c>
      <c r="E223" s="145" t="s">
        <v>1374</v>
      </c>
      <c r="F223" s="145" t="s">
        <v>1225</v>
      </c>
    </row>
    <row r="224" ht="15.75" customHeight="1">
      <c r="A224" s="145" t="s">
        <v>1372</v>
      </c>
      <c r="B224" s="150">
        <v>44869.0</v>
      </c>
      <c r="C224" s="145" t="s">
        <v>1254</v>
      </c>
      <c r="D224" s="145" t="s">
        <v>1255</v>
      </c>
      <c r="E224" s="145" t="s">
        <v>1201</v>
      </c>
      <c r="F224" s="145" t="s">
        <v>20</v>
      </c>
    </row>
    <row r="225" ht="15.75" customHeight="1">
      <c r="A225" s="145" t="s">
        <v>1372</v>
      </c>
      <c r="B225" s="150">
        <v>44869.0</v>
      </c>
      <c r="C225" s="145" t="s">
        <v>1365</v>
      </c>
      <c r="D225" s="145" t="s">
        <v>1255</v>
      </c>
      <c r="E225" s="145" t="s">
        <v>1201</v>
      </c>
      <c r="F225" s="145" t="s">
        <v>20</v>
      </c>
    </row>
    <row r="226" ht="15.75" customHeight="1">
      <c r="A226" s="145" t="s">
        <v>1372</v>
      </c>
      <c r="B226" s="150">
        <v>44869.0</v>
      </c>
      <c r="C226" s="145" t="s">
        <v>1202</v>
      </c>
      <c r="D226" s="145" t="s">
        <v>1375</v>
      </c>
      <c r="E226" s="145" t="s">
        <v>1376</v>
      </c>
      <c r="F226" s="145" t="s">
        <v>1225</v>
      </c>
    </row>
    <row r="227" ht="15.75" customHeight="1">
      <c r="A227" s="145" t="s">
        <v>1377</v>
      </c>
      <c r="B227" s="150">
        <v>44887.0</v>
      </c>
      <c r="C227" s="145" t="s">
        <v>1328</v>
      </c>
      <c r="D227" s="145" t="s">
        <v>1255</v>
      </c>
      <c r="E227" s="145" t="s">
        <v>1326</v>
      </c>
      <c r="F227" s="145" t="s">
        <v>20</v>
      </c>
    </row>
    <row r="228" ht="15.75" customHeight="1">
      <c r="A228" s="145" t="s">
        <v>1377</v>
      </c>
      <c r="B228" s="150">
        <v>44887.0</v>
      </c>
      <c r="C228" s="145" t="s">
        <v>1254</v>
      </c>
      <c r="D228" s="145" t="s">
        <v>1255</v>
      </c>
      <c r="E228" s="145" t="s">
        <v>1326</v>
      </c>
      <c r="F228" s="145" t="s">
        <v>20</v>
      </c>
    </row>
    <row r="229" ht="15.75" customHeight="1">
      <c r="A229" s="145" t="s">
        <v>1377</v>
      </c>
      <c r="B229" s="150">
        <v>44887.0</v>
      </c>
      <c r="C229" s="145" t="s">
        <v>1330</v>
      </c>
      <c r="D229" s="145" t="s">
        <v>1255</v>
      </c>
      <c r="E229" s="145" t="s">
        <v>1326</v>
      </c>
      <c r="F229" s="145" t="s">
        <v>20</v>
      </c>
    </row>
    <row r="230" ht="15.75" customHeight="1">
      <c r="A230" s="145" t="s">
        <v>1377</v>
      </c>
      <c r="B230" s="150">
        <v>44888.0</v>
      </c>
      <c r="C230" s="145" t="s">
        <v>1220</v>
      </c>
      <c r="D230" s="145" t="s">
        <v>1255</v>
      </c>
      <c r="E230" s="145" t="s">
        <v>1326</v>
      </c>
      <c r="F230" s="145" t="s">
        <v>20</v>
      </c>
    </row>
    <row r="231" ht="15.75" customHeight="1">
      <c r="A231" s="145" t="s">
        <v>1377</v>
      </c>
      <c r="B231" s="150">
        <v>44888.0</v>
      </c>
      <c r="C231" s="145" t="s">
        <v>1248</v>
      </c>
      <c r="D231" s="145" t="s">
        <v>1311</v>
      </c>
      <c r="E231" s="145" t="s">
        <v>1326</v>
      </c>
      <c r="F231" s="145" t="s">
        <v>20</v>
      </c>
    </row>
    <row r="232" ht="15.75" customHeight="1">
      <c r="A232" s="145" t="s">
        <v>1377</v>
      </c>
      <c r="B232" s="150">
        <v>44888.0</v>
      </c>
      <c r="C232" s="145" t="s">
        <v>1275</v>
      </c>
      <c r="D232" s="145" t="s">
        <v>1276</v>
      </c>
      <c r="E232" s="145" t="s">
        <v>1326</v>
      </c>
      <c r="F232" s="145" t="s">
        <v>20</v>
      </c>
    </row>
    <row r="233" ht="15.75" customHeight="1">
      <c r="A233" s="145" t="s">
        <v>1377</v>
      </c>
      <c r="B233" s="150">
        <v>44888.0</v>
      </c>
      <c r="C233" s="145" t="s">
        <v>1226</v>
      </c>
      <c r="D233" s="145" t="s">
        <v>1378</v>
      </c>
      <c r="E233" s="145" t="s">
        <v>1326</v>
      </c>
      <c r="F233" s="145" t="s">
        <v>20</v>
      </c>
    </row>
    <row r="234" ht="15.75" customHeight="1">
      <c r="A234" s="145" t="s">
        <v>1377</v>
      </c>
      <c r="B234" s="150">
        <v>44889.0</v>
      </c>
      <c r="C234" s="145" t="s">
        <v>1199</v>
      </c>
      <c r="D234" s="145" t="s">
        <v>395</v>
      </c>
      <c r="E234" s="145" t="s">
        <v>1326</v>
      </c>
      <c r="F234" s="145" t="s">
        <v>20</v>
      </c>
    </row>
    <row r="235" ht="15.75" customHeight="1">
      <c r="A235" s="145" t="s">
        <v>1379</v>
      </c>
      <c r="B235" s="150">
        <v>44924.0</v>
      </c>
      <c r="C235" s="145" t="s">
        <v>1199</v>
      </c>
      <c r="D235" s="145" t="s">
        <v>395</v>
      </c>
      <c r="E235" s="145" t="s">
        <v>1326</v>
      </c>
      <c r="F235" s="145" t="s">
        <v>20</v>
      </c>
    </row>
    <row r="236" ht="15.75" customHeight="1">
      <c r="A236" s="145" t="s">
        <v>1379</v>
      </c>
      <c r="B236" s="150">
        <v>44925.0</v>
      </c>
      <c r="C236" s="145" t="s">
        <v>1254</v>
      </c>
      <c r="D236" s="145" t="s">
        <v>1255</v>
      </c>
      <c r="E236" s="145" t="s">
        <v>1380</v>
      </c>
      <c r="F236" s="145" t="s">
        <v>20</v>
      </c>
    </row>
    <row r="237" ht="15.75" customHeight="1">
      <c r="A237" s="145" t="s">
        <v>1379</v>
      </c>
      <c r="B237" s="150">
        <v>44925.0</v>
      </c>
      <c r="C237" s="145" t="s">
        <v>1381</v>
      </c>
      <c r="D237" s="145" t="s">
        <v>1255</v>
      </c>
      <c r="E237" s="145" t="s">
        <v>1326</v>
      </c>
      <c r="F237" s="145" t="s">
        <v>20</v>
      </c>
    </row>
    <row r="238" ht="15.75" customHeight="1">
      <c r="A238" s="145" t="s">
        <v>1379</v>
      </c>
      <c r="B238" s="150">
        <v>44926.0</v>
      </c>
      <c r="C238" s="145" t="s">
        <v>1231</v>
      </c>
      <c r="D238" s="145" t="s">
        <v>1255</v>
      </c>
      <c r="E238" s="145" t="s">
        <v>113</v>
      </c>
      <c r="F238" s="145" t="s">
        <v>20</v>
      </c>
    </row>
    <row r="239" ht="15.75" customHeight="1">
      <c r="A239" s="145" t="s">
        <v>1379</v>
      </c>
      <c r="B239" s="150">
        <v>44926.0</v>
      </c>
      <c r="C239" s="145" t="s">
        <v>1259</v>
      </c>
      <c r="D239" s="145" t="s">
        <v>1276</v>
      </c>
      <c r="E239" s="145" t="s">
        <v>1196</v>
      </c>
      <c r="F239" s="145" t="s">
        <v>1225</v>
      </c>
    </row>
    <row r="240" ht="15.75" customHeight="1">
      <c r="A240" s="145" t="s">
        <v>1379</v>
      </c>
      <c r="B240" s="150">
        <v>44926.0</v>
      </c>
      <c r="C240" s="145" t="s">
        <v>1232</v>
      </c>
      <c r="D240" s="145" t="s">
        <v>1382</v>
      </c>
      <c r="E240" s="145" t="s">
        <v>1196</v>
      </c>
      <c r="F240" s="145" t="s">
        <v>1225</v>
      </c>
    </row>
    <row r="241" ht="15.75" customHeight="1">
      <c r="A241" s="145" t="s">
        <v>1379</v>
      </c>
      <c r="B241" s="150">
        <v>44926.0</v>
      </c>
      <c r="C241" s="145" t="s">
        <v>1235</v>
      </c>
      <c r="D241" s="145" t="s">
        <v>1311</v>
      </c>
      <c r="E241" s="145" t="s">
        <v>1196</v>
      </c>
      <c r="F241" s="145" t="s">
        <v>1225</v>
      </c>
    </row>
    <row r="242" ht="15.75" customHeight="1">
      <c r="A242" s="145" t="s">
        <v>1379</v>
      </c>
      <c r="B242" s="150">
        <v>44927.0</v>
      </c>
      <c r="C242" s="145" t="s">
        <v>1208</v>
      </c>
      <c r="D242" s="145" t="s">
        <v>1383</v>
      </c>
      <c r="E242" s="145" t="s">
        <v>1196</v>
      </c>
      <c r="F242" s="145" t="s">
        <v>1225</v>
      </c>
    </row>
    <row r="243" ht="15.75" customHeight="1">
      <c r="A243" s="145" t="s">
        <v>1379</v>
      </c>
      <c r="B243" s="150">
        <v>44927.0</v>
      </c>
      <c r="C243" s="145" t="s">
        <v>1210</v>
      </c>
      <c r="D243" s="145" t="s">
        <v>1276</v>
      </c>
      <c r="E243" s="145" t="s">
        <v>1196</v>
      </c>
      <c r="F243" s="145" t="s">
        <v>1225</v>
      </c>
    </row>
    <row r="244" ht="15.75" customHeight="1">
      <c r="A244" s="145" t="s">
        <v>1379</v>
      </c>
      <c r="B244" s="150">
        <v>44928.0</v>
      </c>
      <c r="C244" s="145" t="s">
        <v>1269</v>
      </c>
      <c r="D244" s="145" t="s">
        <v>1311</v>
      </c>
      <c r="E244" s="145" t="s">
        <v>1196</v>
      </c>
      <c r="F244" s="145" t="s">
        <v>1225</v>
      </c>
    </row>
    <row r="245" ht="15.75" customHeight="1">
      <c r="A245" s="145" t="s">
        <v>1379</v>
      </c>
      <c r="B245" s="150">
        <v>44928.0</v>
      </c>
      <c r="C245" s="145" t="s">
        <v>1325</v>
      </c>
      <c r="D245" s="145" t="s">
        <v>1255</v>
      </c>
      <c r="E245" s="145" t="s">
        <v>1196</v>
      </c>
      <c r="F245" s="145" t="s">
        <v>20</v>
      </c>
    </row>
    <row r="246" ht="15.75" customHeight="1">
      <c r="A246" s="145" t="s">
        <v>1379</v>
      </c>
      <c r="B246" s="150">
        <v>44928.0</v>
      </c>
      <c r="C246" s="145" t="s">
        <v>1239</v>
      </c>
      <c r="D246" s="145" t="s">
        <v>1361</v>
      </c>
      <c r="E246" s="145" t="s">
        <v>1196</v>
      </c>
      <c r="F246" s="145" t="s">
        <v>1225</v>
      </c>
    </row>
    <row r="247" ht="15.75" customHeight="1">
      <c r="A247" s="145" t="s">
        <v>1379</v>
      </c>
      <c r="B247" s="150">
        <v>44929.0</v>
      </c>
      <c r="C247" s="145" t="s">
        <v>1384</v>
      </c>
      <c r="D247" s="145" t="s">
        <v>1255</v>
      </c>
      <c r="E247" s="145" t="s">
        <v>1326</v>
      </c>
      <c r="F247" s="145" t="s">
        <v>20</v>
      </c>
    </row>
    <row r="248" ht="15.75" customHeight="1">
      <c r="A248" s="145" t="s">
        <v>1379</v>
      </c>
      <c r="B248" s="150">
        <v>44929.0</v>
      </c>
      <c r="C248" s="145" t="s">
        <v>1254</v>
      </c>
      <c r="D248" s="145" t="s">
        <v>1255</v>
      </c>
      <c r="E248" s="146" t="s">
        <v>1385</v>
      </c>
      <c r="F248" s="145" t="s">
        <v>20</v>
      </c>
    </row>
    <row r="249" ht="15.75" customHeight="1">
      <c r="A249" s="145" t="s">
        <v>1379</v>
      </c>
      <c r="B249" s="150">
        <v>44929.0</v>
      </c>
      <c r="C249" s="145" t="s">
        <v>1386</v>
      </c>
      <c r="D249" s="145" t="s">
        <v>1255</v>
      </c>
      <c r="E249" s="145" t="s">
        <v>1201</v>
      </c>
      <c r="F249" s="145" t="s">
        <v>20</v>
      </c>
    </row>
    <row r="250" ht="15.75" customHeight="1">
      <c r="A250" s="145" t="s">
        <v>1379</v>
      </c>
      <c r="B250" s="150">
        <v>44929.0</v>
      </c>
      <c r="C250" s="145" t="s">
        <v>1272</v>
      </c>
      <c r="D250" s="145" t="s">
        <v>1383</v>
      </c>
      <c r="E250" s="145" t="s">
        <v>1326</v>
      </c>
      <c r="F250" s="145" t="s">
        <v>20</v>
      </c>
    </row>
    <row r="251" ht="15.75" customHeight="1">
      <c r="A251" s="145" t="s">
        <v>1379</v>
      </c>
      <c r="B251" s="150">
        <v>44930.0</v>
      </c>
      <c r="C251" s="145" t="s">
        <v>1220</v>
      </c>
      <c r="D251" s="145" t="s">
        <v>1255</v>
      </c>
      <c r="E251" s="145" t="s">
        <v>113</v>
      </c>
      <c r="F251" s="145" t="s">
        <v>20</v>
      </c>
    </row>
    <row r="252" ht="15.75" customHeight="1">
      <c r="A252" s="145" t="s">
        <v>1379</v>
      </c>
      <c r="B252" s="150">
        <v>44930.0</v>
      </c>
      <c r="C252" s="145" t="s">
        <v>1248</v>
      </c>
      <c r="D252" s="145" t="s">
        <v>1311</v>
      </c>
      <c r="E252" s="145" t="s">
        <v>113</v>
      </c>
      <c r="F252" s="145" t="s">
        <v>1225</v>
      </c>
    </row>
    <row r="253" ht="15.75" customHeight="1">
      <c r="A253" s="145" t="s">
        <v>1379</v>
      </c>
      <c r="B253" s="150">
        <v>44930.0</v>
      </c>
      <c r="C253" s="145" t="s">
        <v>1275</v>
      </c>
      <c r="D253" s="145" t="s">
        <v>1276</v>
      </c>
      <c r="E253" s="145" t="s">
        <v>113</v>
      </c>
      <c r="F253" s="145" t="s">
        <v>1225</v>
      </c>
    </row>
    <row r="254" ht="15.75" customHeight="1">
      <c r="A254" s="145" t="s">
        <v>1379</v>
      </c>
      <c r="B254" s="150">
        <v>44930.0</v>
      </c>
      <c r="C254" s="145" t="s">
        <v>1226</v>
      </c>
      <c r="D254" s="145" t="s">
        <v>1378</v>
      </c>
      <c r="E254" s="145" t="s">
        <v>1387</v>
      </c>
      <c r="F254" s="145" t="s">
        <v>1225</v>
      </c>
    </row>
    <row r="255" ht="15.75" customHeight="1">
      <c r="A255" s="145" t="s">
        <v>1379</v>
      </c>
      <c r="B255" s="150">
        <v>44930.0</v>
      </c>
      <c r="C255" s="145" t="s">
        <v>1277</v>
      </c>
      <c r="D255" s="145" t="s">
        <v>1383</v>
      </c>
      <c r="E255" s="145" t="s">
        <v>1326</v>
      </c>
      <c r="F255" s="145" t="s">
        <v>20</v>
      </c>
    </row>
    <row r="256" ht="15.75" customHeight="1">
      <c r="A256" s="145" t="s">
        <v>1388</v>
      </c>
      <c r="B256" s="150">
        <v>44981.0</v>
      </c>
      <c r="C256" s="145" t="s">
        <v>1254</v>
      </c>
      <c r="D256" s="145" t="s">
        <v>1255</v>
      </c>
      <c r="E256" s="145" t="s">
        <v>1201</v>
      </c>
      <c r="F256" s="145" t="s">
        <v>20</v>
      </c>
    </row>
    <row r="257" ht="15.75" customHeight="1">
      <c r="A257" s="145" t="s">
        <v>1388</v>
      </c>
      <c r="B257" s="150">
        <v>44981.0</v>
      </c>
      <c r="C257" s="145" t="s">
        <v>1389</v>
      </c>
      <c r="D257" s="145" t="s">
        <v>1255</v>
      </c>
      <c r="E257" s="145" t="s">
        <v>1201</v>
      </c>
      <c r="F257" s="145" t="s">
        <v>20</v>
      </c>
    </row>
    <row r="258" ht="15.75" customHeight="1">
      <c r="A258" s="145" t="s">
        <v>1388</v>
      </c>
      <c r="B258" s="150">
        <v>44981.0</v>
      </c>
      <c r="C258" s="145" t="s">
        <v>1202</v>
      </c>
      <c r="D258" s="145" t="s">
        <v>1390</v>
      </c>
      <c r="E258" s="145" t="s">
        <v>1391</v>
      </c>
      <c r="F258" s="145" t="s">
        <v>1225</v>
      </c>
    </row>
    <row r="259" ht="15.75" customHeight="1">
      <c r="A259" s="145" t="s">
        <v>1392</v>
      </c>
      <c r="B259" s="150">
        <v>45006.0</v>
      </c>
      <c r="C259" s="145" t="s">
        <v>1254</v>
      </c>
      <c r="D259" s="145" t="s">
        <v>1255</v>
      </c>
      <c r="E259" s="146" t="s">
        <v>1385</v>
      </c>
      <c r="F259" s="145" t="s">
        <v>20</v>
      </c>
    </row>
    <row r="260" ht="15.75" customHeight="1">
      <c r="A260" s="145" t="s">
        <v>1392</v>
      </c>
      <c r="B260" s="150">
        <v>45006.0</v>
      </c>
      <c r="C260" s="145" t="s">
        <v>1389</v>
      </c>
      <c r="D260" s="145" t="s">
        <v>1255</v>
      </c>
      <c r="E260" s="145" t="s">
        <v>1201</v>
      </c>
      <c r="F260" s="145" t="s">
        <v>20</v>
      </c>
    </row>
    <row r="261" ht="15.75" customHeight="1">
      <c r="A261" s="145" t="s">
        <v>1392</v>
      </c>
      <c r="B261" s="150">
        <v>45006.0</v>
      </c>
      <c r="C261" s="145" t="s">
        <v>1386</v>
      </c>
      <c r="D261" s="145" t="s">
        <v>1255</v>
      </c>
      <c r="E261" s="145" t="s">
        <v>1201</v>
      </c>
      <c r="F261" s="145" t="s">
        <v>20</v>
      </c>
    </row>
    <row r="262" ht="15.75" customHeight="1">
      <c r="A262" s="145" t="s">
        <v>1392</v>
      </c>
      <c r="B262" s="150">
        <v>45006.0</v>
      </c>
      <c r="C262" s="145" t="s">
        <v>1272</v>
      </c>
      <c r="D262" s="145" t="s">
        <v>1383</v>
      </c>
      <c r="E262" s="145" t="s">
        <v>1201</v>
      </c>
      <c r="F262" s="145" t="s">
        <v>20</v>
      </c>
    </row>
    <row r="263" ht="15.75" customHeight="1">
      <c r="A263" s="145" t="s">
        <v>1392</v>
      </c>
      <c r="B263" s="150">
        <v>45007.0</v>
      </c>
      <c r="C263" s="145" t="s">
        <v>1248</v>
      </c>
      <c r="D263" s="145" t="s">
        <v>1311</v>
      </c>
      <c r="E263" s="145" t="s">
        <v>1393</v>
      </c>
      <c r="F263" s="145" t="s">
        <v>1225</v>
      </c>
    </row>
    <row r="264" ht="15.75" customHeight="1">
      <c r="A264" s="145" t="s">
        <v>1392</v>
      </c>
      <c r="B264" s="150">
        <v>45007.0</v>
      </c>
      <c r="C264" s="145" t="s">
        <v>1275</v>
      </c>
      <c r="D264" s="145" t="s">
        <v>1276</v>
      </c>
      <c r="E264" s="145" t="s">
        <v>113</v>
      </c>
      <c r="F264" s="145" t="s">
        <v>1225</v>
      </c>
    </row>
    <row r="265" ht="15.75" customHeight="1">
      <c r="A265" s="145" t="s">
        <v>1392</v>
      </c>
      <c r="B265" s="150">
        <v>45007.0</v>
      </c>
      <c r="C265" s="145" t="s">
        <v>1226</v>
      </c>
      <c r="D265" s="145" t="s">
        <v>1378</v>
      </c>
      <c r="E265" s="145" t="s">
        <v>1393</v>
      </c>
      <c r="F265" s="145" t="s">
        <v>1225</v>
      </c>
    </row>
    <row r="266" ht="15.75" customHeight="1">
      <c r="A266" s="145" t="s">
        <v>1392</v>
      </c>
      <c r="B266" s="150">
        <v>45007.0</v>
      </c>
      <c r="C266" s="145" t="s">
        <v>1277</v>
      </c>
      <c r="D266" s="145" t="s">
        <v>1383</v>
      </c>
      <c r="E266" s="145" t="s">
        <v>1201</v>
      </c>
      <c r="F266" s="145" t="s">
        <v>20</v>
      </c>
    </row>
    <row r="267" ht="15.75" customHeight="1">
      <c r="A267" s="145" t="s">
        <v>1392</v>
      </c>
      <c r="B267" s="150">
        <v>45008.0</v>
      </c>
      <c r="C267" s="145" t="s">
        <v>1199</v>
      </c>
      <c r="D267" s="145" t="s">
        <v>395</v>
      </c>
      <c r="E267" s="145" t="s">
        <v>1201</v>
      </c>
      <c r="F267" s="145" t="s">
        <v>20</v>
      </c>
    </row>
    <row r="268" ht="15.75" customHeight="1">
      <c r="A268" s="145" t="s">
        <v>1392</v>
      </c>
      <c r="B268" s="150">
        <v>45007.0</v>
      </c>
      <c r="C268" s="145" t="s">
        <v>1220</v>
      </c>
      <c r="D268" s="145" t="s">
        <v>1255</v>
      </c>
      <c r="E268" s="145" t="s">
        <v>1274</v>
      </c>
      <c r="F268" s="145" t="s">
        <v>20</v>
      </c>
    </row>
    <row r="269" ht="15.75" customHeight="1">
      <c r="A269" s="145" t="s">
        <v>1392</v>
      </c>
      <c r="B269" s="150">
        <v>45049.0</v>
      </c>
      <c r="C269" s="145"/>
      <c r="D269" s="145" t="s">
        <v>1394</v>
      </c>
      <c r="E269" s="145"/>
      <c r="F269" s="145"/>
    </row>
    <row r="270" ht="15.75" customHeight="1">
      <c r="A270" s="145" t="s">
        <v>1392</v>
      </c>
      <c r="B270" s="150">
        <v>45048.0</v>
      </c>
      <c r="C270" s="145" t="s">
        <v>1389</v>
      </c>
      <c r="D270" s="145" t="s">
        <v>1255</v>
      </c>
      <c r="E270" s="145" t="s">
        <v>1201</v>
      </c>
      <c r="F270" s="145" t="s">
        <v>20</v>
      </c>
    </row>
    <row r="271" ht="15.75" customHeight="1">
      <c r="A271" s="145" t="s">
        <v>1392</v>
      </c>
      <c r="B271" s="150">
        <v>45048.0</v>
      </c>
      <c r="C271" s="145" t="s">
        <v>1254</v>
      </c>
      <c r="D271" s="145" t="s">
        <v>1255</v>
      </c>
      <c r="E271" s="146" t="s">
        <v>1307</v>
      </c>
      <c r="F271" s="145" t="s">
        <v>20</v>
      </c>
    </row>
    <row r="272" ht="15.75" customHeight="1">
      <c r="A272" s="145" t="s">
        <v>1392</v>
      </c>
      <c r="B272" s="150">
        <v>45048.0</v>
      </c>
      <c r="C272" s="145" t="s">
        <v>1386</v>
      </c>
      <c r="D272" s="145" t="s">
        <v>1255</v>
      </c>
      <c r="E272" s="145" t="s">
        <v>1201</v>
      </c>
      <c r="F272" s="145" t="s">
        <v>20</v>
      </c>
    </row>
    <row r="273" ht="15.75" customHeight="1">
      <c r="A273" s="145" t="s">
        <v>1392</v>
      </c>
      <c r="B273" s="150">
        <v>45048.0</v>
      </c>
      <c r="C273" s="145" t="s">
        <v>1272</v>
      </c>
      <c r="D273" s="145" t="s">
        <v>1383</v>
      </c>
      <c r="E273" s="145" t="s">
        <v>1201</v>
      </c>
      <c r="F273" s="145" t="s">
        <v>20</v>
      </c>
    </row>
    <row r="274" ht="15.75" customHeight="1">
      <c r="A274" s="145" t="s">
        <v>1392</v>
      </c>
      <c r="B274" s="150">
        <v>45049.0</v>
      </c>
      <c r="C274" s="145" t="s">
        <v>1220</v>
      </c>
      <c r="D274" s="145" t="s">
        <v>1255</v>
      </c>
      <c r="E274" s="145" t="s">
        <v>1201</v>
      </c>
      <c r="F274" s="145" t="s">
        <v>20</v>
      </c>
    </row>
    <row r="275" ht="15.75" customHeight="1">
      <c r="A275" s="145" t="s">
        <v>1392</v>
      </c>
      <c r="B275" s="150">
        <v>45049.0</v>
      </c>
      <c r="C275" s="145" t="s">
        <v>1248</v>
      </c>
      <c r="D275" s="145" t="s">
        <v>1311</v>
      </c>
      <c r="E275" s="145" t="s">
        <v>1201</v>
      </c>
      <c r="F275" s="145" t="s">
        <v>1225</v>
      </c>
    </row>
    <row r="276" ht="15.75" customHeight="1">
      <c r="A276" s="145" t="s">
        <v>1392</v>
      </c>
      <c r="B276" s="150">
        <v>45049.0</v>
      </c>
      <c r="C276" s="145" t="s">
        <v>1275</v>
      </c>
      <c r="D276" s="145" t="s">
        <v>1276</v>
      </c>
      <c r="E276" s="145" t="s">
        <v>1201</v>
      </c>
      <c r="F276" s="145" t="s">
        <v>1225</v>
      </c>
    </row>
    <row r="277" ht="15.75" customHeight="1">
      <c r="A277" s="145" t="s">
        <v>1392</v>
      </c>
      <c r="B277" s="150">
        <v>45049.0</v>
      </c>
      <c r="C277" s="145" t="s">
        <v>1226</v>
      </c>
      <c r="D277" s="145" t="s">
        <v>1378</v>
      </c>
      <c r="E277" s="145" t="s">
        <v>1201</v>
      </c>
      <c r="F277" s="145" t="s">
        <v>20</v>
      </c>
    </row>
    <row r="278" ht="15.75" customHeight="1">
      <c r="A278" s="145" t="s">
        <v>1392</v>
      </c>
      <c r="B278" s="150">
        <v>45049.0</v>
      </c>
      <c r="C278" s="145" t="s">
        <v>1277</v>
      </c>
      <c r="D278" s="145" t="s">
        <v>1383</v>
      </c>
      <c r="E278" s="145" t="s">
        <v>1201</v>
      </c>
      <c r="F278" s="145" t="s">
        <v>20</v>
      </c>
    </row>
    <row r="279" ht="15.75" customHeight="1">
      <c r="A279" s="145" t="s">
        <v>1392</v>
      </c>
      <c r="B279" s="150">
        <v>45050.0</v>
      </c>
      <c r="C279" s="145" t="s">
        <v>1199</v>
      </c>
      <c r="D279" s="145" t="s">
        <v>395</v>
      </c>
      <c r="E279" s="145" t="s">
        <v>1395</v>
      </c>
      <c r="F279" s="145" t="s">
        <v>20</v>
      </c>
    </row>
    <row r="280" ht="15.75" customHeight="1">
      <c r="A280" s="145" t="s">
        <v>1392</v>
      </c>
      <c r="B280" s="150">
        <v>45050.0</v>
      </c>
      <c r="C280" s="145" t="s">
        <v>1278</v>
      </c>
      <c r="D280" s="145" t="s">
        <v>1383</v>
      </c>
      <c r="E280" s="145" t="s">
        <v>1201</v>
      </c>
      <c r="F280" s="145" t="s">
        <v>20</v>
      </c>
    </row>
    <row r="281" ht="15.75" customHeight="1">
      <c r="A281" s="145" t="s">
        <v>1392</v>
      </c>
      <c r="B281" s="150">
        <v>45051.0</v>
      </c>
      <c r="C281" s="145" t="s">
        <v>1254</v>
      </c>
      <c r="D281" s="145" t="s">
        <v>1255</v>
      </c>
      <c r="E281" s="146" t="s">
        <v>1385</v>
      </c>
      <c r="F281" s="145" t="s">
        <v>20</v>
      </c>
    </row>
    <row r="282" ht="15.75" customHeight="1">
      <c r="A282" s="145" t="s">
        <v>1392</v>
      </c>
      <c r="B282" s="150">
        <v>45051.0</v>
      </c>
      <c r="C282" s="145" t="s">
        <v>1389</v>
      </c>
      <c r="D282" s="145" t="s">
        <v>1255</v>
      </c>
      <c r="E282" s="145" t="s">
        <v>1201</v>
      </c>
      <c r="F282" s="145" t="s">
        <v>20</v>
      </c>
    </row>
    <row r="283" ht="15.75" customHeight="1">
      <c r="A283" s="145" t="s">
        <v>1392</v>
      </c>
      <c r="B283" s="150">
        <v>45051.0</v>
      </c>
      <c r="C283" s="145" t="s">
        <v>1202</v>
      </c>
      <c r="D283" s="145" t="s">
        <v>1396</v>
      </c>
      <c r="E283" s="145" t="s">
        <v>1397</v>
      </c>
      <c r="F283" s="145" t="s">
        <v>1225</v>
      </c>
    </row>
    <row r="284" ht="15.75" customHeight="1">
      <c r="A284" s="145" t="s">
        <v>1392</v>
      </c>
      <c r="B284" s="150">
        <v>45052.0</v>
      </c>
      <c r="C284" s="145" t="s">
        <v>1231</v>
      </c>
      <c r="D284" s="145" t="s">
        <v>1255</v>
      </c>
      <c r="E284" s="145" t="s">
        <v>113</v>
      </c>
      <c r="F284" s="145" t="s">
        <v>20</v>
      </c>
    </row>
    <row r="285" ht="15.75" customHeight="1">
      <c r="A285" s="145" t="s">
        <v>1392</v>
      </c>
      <c r="B285" s="150">
        <v>45052.0</v>
      </c>
      <c r="C285" s="145" t="s">
        <v>1259</v>
      </c>
      <c r="D285" s="145" t="s">
        <v>1276</v>
      </c>
      <c r="E285" s="145" t="s">
        <v>113</v>
      </c>
      <c r="F285" s="145" t="s">
        <v>1225</v>
      </c>
    </row>
    <row r="286" ht="15.75" customHeight="1">
      <c r="A286" s="145" t="s">
        <v>1392</v>
      </c>
      <c r="B286" s="150">
        <v>45052.0</v>
      </c>
      <c r="C286" s="145" t="s">
        <v>1232</v>
      </c>
      <c r="D286" s="146" t="s">
        <v>1398</v>
      </c>
      <c r="E286" s="145" t="s">
        <v>113</v>
      </c>
      <c r="F286" s="145" t="s">
        <v>1225</v>
      </c>
    </row>
    <row r="287" ht="15.75" customHeight="1">
      <c r="A287" s="145" t="s">
        <v>1392</v>
      </c>
      <c r="B287" s="150">
        <v>45052.0</v>
      </c>
      <c r="C287" s="145" t="s">
        <v>1235</v>
      </c>
      <c r="D287" s="145" t="s">
        <v>1311</v>
      </c>
      <c r="E287" s="145" t="s">
        <v>113</v>
      </c>
      <c r="F287" s="145" t="s">
        <v>1225</v>
      </c>
    </row>
    <row r="288" ht="15.75" customHeight="1">
      <c r="A288" s="145" t="s">
        <v>1392</v>
      </c>
      <c r="B288" s="150">
        <v>45053.0</v>
      </c>
      <c r="C288" s="145" t="s">
        <v>1208</v>
      </c>
      <c r="D288" s="145" t="s">
        <v>1383</v>
      </c>
      <c r="E288" s="145" t="s">
        <v>1201</v>
      </c>
      <c r="F288" s="145" t="s">
        <v>20</v>
      </c>
    </row>
    <row r="289" ht="15.75" customHeight="1">
      <c r="A289" s="145" t="s">
        <v>1392</v>
      </c>
      <c r="B289" s="150">
        <v>45053.0</v>
      </c>
      <c r="C289" s="145" t="s">
        <v>1210</v>
      </c>
      <c r="D289" s="145" t="s">
        <v>1276</v>
      </c>
      <c r="E289" s="145" t="s">
        <v>113</v>
      </c>
      <c r="F289" s="145" t="s">
        <v>1225</v>
      </c>
    </row>
    <row r="290" ht="15.75" customHeight="1">
      <c r="A290" s="145" t="s">
        <v>1392</v>
      </c>
      <c r="B290" s="150">
        <v>45054.0</v>
      </c>
      <c r="C290" s="145" t="s">
        <v>1269</v>
      </c>
      <c r="D290" s="145" t="s">
        <v>1311</v>
      </c>
      <c r="E290" s="145" t="s">
        <v>113</v>
      </c>
      <c r="F290" s="145" t="s">
        <v>1225</v>
      </c>
    </row>
    <row r="291" ht="15.75" customHeight="1">
      <c r="A291" s="145" t="s">
        <v>1392</v>
      </c>
      <c r="B291" s="150">
        <v>45054.0</v>
      </c>
      <c r="C291" s="145" t="s">
        <v>1325</v>
      </c>
      <c r="D291" s="145" t="s">
        <v>1255</v>
      </c>
      <c r="E291" s="145" t="s">
        <v>1395</v>
      </c>
      <c r="F291" s="145" t="s">
        <v>1225</v>
      </c>
    </row>
    <row r="292" ht="15.75" customHeight="1">
      <c r="A292" s="145" t="s">
        <v>1392</v>
      </c>
      <c r="B292" s="150">
        <v>45054.0</v>
      </c>
      <c r="C292" s="145" t="s">
        <v>1282</v>
      </c>
      <c r="D292" s="145" t="s">
        <v>1361</v>
      </c>
      <c r="E292" s="145" t="s">
        <v>113</v>
      </c>
      <c r="F292" s="145" t="s">
        <v>1225</v>
      </c>
    </row>
    <row r="293" ht="15.75" customHeight="1">
      <c r="A293" s="145" t="s">
        <v>1392</v>
      </c>
      <c r="B293" s="150">
        <v>45054.0</v>
      </c>
      <c r="C293" s="145" t="s">
        <v>1284</v>
      </c>
      <c r="D293" s="145" t="s">
        <v>1361</v>
      </c>
      <c r="E293" s="145" t="s">
        <v>113</v>
      </c>
      <c r="F293" s="145" t="s">
        <v>1225</v>
      </c>
    </row>
    <row r="294" ht="15.75" customHeight="1">
      <c r="A294" s="145" t="s">
        <v>1399</v>
      </c>
      <c r="B294" s="150">
        <v>45081.0</v>
      </c>
      <c r="C294" s="145" t="s">
        <v>1208</v>
      </c>
      <c r="D294" s="145" t="s">
        <v>1383</v>
      </c>
      <c r="E294" s="145" t="s">
        <v>1400</v>
      </c>
      <c r="F294" s="145" t="s">
        <v>1225</v>
      </c>
    </row>
    <row r="295" ht="15.75" customHeight="1">
      <c r="A295" s="145" t="s">
        <v>1399</v>
      </c>
      <c r="B295" s="150">
        <v>45081.0</v>
      </c>
      <c r="C295" s="145" t="s">
        <v>1210</v>
      </c>
      <c r="D295" s="145" t="s">
        <v>1276</v>
      </c>
      <c r="E295" s="145" t="s">
        <v>1401</v>
      </c>
      <c r="F295" s="145" t="s">
        <v>1225</v>
      </c>
    </row>
    <row r="296" ht="15.75" customHeight="1">
      <c r="A296" s="145" t="s">
        <v>1402</v>
      </c>
      <c r="B296" s="150">
        <v>45125.0</v>
      </c>
      <c r="C296" s="145" t="s">
        <v>1389</v>
      </c>
      <c r="D296" s="145" t="s">
        <v>1255</v>
      </c>
      <c r="E296" s="145" t="s">
        <v>1201</v>
      </c>
      <c r="F296" s="145" t="s">
        <v>20</v>
      </c>
    </row>
    <row r="297" ht="15.75" customHeight="1">
      <c r="A297" s="145" t="s">
        <v>1402</v>
      </c>
      <c r="B297" s="150">
        <v>45125.0</v>
      </c>
      <c r="C297" s="145" t="s">
        <v>1254</v>
      </c>
      <c r="D297" s="145" t="s">
        <v>1255</v>
      </c>
      <c r="E297" s="145" t="s">
        <v>1201</v>
      </c>
      <c r="F297" s="145" t="s">
        <v>20</v>
      </c>
    </row>
    <row r="298" ht="15.75" customHeight="1">
      <c r="A298" s="145" t="s">
        <v>1402</v>
      </c>
      <c r="B298" s="150">
        <v>45125.0</v>
      </c>
      <c r="C298" s="145" t="s">
        <v>1272</v>
      </c>
      <c r="D298" s="145" t="s">
        <v>1383</v>
      </c>
      <c r="E298" s="145" t="s">
        <v>1201</v>
      </c>
      <c r="F298" s="145" t="s">
        <v>20</v>
      </c>
    </row>
    <row r="299" ht="15.75" customHeight="1">
      <c r="A299" s="145" t="s">
        <v>1402</v>
      </c>
      <c r="B299" s="150">
        <v>45125.0</v>
      </c>
      <c r="C299" s="145" t="s">
        <v>1330</v>
      </c>
      <c r="D299" s="145" t="s">
        <v>1255</v>
      </c>
      <c r="E299" s="145" t="s">
        <v>1326</v>
      </c>
      <c r="F299" s="145" t="s">
        <v>20</v>
      </c>
    </row>
    <row r="300" ht="15.75" customHeight="1">
      <c r="A300" s="145" t="s">
        <v>1402</v>
      </c>
      <c r="B300" s="150" t="s">
        <v>1403</v>
      </c>
      <c r="C300" s="145"/>
      <c r="D300" s="145"/>
      <c r="E300" s="145"/>
      <c r="F300" s="145"/>
    </row>
    <row r="301" ht="15.75" customHeight="1">
      <c r="A301" s="145" t="s">
        <v>1402</v>
      </c>
      <c r="B301" s="150">
        <v>45149.0</v>
      </c>
      <c r="C301" s="145" t="s">
        <v>1254</v>
      </c>
      <c r="D301" s="145" t="s">
        <v>1255</v>
      </c>
      <c r="E301" s="146" t="s">
        <v>1307</v>
      </c>
      <c r="F301" s="145" t="s">
        <v>20</v>
      </c>
    </row>
    <row r="302" ht="15.75" customHeight="1">
      <c r="A302" s="145" t="s">
        <v>1402</v>
      </c>
      <c r="B302" s="150">
        <v>45149.0</v>
      </c>
      <c r="C302" s="145" t="s">
        <v>1202</v>
      </c>
      <c r="D302" s="145" t="s">
        <v>1390</v>
      </c>
      <c r="E302" s="145" t="s">
        <v>1201</v>
      </c>
      <c r="F302" s="145" t="s">
        <v>20</v>
      </c>
    </row>
    <row r="303" ht="15.75" customHeight="1">
      <c r="A303" s="145" t="s">
        <v>1402</v>
      </c>
      <c r="B303" s="150">
        <v>45149.0</v>
      </c>
      <c r="C303" s="145" t="s">
        <v>1389</v>
      </c>
      <c r="D303" s="145" t="s">
        <v>1255</v>
      </c>
      <c r="E303" s="145" t="s">
        <v>1201</v>
      </c>
      <c r="F303" s="145" t="s">
        <v>20</v>
      </c>
    </row>
    <row r="304" ht="15.75" customHeight="1">
      <c r="A304" s="145" t="s">
        <v>1402</v>
      </c>
      <c r="B304" s="150">
        <v>45150.0</v>
      </c>
      <c r="C304" s="145" t="s">
        <v>1259</v>
      </c>
      <c r="D304" s="145" t="s">
        <v>1276</v>
      </c>
      <c r="E304" s="145" t="s">
        <v>1196</v>
      </c>
      <c r="F304" s="145" t="s">
        <v>1225</v>
      </c>
    </row>
    <row r="305" ht="15.75" customHeight="1">
      <c r="A305" s="145" t="s">
        <v>1402</v>
      </c>
      <c r="B305" s="150">
        <v>45150.0</v>
      </c>
      <c r="C305" s="145" t="s">
        <v>1232</v>
      </c>
      <c r="D305" s="145" t="s">
        <v>1404</v>
      </c>
      <c r="E305" s="145" t="s">
        <v>1405</v>
      </c>
      <c r="F305" s="145" t="s">
        <v>1225</v>
      </c>
    </row>
    <row r="306" ht="15.75" customHeight="1">
      <c r="A306" s="145" t="s">
        <v>1402</v>
      </c>
      <c r="B306" s="150">
        <v>45150.0</v>
      </c>
      <c r="C306" s="145" t="s">
        <v>1235</v>
      </c>
      <c r="D306" s="145" t="s">
        <v>1311</v>
      </c>
      <c r="E306" s="145" t="s">
        <v>1406</v>
      </c>
      <c r="F306" s="145" t="s">
        <v>1225</v>
      </c>
    </row>
    <row r="307" ht="15.75" customHeight="1">
      <c r="A307" s="145" t="s">
        <v>1402</v>
      </c>
      <c r="B307" s="150">
        <v>45150.0</v>
      </c>
      <c r="C307" s="145" t="s">
        <v>1231</v>
      </c>
      <c r="D307" s="145" t="s">
        <v>1255</v>
      </c>
      <c r="E307" s="145" t="s">
        <v>1262</v>
      </c>
      <c r="F307" s="145" t="s">
        <v>20</v>
      </c>
    </row>
    <row r="308" ht="15.75" customHeight="1">
      <c r="A308" s="145" t="s">
        <v>1402</v>
      </c>
      <c r="B308" s="150">
        <v>45151.0</v>
      </c>
      <c r="C308" s="145" t="s">
        <v>1208</v>
      </c>
      <c r="D308" s="145" t="s">
        <v>1407</v>
      </c>
      <c r="E308" s="145" t="s">
        <v>1406</v>
      </c>
      <c r="F308" s="145" t="s">
        <v>1225</v>
      </c>
    </row>
    <row r="309" ht="15.75" customHeight="1">
      <c r="A309" s="145" t="s">
        <v>1402</v>
      </c>
      <c r="B309" s="150">
        <v>45151.0</v>
      </c>
      <c r="C309" s="145" t="s">
        <v>1210</v>
      </c>
      <c r="D309" s="145" t="s">
        <v>1276</v>
      </c>
      <c r="E309" s="145" t="s">
        <v>1406</v>
      </c>
      <c r="F309" s="145" t="s">
        <v>1225</v>
      </c>
    </row>
    <row r="310" ht="15.75" customHeight="1">
      <c r="A310" s="145" t="s">
        <v>1402</v>
      </c>
      <c r="B310" s="150">
        <v>45151.0</v>
      </c>
      <c r="C310" s="145" t="s">
        <v>1266</v>
      </c>
      <c r="D310" s="145" t="s">
        <v>1408</v>
      </c>
      <c r="E310" s="145" t="s">
        <v>1409</v>
      </c>
      <c r="F310" s="145" t="s">
        <v>1225</v>
      </c>
    </row>
    <row r="311" ht="15.75" customHeight="1">
      <c r="A311" s="145" t="s">
        <v>1402</v>
      </c>
      <c r="B311" s="150">
        <v>45152.0</v>
      </c>
      <c r="C311" s="145" t="s">
        <v>1269</v>
      </c>
      <c r="D311" s="145" t="s">
        <v>1311</v>
      </c>
      <c r="E311" s="145" t="s">
        <v>1410</v>
      </c>
      <c r="F311" s="145" t="s">
        <v>1225</v>
      </c>
    </row>
    <row r="312" ht="15.75" customHeight="1">
      <c r="A312" s="145" t="s">
        <v>1402</v>
      </c>
      <c r="B312" s="150">
        <v>45152.0</v>
      </c>
      <c r="C312" s="145" t="s">
        <v>1282</v>
      </c>
      <c r="D312" s="145" t="s">
        <v>1411</v>
      </c>
      <c r="E312" s="145" t="s">
        <v>1405</v>
      </c>
      <c r="F312" s="145" t="s">
        <v>1225</v>
      </c>
    </row>
    <row r="313" ht="15.75" customHeight="1">
      <c r="A313" s="145" t="s">
        <v>1402</v>
      </c>
      <c r="B313" s="150">
        <v>45152.0</v>
      </c>
      <c r="C313" s="145" t="s">
        <v>1284</v>
      </c>
      <c r="D313" s="145" t="s">
        <v>1411</v>
      </c>
      <c r="E313" s="145" t="s">
        <v>1405</v>
      </c>
      <c r="F313" s="145" t="s">
        <v>1225</v>
      </c>
    </row>
    <row r="314" ht="15.75" customHeight="1">
      <c r="A314" s="145" t="s">
        <v>1402</v>
      </c>
      <c r="B314" s="150">
        <v>45152.0</v>
      </c>
      <c r="C314" s="145" t="s">
        <v>1325</v>
      </c>
      <c r="D314" s="145" t="s">
        <v>1255</v>
      </c>
      <c r="E314" s="145" t="s">
        <v>1326</v>
      </c>
      <c r="F314" s="145" t="s">
        <v>20</v>
      </c>
    </row>
    <row r="315" ht="15.75" customHeight="1">
      <c r="A315" s="145" t="s">
        <v>1402</v>
      </c>
      <c r="B315" s="150">
        <v>45153.0</v>
      </c>
      <c r="C315" s="145" t="s">
        <v>1389</v>
      </c>
      <c r="D315" s="145" t="s">
        <v>1255</v>
      </c>
      <c r="E315" s="145" t="s">
        <v>1201</v>
      </c>
      <c r="F315" s="145" t="s">
        <v>20</v>
      </c>
    </row>
    <row r="316" ht="15.75" customHeight="1">
      <c r="A316" s="145" t="s">
        <v>1402</v>
      </c>
      <c r="B316" s="150">
        <v>45153.0</v>
      </c>
      <c r="C316" s="145" t="s">
        <v>1254</v>
      </c>
      <c r="D316" s="145" t="s">
        <v>1255</v>
      </c>
      <c r="E316" s="146" t="s">
        <v>1307</v>
      </c>
      <c r="F316" s="145" t="s">
        <v>20</v>
      </c>
    </row>
    <row r="317" ht="15.75" customHeight="1">
      <c r="A317" s="145" t="s">
        <v>1402</v>
      </c>
      <c r="B317" s="150">
        <v>45153.0</v>
      </c>
      <c r="C317" s="145" t="s">
        <v>1272</v>
      </c>
      <c r="D317" s="145" t="s">
        <v>1407</v>
      </c>
      <c r="E317" s="145" t="s">
        <v>1412</v>
      </c>
      <c r="F317" s="145" t="s">
        <v>1225</v>
      </c>
    </row>
    <row r="318" ht="15.75" customHeight="1">
      <c r="A318" s="145" t="s">
        <v>1402</v>
      </c>
      <c r="B318" s="150">
        <v>45153.0</v>
      </c>
      <c r="C318" s="145" t="s">
        <v>1330</v>
      </c>
      <c r="D318" s="145" t="s">
        <v>1255</v>
      </c>
      <c r="E318" s="145" t="s">
        <v>1326</v>
      </c>
      <c r="F318" s="145" t="s">
        <v>20</v>
      </c>
    </row>
    <row r="319" ht="15.75" customHeight="1">
      <c r="A319" s="145" t="s">
        <v>1402</v>
      </c>
      <c r="B319" s="150">
        <v>45154.0</v>
      </c>
      <c r="C319" s="145" t="s">
        <v>1220</v>
      </c>
      <c r="D319" s="145" t="s">
        <v>1255</v>
      </c>
      <c r="E319" s="145" t="s">
        <v>1413</v>
      </c>
      <c r="F319" s="145" t="s">
        <v>20</v>
      </c>
    </row>
    <row r="320" ht="15.75" customHeight="1">
      <c r="A320" s="145" t="s">
        <v>1402</v>
      </c>
      <c r="B320" s="150">
        <v>45154.0</v>
      </c>
      <c r="C320" s="145" t="s">
        <v>1248</v>
      </c>
      <c r="D320" s="145" t="s">
        <v>1311</v>
      </c>
      <c r="E320" s="145" t="s">
        <v>113</v>
      </c>
      <c r="F320" s="145" t="s">
        <v>1225</v>
      </c>
    </row>
    <row r="321" ht="15.75" customHeight="1">
      <c r="A321" s="145" t="s">
        <v>1402</v>
      </c>
      <c r="B321" s="150">
        <v>45154.0</v>
      </c>
      <c r="C321" s="145" t="s">
        <v>1275</v>
      </c>
      <c r="D321" s="145" t="s">
        <v>1276</v>
      </c>
      <c r="E321" s="145" t="s">
        <v>113</v>
      </c>
      <c r="F321" s="145" t="s">
        <v>1225</v>
      </c>
    </row>
    <row r="322" ht="15.75" customHeight="1">
      <c r="A322" s="145" t="s">
        <v>1402</v>
      </c>
      <c r="B322" s="150">
        <v>45154.0</v>
      </c>
      <c r="C322" s="145" t="s">
        <v>1277</v>
      </c>
      <c r="D322" s="145" t="s">
        <v>1407</v>
      </c>
      <c r="E322" s="145" t="s">
        <v>1412</v>
      </c>
      <c r="F322" s="145" t="s">
        <v>1225</v>
      </c>
    </row>
    <row r="323" ht="15.75" customHeight="1">
      <c r="A323" s="145" t="s">
        <v>1402</v>
      </c>
      <c r="B323" s="150">
        <v>45154.0</v>
      </c>
      <c r="C323" s="145" t="s">
        <v>1226</v>
      </c>
      <c r="D323" s="145" t="s">
        <v>1414</v>
      </c>
      <c r="E323" s="145" t="s">
        <v>1415</v>
      </c>
      <c r="F323" s="145" t="s">
        <v>1225</v>
      </c>
    </row>
    <row r="324" ht="15.75" customHeight="1">
      <c r="A324" s="145" t="s">
        <v>1402</v>
      </c>
      <c r="B324" s="150">
        <v>45155.0</v>
      </c>
      <c r="C324" s="145" t="s">
        <v>1278</v>
      </c>
      <c r="D324" s="145" t="s">
        <v>1407</v>
      </c>
      <c r="E324" s="145" t="s">
        <v>1412</v>
      </c>
      <c r="F324" s="145" t="s">
        <v>1225</v>
      </c>
    </row>
    <row r="325" ht="15.75" customHeight="1">
      <c r="A325" s="145" t="s">
        <v>1402</v>
      </c>
      <c r="B325" s="150">
        <v>45155.0</v>
      </c>
      <c r="C325" s="145" t="s">
        <v>1199</v>
      </c>
      <c r="D325" s="145" t="s">
        <v>395</v>
      </c>
      <c r="E325" s="145" t="s">
        <v>113</v>
      </c>
      <c r="F325" s="145" t="s">
        <v>1225</v>
      </c>
    </row>
    <row r="326" ht="15.75" customHeight="1">
      <c r="A326" s="145" t="s">
        <v>1402</v>
      </c>
      <c r="B326" s="150">
        <v>45156.0</v>
      </c>
      <c r="C326" s="145" t="s">
        <v>1254</v>
      </c>
      <c r="D326" s="145" t="s">
        <v>1255</v>
      </c>
      <c r="E326" s="146" t="s">
        <v>1307</v>
      </c>
      <c r="F326" s="145" t="s">
        <v>20</v>
      </c>
    </row>
    <row r="327" ht="15.75" customHeight="1">
      <c r="A327" s="145" t="s">
        <v>1402</v>
      </c>
      <c r="B327" s="150">
        <v>45156.0</v>
      </c>
      <c r="C327" s="145" t="s">
        <v>1202</v>
      </c>
      <c r="D327" s="145" t="s">
        <v>1390</v>
      </c>
      <c r="E327" s="145" t="s">
        <v>113</v>
      </c>
      <c r="F327" s="145" t="s">
        <v>1225</v>
      </c>
    </row>
    <row r="328" ht="15.75" customHeight="1">
      <c r="A328" s="145" t="s">
        <v>1402</v>
      </c>
      <c r="B328" s="150">
        <v>45156.0</v>
      </c>
      <c r="C328" s="145" t="s">
        <v>1389</v>
      </c>
      <c r="D328" s="145" t="s">
        <v>1255</v>
      </c>
      <c r="E328" s="145" t="s">
        <v>1201</v>
      </c>
      <c r="F328" s="145" t="s">
        <v>20</v>
      </c>
    </row>
    <row r="329" ht="15.75" customHeight="1">
      <c r="A329" s="145" t="s">
        <v>1402</v>
      </c>
      <c r="B329" s="150">
        <v>45157.0</v>
      </c>
      <c r="C329" s="145" t="s">
        <v>1231</v>
      </c>
      <c r="D329" s="145" t="s">
        <v>1255</v>
      </c>
      <c r="E329" s="145" t="s">
        <v>1262</v>
      </c>
      <c r="F329" s="145" t="s">
        <v>20</v>
      </c>
    </row>
    <row r="330" ht="15.75" customHeight="1">
      <c r="A330" s="145" t="s">
        <v>1402</v>
      </c>
      <c r="B330" s="150">
        <v>45157.0</v>
      </c>
      <c r="C330" s="145" t="s">
        <v>1259</v>
      </c>
      <c r="D330" s="145" t="s">
        <v>1276</v>
      </c>
      <c r="E330" s="145" t="s">
        <v>113</v>
      </c>
      <c r="F330" s="145" t="s">
        <v>1225</v>
      </c>
    </row>
    <row r="331" ht="15.75" customHeight="1">
      <c r="A331" s="145" t="s">
        <v>1402</v>
      </c>
      <c r="B331" s="150">
        <v>45157.0</v>
      </c>
      <c r="C331" s="145" t="s">
        <v>1232</v>
      </c>
      <c r="D331" s="145" t="s">
        <v>1404</v>
      </c>
      <c r="E331" s="145" t="s">
        <v>113</v>
      </c>
      <c r="F331" s="145" t="s">
        <v>1225</v>
      </c>
    </row>
    <row r="332" ht="15.75" customHeight="1">
      <c r="A332" s="145" t="s">
        <v>1402</v>
      </c>
      <c r="B332" s="150">
        <v>45157.0</v>
      </c>
      <c r="C332" s="145" t="s">
        <v>1235</v>
      </c>
      <c r="D332" s="145" t="s">
        <v>1311</v>
      </c>
      <c r="E332" s="145" t="s">
        <v>113</v>
      </c>
      <c r="F332" s="145" t="s">
        <v>1225</v>
      </c>
    </row>
    <row r="333" ht="15.75" customHeight="1">
      <c r="A333" s="145" t="s">
        <v>1402</v>
      </c>
      <c r="B333" s="150">
        <v>45158.0</v>
      </c>
      <c r="C333" s="145" t="s">
        <v>1208</v>
      </c>
      <c r="D333" s="145" t="s">
        <v>1407</v>
      </c>
      <c r="E333" s="145" t="s">
        <v>113</v>
      </c>
      <c r="F333" s="145" t="s">
        <v>1225</v>
      </c>
    </row>
    <row r="334" ht="15.75" customHeight="1">
      <c r="A334" s="145" t="s">
        <v>1402</v>
      </c>
      <c r="B334" s="150">
        <v>45158.0</v>
      </c>
      <c r="C334" s="145" t="s">
        <v>1210</v>
      </c>
      <c r="D334" s="145" t="s">
        <v>1276</v>
      </c>
      <c r="E334" s="145" t="s">
        <v>113</v>
      </c>
      <c r="F334" s="145" t="s">
        <v>1225</v>
      </c>
    </row>
    <row r="335" ht="15.75" customHeight="1">
      <c r="A335" s="145" t="s">
        <v>1402</v>
      </c>
      <c r="B335" s="150">
        <v>45159.0</v>
      </c>
      <c r="C335" s="145" t="s">
        <v>1269</v>
      </c>
      <c r="D335" s="145" t="s">
        <v>1311</v>
      </c>
      <c r="E335" s="145" t="s">
        <v>113</v>
      </c>
      <c r="F335" s="145" t="s">
        <v>1225</v>
      </c>
    </row>
    <row r="336" ht="15.75" customHeight="1">
      <c r="A336" s="145" t="s">
        <v>1402</v>
      </c>
      <c r="B336" s="150">
        <v>45159.0</v>
      </c>
      <c r="C336" s="145" t="s">
        <v>1325</v>
      </c>
      <c r="D336" s="145" t="s">
        <v>1255</v>
      </c>
      <c r="E336" s="145" t="s">
        <v>1326</v>
      </c>
      <c r="F336" s="145" t="s">
        <v>20</v>
      </c>
    </row>
    <row r="337" ht="15.75" customHeight="1">
      <c r="A337" s="145" t="s">
        <v>1402</v>
      </c>
      <c r="B337" s="150">
        <v>45159.0</v>
      </c>
      <c r="C337" s="145" t="s">
        <v>1282</v>
      </c>
      <c r="D337" s="145" t="s">
        <v>1411</v>
      </c>
      <c r="E337" s="145" t="s">
        <v>113</v>
      </c>
      <c r="F337" s="145" t="s">
        <v>1225</v>
      </c>
    </row>
    <row r="338" ht="15.75" customHeight="1">
      <c r="A338" s="145" t="s">
        <v>1402</v>
      </c>
      <c r="B338" s="150">
        <v>45159.0</v>
      </c>
      <c r="C338" s="145" t="s">
        <v>1284</v>
      </c>
      <c r="D338" s="145" t="s">
        <v>1411</v>
      </c>
      <c r="E338" s="145" t="s">
        <v>113</v>
      </c>
      <c r="F338" s="145" t="s">
        <v>1225</v>
      </c>
    </row>
    <row r="339" ht="15.75" customHeight="1">
      <c r="A339" s="145" t="s">
        <v>1402</v>
      </c>
      <c r="B339" s="150">
        <v>45160.0</v>
      </c>
      <c r="C339" s="145" t="s">
        <v>1272</v>
      </c>
      <c r="D339" s="145" t="s">
        <v>1407</v>
      </c>
      <c r="E339" s="145" t="s">
        <v>1271</v>
      </c>
      <c r="F339" s="145" t="s">
        <v>1225</v>
      </c>
    </row>
    <row r="340" ht="15.75" customHeight="1">
      <c r="A340" s="145" t="s">
        <v>1402</v>
      </c>
      <c r="B340" s="150">
        <v>45161.0</v>
      </c>
      <c r="C340" s="145" t="s">
        <v>1277</v>
      </c>
      <c r="D340" s="145" t="s">
        <v>1407</v>
      </c>
      <c r="E340" s="145" t="s">
        <v>1271</v>
      </c>
      <c r="F340" s="145" t="s">
        <v>1225</v>
      </c>
    </row>
    <row r="341" ht="15.75" customHeight="1">
      <c r="A341" s="145" t="s">
        <v>1402</v>
      </c>
      <c r="B341" s="150">
        <v>45162.0</v>
      </c>
      <c r="C341" s="145" t="s">
        <v>1278</v>
      </c>
      <c r="D341" s="145" t="s">
        <v>1407</v>
      </c>
      <c r="E341" s="145" t="s">
        <v>1271</v>
      </c>
      <c r="F341" s="145" t="s">
        <v>1225</v>
      </c>
    </row>
    <row r="342" ht="15.75" customHeight="1">
      <c r="A342" s="145" t="s">
        <v>1416</v>
      </c>
      <c r="B342" s="150">
        <v>45187.0</v>
      </c>
      <c r="C342" s="145" t="s">
        <v>1269</v>
      </c>
      <c r="D342" s="145" t="s">
        <v>1319</v>
      </c>
      <c r="E342" s="145" t="s">
        <v>1353</v>
      </c>
      <c r="F342" s="145" t="s">
        <v>20</v>
      </c>
    </row>
    <row r="343" ht="15.75" customHeight="1">
      <c r="A343" s="145" t="s">
        <v>1416</v>
      </c>
      <c r="B343" s="150">
        <v>45187.0</v>
      </c>
      <c r="C343" s="145" t="s">
        <v>1325</v>
      </c>
      <c r="D343" s="145" t="s">
        <v>1255</v>
      </c>
      <c r="E343" s="145" t="s">
        <v>1326</v>
      </c>
      <c r="F343" s="145" t="s">
        <v>20</v>
      </c>
    </row>
    <row r="344" ht="15.75" customHeight="1">
      <c r="A344" s="145" t="s">
        <v>1416</v>
      </c>
      <c r="B344" s="150">
        <v>45187.0</v>
      </c>
      <c r="C344" s="145" t="s">
        <v>1239</v>
      </c>
      <c r="D344" s="145" t="s">
        <v>1411</v>
      </c>
      <c r="E344" s="145" t="s">
        <v>1353</v>
      </c>
      <c r="F344" s="145" t="s">
        <v>20</v>
      </c>
    </row>
    <row r="345" ht="15.75" customHeight="1">
      <c r="A345" s="145" t="s">
        <v>1416</v>
      </c>
      <c r="B345" s="150">
        <v>45188.0</v>
      </c>
      <c r="C345" s="145" t="s">
        <v>1389</v>
      </c>
      <c r="D345" s="145" t="s">
        <v>1255</v>
      </c>
      <c r="E345" s="145" t="s">
        <v>1201</v>
      </c>
      <c r="F345" s="145" t="s">
        <v>20</v>
      </c>
    </row>
    <row r="346" ht="15.75" customHeight="1">
      <c r="A346" s="145" t="s">
        <v>1416</v>
      </c>
      <c r="B346" s="150">
        <v>45188.0</v>
      </c>
      <c r="C346" s="145" t="s">
        <v>1254</v>
      </c>
      <c r="D346" s="145" t="s">
        <v>1255</v>
      </c>
      <c r="E346" s="145" t="s">
        <v>1201</v>
      </c>
      <c r="F346" s="145" t="s">
        <v>20</v>
      </c>
    </row>
    <row r="347" ht="15.75" customHeight="1">
      <c r="A347" s="145" t="s">
        <v>1416</v>
      </c>
      <c r="B347" s="150">
        <v>45188.0</v>
      </c>
      <c r="C347" s="145" t="s">
        <v>1272</v>
      </c>
      <c r="D347" s="145" t="s">
        <v>1383</v>
      </c>
      <c r="E347" s="145" t="s">
        <v>1201</v>
      </c>
      <c r="F347" s="145" t="s">
        <v>20</v>
      </c>
    </row>
    <row r="348" ht="15.75" customHeight="1">
      <c r="A348" s="145" t="s">
        <v>1416</v>
      </c>
      <c r="B348" s="150">
        <v>45188.0</v>
      </c>
      <c r="C348" s="145" t="s">
        <v>1330</v>
      </c>
      <c r="D348" s="145" t="s">
        <v>1255</v>
      </c>
      <c r="E348" s="145" t="s">
        <v>1326</v>
      </c>
      <c r="F348" s="145" t="s">
        <v>20</v>
      </c>
    </row>
    <row r="349" ht="15.75" customHeight="1">
      <c r="A349" s="145" t="s">
        <v>1417</v>
      </c>
      <c r="B349" s="150">
        <v>45208.0</v>
      </c>
      <c r="C349" s="145" t="s">
        <v>1269</v>
      </c>
      <c r="D349" s="145" t="s">
        <v>1319</v>
      </c>
      <c r="E349" s="145" t="s">
        <v>1353</v>
      </c>
      <c r="F349" s="145" t="s">
        <v>20</v>
      </c>
    </row>
    <row r="350" ht="15.75" customHeight="1">
      <c r="A350" s="145" t="s">
        <v>1417</v>
      </c>
      <c r="B350" s="150">
        <v>45208.0</v>
      </c>
      <c r="C350" s="145" t="s">
        <v>1325</v>
      </c>
      <c r="D350" s="145" t="s">
        <v>1255</v>
      </c>
      <c r="E350" s="145" t="s">
        <v>1201</v>
      </c>
      <c r="F350" s="145" t="s">
        <v>20</v>
      </c>
    </row>
    <row r="351" ht="15.75" customHeight="1">
      <c r="A351" s="145" t="s">
        <v>1417</v>
      </c>
      <c r="B351" s="150">
        <v>45208.0</v>
      </c>
      <c r="C351" s="145" t="s">
        <v>1239</v>
      </c>
      <c r="D351" s="145" t="s">
        <v>1411</v>
      </c>
      <c r="E351" s="145" t="s">
        <v>1353</v>
      </c>
      <c r="F351" s="145" t="s">
        <v>20</v>
      </c>
    </row>
    <row r="352" ht="15.75" customHeight="1">
      <c r="A352" s="145" t="s">
        <v>1417</v>
      </c>
      <c r="B352" s="150">
        <v>45209.0</v>
      </c>
      <c r="C352" s="145" t="s">
        <v>1389</v>
      </c>
      <c r="D352" s="145" t="s">
        <v>1255</v>
      </c>
      <c r="E352" s="145" t="s">
        <v>1201</v>
      </c>
      <c r="F352" s="145" t="s">
        <v>20</v>
      </c>
    </row>
    <row r="353" ht="15.75" customHeight="1">
      <c r="A353" s="145" t="s">
        <v>1417</v>
      </c>
      <c r="B353" s="150">
        <v>45209.0</v>
      </c>
      <c r="C353" s="145" t="s">
        <v>1254</v>
      </c>
      <c r="D353" s="145" t="s">
        <v>1255</v>
      </c>
      <c r="E353" s="145" t="s">
        <v>1201</v>
      </c>
      <c r="F353" s="145" t="s">
        <v>20</v>
      </c>
    </row>
    <row r="354" ht="15.75" customHeight="1">
      <c r="A354" s="145" t="s">
        <v>1417</v>
      </c>
      <c r="B354" s="150">
        <v>45209.0</v>
      </c>
      <c r="C354" s="145" t="s">
        <v>1272</v>
      </c>
      <c r="D354" s="145" t="s">
        <v>1383</v>
      </c>
      <c r="E354" s="145" t="s">
        <v>1201</v>
      </c>
      <c r="F354" s="145" t="s">
        <v>20</v>
      </c>
    </row>
    <row r="355" ht="15.75" customHeight="1">
      <c r="A355" s="145" t="s">
        <v>1417</v>
      </c>
      <c r="B355" s="150">
        <v>45209.0</v>
      </c>
      <c r="C355" s="145" t="s">
        <v>1330</v>
      </c>
      <c r="D355" s="145" t="s">
        <v>1255</v>
      </c>
      <c r="E355" s="145" t="s">
        <v>1201</v>
      </c>
      <c r="F355" s="145" t="s">
        <v>20</v>
      </c>
    </row>
    <row r="356" ht="15.75" customHeight="1">
      <c r="A356" s="145" t="s">
        <v>1418</v>
      </c>
      <c r="B356" s="150">
        <v>45233.0</v>
      </c>
      <c r="C356" s="145" t="s">
        <v>1254</v>
      </c>
      <c r="D356" s="145" t="s">
        <v>1255</v>
      </c>
      <c r="E356" s="146" t="s">
        <v>1307</v>
      </c>
      <c r="F356" s="145" t="s">
        <v>20</v>
      </c>
    </row>
    <row r="357" ht="15.75" customHeight="1">
      <c r="A357" s="145" t="s">
        <v>1418</v>
      </c>
      <c r="B357" s="150">
        <v>45233.0</v>
      </c>
      <c r="C357" s="145" t="s">
        <v>1202</v>
      </c>
      <c r="D357" s="145" t="s">
        <v>1390</v>
      </c>
      <c r="E357" s="145" t="s">
        <v>1201</v>
      </c>
      <c r="F357" s="145" t="s">
        <v>20</v>
      </c>
    </row>
    <row r="358" ht="15.75" customHeight="1">
      <c r="A358" s="145" t="s">
        <v>1418</v>
      </c>
      <c r="B358" s="150">
        <v>45233.0</v>
      </c>
      <c r="C358" s="145" t="s">
        <v>1389</v>
      </c>
      <c r="D358" s="145" t="s">
        <v>1255</v>
      </c>
      <c r="E358" s="145" t="s">
        <v>1201</v>
      </c>
      <c r="F358" s="145" t="s">
        <v>20</v>
      </c>
    </row>
    <row r="359" ht="15.75" customHeight="1">
      <c r="A359" s="145" t="s">
        <v>1418</v>
      </c>
      <c r="B359" s="150">
        <v>45234.0</v>
      </c>
      <c r="C359" s="145" t="s">
        <v>1259</v>
      </c>
      <c r="D359" s="145" t="s">
        <v>1276</v>
      </c>
      <c r="E359" s="145" t="s">
        <v>1196</v>
      </c>
      <c r="F359" s="145" t="s">
        <v>1225</v>
      </c>
    </row>
    <row r="360" ht="15.75" customHeight="1">
      <c r="A360" s="145" t="s">
        <v>1418</v>
      </c>
      <c r="B360" s="150">
        <v>45234.0</v>
      </c>
      <c r="C360" s="145" t="s">
        <v>1232</v>
      </c>
      <c r="D360" s="145" t="s">
        <v>1419</v>
      </c>
      <c r="E360" s="145" t="s">
        <v>1420</v>
      </c>
      <c r="F360" s="145" t="s">
        <v>1225</v>
      </c>
    </row>
    <row r="361" ht="15.75" customHeight="1">
      <c r="A361" s="145" t="s">
        <v>1418</v>
      </c>
      <c r="B361" s="150">
        <v>45234.0</v>
      </c>
      <c r="C361" s="145" t="s">
        <v>1235</v>
      </c>
      <c r="D361" s="145" t="s">
        <v>1311</v>
      </c>
      <c r="E361" s="145" t="s">
        <v>1421</v>
      </c>
      <c r="F361" s="145" t="s">
        <v>1225</v>
      </c>
    </row>
    <row r="362" ht="15.75" customHeight="1">
      <c r="A362" s="145" t="s">
        <v>1418</v>
      </c>
      <c r="B362" s="150">
        <v>45234.0</v>
      </c>
      <c r="C362" s="145" t="s">
        <v>1231</v>
      </c>
      <c r="D362" s="145" t="s">
        <v>1255</v>
      </c>
      <c r="E362" s="145" t="s">
        <v>1262</v>
      </c>
      <c r="F362" s="145" t="s">
        <v>20</v>
      </c>
    </row>
    <row r="363" ht="15.75" customHeight="1">
      <c r="A363" s="145" t="s">
        <v>1418</v>
      </c>
      <c r="B363" s="150">
        <v>45235.0</v>
      </c>
      <c r="C363" s="145" t="s">
        <v>1208</v>
      </c>
      <c r="D363" s="145" t="s">
        <v>1407</v>
      </c>
      <c r="E363" s="145" t="s">
        <v>1421</v>
      </c>
      <c r="F363" s="145" t="s">
        <v>1225</v>
      </c>
    </row>
    <row r="364" ht="15.75" customHeight="1">
      <c r="A364" s="145" t="s">
        <v>1418</v>
      </c>
      <c r="B364" s="150">
        <v>45235.0</v>
      </c>
      <c r="C364" s="145" t="s">
        <v>1210</v>
      </c>
      <c r="D364" s="145" t="s">
        <v>1276</v>
      </c>
      <c r="E364" s="145" t="s">
        <v>1421</v>
      </c>
      <c r="F364" s="145" t="s">
        <v>1225</v>
      </c>
    </row>
    <row r="365" ht="15.75" customHeight="1">
      <c r="A365" s="145" t="s">
        <v>1418</v>
      </c>
      <c r="B365" s="150">
        <v>45236.0</v>
      </c>
      <c r="C365" s="145" t="s">
        <v>1269</v>
      </c>
      <c r="D365" s="145" t="s">
        <v>1311</v>
      </c>
      <c r="E365" s="145" t="s">
        <v>1422</v>
      </c>
      <c r="F365" s="145" t="s">
        <v>1225</v>
      </c>
    </row>
    <row r="366" ht="15.75" customHeight="1">
      <c r="A366" s="145" t="s">
        <v>1418</v>
      </c>
      <c r="B366" s="150">
        <v>45236.0</v>
      </c>
      <c r="C366" s="145" t="s">
        <v>1282</v>
      </c>
      <c r="D366" s="145" t="s">
        <v>1411</v>
      </c>
      <c r="E366" s="145" t="s">
        <v>113</v>
      </c>
      <c r="F366" s="145" t="s">
        <v>1225</v>
      </c>
    </row>
    <row r="367" ht="15.75" customHeight="1">
      <c r="A367" s="145" t="s">
        <v>1418</v>
      </c>
      <c r="B367" s="150">
        <v>45236.0</v>
      </c>
      <c r="C367" s="145" t="s">
        <v>1284</v>
      </c>
      <c r="D367" s="145" t="s">
        <v>1411</v>
      </c>
      <c r="E367" s="145" t="s">
        <v>113</v>
      </c>
      <c r="F367" s="145" t="s">
        <v>1225</v>
      </c>
    </row>
    <row r="368" ht="15.75" customHeight="1">
      <c r="A368" s="145" t="s">
        <v>1418</v>
      </c>
      <c r="B368" s="150">
        <v>45236.0</v>
      </c>
      <c r="C368" s="145" t="s">
        <v>1325</v>
      </c>
      <c r="D368" s="145" t="s">
        <v>1255</v>
      </c>
      <c r="E368" s="145" t="s">
        <v>1326</v>
      </c>
      <c r="F368" s="145" t="s">
        <v>20</v>
      </c>
    </row>
    <row r="369" ht="15.75" customHeight="1">
      <c r="A369" s="145" t="s">
        <v>1423</v>
      </c>
      <c r="B369" s="150">
        <v>45253.0</v>
      </c>
      <c r="C369" s="145" t="s">
        <v>1278</v>
      </c>
      <c r="D369" s="145" t="s">
        <v>1407</v>
      </c>
      <c r="E369" s="145" t="s">
        <v>1424</v>
      </c>
      <c r="F369" s="145" t="s">
        <v>1225</v>
      </c>
    </row>
    <row r="370" ht="15.75" customHeight="1">
      <c r="A370" s="145" t="s">
        <v>1423</v>
      </c>
      <c r="B370" s="150">
        <v>45253.0</v>
      </c>
      <c r="C370" s="145" t="s">
        <v>1199</v>
      </c>
      <c r="D370" s="145" t="s">
        <v>395</v>
      </c>
      <c r="E370" s="145" t="s">
        <v>1326</v>
      </c>
      <c r="F370" s="145" t="s">
        <v>20</v>
      </c>
    </row>
    <row r="371" ht="15.75" customHeight="1">
      <c r="A371" s="145" t="s">
        <v>1423</v>
      </c>
      <c r="B371" s="150">
        <v>45255.0</v>
      </c>
      <c r="C371" s="145" t="s">
        <v>1235</v>
      </c>
      <c r="D371" s="145" t="s">
        <v>1311</v>
      </c>
      <c r="E371" s="145" t="s">
        <v>1425</v>
      </c>
      <c r="F371" s="145" t="s">
        <v>1225</v>
      </c>
    </row>
    <row r="372" ht="15.75" customHeight="1">
      <c r="A372" s="145" t="s">
        <v>1423</v>
      </c>
      <c r="B372" s="150">
        <v>45256.0</v>
      </c>
      <c r="C372" s="145" t="s">
        <v>1208</v>
      </c>
      <c r="D372" s="145" t="s">
        <v>1407</v>
      </c>
      <c r="E372" s="145" t="s">
        <v>1426</v>
      </c>
      <c r="F372" s="145" t="s">
        <v>1225</v>
      </c>
    </row>
    <row r="373" ht="15.75" customHeight="1">
      <c r="A373" s="145" t="s">
        <v>1423</v>
      </c>
      <c r="B373" s="150">
        <v>45257.0</v>
      </c>
      <c r="C373" s="145" t="s">
        <v>1282</v>
      </c>
      <c r="D373" s="145" t="s">
        <v>1411</v>
      </c>
      <c r="E373" s="145" t="s">
        <v>113</v>
      </c>
      <c r="F373" s="145" t="s">
        <v>1225</v>
      </c>
    </row>
    <row r="374" ht="15.75" customHeight="1">
      <c r="A374" s="145" t="s">
        <v>1423</v>
      </c>
      <c r="B374" s="150">
        <v>45257.0</v>
      </c>
      <c r="C374" s="145" t="s">
        <v>1284</v>
      </c>
      <c r="D374" s="145" t="s">
        <v>1411</v>
      </c>
      <c r="E374" s="145" t="s">
        <v>113</v>
      </c>
      <c r="F374" s="145" t="s">
        <v>1225</v>
      </c>
    </row>
    <row r="375" ht="15.75" customHeight="1">
      <c r="A375" s="145" t="s">
        <v>1423</v>
      </c>
      <c r="B375" s="150">
        <v>45258.0</v>
      </c>
      <c r="C375" s="145" t="s">
        <v>1272</v>
      </c>
      <c r="D375" s="145" t="s">
        <v>1407</v>
      </c>
      <c r="E375" s="145" t="s">
        <v>1427</v>
      </c>
      <c r="F375" s="145" t="s">
        <v>1225</v>
      </c>
    </row>
    <row r="376" ht="15.75" customHeight="1">
      <c r="A376" s="145" t="s">
        <v>1423</v>
      </c>
      <c r="B376" s="150">
        <v>45259.0</v>
      </c>
      <c r="C376" s="145" t="s">
        <v>1277</v>
      </c>
      <c r="D376" s="145" t="s">
        <v>1407</v>
      </c>
      <c r="E376" s="145" t="s">
        <v>1427</v>
      </c>
      <c r="F376" s="145" t="s">
        <v>1225</v>
      </c>
    </row>
    <row r="377" ht="15.75" customHeight="1">
      <c r="A377" s="145" t="s">
        <v>1423</v>
      </c>
      <c r="B377" s="150">
        <v>45260.0</v>
      </c>
      <c r="C377" s="145" t="s">
        <v>1278</v>
      </c>
      <c r="D377" s="145" t="s">
        <v>1407</v>
      </c>
      <c r="E377" s="145" t="s">
        <v>1427</v>
      </c>
      <c r="F377" s="145" t="s">
        <v>1225</v>
      </c>
    </row>
    <row r="378" ht="15.75" customHeight="1">
      <c r="A378" s="146" t="s">
        <v>1428</v>
      </c>
      <c r="B378" s="150">
        <v>45289.0</v>
      </c>
      <c r="C378" s="145" t="s">
        <v>1254</v>
      </c>
      <c r="D378" s="145" t="s">
        <v>1255</v>
      </c>
      <c r="E378" s="146" t="s">
        <v>1307</v>
      </c>
      <c r="F378" s="145" t="s">
        <v>20</v>
      </c>
    </row>
    <row r="379" ht="15.75" customHeight="1">
      <c r="A379" s="146" t="s">
        <v>1428</v>
      </c>
      <c r="B379" s="150">
        <v>45289.0</v>
      </c>
      <c r="C379" s="145" t="s">
        <v>1202</v>
      </c>
      <c r="D379" s="145" t="s">
        <v>1390</v>
      </c>
      <c r="E379" s="145" t="s">
        <v>1201</v>
      </c>
      <c r="F379" s="145" t="s">
        <v>20</v>
      </c>
    </row>
    <row r="380" ht="15.75" customHeight="1">
      <c r="A380" s="146" t="s">
        <v>1428</v>
      </c>
      <c r="B380" s="150">
        <v>45289.0</v>
      </c>
      <c r="C380" s="145" t="s">
        <v>1389</v>
      </c>
      <c r="D380" s="145" t="s">
        <v>1255</v>
      </c>
      <c r="E380" s="145" t="s">
        <v>1201</v>
      </c>
      <c r="F380" s="145" t="s">
        <v>20</v>
      </c>
    </row>
    <row r="381" ht="15.75" customHeight="1">
      <c r="A381" s="146" t="s">
        <v>1428</v>
      </c>
      <c r="B381" s="150">
        <v>45290.0</v>
      </c>
      <c r="C381" s="145" t="s">
        <v>1259</v>
      </c>
      <c r="D381" s="145" t="s">
        <v>1276</v>
      </c>
      <c r="E381" s="145" t="s">
        <v>113</v>
      </c>
      <c r="F381" s="145" t="s">
        <v>1225</v>
      </c>
    </row>
    <row r="382" ht="15.75" customHeight="1">
      <c r="A382" s="146" t="s">
        <v>1428</v>
      </c>
      <c r="B382" s="150">
        <v>45290.0</v>
      </c>
      <c r="C382" s="145" t="s">
        <v>1232</v>
      </c>
      <c r="D382" s="145" t="s">
        <v>1429</v>
      </c>
      <c r="E382" s="145" t="s">
        <v>1430</v>
      </c>
      <c r="F382" s="145" t="s">
        <v>1225</v>
      </c>
    </row>
    <row r="383" ht="15.75" customHeight="1">
      <c r="A383" s="146" t="s">
        <v>1428</v>
      </c>
      <c r="B383" s="150">
        <v>45290.0</v>
      </c>
      <c r="C383" s="145" t="s">
        <v>1235</v>
      </c>
      <c r="D383" s="145" t="s">
        <v>1311</v>
      </c>
      <c r="E383" s="145" t="s">
        <v>1431</v>
      </c>
      <c r="F383" s="145" t="s">
        <v>1225</v>
      </c>
    </row>
    <row r="384" ht="15.75" customHeight="1">
      <c r="A384" s="146" t="s">
        <v>1428</v>
      </c>
      <c r="B384" s="150">
        <v>45290.0</v>
      </c>
      <c r="C384" s="145" t="s">
        <v>1231</v>
      </c>
      <c r="D384" s="145" t="s">
        <v>1255</v>
      </c>
      <c r="E384" s="145" t="s">
        <v>1432</v>
      </c>
      <c r="F384" s="145" t="s">
        <v>20</v>
      </c>
    </row>
    <row r="385" ht="15.75" customHeight="1">
      <c r="A385" s="146" t="s">
        <v>1428</v>
      </c>
      <c r="B385" s="150">
        <v>45291.0</v>
      </c>
      <c r="C385" s="145" t="s">
        <v>1208</v>
      </c>
      <c r="D385" s="145" t="s">
        <v>1407</v>
      </c>
      <c r="E385" s="145" t="s">
        <v>1431</v>
      </c>
      <c r="F385" s="145" t="s">
        <v>1225</v>
      </c>
    </row>
    <row r="386" ht="15.75" customHeight="1">
      <c r="A386" s="146" t="s">
        <v>1428</v>
      </c>
      <c r="B386" s="150">
        <v>45291.0</v>
      </c>
      <c r="C386" s="145" t="s">
        <v>1210</v>
      </c>
      <c r="D386" s="145" t="s">
        <v>1276</v>
      </c>
      <c r="E386" s="145" t="s">
        <v>1433</v>
      </c>
      <c r="F386" s="145" t="s">
        <v>1225</v>
      </c>
    </row>
    <row r="387" ht="15.75" customHeight="1">
      <c r="A387" s="146" t="s">
        <v>1428</v>
      </c>
      <c r="B387" s="150">
        <v>45291.0</v>
      </c>
      <c r="C387" s="145" t="s">
        <v>1266</v>
      </c>
      <c r="D387" s="145" t="s">
        <v>1434</v>
      </c>
      <c r="E387" s="145" t="s">
        <v>1433</v>
      </c>
      <c r="F387" s="145" t="s">
        <v>1225</v>
      </c>
    </row>
    <row r="388" ht="15.75" customHeight="1">
      <c r="A388" s="146" t="s">
        <v>1428</v>
      </c>
      <c r="B388" s="150">
        <v>45292.0</v>
      </c>
      <c r="C388" s="145" t="s">
        <v>1269</v>
      </c>
      <c r="D388" s="145" t="s">
        <v>1311</v>
      </c>
      <c r="E388" s="145" t="s">
        <v>1433</v>
      </c>
      <c r="F388" s="145" t="s">
        <v>1225</v>
      </c>
    </row>
    <row r="389" ht="15.75" customHeight="1">
      <c r="A389" s="146" t="s">
        <v>1428</v>
      </c>
      <c r="B389" s="150">
        <v>45292.0</v>
      </c>
      <c r="C389" s="145" t="s">
        <v>1282</v>
      </c>
      <c r="D389" s="145" t="s">
        <v>1411</v>
      </c>
      <c r="E389" s="145" t="s">
        <v>1433</v>
      </c>
      <c r="F389" s="145" t="s">
        <v>1225</v>
      </c>
    </row>
    <row r="390" ht="15.75" customHeight="1">
      <c r="A390" s="146" t="s">
        <v>1428</v>
      </c>
      <c r="B390" s="150">
        <v>45292.0</v>
      </c>
      <c r="C390" s="145" t="s">
        <v>1284</v>
      </c>
      <c r="D390" s="145" t="s">
        <v>1411</v>
      </c>
      <c r="E390" s="145" t="s">
        <v>1433</v>
      </c>
      <c r="F390" s="145" t="s">
        <v>1225</v>
      </c>
    </row>
    <row r="391" ht="15.75" customHeight="1">
      <c r="A391" s="146" t="s">
        <v>1428</v>
      </c>
      <c r="B391" s="150">
        <v>45292.0</v>
      </c>
      <c r="C391" s="145" t="s">
        <v>1325</v>
      </c>
      <c r="D391" s="145" t="s">
        <v>1255</v>
      </c>
      <c r="E391" s="145" t="s">
        <v>1433</v>
      </c>
      <c r="F391" s="145" t="s">
        <v>20</v>
      </c>
    </row>
    <row r="392" ht="15.75" customHeight="1">
      <c r="A392" s="146" t="s">
        <v>1428</v>
      </c>
      <c r="B392" s="150">
        <v>45293.0</v>
      </c>
      <c r="C392" s="145" t="s">
        <v>1389</v>
      </c>
      <c r="D392" s="145" t="s">
        <v>1255</v>
      </c>
      <c r="E392" s="145" t="s">
        <v>1201</v>
      </c>
      <c r="F392" s="145" t="s">
        <v>20</v>
      </c>
    </row>
    <row r="393" ht="15.75" customHeight="1">
      <c r="A393" s="146" t="s">
        <v>1428</v>
      </c>
      <c r="B393" s="150">
        <v>45293.0</v>
      </c>
      <c r="C393" s="145" t="s">
        <v>1254</v>
      </c>
      <c r="D393" s="145" t="s">
        <v>1255</v>
      </c>
      <c r="E393" s="146" t="s">
        <v>1307</v>
      </c>
      <c r="F393" s="145" t="s">
        <v>20</v>
      </c>
    </row>
    <row r="394" ht="15.75" customHeight="1">
      <c r="A394" s="146" t="s">
        <v>1428</v>
      </c>
      <c r="B394" s="150">
        <v>45293.0</v>
      </c>
      <c r="C394" s="145" t="s">
        <v>1330</v>
      </c>
      <c r="D394" s="145" t="s">
        <v>1255</v>
      </c>
      <c r="E394" s="145" t="s">
        <v>1326</v>
      </c>
      <c r="F394" s="145" t="s">
        <v>20</v>
      </c>
    </row>
    <row r="395" ht="15.75" customHeight="1">
      <c r="A395" s="146" t="s">
        <v>1428</v>
      </c>
      <c r="B395" s="150">
        <v>45293.0</v>
      </c>
      <c r="C395" s="145" t="s">
        <v>1272</v>
      </c>
      <c r="D395" s="145" t="s">
        <v>1407</v>
      </c>
      <c r="E395" s="145" t="s">
        <v>1435</v>
      </c>
      <c r="F395" s="145" t="s">
        <v>1225</v>
      </c>
    </row>
    <row r="396" ht="15.75" customHeight="1">
      <c r="A396" s="146" t="s">
        <v>1428</v>
      </c>
      <c r="B396" s="150">
        <v>45294.0</v>
      </c>
      <c r="C396" s="145" t="s">
        <v>1277</v>
      </c>
      <c r="D396" s="145" t="s">
        <v>1407</v>
      </c>
      <c r="E396" s="145" t="s">
        <v>1435</v>
      </c>
      <c r="F396" s="145" t="s">
        <v>1225</v>
      </c>
    </row>
    <row r="397" ht="15.75" customHeight="1">
      <c r="A397" s="146" t="s">
        <v>1428</v>
      </c>
      <c r="B397" s="150">
        <v>45294.0</v>
      </c>
      <c r="C397" s="145" t="s">
        <v>1220</v>
      </c>
      <c r="D397" s="145" t="s">
        <v>1255</v>
      </c>
      <c r="E397" s="145" t="s">
        <v>1436</v>
      </c>
      <c r="F397" s="145" t="s">
        <v>20</v>
      </c>
    </row>
    <row r="398" ht="15.75" customHeight="1">
      <c r="A398" s="146" t="s">
        <v>1428</v>
      </c>
      <c r="B398" s="150">
        <v>45294.0</v>
      </c>
      <c r="C398" s="145" t="s">
        <v>1248</v>
      </c>
      <c r="D398" s="145" t="s">
        <v>1311</v>
      </c>
      <c r="E398" s="145" t="s">
        <v>113</v>
      </c>
      <c r="F398" s="145" t="s">
        <v>1225</v>
      </c>
    </row>
    <row r="399" ht="15.75" customHeight="1">
      <c r="A399" s="146" t="s">
        <v>1428</v>
      </c>
      <c r="B399" s="150">
        <v>45294.0</v>
      </c>
      <c r="C399" s="145" t="s">
        <v>1275</v>
      </c>
      <c r="D399" s="145" t="s">
        <v>1276</v>
      </c>
      <c r="E399" s="145" t="s">
        <v>113</v>
      </c>
      <c r="F399" s="145" t="s">
        <v>1225</v>
      </c>
    </row>
    <row r="400" ht="15.75" customHeight="1">
      <c r="A400" s="146" t="s">
        <v>1428</v>
      </c>
      <c r="B400" s="150">
        <v>45294.0</v>
      </c>
      <c r="C400" s="145" t="s">
        <v>1226</v>
      </c>
      <c r="D400" s="145" t="s">
        <v>1414</v>
      </c>
      <c r="E400" s="145" t="s">
        <v>1437</v>
      </c>
      <c r="F400" s="145" t="s">
        <v>1225</v>
      </c>
    </row>
    <row r="401" ht="15.75" customHeight="1">
      <c r="A401" s="146" t="s">
        <v>1428</v>
      </c>
      <c r="B401" s="150">
        <v>45295.0</v>
      </c>
      <c r="C401" s="145" t="s">
        <v>1278</v>
      </c>
      <c r="D401" s="145" t="s">
        <v>1407</v>
      </c>
      <c r="E401" s="145" t="s">
        <v>1435</v>
      </c>
      <c r="F401" s="145" t="s">
        <v>1225</v>
      </c>
    </row>
    <row r="402" ht="15.75" customHeight="1">
      <c r="A402" s="146" t="s">
        <v>1428</v>
      </c>
      <c r="B402" s="150">
        <v>45296.0</v>
      </c>
      <c r="C402" s="145" t="s">
        <v>1254</v>
      </c>
      <c r="D402" s="145" t="s">
        <v>1255</v>
      </c>
      <c r="E402" s="145" t="s">
        <v>1201</v>
      </c>
      <c r="F402" s="145" t="s">
        <v>20</v>
      </c>
    </row>
    <row r="403" ht="15.75" customHeight="1">
      <c r="A403" s="146" t="s">
        <v>1428</v>
      </c>
      <c r="B403" s="150">
        <v>45296.0</v>
      </c>
      <c r="C403" s="145" t="s">
        <v>1202</v>
      </c>
      <c r="D403" s="145" t="s">
        <v>1390</v>
      </c>
      <c r="E403" s="145" t="s">
        <v>1201</v>
      </c>
      <c r="F403" s="145" t="s">
        <v>1225</v>
      </c>
    </row>
    <row r="404" ht="15.75" customHeight="1">
      <c r="A404" s="146" t="s">
        <v>1428</v>
      </c>
      <c r="B404" s="150">
        <v>45296.0</v>
      </c>
      <c r="C404" s="145" t="s">
        <v>1389</v>
      </c>
      <c r="D404" s="145" t="s">
        <v>1255</v>
      </c>
      <c r="E404" s="145" t="s">
        <v>1201</v>
      </c>
      <c r="F404" s="145" t="s">
        <v>20</v>
      </c>
    </row>
    <row r="405" ht="15.75" customHeight="1">
      <c r="A405" s="146" t="s">
        <v>1428</v>
      </c>
      <c r="B405" s="150">
        <v>45297.0</v>
      </c>
      <c r="C405" s="145" t="s">
        <v>1231</v>
      </c>
      <c r="D405" s="145" t="s">
        <v>1255</v>
      </c>
      <c r="E405" s="145" t="s">
        <v>1438</v>
      </c>
      <c r="F405" s="145" t="s">
        <v>20</v>
      </c>
    </row>
    <row r="406" ht="15.75" customHeight="1">
      <c r="A406" s="146" t="s">
        <v>1428</v>
      </c>
      <c r="B406" s="150">
        <v>45297.0</v>
      </c>
      <c r="C406" s="145" t="s">
        <v>1259</v>
      </c>
      <c r="D406" s="145" t="s">
        <v>1276</v>
      </c>
      <c r="E406" s="145" t="s">
        <v>113</v>
      </c>
      <c r="F406" s="145" t="s">
        <v>1225</v>
      </c>
    </row>
    <row r="407" ht="15.75" customHeight="1">
      <c r="A407" s="146" t="s">
        <v>1428</v>
      </c>
      <c r="B407" s="150">
        <v>45297.0</v>
      </c>
      <c r="C407" s="145" t="s">
        <v>1232</v>
      </c>
      <c r="D407" s="145" t="s">
        <v>1429</v>
      </c>
      <c r="E407" s="145" t="s">
        <v>113</v>
      </c>
      <c r="F407" s="145" t="s">
        <v>1225</v>
      </c>
    </row>
    <row r="408" ht="15.75" customHeight="1">
      <c r="A408" s="146" t="s">
        <v>1428</v>
      </c>
      <c r="B408" s="150">
        <v>45297.0</v>
      </c>
      <c r="C408" s="145" t="s">
        <v>1235</v>
      </c>
      <c r="D408" s="145" t="s">
        <v>1311</v>
      </c>
      <c r="E408" s="145" t="s">
        <v>1439</v>
      </c>
      <c r="F408" s="145" t="s">
        <v>1225</v>
      </c>
    </row>
    <row r="409" ht="15.75" customHeight="1">
      <c r="A409" s="146" t="s">
        <v>1428</v>
      </c>
      <c r="B409" s="150">
        <v>45298.0</v>
      </c>
      <c r="C409" s="145" t="s">
        <v>1208</v>
      </c>
      <c r="D409" s="145" t="s">
        <v>1407</v>
      </c>
      <c r="E409" s="145" t="s">
        <v>113</v>
      </c>
      <c r="F409" s="145" t="s">
        <v>1225</v>
      </c>
    </row>
    <row r="410" ht="15.75" customHeight="1">
      <c r="A410" s="146" t="s">
        <v>1428</v>
      </c>
      <c r="B410" s="150">
        <v>45298.0</v>
      </c>
      <c r="C410" s="145" t="s">
        <v>1210</v>
      </c>
      <c r="D410" s="145" t="s">
        <v>1276</v>
      </c>
      <c r="E410" s="145" t="s">
        <v>1201</v>
      </c>
      <c r="F410" s="145" t="s">
        <v>20</v>
      </c>
    </row>
    <row r="411" ht="15.75" customHeight="1">
      <c r="A411" s="146" t="s">
        <v>1428</v>
      </c>
      <c r="B411" s="150">
        <v>45299.0</v>
      </c>
      <c r="C411" s="145" t="s">
        <v>1269</v>
      </c>
      <c r="D411" s="145" t="s">
        <v>1311</v>
      </c>
      <c r="E411" s="145" t="s">
        <v>1353</v>
      </c>
      <c r="F411" s="145" t="s">
        <v>20</v>
      </c>
    </row>
    <row r="412" ht="15.75" customHeight="1">
      <c r="A412" s="146" t="s">
        <v>1428</v>
      </c>
      <c r="B412" s="150">
        <v>45299.0</v>
      </c>
      <c r="C412" s="145" t="s">
        <v>1282</v>
      </c>
      <c r="D412" s="145" t="s">
        <v>1411</v>
      </c>
      <c r="E412" s="145" t="s">
        <v>1353</v>
      </c>
      <c r="F412" s="145" t="s">
        <v>20</v>
      </c>
    </row>
    <row r="413" ht="15.75" customHeight="1">
      <c r="A413" s="146" t="s">
        <v>1428</v>
      </c>
      <c r="B413" s="150">
        <v>45299.0</v>
      </c>
      <c r="C413" s="145" t="s">
        <v>1284</v>
      </c>
      <c r="D413" s="145" t="s">
        <v>1411</v>
      </c>
      <c r="E413" s="145" t="s">
        <v>1353</v>
      </c>
      <c r="F413" s="145" t="s">
        <v>20</v>
      </c>
    </row>
    <row r="414" ht="15.75" customHeight="1">
      <c r="A414" s="146" t="s">
        <v>1428</v>
      </c>
      <c r="B414" s="150">
        <v>45299.0</v>
      </c>
      <c r="C414" s="145" t="s">
        <v>1325</v>
      </c>
      <c r="D414" s="145" t="s">
        <v>1255</v>
      </c>
      <c r="E414" s="145" t="s">
        <v>1326</v>
      </c>
      <c r="F414" s="145" t="s">
        <v>20</v>
      </c>
    </row>
    <row r="415" ht="15.75" customHeight="1">
      <c r="A415" s="146" t="s">
        <v>1428</v>
      </c>
      <c r="B415" s="150">
        <v>45300.0</v>
      </c>
      <c r="C415" s="145" t="s">
        <v>1272</v>
      </c>
      <c r="D415" s="145" t="s">
        <v>1407</v>
      </c>
      <c r="E415" s="145" t="s">
        <v>1271</v>
      </c>
      <c r="F415" s="145" t="s">
        <v>1225</v>
      </c>
    </row>
    <row r="416" ht="15.75" customHeight="1">
      <c r="A416" s="146" t="s">
        <v>1428</v>
      </c>
      <c r="B416" s="150">
        <v>45301.0</v>
      </c>
      <c r="C416" s="145" t="s">
        <v>1277</v>
      </c>
      <c r="D416" s="145" t="s">
        <v>1407</v>
      </c>
      <c r="E416" s="145" t="s">
        <v>1271</v>
      </c>
      <c r="F416" s="145" t="s">
        <v>1225</v>
      </c>
    </row>
    <row r="417" ht="15.75" customHeight="1">
      <c r="A417" s="146" t="s">
        <v>1428</v>
      </c>
      <c r="B417" s="150">
        <v>45302.0</v>
      </c>
      <c r="C417" s="145" t="s">
        <v>1278</v>
      </c>
      <c r="D417" s="145" t="s">
        <v>1407</v>
      </c>
      <c r="E417" s="145" t="s">
        <v>1271</v>
      </c>
      <c r="F417" s="145" t="s">
        <v>1225</v>
      </c>
    </row>
    <row r="418" ht="15.75" customHeight="1">
      <c r="A418" s="145" t="s">
        <v>1440</v>
      </c>
      <c r="B418" s="150">
        <v>45334.0</v>
      </c>
      <c r="C418" s="145" t="s">
        <v>1269</v>
      </c>
      <c r="D418" s="145" t="s">
        <v>1319</v>
      </c>
      <c r="E418" s="145" t="s">
        <v>1353</v>
      </c>
      <c r="F418" s="145" t="s">
        <v>20</v>
      </c>
    </row>
    <row r="419" ht="15.75" customHeight="1">
      <c r="A419" s="145" t="s">
        <v>1440</v>
      </c>
      <c r="B419" s="150">
        <v>45334.0</v>
      </c>
      <c r="C419" s="145" t="s">
        <v>1325</v>
      </c>
      <c r="D419" s="145" t="s">
        <v>1255</v>
      </c>
      <c r="E419" s="145" t="s">
        <v>1201</v>
      </c>
      <c r="F419" s="145" t="s">
        <v>20</v>
      </c>
    </row>
    <row r="420" ht="15.75" customHeight="1">
      <c r="A420" s="145" t="s">
        <v>1440</v>
      </c>
      <c r="B420" s="150">
        <v>45334.0</v>
      </c>
      <c r="C420" s="145" t="s">
        <v>1239</v>
      </c>
      <c r="D420" s="145" t="s">
        <v>1411</v>
      </c>
      <c r="E420" s="145" t="s">
        <v>1353</v>
      </c>
      <c r="F420" s="145" t="s">
        <v>20</v>
      </c>
    </row>
    <row r="421" ht="15.75" customHeight="1">
      <c r="A421" s="145" t="s">
        <v>1440</v>
      </c>
      <c r="B421" s="150">
        <v>45335.0</v>
      </c>
      <c r="C421" s="145" t="s">
        <v>1389</v>
      </c>
      <c r="D421" s="145" t="s">
        <v>1255</v>
      </c>
      <c r="E421" s="145" t="s">
        <v>1201</v>
      </c>
      <c r="F421" s="145" t="s">
        <v>20</v>
      </c>
    </row>
    <row r="422" ht="15.75" customHeight="1">
      <c r="A422" s="145" t="s">
        <v>1440</v>
      </c>
      <c r="B422" s="150">
        <v>45335.0</v>
      </c>
      <c r="C422" s="145" t="s">
        <v>1254</v>
      </c>
      <c r="D422" s="145" t="s">
        <v>1255</v>
      </c>
      <c r="E422" s="145" t="s">
        <v>1201</v>
      </c>
      <c r="F422" s="145" t="s">
        <v>20</v>
      </c>
    </row>
    <row r="423" ht="15.75" customHeight="1">
      <c r="A423" s="145" t="s">
        <v>1440</v>
      </c>
      <c r="B423" s="150">
        <v>45335.0</v>
      </c>
      <c r="C423" s="145" t="s">
        <v>1272</v>
      </c>
      <c r="D423" s="145" t="s">
        <v>1383</v>
      </c>
      <c r="E423" s="145" t="s">
        <v>1201</v>
      </c>
      <c r="F423" s="145" t="s">
        <v>20</v>
      </c>
    </row>
    <row r="424" ht="15.75" customHeight="1">
      <c r="A424" s="145" t="s">
        <v>1440</v>
      </c>
      <c r="B424" s="150">
        <v>45335.0</v>
      </c>
      <c r="C424" s="145" t="s">
        <v>1330</v>
      </c>
      <c r="D424" s="145" t="s">
        <v>1255</v>
      </c>
      <c r="E424" s="145" t="s">
        <v>1201</v>
      </c>
      <c r="F424" s="145" t="s">
        <v>20</v>
      </c>
    </row>
    <row r="425" ht="15.75" customHeight="1">
      <c r="A425" s="145" t="s">
        <v>1440</v>
      </c>
      <c r="B425" s="150">
        <v>45345.0</v>
      </c>
      <c r="C425" s="145"/>
      <c r="D425" s="145" t="s">
        <v>1441</v>
      </c>
      <c r="E425" s="145"/>
      <c r="F425" s="145"/>
    </row>
    <row r="426" ht="15.75" customHeight="1">
      <c r="A426" s="145" t="s">
        <v>1440</v>
      </c>
      <c r="B426" s="150">
        <v>45345.0</v>
      </c>
      <c r="C426" s="145" t="s">
        <v>1254</v>
      </c>
      <c r="D426" s="145" t="s">
        <v>1255</v>
      </c>
      <c r="E426" s="146" t="s">
        <v>1307</v>
      </c>
      <c r="F426" s="145" t="s">
        <v>20</v>
      </c>
    </row>
    <row r="427" ht="15.75" customHeight="1">
      <c r="A427" s="145" t="s">
        <v>1440</v>
      </c>
      <c r="B427" s="150">
        <v>45345.0</v>
      </c>
      <c r="C427" s="145" t="s">
        <v>1202</v>
      </c>
      <c r="D427" s="145" t="s">
        <v>1390</v>
      </c>
      <c r="E427" s="145" t="s">
        <v>1201</v>
      </c>
      <c r="F427" s="145" t="s">
        <v>20</v>
      </c>
    </row>
    <row r="428" ht="15.75" customHeight="1">
      <c r="A428" s="145" t="s">
        <v>1440</v>
      </c>
      <c r="B428" s="150">
        <v>45345.0</v>
      </c>
      <c r="C428" s="145" t="s">
        <v>1389</v>
      </c>
      <c r="D428" s="145" t="s">
        <v>1255</v>
      </c>
      <c r="E428" s="145" t="s">
        <v>1201</v>
      </c>
      <c r="F428" s="145" t="s">
        <v>20</v>
      </c>
    </row>
    <row r="429" ht="15.75" customHeight="1">
      <c r="A429" s="145" t="s">
        <v>1440</v>
      </c>
      <c r="B429" s="150">
        <v>45346.0</v>
      </c>
      <c r="C429" s="145" t="s">
        <v>1259</v>
      </c>
      <c r="D429" s="145" t="s">
        <v>1276</v>
      </c>
      <c r="E429" s="145" t="s">
        <v>1196</v>
      </c>
      <c r="F429" s="145" t="s">
        <v>20</v>
      </c>
    </row>
    <row r="430" ht="15.75" customHeight="1">
      <c r="A430" s="145" t="s">
        <v>1440</v>
      </c>
      <c r="B430" s="150">
        <v>45346.0</v>
      </c>
      <c r="C430" s="145" t="s">
        <v>1232</v>
      </c>
      <c r="D430" s="145" t="s">
        <v>1442</v>
      </c>
      <c r="E430" s="146" t="s">
        <v>1443</v>
      </c>
      <c r="F430" s="145" t="s">
        <v>20</v>
      </c>
    </row>
    <row r="431" ht="15.75" customHeight="1">
      <c r="A431" s="145" t="s">
        <v>1440</v>
      </c>
      <c r="B431" s="150">
        <v>45346.0</v>
      </c>
      <c r="C431" s="145" t="s">
        <v>1235</v>
      </c>
      <c r="D431" s="145" t="s">
        <v>1444</v>
      </c>
      <c r="E431" s="145" t="s">
        <v>1445</v>
      </c>
      <c r="F431" s="145" t="s">
        <v>1225</v>
      </c>
    </row>
    <row r="432" ht="15.75" customHeight="1">
      <c r="A432" s="145" t="s">
        <v>1440</v>
      </c>
      <c r="B432" s="150">
        <v>45346.0</v>
      </c>
      <c r="C432" s="145" t="s">
        <v>1231</v>
      </c>
      <c r="D432" s="145" t="s">
        <v>1255</v>
      </c>
      <c r="E432" s="145" t="s">
        <v>1262</v>
      </c>
      <c r="F432" s="145" t="s">
        <v>20</v>
      </c>
    </row>
    <row r="433" ht="15.75" customHeight="1">
      <c r="A433" s="145" t="s">
        <v>1440</v>
      </c>
      <c r="B433" s="150">
        <v>45347.0</v>
      </c>
      <c r="C433" s="145" t="s">
        <v>1208</v>
      </c>
      <c r="D433" s="145" t="s">
        <v>1407</v>
      </c>
      <c r="E433" s="145" t="s">
        <v>1445</v>
      </c>
      <c r="F433" s="145" t="s">
        <v>1225</v>
      </c>
    </row>
    <row r="434" ht="15.75" customHeight="1">
      <c r="A434" s="145" t="s">
        <v>1440</v>
      </c>
      <c r="B434" s="150">
        <v>45347.0</v>
      </c>
      <c r="C434" s="145" t="s">
        <v>1266</v>
      </c>
      <c r="D434" s="145" t="s">
        <v>1446</v>
      </c>
      <c r="E434" s="145" t="s">
        <v>1447</v>
      </c>
      <c r="F434" s="145" t="s">
        <v>1225</v>
      </c>
    </row>
    <row r="435" ht="15.75" customHeight="1">
      <c r="A435" s="145" t="s">
        <v>1440</v>
      </c>
      <c r="B435" s="150">
        <v>45347.0</v>
      </c>
      <c r="C435" s="145" t="s">
        <v>1210</v>
      </c>
      <c r="D435" s="145" t="s">
        <v>1276</v>
      </c>
      <c r="E435" s="145" t="s">
        <v>1445</v>
      </c>
      <c r="F435" s="145" t="s">
        <v>1225</v>
      </c>
    </row>
    <row r="436" ht="15.75" customHeight="1">
      <c r="A436" s="145" t="s">
        <v>1440</v>
      </c>
      <c r="B436" s="150">
        <v>45348.0</v>
      </c>
      <c r="C436" s="145" t="s">
        <v>1269</v>
      </c>
      <c r="D436" s="145" t="s">
        <v>1444</v>
      </c>
      <c r="E436" s="145" t="s">
        <v>1445</v>
      </c>
      <c r="F436" s="145" t="s">
        <v>1225</v>
      </c>
    </row>
    <row r="437" ht="15.75" customHeight="1">
      <c r="A437" s="145" t="s">
        <v>1440</v>
      </c>
      <c r="B437" s="150">
        <v>45348.0</v>
      </c>
      <c r="C437" s="145" t="s">
        <v>1282</v>
      </c>
      <c r="D437" s="145" t="s">
        <v>1411</v>
      </c>
      <c r="E437" s="145" t="s">
        <v>1448</v>
      </c>
      <c r="F437" s="145" t="s">
        <v>1225</v>
      </c>
    </row>
    <row r="438" ht="15.75" customHeight="1">
      <c r="A438" s="145" t="s">
        <v>1440</v>
      </c>
      <c r="B438" s="150">
        <v>45348.0</v>
      </c>
      <c r="C438" s="145" t="s">
        <v>1284</v>
      </c>
      <c r="D438" s="145" t="s">
        <v>1411</v>
      </c>
      <c r="E438" s="145" t="s">
        <v>1448</v>
      </c>
      <c r="F438" s="145" t="s">
        <v>1225</v>
      </c>
    </row>
    <row r="439" ht="15.75" customHeight="1">
      <c r="A439" s="145" t="s">
        <v>1440</v>
      </c>
      <c r="B439" s="150">
        <v>45348.0</v>
      </c>
      <c r="C439" s="145" t="s">
        <v>1325</v>
      </c>
      <c r="D439" s="145" t="s">
        <v>1255</v>
      </c>
      <c r="E439" s="145" t="s">
        <v>1326</v>
      </c>
      <c r="F439" s="145" t="s">
        <v>20</v>
      </c>
    </row>
    <row r="440" ht="15.75" customHeight="1">
      <c r="A440" s="145" t="s">
        <v>1440</v>
      </c>
      <c r="B440" s="150">
        <v>45348.0</v>
      </c>
      <c r="C440" s="145" t="s">
        <v>1449</v>
      </c>
      <c r="D440" s="145" t="s">
        <v>1276</v>
      </c>
      <c r="E440" s="145" t="s">
        <v>1326</v>
      </c>
      <c r="F440" s="145" t="s">
        <v>20</v>
      </c>
    </row>
    <row r="441" ht="15.75" customHeight="1">
      <c r="A441" s="145" t="s">
        <v>1440</v>
      </c>
      <c r="B441" s="150">
        <v>45371.0</v>
      </c>
      <c r="C441" s="145"/>
      <c r="D441" s="145" t="s">
        <v>1441</v>
      </c>
      <c r="E441" s="145"/>
      <c r="F441" s="145"/>
    </row>
    <row r="442" ht="15.75" customHeight="1">
      <c r="A442" s="145" t="s">
        <v>1440</v>
      </c>
      <c r="B442" s="150">
        <v>45371.0</v>
      </c>
      <c r="C442" s="145" t="s">
        <v>1277</v>
      </c>
      <c r="D442" s="145" t="s">
        <v>1407</v>
      </c>
      <c r="E442" s="146" t="s">
        <v>1450</v>
      </c>
      <c r="F442" s="145" t="s">
        <v>20</v>
      </c>
    </row>
    <row r="443" ht="15.75" customHeight="1">
      <c r="A443" s="145" t="s">
        <v>1440</v>
      </c>
      <c r="B443" s="150">
        <v>45371.0</v>
      </c>
      <c r="C443" s="146" t="s">
        <v>1451</v>
      </c>
      <c r="D443" s="145" t="s">
        <v>1255</v>
      </c>
      <c r="E443" s="146" t="s">
        <v>1452</v>
      </c>
      <c r="F443" s="145" t="s">
        <v>20</v>
      </c>
    </row>
    <row r="444" ht="15.75" customHeight="1">
      <c r="A444" s="145" t="s">
        <v>1440</v>
      </c>
      <c r="B444" s="150">
        <v>45371.0</v>
      </c>
      <c r="C444" s="145" t="s">
        <v>1248</v>
      </c>
      <c r="D444" s="145" t="s">
        <v>1453</v>
      </c>
      <c r="E444" s="146" t="s">
        <v>1454</v>
      </c>
      <c r="F444" s="145" t="s">
        <v>20</v>
      </c>
    </row>
    <row r="445" ht="15.75" customHeight="1">
      <c r="A445" s="145" t="s">
        <v>1440</v>
      </c>
      <c r="B445" s="150">
        <v>45371.0</v>
      </c>
      <c r="C445" s="146" t="s">
        <v>1455</v>
      </c>
      <c r="D445" s="145" t="s">
        <v>1414</v>
      </c>
      <c r="E445" s="146" t="s">
        <v>1456</v>
      </c>
      <c r="F445" s="146" t="s">
        <v>1457</v>
      </c>
    </row>
    <row r="446" ht="15.75" customHeight="1">
      <c r="A446" s="145" t="s">
        <v>1440</v>
      </c>
      <c r="B446" s="150">
        <v>45372.0</v>
      </c>
      <c r="C446" s="145" t="s">
        <v>1278</v>
      </c>
      <c r="D446" s="145" t="s">
        <v>1407</v>
      </c>
      <c r="E446" s="146" t="s">
        <v>1450</v>
      </c>
      <c r="F446" s="145" t="s">
        <v>20</v>
      </c>
    </row>
    <row r="447" ht="15.75" customHeight="1">
      <c r="A447" s="145" t="s">
        <v>1440</v>
      </c>
      <c r="B447" s="150">
        <v>45372.0</v>
      </c>
      <c r="C447" s="145" t="s">
        <v>1458</v>
      </c>
      <c r="D447" s="145" t="s">
        <v>1276</v>
      </c>
      <c r="E447" s="146" t="s">
        <v>1459</v>
      </c>
      <c r="F447" s="145" t="s">
        <v>20</v>
      </c>
    </row>
    <row r="448" ht="15.75" customHeight="1">
      <c r="A448" s="145" t="s">
        <v>1440</v>
      </c>
      <c r="B448" s="150">
        <v>45372.0</v>
      </c>
      <c r="C448" s="146" t="s">
        <v>1460</v>
      </c>
      <c r="D448" s="145" t="s">
        <v>1276</v>
      </c>
      <c r="E448" s="145" t="s">
        <v>1461</v>
      </c>
      <c r="F448" s="145" t="s">
        <v>20</v>
      </c>
    </row>
    <row r="449" ht="15.75" customHeight="1">
      <c r="A449" s="145" t="s">
        <v>1440</v>
      </c>
      <c r="B449" s="150">
        <v>45374.0</v>
      </c>
      <c r="C449" s="145" t="s">
        <v>1232</v>
      </c>
      <c r="D449" s="146" t="s">
        <v>1462</v>
      </c>
      <c r="E449" s="146" t="s">
        <v>1463</v>
      </c>
      <c r="F449" s="146" t="s">
        <v>1457</v>
      </c>
    </row>
    <row r="450" ht="15.75" customHeight="1">
      <c r="A450" s="146" t="s">
        <v>1464</v>
      </c>
      <c r="B450" s="150">
        <v>45411.0</v>
      </c>
      <c r="C450" s="145" t="s">
        <v>1269</v>
      </c>
      <c r="D450" s="145" t="s">
        <v>1465</v>
      </c>
      <c r="E450" s="146" t="s">
        <v>1466</v>
      </c>
      <c r="F450" s="145" t="s">
        <v>20</v>
      </c>
    </row>
    <row r="451" ht="15.75" customHeight="1">
      <c r="A451" s="146" t="s">
        <v>1464</v>
      </c>
      <c r="B451" s="150">
        <v>45411.0</v>
      </c>
      <c r="C451" s="145" t="s">
        <v>1449</v>
      </c>
      <c r="D451" s="145" t="s">
        <v>1260</v>
      </c>
      <c r="E451" s="146" t="s">
        <v>1467</v>
      </c>
      <c r="F451" s="145" t="s">
        <v>20</v>
      </c>
    </row>
    <row r="452" ht="15.75" customHeight="1">
      <c r="A452" s="146" t="s">
        <v>1464</v>
      </c>
      <c r="B452" s="150">
        <v>45411.0</v>
      </c>
      <c r="C452" s="145" t="s">
        <v>1325</v>
      </c>
      <c r="D452" s="145" t="s">
        <v>1243</v>
      </c>
      <c r="E452" s="146" t="s">
        <v>1468</v>
      </c>
      <c r="F452" s="145" t="s">
        <v>20</v>
      </c>
    </row>
    <row r="453" ht="15.75" customHeight="1">
      <c r="A453" s="146" t="s">
        <v>1464</v>
      </c>
      <c r="B453" s="150">
        <v>45411.0</v>
      </c>
      <c r="C453" s="145" t="s">
        <v>1239</v>
      </c>
      <c r="D453" s="145" t="s">
        <v>1411</v>
      </c>
      <c r="E453" s="145" t="s">
        <v>1353</v>
      </c>
      <c r="F453" s="145" t="s">
        <v>20</v>
      </c>
    </row>
    <row r="454" ht="15.75" customHeight="1">
      <c r="A454" s="146" t="s">
        <v>1464</v>
      </c>
      <c r="B454" s="150">
        <v>45412.0</v>
      </c>
      <c r="C454" s="145" t="s">
        <v>1389</v>
      </c>
      <c r="D454" s="145" t="s">
        <v>1243</v>
      </c>
      <c r="E454" s="146" t="s">
        <v>1469</v>
      </c>
      <c r="F454" s="145" t="s">
        <v>20</v>
      </c>
    </row>
    <row r="455" ht="15.75" customHeight="1">
      <c r="A455" s="146" t="s">
        <v>1464</v>
      </c>
      <c r="B455" s="150">
        <v>45412.0</v>
      </c>
      <c r="C455" s="145" t="s">
        <v>1254</v>
      </c>
      <c r="D455" s="146" t="s">
        <v>1470</v>
      </c>
      <c r="E455" s="145" t="s">
        <v>1201</v>
      </c>
      <c r="F455" s="145" t="s">
        <v>20</v>
      </c>
    </row>
    <row r="456" ht="15.75" customHeight="1">
      <c r="A456" s="146" t="s">
        <v>1464</v>
      </c>
      <c r="B456" s="150">
        <v>45412.0</v>
      </c>
      <c r="C456" s="145" t="s">
        <v>1330</v>
      </c>
      <c r="D456" s="145" t="s">
        <v>1243</v>
      </c>
      <c r="E456" s="145" t="s">
        <v>1201</v>
      </c>
      <c r="F456" s="145" t="s">
        <v>20</v>
      </c>
    </row>
    <row r="457" ht="15.75" customHeight="1">
      <c r="A457" s="146" t="s">
        <v>1464</v>
      </c>
      <c r="B457" s="150">
        <v>45412.0</v>
      </c>
      <c r="C457" s="145" t="s">
        <v>1272</v>
      </c>
      <c r="D457" s="145" t="s">
        <v>1471</v>
      </c>
      <c r="E457" s="145" t="s">
        <v>1472</v>
      </c>
      <c r="F457" s="145" t="s">
        <v>20</v>
      </c>
    </row>
    <row r="458" ht="15.75" customHeight="1">
      <c r="A458" s="146" t="s">
        <v>1464</v>
      </c>
      <c r="B458" s="150">
        <v>45412.0</v>
      </c>
      <c r="C458" s="145" t="s">
        <v>884</v>
      </c>
      <c r="D458" s="145" t="s">
        <v>1243</v>
      </c>
      <c r="E458" s="146" t="s">
        <v>1473</v>
      </c>
      <c r="F458" s="145" t="s">
        <v>20</v>
      </c>
    </row>
    <row r="459" ht="15.75" customHeight="1">
      <c r="A459" s="146" t="s">
        <v>1464</v>
      </c>
      <c r="B459" s="150">
        <v>45415.0</v>
      </c>
      <c r="C459" s="145" t="s">
        <v>1254</v>
      </c>
      <c r="D459" s="146" t="s">
        <v>1470</v>
      </c>
      <c r="E459" s="146" t="s">
        <v>1474</v>
      </c>
      <c r="F459" s="145" t="s">
        <v>20</v>
      </c>
    </row>
    <row r="460" ht="15.75" customHeight="1">
      <c r="A460" s="146" t="s">
        <v>1464</v>
      </c>
      <c r="B460" s="150">
        <v>45415.0</v>
      </c>
      <c r="C460" s="145" t="s">
        <v>1202</v>
      </c>
      <c r="D460" s="145" t="s">
        <v>1396</v>
      </c>
      <c r="E460" s="146" t="s">
        <v>1475</v>
      </c>
      <c r="F460" s="145" t="s">
        <v>1476</v>
      </c>
    </row>
    <row r="461" ht="15.75" customHeight="1">
      <c r="A461" s="146" t="s">
        <v>1464</v>
      </c>
      <c r="B461" s="150">
        <v>45415.0</v>
      </c>
      <c r="C461" s="145" t="s">
        <v>1389</v>
      </c>
      <c r="D461" s="145" t="s">
        <v>1243</v>
      </c>
      <c r="E461" s="146" t="s">
        <v>1469</v>
      </c>
      <c r="F461" s="145" t="s">
        <v>20</v>
      </c>
    </row>
    <row r="462" ht="15.75" customHeight="1">
      <c r="A462" s="146" t="s">
        <v>1464</v>
      </c>
      <c r="B462" s="150">
        <v>45416.0</v>
      </c>
      <c r="C462" s="145" t="s">
        <v>1232</v>
      </c>
      <c r="D462" s="146" t="s">
        <v>1477</v>
      </c>
      <c r="E462" s="146" t="s">
        <v>1478</v>
      </c>
      <c r="F462" s="145" t="s">
        <v>1476</v>
      </c>
    </row>
    <row r="463" ht="15.75" customHeight="1">
      <c r="A463" s="146" t="s">
        <v>1464</v>
      </c>
      <c r="B463" s="150">
        <v>45416.0</v>
      </c>
      <c r="C463" s="145" t="s">
        <v>1235</v>
      </c>
      <c r="D463" s="145" t="s">
        <v>1479</v>
      </c>
      <c r="E463" s="146" t="s">
        <v>1480</v>
      </c>
      <c r="F463" s="145" t="s">
        <v>1476</v>
      </c>
    </row>
    <row r="464" ht="15.75" customHeight="1">
      <c r="A464" s="146" t="s">
        <v>1464</v>
      </c>
      <c r="B464" s="150">
        <v>45416.0</v>
      </c>
      <c r="C464" s="145" t="s">
        <v>1231</v>
      </c>
      <c r="D464" s="145" t="s">
        <v>1243</v>
      </c>
      <c r="E464" s="145" t="s">
        <v>1262</v>
      </c>
      <c r="F464" s="145" t="s">
        <v>20</v>
      </c>
    </row>
    <row r="465" ht="15.75" customHeight="1">
      <c r="A465" s="146" t="s">
        <v>1464</v>
      </c>
      <c r="B465" s="150">
        <v>45417.0</v>
      </c>
      <c r="C465" s="145" t="s">
        <v>1208</v>
      </c>
      <c r="D465" s="145" t="s">
        <v>1471</v>
      </c>
      <c r="E465" s="146" t="s">
        <v>1481</v>
      </c>
      <c r="F465" s="145" t="s">
        <v>1476</v>
      </c>
    </row>
    <row r="466" ht="15.75" customHeight="1">
      <c r="A466" s="146" t="s">
        <v>1464</v>
      </c>
      <c r="B466" s="150">
        <v>45417.0</v>
      </c>
      <c r="C466" s="145" t="s">
        <v>1266</v>
      </c>
      <c r="D466" s="145" t="s">
        <v>1446</v>
      </c>
      <c r="E466" s="145" t="s">
        <v>1482</v>
      </c>
      <c r="F466" s="145" t="s">
        <v>1483</v>
      </c>
    </row>
    <row r="467" ht="15.75" customHeight="1">
      <c r="A467" s="146" t="s">
        <v>1464</v>
      </c>
      <c r="B467" s="150">
        <v>45417.0</v>
      </c>
      <c r="C467" s="145" t="s">
        <v>1210</v>
      </c>
      <c r="D467" s="145" t="s">
        <v>1276</v>
      </c>
      <c r="E467" s="146" t="s">
        <v>1480</v>
      </c>
      <c r="F467" s="145" t="s">
        <v>1476</v>
      </c>
    </row>
    <row r="468" ht="15.75" customHeight="1">
      <c r="A468" s="146" t="s">
        <v>1464</v>
      </c>
      <c r="B468" s="150">
        <v>45418.0</v>
      </c>
      <c r="C468" s="145" t="s">
        <v>1269</v>
      </c>
      <c r="D468" s="145" t="s">
        <v>1479</v>
      </c>
      <c r="E468" s="146" t="s">
        <v>1480</v>
      </c>
      <c r="F468" s="145" t="s">
        <v>1476</v>
      </c>
    </row>
    <row r="469" ht="15.75" customHeight="1">
      <c r="A469" s="146" t="s">
        <v>1464</v>
      </c>
      <c r="B469" s="150">
        <v>45418.0</v>
      </c>
      <c r="C469" s="145" t="s">
        <v>1282</v>
      </c>
      <c r="D469" s="145" t="s">
        <v>1411</v>
      </c>
      <c r="E469" s="146" t="s">
        <v>1484</v>
      </c>
      <c r="F469" s="145" t="s">
        <v>1476</v>
      </c>
    </row>
    <row r="470" ht="15.75" customHeight="1">
      <c r="A470" s="146" t="s">
        <v>1464</v>
      </c>
      <c r="B470" s="150">
        <v>45418.0</v>
      </c>
      <c r="C470" s="145" t="s">
        <v>1284</v>
      </c>
      <c r="D470" s="145" t="s">
        <v>1411</v>
      </c>
      <c r="E470" s="146" t="s">
        <v>1484</v>
      </c>
      <c r="F470" s="145" t="s">
        <v>1476</v>
      </c>
    </row>
    <row r="471" ht="15.75" customHeight="1">
      <c r="A471" s="146" t="s">
        <v>1464</v>
      </c>
      <c r="B471" s="150">
        <v>45418.0</v>
      </c>
      <c r="C471" s="145" t="s">
        <v>1325</v>
      </c>
      <c r="D471" s="145" t="s">
        <v>1243</v>
      </c>
      <c r="E471" s="146" t="s">
        <v>1468</v>
      </c>
      <c r="F471" s="145" t="s">
        <v>20</v>
      </c>
    </row>
    <row r="472" ht="15.75" customHeight="1">
      <c r="A472" s="146" t="s">
        <v>1464</v>
      </c>
      <c r="B472" s="150">
        <v>45418.0</v>
      </c>
      <c r="C472" s="145" t="s">
        <v>1449</v>
      </c>
      <c r="D472" s="145" t="s">
        <v>1276</v>
      </c>
      <c r="E472" s="146" t="s">
        <v>1485</v>
      </c>
      <c r="F472" s="145" t="s">
        <v>20</v>
      </c>
    </row>
    <row r="473" ht="15.75" customHeight="1">
      <c r="A473" s="146" t="s">
        <v>1464</v>
      </c>
      <c r="B473" s="150">
        <v>45419.0</v>
      </c>
      <c r="C473" s="145" t="s">
        <v>1389</v>
      </c>
      <c r="D473" s="145" t="s">
        <v>1243</v>
      </c>
      <c r="E473" s="146" t="s">
        <v>1469</v>
      </c>
      <c r="F473" s="145" t="s">
        <v>20</v>
      </c>
    </row>
    <row r="474" ht="15.75" customHeight="1">
      <c r="A474" s="146" t="s">
        <v>1464</v>
      </c>
      <c r="B474" s="150">
        <v>45419.0</v>
      </c>
      <c r="C474" s="145" t="s">
        <v>1254</v>
      </c>
      <c r="D474" s="146" t="s">
        <v>1470</v>
      </c>
      <c r="E474" s="145" t="s">
        <v>1201</v>
      </c>
      <c r="F474" s="145" t="s">
        <v>20</v>
      </c>
    </row>
    <row r="475" ht="15.75" customHeight="1">
      <c r="A475" s="146" t="s">
        <v>1464</v>
      </c>
      <c r="B475" s="150">
        <v>45419.0</v>
      </c>
      <c r="C475" s="145" t="s">
        <v>1330</v>
      </c>
      <c r="D475" s="145" t="s">
        <v>1243</v>
      </c>
      <c r="E475" s="145" t="s">
        <v>1201</v>
      </c>
      <c r="F475" s="145" t="s">
        <v>20</v>
      </c>
    </row>
    <row r="476" ht="15.75" customHeight="1">
      <c r="A476" s="146" t="s">
        <v>1464</v>
      </c>
      <c r="B476" s="150">
        <v>45419.0</v>
      </c>
      <c r="C476" s="145" t="s">
        <v>1272</v>
      </c>
      <c r="D476" s="145" t="s">
        <v>1471</v>
      </c>
      <c r="E476" s="146" t="s">
        <v>1481</v>
      </c>
      <c r="F476" s="145" t="s">
        <v>1476</v>
      </c>
    </row>
    <row r="477" ht="15.75" customHeight="1">
      <c r="A477" s="146" t="s">
        <v>1464</v>
      </c>
      <c r="B477" s="150">
        <v>45419.0</v>
      </c>
      <c r="C477" s="145" t="s">
        <v>884</v>
      </c>
      <c r="D477" s="145" t="s">
        <v>1243</v>
      </c>
      <c r="E477" s="146" t="s">
        <v>1473</v>
      </c>
      <c r="F477" s="145" t="s">
        <v>20</v>
      </c>
    </row>
    <row r="478" ht="15.75" customHeight="1">
      <c r="A478" s="146" t="s">
        <v>1464</v>
      </c>
      <c r="B478" s="150">
        <v>45421.0</v>
      </c>
      <c r="C478" s="145" t="s">
        <v>1458</v>
      </c>
      <c r="D478" s="145" t="s">
        <v>1276</v>
      </c>
      <c r="E478" s="146" t="s">
        <v>1486</v>
      </c>
      <c r="F478" s="145" t="s">
        <v>1476</v>
      </c>
    </row>
    <row r="479" ht="15.75" customHeight="1">
      <c r="A479" s="145" t="s">
        <v>1487</v>
      </c>
      <c r="B479" s="150">
        <v>45488.0</v>
      </c>
      <c r="C479" s="145" t="s">
        <v>1269</v>
      </c>
      <c r="D479" s="145" t="s">
        <v>1488</v>
      </c>
      <c r="E479" s="146" t="s">
        <v>1466</v>
      </c>
      <c r="F479" s="145" t="s">
        <v>20</v>
      </c>
    </row>
    <row r="480" ht="15.75" customHeight="1">
      <c r="A480" s="145" t="s">
        <v>1487</v>
      </c>
      <c r="B480" s="150">
        <v>45488.0</v>
      </c>
      <c r="C480" s="145" t="s">
        <v>1449</v>
      </c>
      <c r="D480" s="145" t="s">
        <v>1260</v>
      </c>
      <c r="E480" s="146" t="s">
        <v>1489</v>
      </c>
      <c r="F480" s="145" t="s">
        <v>20</v>
      </c>
    </row>
    <row r="481" ht="15.75" customHeight="1">
      <c r="A481" s="145" t="s">
        <v>1487</v>
      </c>
      <c r="B481" s="150">
        <v>45488.0</v>
      </c>
      <c r="C481" s="145" t="s">
        <v>1325</v>
      </c>
      <c r="D481" s="145" t="s">
        <v>1243</v>
      </c>
      <c r="E481" s="146" t="s">
        <v>1468</v>
      </c>
      <c r="F481" s="145" t="s">
        <v>20</v>
      </c>
    </row>
    <row r="482" ht="15.75" customHeight="1">
      <c r="A482" s="145" t="s">
        <v>1487</v>
      </c>
      <c r="B482" s="150">
        <v>45488.0</v>
      </c>
      <c r="C482" s="145" t="s">
        <v>1239</v>
      </c>
      <c r="D482" s="145" t="s">
        <v>1411</v>
      </c>
      <c r="E482" s="145" t="s">
        <v>1353</v>
      </c>
      <c r="F482" s="145" t="s">
        <v>20</v>
      </c>
    </row>
    <row r="483" ht="15.75" customHeight="1">
      <c r="A483" s="145" t="s">
        <v>1487</v>
      </c>
      <c r="B483" s="150">
        <v>45489.0</v>
      </c>
      <c r="C483" s="145" t="s">
        <v>1389</v>
      </c>
      <c r="D483" s="145" t="s">
        <v>1243</v>
      </c>
      <c r="E483" s="146" t="s">
        <v>1469</v>
      </c>
      <c r="F483" s="145" t="s">
        <v>20</v>
      </c>
    </row>
    <row r="484" ht="15.75" customHeight="1">
      <c r="A484" s="145" t="s">
        <v>1487</v>
      </c>
      <c r="B484" s="150">
        <v>45489.0</v>
      </c>
      <c r="C484" s="145" t="s">
        <v>1254</v>
      </c>
      <c r="D484" s="146" t="s">
        <v>1470</v>
      </c>
      <c r="E484" s="145" t="s">
        <v>1201</v>
      </c>
      <c r="F484" s="145" t="s">
        <v>20</v>
      </c>
    </row>
    <row r="485" ht="15.75" customHeight="1">
      <c r="A485" s="145" t="s">
        <v>1487</v>
      </c>
      <c r="B485" s="150">
        <v>45489.0</v>
      </c>
      <c r="C485" s="145" t="s">
        <v>1330</v>
      </c>
      <c r="D485" s="145" t="s">
        <v>1243</v>
      </c>
      <c r="E485" s="145" t="s">
        <v>1201</v>
      </c>
      <c r="F485" s="145" t="s">
        <v>20</v>
      </c>
    </row>
    <row r="486" ht="15.75" customHeight="1">
      <c r="A486" s="145" t="s">
        <v>1487</v>
      </c>
      <c r="B486" s="150">
        <v>45489.0</v>
      </c>
      <c r="C486" s="145" t="s">
        <v>1272</v>
      </c>
      <c r="D486" s="145" t="s">
        <v>1471</v>
      </c>
      <c r="E486" s="145" t="s">
        <v>1472</v>
      </c>
      <c r="F486" s="145" t="s">
        <v>20</v>
      </c>
    </row>
    <row r="487" ht="15.75" customHeight="1">
      <c r="A487" s="145" t="s">
        <v>1487</v>
      </c>
      <c r="B487" s="150">
        <v>45489.0</v>
      </c>
      <c r="C487" s="145" t="s">
        <v>884</v>
      </c>
      <c r="D487" s="145" t="s">
        <v>1243</v>
      </c>
      <c r="E487" s="146" t="s">
        <v>1473</v>
      </c>
      <c r="F487" s="145" t="s">
        <v>20</v>
      </c>
    </row>
    <row r="488" ht="15.75" customHeight="1">
      <c r="A488" s="145" t="s">
        <v>1487</v>
      </c>
      <c r="B488" s="150" t="s">
        <v>1490</v>
      </c>
      <c r="C488" s="145"/>
      <c r="D488" s="145"/>
      <c r="E488" s="145"/>
      <c r="F488" s="145"/>
    </row>
    <row r="489" ht="15.75" customHeight="1">
      <c r="A489" s="145" t="s">
        <v>1487</v>
      </c>
      <c r="B489" s="150">
        <v>45513.0</v>
      </c>
      <c r="C489" s="145" t="s">
        <v>1254</v>
      </c>
      <c r="D489" s="145" t="s">
        <v>1255</v>
      </c>
      <c r="E489" s="145" t="s">
        <v>1201</v>
      </c>
      <c r="F489" s="145" t="s">
        <v>20</v>
      </c>
    </row>
    <row r="490" ht="15.75" customHeight="1">
      <c r="A490" s="145" t="s">
        <v>1487</v>
      </c>
      <c r="B490" s="150">
        <v>45513.0</v>
      </c>
      <c r="C490" s="145" t="s">
        <v>1202</v>
      </c>
      <c r="D490" s="145" t="s">
        <v>1396</v>
      </c>
      <c r="E490" s="145" t="s">
        <v>1201</v>
      </c>
      <c r="F490" s="145" t="s">
        <v>20</v>
      </c>
    </row>
    <row r="491" ht="15.75" customHeight="1">
      <c r="A491" s="145" t="s">
        <v>1487</v>
      </c>
      <c r="B491" s="150">
        <v>45513.0</v>
      </c>
      <c r="C491" s="145" t="s">
        <v>1389</v>
      </c>
      <c r="D491" s="145" t="s">
        <v>1255</v>
      </c>
      <c r="E491" s="145" t="s">
        <v>1201</v>
      </c>
      <c r="F491" s="145" t="s">
        <v>20</v>
      </c>
    </row>
    <row r="492" ht="15.75" customHeight="1">
      <c r="A492" s="145" t="s">
        <v>1487</v>
      </c>
      <c r="B492" s="150">
        <v>45514.0</v>
      </c>
      <c r="C492" s="145" t="s">
        <v>1232</v>
      </c>
      <c r="D492" s="146" t="s">
        <v>1491</v>
      </c>
      <c r="E492" s="146" t="s">
        <v>1492</v>
      </c>
      <c r="F492" s="145" t="s">
        <v>20</v>
      </c>
    </row>
    <row r="493" ht="15.75" customHeight="1">
      <c r="A493" s="145" t="s">
        <v>1487</v>
      </c>
      <c r="B493" s="150">
        <v>45514.0</v>
      </c>
      <c r="C493" s="145" t="s">
        <v>1235</v>
      </c>
      <c r="D493" s="145" t="s">
        <v>1488</v>
      </c>
      <c r="E493" s="145" t="s">
        <v>1201</v>
      </c>
      <c r="F493" s="145" t="s">
        <v>20</v>
      </c>
    </row>
    <row r="494" ht="15.75" customHeight="1">
      <c r="A494" s="145" t="s">
        <v>1487</v>
      </c>
      <c r="B494" s="150">
        <v>45514.0</v>
      </c>
      <c r="C494" s="145" t="s">
        <v>1231</v>
      </c>
      <c r="D494" s="145" t="s">
        <v>1255</v>
      </c>
      <c r="E494" s="145" t="s">
        <v>1201</v>
      </c>
      <c r="F494" s="145" t="s">
        <v>20</v>
      </c>
    </row>
    <row r="495" ht="15.75" customHeight="1">
      <c r="A495" s="145" t="s">
        <v>1487</v>
      </c>
      <c r="B495" s="150">
        <v>45515.0</v>
      </c>
      <c r="C495" s="145" t="s">
        <v>1208</v>
      </c>
      <c r="D495" s="146" t="s">
        <v>1493</v>
      </c>
      <c r="E495" s="145" t="s">
        <v>1201</v>
      </c>
      <c r="F495" s="145" t="s">
        <v>20</v>
      </c>
    </row>
    <row r="496" ht="15.75" customHeight="1">
      <c r="A496" s="145" t="s">
        <v>1487</v>
      </c>
      <c r="B496" s="150">
        <v>45515.0</v>
      </c>
      <c r="C496" s="145" t="s">
        <v>1210</v>
      </c>
      <c r="D496" s="145" t="s">
        <v>1276</v>
      </c>
      <c r="E496" s="145" t="s">
        <v>1201</v>
      </c>
      <c r="F496" s="145" t="s">
        <v>20</v>
      </c>
    </row>
    <row r="497" ht="15.75" customHeight="1">
      <c r="A497" s="145" t="s">
        <v>1487</v>
      </c>
      <c r="B497" s="150">
        <v>45515.0</v>
      </c>
      <c r="C497" s="145" t="s">
        <v>1266</v>
      </c>
      <c r="D497" s="145" t="s">
        <v>1408</v>
      </c>
      <c r="E497" s="145" t="s">
        <v>1201</v>
      </c>
      <c r="F497" s="145" t="s">
        <v>20</v>
      </c>
    </row>
    <row r="498" ht="15.75" customHeight="1">
      <c r="A498" s="145" t="s">
        <v>1487</v>
      </c>
      <c r="B498" s="150">
        <v>45516.0</v>
      </c>
      <c r="C498" s="145" t="s">
        <v>1269</v>
      </c>
      <c r="D498" s="145" t="s">
        <v>1488</v>
      </c>
      <c r="E498" s="145" t="s">
        <v>1201</v>
      </c>
      <c r="F498" s="145" t="s">
        <v>1225</v>
      </c>
    </row>
    <row r="499" ht="15.75" customHeight="1">
      <c r="A499" s="145" t="s">
        <v>1487</v>
      </c>
      <c r="B499" s="150">
        <v>45516.0</v>
      </c>
      <c r="C499" s="145" t="s">
        <v>1449</v>
      </c>
      <c r="D499" s="145" t="s">
        <v>1276</v>
      </c>
      <c r="E499" s="145" t="s">
        <v>1201</v>
      </c>
      <c r="F499" s="145" t="s">
        <v>1225</v>
      </c>
    </row>
    <row r="500" ht="15.75" customHeight="1">
      <c r="A500" s="145" t="s">
        <v>1487</v>
      </c>
      <c r="B500" s="150">
        <v>45516.0</v>
      </c>
      <c r="C500" s="145" t="s">
        <v>1282</v>
      </c>
      <c r="D500" s="145" t="s">
        <v>1411</v>
      </c>
      <c r="E500" s="146" t="s">
        <v>1494</v>
      </c>
      <c r="F500" s="145" t="s">
        <v>1225</v>
      </c>
    </row>
    <row r="501" ht="15.75" customHeight="1">
      <c r="A501" s="145" t="s">
        <v>1487</v>
      </c>
      <c r="B501" s="150">
        <v>45516.0</v>
      </c>
      <c r="C501" s="145" t="s">
        <v>1284</v>
      </c>
      <c r="D501" s="145" t="s">
        <v>1411</v>
      </c>
      <c r="E501" s="146" t="s">
        <v>1494</v>
      </c>
      <c r="F501" s="145" t="s">
        <v>1225</v>
      </c>
    </row>
    <row r="502" ht="15.75" customHeight="1">
      <c r="A502" s="145" t="s">
        <v>1487</v>
      </c>
      <c r="B502" s="150">
        <v>45516.0</v>
      </c>
      <c r="C502" s="145" t="s">
        <v>1325</v>
      </c>
      <c r="D502" s="145" t="s">
        <v>1255</v>
      </c>
      <c r="E502" s="145" t="s">
        <v>1326</v>
      </c>
      <c r="F502" s="145" t="s">
        <v>1225</v>
      </c>
    </row>
    <row r="503" ht="15.75" customHeight="1">
      <c r="A503" s="145" t="s">
        <v>1487</v>
      </c>
      <c r="B503" s="150">
        <v>45517.0</v>
      </c>
      <c r="C503" s="145" t="s">
        <v>1389</v>
      </c>
      <c r="D503" s="145" t="s">
        <v>1255</v>
      </c>
      <c r="E503" s="145" t="s">
        <v>1201</v>
      </c>
      <c r="F503" s="145" t="s">
        <v>20</v>
      </c>
    </row>
    <row r="504" ht="15.75" customHeight="1">
      <c r="A504" s="145" t="s">
        <v>1487</v>
      </c>
      <c r="B504" s="150">
        <v>45517.0</v>
      </c>
      <c r="C504" s="145" t="s">
        <v>1254</v>
      </c>
      <c r="D504" s="145" t="s">
        <v>1255</v>
      </c>
      <c r="E504" s="146" t="s">
        <v>1495</v>
      </c>
      <c r="F504" s="145" t="s">
        <v>20</v>
      </c>
    </row>
    <row r="505" ht="15.75" customHeight="1">
      <c r="A505" s="145" t="s">
        <v>1487</v>
      </c>
      <c r="B505" s="150">
        <v>45517.0</v>
      </c>
      <c r="C505" s="145" t="s">
        <v>1272</v>
      </c>
      <c r="D505" s="146" t="s">
        <v>1493</v>
      </c>
      <c r="E505" s="145" t="s">
        <v>1201</v>
      </c>
      <c r="F505" s="145" t="s">
        <v>20</v>
      </c>
    </row>
    <row r="506" ht="15.75" customHeight="1">
      <c r="A506" s="145" t="s">
        <v>1487</v>
      </c>
      <c r="B506" s="150">
        <v>45517.0</v>
      </c>
      <c r="C506" s="145" t="s">
        <v>1330</v>
      </c>
      <c r="D506" s="145" t="s">
        <v>1255</v>
      </c>
      <c r="E506" s="145" t="s">
        <v>1326</v>
      </c>
      <c r="F506" s="145" t="s">
        <v>20</v>
      </c>
    </row>
    <row r="507" ht="15.75" customHeight="1">
      <c r="A507" s="145" t="s">
        <v>1487</v>
      </c>
      <c r="B507" s="150">
        <v>45518.0</v>
      </c>
      <c r="C507" s="145" t="s">
        <v>1220</v>
      </c>
      <c r="D507" s="145" t="s">
        <v>1255</v>
      </c>
      <c r="E507" s="145" t="s">
        <v>1413</v>
      </c>
      <c r="F507" s="145" t="s">
        <v>20</v>
      </c>
    </row>
    <row r="508" ht="15.75" customHeight="1">
      <c r="A508" s="145" t="s">
        <v>1487</v>
      </c>
      <c r="B508" s="150">
        <v>45518.0</v>
      </c>
      <c r="C508" s="145" t="s">
        <v>1248</v>
      </c>
      <c r="D508" s="145" t="s">
        <v>1488</v>
      </c>
      <c r="E508" s="145" t="s">
        <v>113</v>
      </c>
      <c r="F508" s="145" t="s">
        <v>1225</v>
      </c>
    </row>
    <row r="509" ht="15.75" customHeight="1">
      <c r="A509" s="145" t="s">
        <v>1487</v>
      </c>
      <c r="B509" s="150">
        <v>45518.0</v>
      </c>
      <c r="C509" s="145" t="s">
        <v>1277</v>
      </c>
      <c r="D509" s="146" t="s">
        <v>1493</v>
      </c>
      <c r="E509" s="145" t="s">
        <v>1201</v>
      </c>
      <c r="F509" s="145" t="s">
        <v>20</v>
      </c>
    </row>
    <row r="510" ht="15.75" customHeight="1">
      <c r="A510" s="145" t="s">
        <v>1487</v>
      </c>
      <c r="B510" s="150">
        <v>45518.0</v>
      </c>
      <c r="C510" s="145" t="s">
        <v>1226</v>
      </c>
      <c r="D510" s="145" t="s">
        <v>1496</v>
      </c>
      <c r="E510" s="145" t="s">
        <v>113</v>
      </c>
      <c r="F510" s="145" t="s">
        <v>1225</v>
      </c>
    </row>
    <row r="511" ht="15.75" customHeight="1">
      <c r="A511" s="145" t="s">
        <v>1487</v>
      </c>
      <c r="B511" s="150">
        <v>45519.0</v>
      </c>
      <c r="C511" s="145" t="s">
        <v>1458</v>
      </c>
      <c r="D511" s="145" t="s">
        <v>1276</v>
      </c>
      <c r="E511" s="145" t="s">
        <v>113</v>
      </c>
      <c r="F511" s="145" t="s">
        <v>1225</v>
      </c>
    </row>
    <row r="512" ht="15.75" customHeight="1">
      <c r="A512" s="145" t="s">
        <v>1487</v>
      </c>
      <c r="B512" s="150">
        <v>45519.0</v>
      </c>
      <c r="C512" s="145" t="s">
        <v>1278</v>
      </c>
      <c r="D512" s="146" t="s">
        <v>1493</v>
      </c>
      <c r="E512" s="145" t="s">
        <v>1201</v>
      </c>
      <c r="F512" s="145" t="s">
        <v>20</v>
      </c>
    </row>
    <row r="513" ht="15.75" customHeight="1">
      <c r="A513" s="145" t="s">
        <v>1487</v>
      </c>
      <c r="B513" s="150">
        <v>45520.0</v>
      </c>
      <c r="C513" s="145" t="s">
        <v>1254</v>
      </c>
      <c r="D513" s="145" t="s">
        <v>1255</v>
      </c>
      <c r="E513" s="146" t="s">
        <v>1495</v>
      </c>
      <c r="F513" s="145" t="s">
        <v>20</v>
      </c>
    </row>
    <row r="514" ht="15.75" customHeight="1">
      <c r="A514" s="145" t="s">
        <v>1487</v>
      </c>
      <c r="B514" s="150">
        <v>45520.0</v>
      </c>
      <c r="C514" s="145" t="s">
        <v>1202</v>
      </c>
      <c r="D514" s="145" t="s">
        <v>1396</v>
      </c>
      <c r="E514" s="145" t="s">
        <v>113</v>
      </c>
      <c r="F514" s="145" t="s">
        <v>1225</v>
      </c>
    </row>
    <row r="515" ht="15.75" customHeight="1">
      <c r="A515" s="145" t="s">
        <v>1487</v>
      </c>
      <c r="B515" s="150">
        <v>45520.0</v>
      </c>
      <c r="C515" s="145" t="s">
        <v>1389</v>
      </c>
      <c r="D515" s="145" t="s">
        <v>1255</v>
      </c>
      <c r="E515" s="145" t="s">
        <v>1201</v>
      </c>
      <c r="F515" s="145" t="s">
        <v>20</v>
      </c>
    </row>
    <row r="516" ht="15.75" customHeight="1">
      <c r="A516" s="145" t="s">
        <v>1487</v>
      </c>
      <c r="B516" s="150">
        <v>45521.0</v>
      </c>
      <c r="C516" s="145" t="s">
        <v>1261</v>
      </c>
      <c r="D516" s="145" t="s">
        <v>1255</v>
      </c>
      <c r="E516" s="145" t="s">
        <v>1262</v>
      </c>
      <c r="F516" s="145" t="s">
        <v>20</v>
      </c>
    </row>
    <row r="517" ht="15.75" customHeight="1">
      <c r="A517" s="145" t="s">
        <v>1487</v>
      </c>
      <c r="B517" s="150">
        <v>45521.0</v>
      </c>
      <c r="C517" s="145" t="s">
        <v>1232</v>
      </c>
      <c r="D517" s="146" t="s">
        <v>1491</v>
      </c>
      <c r="E517" s="145" t="s">
        <v>113</v>
      </c>
      <c r="F517" s="145" t="s">
        <v>1225</v>
      </c>
    </row>
    <row r="518" ht="15.75" customHeight="1">
      <c r="A518" s="145" t="s">
        <v>1487</v>
      </c>
      <c r="B518" s="150">
        <v>45521.0</v>
      </c>
      <c r="C518" s="145" t="s">
        <v>1235</v>
      </c>
      <c r="D518" s="145" t="s">
        <v>1488</v>
      </c>
      <c r="E518" s="145" t="s">
        <v>113</v>
      </c>
      <c r="F518" s="145" t="s">
        <v>1225</v>
      </c>
    </row>
    <row r="519" ht="15.75" customHeight="1">
      <c r="A519" s="145" t="s">
        <v>1487</v>
      </c>
      <c r="B519" s="150">
        <v>45522.0</v>
      </c>
      <c r="C519" s="145" t="s">
        <v>1208</v>
      </c>
      <c r="D519" s="146" t="s">
        <v>1493</v>
      </c>
      <c r="E519" s="145" t="s">
        <v>113</v>
      </c>
      <c r="F519" s="145" t="s">
        <v>1225</v>
      </c>
    </row>
    <row r="520" ht="15.75" customHeight="1">
      <c r="A520" s="145" t="s">
        <v>1487</v>
      </c>
      <c r="B520" s="150">
        <v>45522.0</v>
      </c>
      <c r="C520" s="145" t="s">
        <v>1210</v>
      </c>
      <c r="D520" s="145" t="s">
        <v>1276</v>
      </c>
      <c r="E520" s="145" t="s">
        <v>113</v>
      </c>
      <c r="F520" s="145" t="s">
        <v>1225</v>
      </c>
    </row>
    <row r="521" ht="15.75" customHeight="1">
      <c r="A521" s="145" t="s">
        <v>1487</v>
      </c>
      <c r="B521" s="150">
        <v>45523.0</v>
      </c>
      <c r="C521" s="145" t="s">
        <v>1269</v>
      </c>
      <c r="D521" s="145" t="s">
        <v>1488</v>
      </c>
      <c r="E521" s="145" t="s">
        <v>113</v>
      </c>
      <c r="F521" s="145" t="s">
        <v>1225</v>
      </c>
    </row>
    <row r="522" ht="15.75" customHeight="1">
      <c r="A522" s="145" t="s">
        <v>1487</v>
      </c>
      <c r="B522" s="150">
        <v>45523.0</v>
      </c>
      <c r="C522" s="145" t="s">
        <v>1325</v>
      </c>
      <c r="D522" s="145" t="s">
        <v>1255</v>
      </c>
      <c r="E522" s="145" t="s">
        <v>1326</v>
      </c>
      <c r="F522" s="145" t="s">
        <v>20</v>
      </c>
    </row>
    <row r="523" ht="15.75" customHeight="1">
      <c r="A523" s="145" t="s">
        <v>1487</v>
      </c>
      <c r="B523" s="150">
        <v>45523.0</v>
      </c>
      <c r="C523" s="145" t="s">
        <v>1449</v>
      </c>
      <c r="D523" s="145" t="s">
        <v>1276</v>
      </c>
      <c r="E523" s="145" t="s">
        <v>113</v>
      </c>
      <c r="F523" s="145" t="s">
        <v>1225</v>
      </c>
    </row>
    <row r="524" ht="15.75" customHeight="1">
      <c r="A524" s="145" t="s">
        <v>1487</v>
      </c>
      <c r="B524" s="150">
        <v>45523.0</v>
      </c>
      <c r="C524" s="145" t="s">
        <v>1282</v>
      </c>
      <c r="D524" s="145" t="s">
        <v>1411</v>
      </c>
      <c r="E524" s="145" t="s">
        <v>113</v>
      </c>
      <c r="F524" s="145" t="s">
        <v>1225</v>
      </c>
    </row>
    <row r="525" ht="15.75" customHeight="1">
      <c r="A525" s="145" t="s">
        <v>1487</v>
      </c>
      <c r="B525" s="150">
        <v>45523.0</v>
      </c>
      <c r="C525" s="145" t="s">
        <v>1284</v>
      </c>
      <c r="D525" s="145" t="s">
        <v>1411</v>
      </c>
      <c r="E525" s="145" t="s">
        <v>113</v>
      </c>
      <c r="F525" s="145" t="s">
        <v>1225</v>
      </c>
    </row>
    <row r="526" ht="15.75" customHeight="1">
      <c r="A526" s="145" t="s">
        <v>1487</v>
      </c>
      <c r="B526" s="150">
        <v>45524.0</v>
      </c>
      <c r="C526" s="145" t="s">
        <v>1389</v>
      </c>
      <c r="D526" s="145" t="s">
        <v>1255</v>
      </c>
      <c r="E526" s="145" t="s">
        <v>1201</v>
      </c>
      <c r="F526" s="145" t="s">
        <v>20</v>
      </c>
    </row>
    <row r="527" ht="15.75" customHeight="1">
      <c r="A527" s="145" t="s">
        <v>1487</v>
      </c>
      <c r="B527" s="150">
        <v>45524.0</v>
      </c>
      <c r="C527" s="145" t="s">
        <v>1254</v>
      </c>
      <c r="D527" s="145" t="s">
        <v>1255</v>
      </c>
      <c r="E527" s="145" t="s">
        <v>1201</v>
      </c>
      <c r="F527" s="145" t="s">
        <v>20</v>
      </c>
    </row>
    <row r="528" ht="15.75" customHeight="1">
      <c r="A528" s="145" t="s">
        <v>1487</v>
      </c>
      <c r="B528" s="150">
        <v>45524.0</v>
      </c>
      <c r="C528" s="145" t="s">
        <v>1272</v>
      </c>
      <c r="D528" s="146" t="s">
        <v>1493</v>
      </c>
      <c r="E528" s="145" t="s">
        <v>1497</v>
      </c>
      <c r="F528" s="145" t="s">
        <v>1225</v>
      </c>
    </row>
    <row r="529" ht="15.75" customHeight="1">
      <c r="A529" s="145" t="s">
        <v>1487</v>
      </c>
      <c r="B529" s="150">
        <v>45524.0</v>
      </c>
      <c r="C529" s="145" t="s">
        <v>1330</v>
      </c>
      <c r="D529" s="145" t="s">
        <v>1255</v>
      </c>
      <c r="E529" s="145" t="s">
        <v>1326</v>
      </c>
      <c r="F529" s="145" t="s">
        <v>20</v>
      </c>
    </row>
    <row r="530" ht="15.75" customHeight="1">
      <c r="A530" s="145" t="s">
        <v>1487</v>
      </c>
      <c r="B530" s="150">
        <v>45525.0</v>
      </c>
      <c r="C530" s="145" t="s">
        <v>1277</v>
      </c>
      <c r="D530" s="146" t="s">
        <v>1493</v>
      </c>
      <c r="E530" s="145" t="s">
        <v>1497</v>
      </c>
      <c r="F530" s="145" t="s">
        <v>1225</v>
      </c>
    </row>
    <row r="531" ht="15.75" customHeight="1">
      <c r="A531" s="145" t="s">
        <v>1487</v>
      </c>
      <c r="B531" s="150">
        <v>45526.0</v>
      </c>
      <c r="C531" s="145" t="s">
        <v>1278</v>
      </c>
      <c r="D531" s="146" t="s">
        <v>1493</v>
      </c>
      <c r="E531" s="145" t="s">
        <v>1497</v>
      </c>
      <c r="F531" s="145" t="s">
        <v>1225</v>
      </c>
    </row>
    <row r="532" ht="15.75" customHeight="1">
      <c r="A532" s="145" t="s">
        <v>1498</v>
      </c>
      <c r="B532" s="150">
        <v>45551.0</v>
      </c>
      <c r="C532" s="145" t="s">
        <v>1269</v>
      </c>
      <c r="D532" s="145" t="s">
        <v>1488</v>
      </c>
      <c r="E532" s="146" t="s">
        <v>1466</v>
      </c>
      <c r="F532" s="145" t="s">
        <v>20</v>
      </c>
    </row>
    <row r="533" ht="15.75" customHeight="1">
      <c r="A533" s="145" t="s">
        <v>1498</v>
      </c>
      <c r="B533" s="150">
        <v>45551.0</v>
      </c>
      <c r="C533" s="145" t="s">
        <v>1449</v>
      </c>
      <c r="D533" s="145" t="s">
        <v>1260</v>
      </c>
      <c r="E533" s="146" t="s">
        <v>1489</v>
      </c>
      <c r="F533" s="145" t="s">
        <v>20</v>
      </c>
    </row>
    <row r="534" ht="15.75" customHeight="1">
      <c r="A534" s="145" t="s">
        <v>1498</v>
      </c>
      <c r="B534" s="150">
        <v>45551.0</v>
      </c>
      <c r="C534" s="145" t="s">
        <v>1325</v>
      </c>
      <c r="D534" s="145" t="s">
        <v>1243</v>
      </c>
      <c r="E534" s="146" t="s">
        <v>1468</v>
      </c>
      <c r="F534" s="145" t="s">
        <v>20</v>
      </c>
    </row>
    <row r="535" ht="15.75" customHeight="1">
      <c r="A535" s="145" t="s">
        <v>1498</v>
      </c>
      <c r="B535" s="150">
        <v>45551.0</v>
      </c>
      <c r="C535" s="145" t="s">
        <v>1239</v>
      </c>
      <c r="D535" s="145" t="s">
        <v>1411</v>
      </c>
      <c r="E535" s="145" t="s">
        <v>1353</v>
      </c>
      <c r="F535" s="145" t="s">
        <v>20</v>
      </c>
    </row>
    <row r="536" ht="15.75" customHeight="1">
      <c r="A536" s="145" t="s">
        <v>1498</v>
      </c>
      <c r="B536" s="150">
        <v>45552.0</v>
      </c>
      <c r="C536" s="145" t="s">
        <v>1389</v>
      </c>
      <c r="D536" s="145" t="s">
        <v>1243</v>
      </c>
      <c r="E536" s="146" t="s">
        <v>1469</v>
      </c>
      <c r="F536" s="145" t="s">
        <v>20</v>
      </c>
    </row>
    <row r="537" ht="15.75" customHeight="1">
      <c r="A537" s="145" t="s">
        <v>1498</v>
      </c>
      <c r="B537" s="150">
        <v>45552.0</v>
      </c>
      <c r="C537" s="145" t="s">
        <v>1254</v>
      </c>
      <c r="D537" s="146" t="s">
        <v>1470</v>
      </c>
      <c r="E537" s="145" t="s">
        <v>1201</v>
      </c>
      <c r="F537" s="145" t="s">
        <v>20</v>
      </c>
    </row>
    <row r="538" ht="15.75" customHeight="1">
      <c r="A538" s="145" t="s">
        <v>1498</v>
      </c>
      <c r="B538" s="150">
        <v>45552.0</v>
      </c>
      <c r="C538" s="145" t="s">
        <v>1330</v>
      </c>
      <c r="D538" s="145" t="s">
        <v>1243</v>
      </c>
      <c r="E538" s="145" t="s">
        <v>1201</v>
      </c>
      <c r="F538" s="145" t="s">
        <v>20</v>
      </c>
    </row>
    <row r="539" ht="15.75" customHeight="1">
      <c r="A539" s="145" t="s">
        <v>1498</v>
      </c>
      <c r="B539" s="150">
        <v>45552.0</v>
      </c>
      <c r="C539" s="145" t="s">
        <v>1272</v>
      </c>
      <c r="D539" s="146" t="s">
        <v>1493</v>
      </c>
      <c r="E539" s="145" t="s">
        <v>1472</v>
      </c>
      <c r="F539" s="145" t="s">
        <v>20</v>
      </c>
    </row>
    <row r="540" ht="15.75" customHeight="1">
      <c r="A540" s="145" t="s">
        <v>1498</v>
      </c>
      <c r="B540" s="150">
        <v>45552.0</v>
      </c>
      <c r="C540" s="145" t="s">
        <v>884</v>
      </c>
      <c r="D540" s="145" t="s">
        <v>1243</v>
      </c>
      <c r="E540" s="146" t="s">
        <v>1473</v>
      </c>
      <c r="F540" s="145" t="s">
        <v>20</v>
      </c>
    </row>
    <row r="541" ht="15.75" customHeight="1">
      <c r="A541" s="145" t="s">
        <v>1499</v>
      </c>
      <c r="B541" s="150">
        <v>45558.0</v>
      </c>
      <c r="C541" s="145" t="s">
        <v>1269</v>
      </c>
      <c r="D541" s="145" t="s">
        <v>1488</v>
      </c>
      <c r="E541" s="146" t="s">
        <v>1466</v>
      </c>
      <c r="F541" s="145" t="s">
        <v>20</v>
      </c>
    </row>
    <row r="542" ht="15.75" customHeight="1">
      <c r="A542" s="145" t="s">
        <v>1499</v>
      </c>
      <c r="B542" s="150">
        <v>45558.0</v>
      </c>
      <c r="C542" s="145" t="s">
        <v>1449</v>
      </c>
      <c r="D542" s="145" t="s">
        <v>1260</v>
      </c>
      <c r="E542" s="146" t="s">
        <v>1489</v>
      </c>
      <c r="F542" s="145" t="s">
        <v>20</v>
      </c>
    </row>
    <row r="543" ht="15.75" customHeight="1">
      <c r="A543" s="145" t="s">
        <v>1499</v>
      </c>
      <c r="B543" s="150">
        <v>45558.0</v>
      </c>
      <c r="C543" s="145" t="s">
        <v>1325</v>
      </c>
      <c r="D543" s="145" t="s">
        <v>1243</v>
      </c>
      <c r="E543" s="146" t="s">
        <v>1468</v>
      </c>
      <c r="F543" s="145" t="s">
        <v>20</v>
      </c>
    </row>
    <row r="544" ht="15.75" customHeight="1">
      <c r="A544" s="145" t="s">
        <v>1499</v>
      </c>
      <c r="B544" s="150">
        <v>45558.0</v>
      </c>
      <c r="C544" s="145" t="s">
        <v>1239</v>
      </c>
      <c r="D544" s="145" t="s">
        <v>1411</v>
      </c>
      <c r="E544" s="145" t="s">
        <v>1353</v>
      </c>
      <c r="F544" s="145" t="s">
        <v>20</v>
      </c>
    </row>
    <row r="545" ht="15.75" customHeight="1">
      <c r="A545" s="145" t="s">
        <v>1499</v>
      </c>
      <c r="B545" s="150">
        <v>45559.0</v>
      </c>
      <c r="C545" s="145" t="s">
        <v>1389</v>
      </c>
      <c r="D545" s="145" t="s">
        <v>1243</v>
      </c>
      <c r="E545" s="146" t="s">
        <v>1469</v>
      </c>
      <c r="F545" s="145" t="s">
        <v>20</v>
      </c>
    </row>
    <row r="546" ht="15.75" customHeight="1">
      <c r="A546" s="145" t="s">
        <v>1499</v>
      </c>
      <c r="B546" s="150">
        <v>45559.0</v>
      </c>
      <c r="C546" s="145" t="s">
        <v>1254</v>
      </c>
      <c r="D546" s="146" t="s">
        <v>1470</v>
      </c>
      <c r="E546" s="145" t="s">
        <v>1201</v>
      </c>
      <c r="F546" s="145" t="s">
        <v>20</v>
      </c>
    </row>
    <row r="547" ht="15.75" customHeight="1">
      <c r="A547" s="145" t="s">
        <v>1499</v>
      </c>
      <c r="B547" s="150">
        <v>45559.0</v>
      </c>
      <c r="C547" s="145" t="s">
        <v>1330</v>
      </c>
      <c r="D547" s="145" t="s">
        <v>1243</v>
      </c>
      <c r="E547" s="145" t="s">
        <v>1201</v>
      </c>
      <c r="F547" s="145" t="s">
        <v>20</v>
      </c>
    </row>
    <row r="548" ht="15.75" customHeight="1">
      <c r="A548" s="145" t="s">
        <v>1499</v>
      </c>
      <c r="B548" s="150">
        <v>45559.0</v>
      </c>
      <c r="C548" s="145" t="s">
        <v>1272</v>
      </c>
      <c r="D548" s="146" t="s">
        <v>1493</v>
      </c>
      <c r="E548" s="145" t="s">
        <v>1472</v>
      </c>
      <c r="F548" s="145" t="s">
        <v>20</v>
      </c>
    </row>
    <row r="549" ht="15.75" customHeight="1">
      <c r="A549" s="145" t="s">
        <v>1499</v>
      </c>
      <c r="B549" s="150">
        <v>45559.0</v>
      </c>
      <c r="C549" s="145" t="s">
        <v>884</v>
      </c>
      <c r="D549" s="145" t="s">
        <v>1243</v>
      </c>
      <c r="E549" s="146" t="s">
        <v>1473</v>
      </c>
      <c r="F549" s="145" t="s">
        <v>20</v>
      </c>
    </row>
    <row r="550" ht="15.75" customHeight="1">
      <c r="A550" s="145" t="s">
        <v>1500</v>
      </c>
      <c r="B550" s="150">
        <v>45579.0</v>
      </c>
      <c r="C550" s="145" t="s">
        <v>1269</v>
      </c>
      <c r="D550" s="145" t="s">
        <v>1319</v>
      </c>
      <c r="E550" s="145" t="s">
        <v>1353</v>
      </c>
      <c r="F550" s="145" t="s">
        <v>20</v>
      </c>
    </row>
    <row r="551" ht="15.75" customHeight="1">
      <c r="A551" s="145" t="s">
        <v>1500</v>
      </c>
      <c r="B551" s="150">
        <v>45579.0</v>
      </c>
      <c r="C551" s="145" t="s">
        <v>1325</v>
      </c>
      <c r="D551" s="145" t="s">
        <v>1255</v>
      </c>
      <c r="E551" s="145" t="s">
        <v>1201</v>
      </c>
      <c r="F551" s="145" t="s">
        <v>20</v>
      </c>
    </row>
    <row r="552" ht="15.75" customHeight="1">
      <c r="A552" s="145" t="s">
        <v>1500</v>
      </c>
      <c r="B552" s="150">
        <v>45579.0</v>
      </c>
      <c r="C552" s="145" t="s">
        <v>1239</v>
      </c>
      <c r="D552" s="145" t="s">
        <v>1411</v>
      </c>
      <c r="E552" s="145" t="s">
        <v>1353</v>
      </c>
      <c r="F552" s="145" t="s">
        <v>20</v>
      </c>
    </row>
    <row r="553" ht="15.75" customHeight="1">
      <c r="A553" s="145" t="s">
        <v>1500</v>
      </c>
      <c r="B553" s="150">
        <v>45580.0</v>
      </c>
      <c r="C553" s="145" t="s">
        <v>1389</v>
      </c>
      <c r="D553" s="145" t="s">
        <v>1255</v>
      </c>
      <c r="E553" s="145" t="s">
        <v>1201</v>
      </c>
      <c r="F553" s="145" t="s">
        <v>20</v>
      </c>
    </row>
    <row r="554" ht="15.75" customHeight="1">
      <c r="A554" s="145" t="s">
        <v>1500</v>
      </c>
      <c r="B554" s="150">
        <v>45580.0</v>
      </c>
      <c r="C554" s="145" t="s">
        <v>1254</v>
      </c>
      <c r="D554" s="145" t="s">
        <v>1255</v>
      </c>
      <c r="E554" s="145" t="s">
        <v>1201</v>
      </c>
      <c r="F554" s="145" t="s">
        <v>20</v>
      </c>
    </row>
    <row r="555" ht="15.75" customHeight="1">
      <c r="A555" s="145" t="s">
        <v>1500</v>
      </c>
      <c r="B555" s="150">
        <v>45580.0</v>
      </c>
      <c r="C555" s="145" t="s">
        <v>1272</v>
      </c>
      <c r="D555" s="145" t="s">
        <v>1383</v>
      </c>
      <c r="E555" s="145" t="s">
        <v>1201</v>
      </c>
      <c r="F555" s="145" t="s">
        <v>20</v>
      </c>
    </row>
    <row r="556" ht="15.75" customHeight="1">
      <c r="A556" s="145" t="s">
        <v>1500</v>
      </c>
      <c r="B556" s="150">
        <v>45580.0</v>
      </c>
      <c r="C556" s="145" t="s">
        <v>1330</v>
      </c>
      <c r="D556" s="145" t="s">
        <v>1255</v>
      </c>
      <c r="E556" s="145" t="s">
        <v>1201</v>
      </c>
      <c r="F556" s="145" t="s">
        <v>20</v>
      </c>
    </row>
    <row r="557" ht="15.75" customHeight="1">
      <c r="A557" s="145" t="s">
        <v>1501</v>
      </c>
      <c r="B557" s="150">
        <v>45600.0</v>
      </c>
      <c r="C557" s="145" t="s">
        <v>1269</v>
      </c>
      <c r="D557" s="145" t="s">
        <v>1319</v>
      </c>
      <c r="E557" s="145" t="s">
        <v>1502</v>
      </c>
      <c r="F557" s="145" t="s">
        <v>20</v>
      </c>
    </row>
    <row r="558" ht="15.75" customHeight="1">
      <c r="A558" s="145" t="s">
        <v>1501</v>
      </c>
      <c r="B558" s="150">
        <v>45600.0</v>
      </c>
      <c r="C558" s="145" t="s">
        <v>1325</v>
      </c>
      <c r="D558" s="145" t="s">
        <v>1255</v>
      </c>
      <c r="E558" s="145" t="s">
        <v>1201</v>
      </c>
      <c r="F558" s="145" t="s">
        <v>20</v>
      </c>
    </row>
    <row r="559" ht="15.75" customHeight="1">
      <c r="A559" s="145" t="s">
        <v>1501</v>
      </c>
      <c r="B559" s="150">
        <v>45600.0</v>
      </c>
      <c r="C559" s="145" t="s">
        <v>1239</v>
      </c>
      <c r="D559" s="145" t="s">
        <v>1411</v>
      </c>
      <c r="E559" s="145" t="s">
        <v>1502</v>
      </c>
      <c r="F559" s="145" t="s">
        <v>20</v>
      </c>
    </row>
    <row r="560" ht="15.75" customHeight="1">
      <c r="A560" s="145" t="s">
        <v>1501</v>
      </c>
      <c r="B560" s="150">
        <v>45601.0</v>
      </c>
      <c r="C560" s="145" t="s">
        <v>1389</v>
      </c>
      <c r="D560" s="145" t="s">
        <v>1255</v>
      </c>
      <c r="E560" s="145" t="s">
        <v>1201</v>
      </c>
      <c r="F560" s="145" t="s">
        <v>20</v>
      </c>
    </row>
    <row r="561" ht="15.75" customHeight="1">
      <c r="A561" s="145" t="s">
        <v>1501</v>
      </c>
      <c r="B561" s="150">
        <v>45601.0</v>
      </c>
      <c r="C561" s="145" t="s">
        <v>1254</v>
      </c>
      <c r="D561" s="145" t="s">
        <v>1255</v>
      </c>
      <c r="E561" s="145" t="s">
        <v>1201</v>
      </c>
      <c r="F561" s="145" t="s">
        <v>20</v>
      </c>
    </row>
    <row r="562" ht="15.75" customHeight="1">
      <c r="A562" s="145" t="s">
        <v>1501</v>
      </c>
      <c r="B562" s="150">
        <v>45601.0</v>
      </c>
      <c r="C562" s="145" t="s">
        <v>1272</v>
      </c>
      <c r="D562" s="145" t="s">
        <v>1383</v>
      </c>
      <c r="E562" s="145" t="s">
        <v>1201</v>
      </c>
      <c r="F562" s="145" t="s">
        <v>20</v>
      </c>
    </row>
    <row r="563" ht="15.75" customHeight="1">
      <c r="A563" s="145" t="s">
        <v>1501</v>
      </c>
      <c r="B563" s="150">
        <v>45601.0</v>
      </c>
      <c r="C563" s="145" t="s">
        <v>1330</v>
      </c>
      <c r="D563" s="145" t="s">
        <v>1255</v>
      </c>
      <c r="E563" s="145" t="s">
        <v>1201</v>
      </c>
      <c r="F563" s="145" t="s">
        <v>20</v>
      </c>
    </row>
    <row r="564" ht="15.75" customHeight="1">
      <c r="A564" s="145" t="s">
        <v>1503</v>
      </c>
      <c r="B564" s="150">
        <v>45653.0</v>
      </c>
      <c r="C564" s="145" t="s">
        <v>1254</v>
      </c>
      <c r="D564" s="145" t="s">
        <v>1255</v>
      </c>
      <c r="E564" s="145" t="s">
        <v>1201</v>
      </c>
      <c r="F564" s="145" t="s">
        <v>20</v>
      </c>
    </row>
    <row r="565" ht="15.75" customHeight="1">
      <c r="A565" s="145" t="s">
        <v>1503</v>
      </c>
      <c r="B565" s="150">
        <v>45653.0</v>
      </c>
      <c r="C565" s="145" t="s">
        <v>1389</v>
      </c>
      <c r="D565" s="145" t="s">
        <v>1255</v>
      </c>
      <c r="E565" s="145" t="s">
        <v>1201</v>
      </c>
      <c r="F565" s="145" t="s">
        <v>20</v>
      </c>
    </row>
    <row r="566" ht="15.75" customHeight="1">
      <c r="A566" s="145" t="s">
        <v>1503</v>
      </c>
      <c r="B566" s="150">
        <v>45653.0</v>
      </c>
      <c r="C566" s="145" t="s">
        <v>1202</v>
      </c>
      <c r="D566" s="145" t="s">
        <v>1396</v>
      </c>
      <c r="E566" s="145" t="s">
        <v>1201</v>
      </c>
      <c r="F566" s="145" t="s">
        <v>20</v>
      </c>
    </row>
    <row r="567" ht="15.75" customHeight="1">
      <c r="A567" s="145" t="s">
        <v>1503</v>
      </c>
      <c r="B567" s="150">
        <v>45653.0</v>
      </c>
      <c r="C567" s="145" t="s">
        <v>830</v>
      </c>
      <c r="D567" s="145" t="s">
        <v>1255</v>
      </c>
      <c r="E567" s="145" t="s">
        <v>1201</v>
      </c>
      <c r="F567" s="145" t="s">
        <v>20</v>
      </c>
    </row>
    <row r="568" ht="15.75" customHeight="1">
      <c r="A568" s="145" t="s">
        <v>1503</v>
      </c>
      <c r="B568" s="150">
        <v>45653.0</v>
      </c>
      <c r="C568" s="145" t="s">
        <v>846</v>
      </c>
      <c r="D568" s="145"/>
      <c r="E568" s="145" t="s">
        <v>1201</v>
      </c>
      <c r="F568" s="145" t="s">
        <v>20</v>
      </c>
    </row>
    <row r="569" ht="15.75" customHeight="1">
      <c r="A569" s="145" t="s">
        <v>1503</v>
      </c>
      <c r="B569" s="150">
        <v>45654.0</v>
      </c>
      <c r="C569" s="145" t="s">
        <v>1231</v>
      </c>
      <c r="D569" s="145" t="s">
        <v>1255</v>
      </c>
      <c r="E569" s="145" t="s">
        <v>1201</v>
      </c>
      <c r="F569" s="145" t="s">
        <v>20</v>
      </c>
    </row>
    <row r="570" ht="15.75" customHeight="1">
      <c r="A570" s="145" t="s">
        <v>1503</v>
      </c>
      <c r="B570" s="150">
        <v>45654.0</v>
      </c>
      <c r="C570" s="145" t="s">
        <v>1232</v>
      </c>
      <c r="D570" s="146" t="s">
        <v>1504</v>
      </c>
      <c r="E570" s="145" t="s">
        <v>1505</v>
      </c>
      <c r="F570" s="145" t="s">
        <v>20</v>
      </c>
    </row>
    <row r="571" ht="15.75" customHeight="1">
      <c r="A571" s="145" t="s">
        <v>1503</v>
      </c>
      <c r="B571" s="150">
        <v>45654.0</v>
      </c>
      <c r="C571" s="145" t="s">
        <v>1235</v>
      </c>
      <c r="D571" s="146" t="s">
        <v>1506</v>
      </c>
      <c r="E571" s="145" t="s">
        <v>1201</v>
      </c>
      <c r="F571" s="145" t="s">
        <v>20</v>
      </c>
    </row>
    <row r="572" ht="15.75" customHeight="1">
      <c r="A572" s="145" t="s">
        <v>1503</v>
      </c>
      <c r="B572" s="150">
        <v>45655.0</v>
      </c>
      <c r="C572" s="145" t="s">
        <v>1507</v>
      </c>
      <c r="D572" s="146" t="s">
        <v>1508</v>
      </c>
      <c r="E572" s="146" t="s">
        <v>1509</v>
      </c>
      <c r="F572" s="145" t="s">
        <v>20</v>
      </c>
    </row>
    <row r="573" ht="15.75" customHeight="1">
      <c r="A573" s="145" t="s">
        <v>1503</v>
      </c>
      <c r="B573" s="150">
        <v>45655.0</v>
      </c>
      <c r="C573" s="145" t="s">
        <v>1510</v>
      </c>
      <c r="D573" s="146" t="s">
        <v>1511</v>
      </c>
      <c r="E573" s="145" t="s">
        <v>1512</v>
      </c>
      <c r="F573" s="145" t="s">
        <v>1243</v>
      </c>
    </row>
    <row r="574" ht="15.75" customHeight="1">
      <c r="A574" s="145" t="s">
        <v>1503</v>
      </c>
      <c r="B574" s="150">
        <v>45655.0</v>
      </c>
      <c r="C574" s="145" t="s">
        <v>876</v>
      </c>
      <c r="D574" s="145" t="s">
        <v>1276</v>
      </c>
      <c r="E574" s="145" t="s">
        <v>1201</v>
      </c>
      <c r="F574" s="145" t="s">
        <v>20</v>
      </c>
    </row>
    <row r="575" ht="15.75" customHeight="1">
      <c r="A575" s="145" t="s">
        <v>1503</v>
      </c>
      <c r="B575" s="150">
        <v>45656.0</v>
      </c>
      <c r="C575" s="145" t="s">
        <v>264</v>
      </c>
      <c r="D575" s="146" t="s">
        <v>1506</v>
      </c>
      <c r="E575" s="145" t="s">
        <v>1201</v>
      </c>
      <c r="F575" s="145" t="s">
        <v>20</v>
      </c>
    </row>
    <row r="576" ht="15.75" customHeight="1">
      <c r="A576" s="145" t="s">
        <v>1503</v>
      </c>
      <c r="B576" s="150">
        <v>45656.0</v>
      </c>
      <c r="C576" s="145" t="s">
        <v>401</v>
      </c>
      <c r="D576" s="145" t="s">
        <v>1276</v>
      </c>
      <c r="E576" s="145" t="s">
        <v>1201</v>
      </c>
      <c r="F576" s="145" t="s">
        <v>20</v>
      </c>
    </row>
    <row r="577" ht="15.75" customHeight="1">
      <c r="A577" s="145" t="s">
        <v>1503</v>
      </c>
      <c r="B577" s="150">
        <v>45656.0</v>
      </c>
      <c r="C577" s="145" t="s">
        <v>1325</v>
      </c>
      <c r="D577" s="145" t="s">
        <v>1255</v>
      </c>
      <c r="E577" s="145" t="s">
        <v>1201</v>
      </c>
      <c r="F577" s="145" t="s">
        <v>20</v>
      </c>
    </row>
    <row r="578" ht="15.75" customHeight="1">
      <c r="A578" s="145" t="s">
        <v>1503</v>
      </c>
      <c r="B578" s="150">
        <v>45656.0</v>
      </c>
      <c r="C578" s="145" t="s">
        <v>1282</v>
      </c>
      <c r="D578" s="145" t="s">
        <v>1513</v>
      </c>
      <c r="E578" s="145" t="s">
        <v>1505</v>
      </c>
      <c r="F578" s="145" t="s">
        <v>20</v>
      </c>
    </row>
    <row r="579" ht="15.75" customHeight="1">
      <c r="A579" s="145" t="s">
        <v>1503</v>
      </c>
      <c r="B579" s="150">
        <v>45656.0</v>
      </c>
      <c r="C579" s="145" t="s">
        <v>1284</v>
      </c>
      <c r="D579" s="145" t="s">
        <v>1513</v>
      </c>
      <c r="E579" s="145" t="s">
        <v>1505</v>
      </c>
      <c r="F579" s="145" t="s">
        <v>20</v>
      </c>
    </row>
    <row r="580" ht="15.75" customHeight="1">
      <c r="A580" s="145" t="s">
        <v>1503</v>
      </c>
      <c r="B580" s="150">
        <v>45657.0</v>
      </c>
      <c r="C580" s="145" t="s">
        <v>1389</v>
      </c>
      <c r="D580" s="145" t="s">
        <v>1255</v>
      </c>
      <c r="E580" s="145" t="s">
        <v>1201</v>
      </c>
      <c r="F580" s="145" t="s">
        <v>20</v>
      </c>
    </row>
    <row r="581" ht="15.75" customHeight="1">
      <c r="A581" s="145" t="s">
        <v>1503</v>
      </c>
      <c r="B581" s="150">
        <v>45657.0</v>
      </c>
      <c r="C581" s="145" t="s">
        <v>1254</v>
      </c>
      <c r="D581" s="145" t="s">
        <v>1255</v>
      </c>
      <c r="E581" s="146" t="s">
        <v>1307</v>
      </c>
      <c r="F581" s="145" t="s">
        <v>20</v>
      </c>
    </row>
    <row r="582" ht="15.75" customHeight="1">
      <c r="A582" s="145" t="s">
        <v>1503</v>
      </c>
      <c r="B582" s="150">
        <v>45657.0</v>
      </c>
      <c r="C582" s="145" t="s">
        <v>1330</v>
      </c>
      <c r="D582" s="145" t="s">
        <v>1255</v>
      </c>
      <c r="E582" s="145" t="s">
        <v>1433</v>
      </c>
      <c r="F582" s="145" t="s">
        <v>20</v>
      </c>
    </row>
    <row r="583" ht="15.75" customHeight="1">
      <c r="A583" s="145" t="s">
        <v>1503</v>
      </c>
      <c r="B583" s="150">
        <v>45657.0</v>
      </c>
      <c r="C583" s="145" t="s">
        <v>1272</v>
      </c>
      <c r="D583" s="146" t="s">
        <v>1508</v>
      </c>
      <c r="E583" s="145" t="s">
        <v>1433</v>
      </c>
      <c r="F583" s="145" t="s">
        <v>1476</v>
      </c>
    </row>
    <row r="584" ht="15.75" customHeight="1">
      <c r="A584" s="145" t="s">
        <v>1503</v>
      </c>
      <c r="B584" s="150">
        <v>45658.0</v>
      </c>
      <c r="C584" s="145" t="s">
        <v>1220</v>
      </c>
      <c r="D584" s="145" t="s">
        <v>1255</v>
      </c>
      <c r="E584" s="145" t="s">
        <v>1433</v>
      </c>
      <c r="F584" s="145" t="s">
        <v>20</v>
      </c>
    </row>
    <row r="585" ht="15.75" customHeight="1">
      <c r="A585" s="145" t="s">
        <v>1503</v>
      </c>
      <c r="B585" s="150">
        <v>45658.0</v>
      </c>
      <c r="C585" s="145" t="s">
        <v>1248</v>
      </c>
      <c r="D585" s="146" t="s">
        <v>1506</v>
      </c>
      <c r="E585" s="145" t="s">
        <v>1433</v>
      </c>
      <c r="F585" s="145" t="s">
        <v>1476</v>
      </c>
    </row>
    <row r="586" ht="15.75" customHeight="1">
      <c r="A586" s="145" t="s">
        <v>1503</v>
      </c>
      <c r="B586" s="150">
        <v>45658.0</v>
      </c>
      <c r="C586" s="145" t="s">
        <v>1226</v>
      </c>
      <c r="D586" s="146" t="s">
        <v>1514</v>
      </c>
      <c r="E586" s="145" t="s">
        <v>1433</v>
      </c>
      <c r="F586" s="145" t="s">
        <v>1476</v>
      </c>
    </row>
    <row r="587" ht="15.75" customHeight="1">
      <c r="A587" s="145" t="s">
        <v>1503</v>
      </c>
      <c r="B587" s="150">
        <v>45658.0</v>
      </c>
      <c r="C587" s="145" t="s">
        <v>1277</v>
      </c>
      <c r="D587" s="146" t="s">
        <v>1508</v>
      </c>
      <c r="E587" s="145" t="s">
        <v>1433</v>
      </c>
      <c r="F587" s="145" t="s">
        <v>1476</v>
      </c>
    </row>
    <row r="588" ht="15.75" customHeight="1">
      <c r="A588" s="145" t="s">
        <v>1503</v>
      </c>
      <c r="B588" s="150">
        <v>45659.0</v>
      </c>
      <c r="C588" s="145" t="s">
        <v>1458</v>
      </c>
      <c r="D588" s="145" t="s">
        <v>1276</v>
      </c>
      <c r="E588" s="145" t="s">
        <v>1515</v>
      </c>
      <c r="F588" s="145" t="s">
        <v>1476</v>
      </c>
    </row>
    <row r="589" ht="15.75" customHeight="1">
      <c r="A589" s="145" t="s">
        <v>1503</v>
      </c>
      <c r="B589" s="150">
        <v>45659.0</v>
      </c>
      <c r="C589" s="145" t="s">
        <v>1278</v>
      </c>
      <c r="D589" s="146" t="s">
        <v>1508</v>
      </c>
      <c r="E589" s="145" t="s">
        <v>1516</v>
      </c>
      <c r="F589" s="145" t="s">
        <v>1476</v>
      </c>
    </row>
    <row r="590" ht="15.75" customHeight="1">
      <c r="A590" s="145" t="s">
        <v>1503</v>
      </c>
      <c r="B590" s="150">
        <v>45660.0</v>
      </c>
      <c r="C590" s="145" t="s">
        <v>1254</v>
      </c>
      <c r="D590" s="145" t="s">
        <v>1255</v>
      </c>
      <c r="E590" s="146" t="s">
        <v>1307</v>
      </c>
      <c r="F590" s="145" t="s">
        <v>20</v>
      </c>
    </row>
    <row r="591" ht="15.75" customHeight="1">
      <c r="A591" s="145" t="s">
        <v>1503</v>
      </c>
      <c r="B591" s="150">
        <v>45660.0</v>
      </c>
      <c r="C591" s="145" t="s">
        <v>1389</v>
      </c>
      <c r="D591" s="145" t="s">
        <v>1255</v>
      </c>
      <c r="E591" s="145" t="s">
        <v>1201</v>
      </c>
      <c r="F591" s="145" t="s">
        <v>20</v>
      </c>
    </row>
    <row r="592" ht="15.75" customHeight="1">
      <c r="A592" s="145" t="s">
        <v>1503</v>
      </c>
      <c r="B592" s="150">
        <v>45660.0</v>
      </c>
      <c r="C592" s="145" t="s">
        <v>1202</v>
      </c>
      <c r="D592" s="145" t="s">
        <v>1396</v>
      </c>
      <c r="E592" s="145" t="s">
        <v>113</v>
      </c>
      <c r="F592" s="145" t="s">
        <v>1476</v>
      </c>
    </row>
    <row r="593" ht="15.75" customHeight="1">
      <c r="A593" s="145" t="s">
        <v>1503</v>
      </c>
      <c r="B593" s="150">
        <v>45660.0</v>
      </c>
      <c r="C593" s="145" t="s">
        <v>830</v>
      </c>
      <c r="D593" s="145" t="s">
        <v>1255</v>
      </c>
      <c r="E593" s="145" t="s">
        <v>1201</v>
      </c>
      <c r="F593" s="145" t="s">
        <v>20</v>
      </c>
    </row>
    <row r="594" ht="15.75" customHeight="1">
      <c r="A594" s="145" t="s">
        <v>1503</v>
      </c>
      <c r="B594" s="150">
        <v>45660.0</v>
      </c>
      <c r="C594" s="145" t="s">
        <v>846</v>
      </c>
      <c r="D594" s="145" t="s">
        <v>1255</v>
      </c>
      <c r="E594" s="145" t="s">
        <v>1201</v>
      </c>
      <c r="F594" s="145" t="s">
        <v>20</v>
      </c>
    </row>
    <row r="595" ht="15.75" customHeight="1">
      <c r="A595" s="145" t="s">
        <v>1503</v>
      </c>
      <c r="B595" s="150">
        <v>45661.0</v>
      </c>
      <c r="C595" s="145" t="s">
        <v>1231</v>
      </c>
      <c r="D595" s="145" t="s">
        <v>1255</v>
      </c>
      <c r="E595" s="145" t="s">
        <v>113</v>
      </c>
      <c r="F595" s="145" t="s">
        <v>20</v>
      </c>
    </row>
    <row r="596" ht="15.75" customHeight="1">
      <c r="A596" s="145" t="s">
        <v>1503</v>
      </c>
      <c r="B596" s="150">
        <v>45661.0</v>
      </c>
      <c r="C596" s="145" t="s">
        <v>1232</v>
      </c>
      <c r="D596" s="146" t="s">
        <v>1504</v>
      </c>
      <c r="E596" s="145" t="s">
        <v>113</v>
      </c>
      <c r="F596" s="145" t="s">
        <v>1476</v>
      </c>
    </row>
    <row r="597" ht="15.75" customHeight="1">
      <c r="A597" s="145" t="s">
        <v>1503</v>
      </c>
      <c r="B597" s="150">
        <v>45661.0</v>
      </c>
      <c r="C597" s="145" t="s">
        <v>1235</v>
      </c>
      <c r="D597" s="146" t="s">
        <v>1506</v>
      </c>
      <c r="E597" s="145" t="s">
        <v>113</v>
      </c>
      <c r="F597" s="145" t="s">
        <v>1476</v>
      </c>
    </row>
    <row r="598" ht="15.75" customHeight="1">
      <c r="A598" s="145" t="s">
        <v>1503</v>
      </c>
      <c r="B598" s="150">
        <v>45662.0</v>
      </c>
      <c r="C598" s="145" t="s">
        <v>1507</v>
      </c>
      <c r="D598" s="146" t="s">
        <v>1508</v>
      </c>
      <c r="E598" s="145" t="s">
        <v>113</v>
      </c>
      <c r="F598" s="145" t="s">
        <v>1476</v>
      </c>
    </row>
    <row r="599" ht="15.75" customHeight="1">
      <c r="A599" s="145" t="s">
        <v>1503</v>
      </c>
      <c r="B599" s="150">
        <v>45662.0</v>
      </c>
      <c r="C599" s="145" t="s">
        <v>1510</v>
      </c>
      <c r="D599" s="146" t="s">
        <v>1511</v>
      </c>
      <c r="E599" s="145" t="s">
        <v>1512</v>
      </c>
      <c r="F599" s="145" t="s">
        <v>1243</v>
      </c>
    </row>
    <row r="600" ht="15.75" customHeight="1">
      <c r="A600" s="145" t="s">
        <v>1503</v>
      </c>
      <c r="B600" s="150">
        <v>45662.0</v>
      </c>
      <c r="C600" s="145" t="s">
        <v>876</v>
      </c>
      <c r="D600" s="145" t="s">
        <v>1276</v>
      </c>
      <c r="E600" s="145" t="s">
        <v>113</v>
      </c>
      <c r="F600" s="145" t="s">
        <v>1476</v>
      </c>
    </row>
    <row r="601" ht="15.75" customHeight="1">
      <c r="A601" s="145" t="s">
        <v>1503</v>
      </c>
      <c r="B601" s="150">
        <v>45663.0</v>
      </c>
      <c r="C601" s="145" t="s">
        <v>264</v>
      </c>
      <c r="D601" s="146" t="s">
        <v>1506</v>
      </c>
      <c r="E601" s="145" t="s">
        <v>113</v>
      </c>
      <c r="F601" s="145" t="s">
        <v>1476</v>
      </c>
    </row>
    <row r="602" ht="15.75" customHeight="1">
      <c r="A602" s="145" t="s">
        <v>1503</v>
      </c>
      <c r="B602" s="150">
        <v>45663.0</v>
      </c>
      <c r="C602" s="145" t="s">
        <v>401</v>
      </c>
      <c r="D602" s="145" t="s">
        <v>1276</v>
      </c>
      <c r="E602" s="145" t="s">
        <v>1515</v>
      </c>
      <c r="F602" s="145" t="s">
        <v>1476</v>
      </c>
    </row>
    <row r="603" ht="15.75" customHeight="1">
      <c r="A603" s="145" t="s">
        <v>1503</v>
      </c>
      <c r="B603" s="150">
        <v>45663.0</v>
      </c>
      <c r="C603" s="145" t="s">
        <v>1325</v>
      </c>
      <c r="D603" s="145" t="s">
        <v>1255</v>
      </c>
      <c r="E603" s="145" t="s">
        <v>1201</v>
      </c>
      <c r="F603" s="145" t="s">
        <v>20</v>
      </c>
    </row>
    <row r="604" ht="15.75" customHeight="1">
      <c r="A604" s="145" t="s">
        <v>1503</v>
      </c>
      <c r="B604" s="150">
        <v>45663.0</v>
      </c>
      <c r="C604" s="145" t="s">
        <v>1282</v>
      </c>
      <c r="D604" s="145" t="s">
        <v>1513</v>
      </c>
      <c r="E604" s="145" t="s">
        <v>113</v>
      </c>
      <c r="F604" s="145" t="s">
        <v>1476</v>
      </c>
    </row>
    <row r="605" ht="15.75" customHeight="1">
      <c r="A605" s="145" t="s">
        <v>1503</v>
      </c>
      <c r="B605" s="150">
        <v>45663.0</v>
      </c>
      <c r="C605" s="145" t="s">
        <v>1284</v>
      </c>
      <c r="D605" s="145" t="s">
        <v>1513</v>
      </c>
      <c r="E605" s="145" t="s">
        <v>113</v>
      </c>
      <c r="F605" s="145" t="s">
        <v>1476</v>
      </c>
    </row>
    <row r="606" ht="15.75" customHeight="1">
      <c r="A606" s="145" t="s">
        <v>1503</v>
      </c>
      <c r="B606" s="150">
        <v>45664.0</v>
      </c>
      <c r="C606" s="145" t="s">
        <v>1389</v>
      </c>
      <c r="D606" s="145" t="s">
        <v>1255</v>
      </c>
      <c r="E606" s="145" t="s">
        <v>1201</v>
      </c>
      <c r="F606" s="145" t="s">
        <v>20</v>
      </c>
    </row>
    <row r="607" ht="15.75" customHeight="1">
      <c r="A607" s="145" t="s">
        <v>1503</v>
      </c>
      <c r="B607" s="150">
        <v>45664.0</v>
      </c>
      <c r="C607" s="145" t="s">
        <v>1254</v>
      </c>
      <c r="D607" s="145" t="s">
        <v>1255</v>
      </c>
      <c r="E607" s="145" t="s">
        <v>1201</v>
      </c>
      <c r="F607" s="145" t="s">
        <v>20</v>
      </c>
    </row>
    <row r="608" ht="15.75" customHeight="1">
      <c r="A608" s="145" t="s">
        <v>1503</v>
      </c>
      <c r="B608" s="150">
        <v>45664.0</v>
      </c>
      <c r="C608" s="145" t="s">
        <v>1330</v>
      </c>
      <c r="D608" s="145" t="s">
        <v>1255</v>
      </c>
      <c r="E608" s="145" t="s">
        <v>1201</v>
      </c>
      <c r="F608" s="145" t="s">
        <v>20</v>
      </c>
    </row>
    <row r="609" ht="15.75" customHeight="1">
      <c r="A609" s="145" t="s">
        <v>1503</v>
      </c>
      <c r="B609" s="150">
        <v>45664.0</v>
      </c>
      <c r="C609" s="145" t="s">
        <v>1272</v>
      </c>
      <c r="D609" s="146" t="s">
        <v>1508</v>
      </c>
      <c r="E609" s="146" t="s">
        <v>1517</v>
      </c>
      <c r="F609" s="145" t="s">
        <v>1476</v>
      </c>
    </row>
    <row r="610" ht="15.75" customHeight="1">
      <c r="A610" s="145" t="s">
        <v>1503</v>
      </c>
      <c r="B610" s="150">
        <v>45665.0</v>
      </c>
      <c r="C610" s="145" t="s">
        <v>1277</v>
      </c>
      <c r="D610" s="146" t="s">
        <v>1508</v>
      </c>
      <c r="E610" s="146" t="s">
        <v>1517</v>
      </c>
      <c r="F610" s="145" t="s">
        <v>1476</v>
      </c>
    </row>
    <row r="611" ht="15.75" customHeight="1">
      <c r="A611" s="145" t="s">
        <v>1503</v>
      </c>
      <c r="B611" s="150">
        <v>45666.0</v>
      </c>
      <c r="C611" s="145" t="s">
        <v>1278</v>
      </c>
      <c r="D611" s="146" t="s">
        <v>1508</v>
      </c>
      <c r="E611" s="146" t="s">
        <v>1517</v>
      </c>
      <c r="F611" s="145" t="s">
        <v>1476</v>
      </c>
    </row>
    <row r="612" ht="15.75" customHeight="1">
      <c r="A612" s="145" t="s">
        <v>1518</v>
      </c>
      <c r="B612" s="150">
        <v>45670.0</v>
      </c>
      <c r="C612" s="145" t="s">
        <v>1269</v>
      </c>
      <c r="D612" s="145" t="s">
        <v>1319</v>
      </c>
      <c r="E612" s="145" t="s">
        <v>1502</v>
      </c>
      <c r="F612" s="145" t="s">
        <v>20</v>
      </c>
    </row>
    <row r="613" ht="15.75" customHeight="1">
      <c r="A613" s="145" t="s">
        <v>1518</v>
      </c>
      <c r="B613" s="150">
        <v>45670.0</v>
      </c>
      <c r="C613" s="145" t="s">
        <v>1325</v>
      </c>
      <c r="D613" s="145" t="s">
        <v>1255</v>
      </c>
      <c r="E613" s="145" t="s">
        <v>1201</v>
      </c>
      <c r="F613" s="145" t="s">
        <v>20</v>
      </c>
    </row>
    <row r="614" ht="15.75" customHeight="1">
      <c r="A614" s="145" t="s">
        <v>1518</v>
      </c>
      <c r="B614" s="150">
        <v>45670.0</v>
      </c>
      <c r="C614" s="145" t="s">
        <v>1239</v>
      </c>
      <c r="D614" s="145" t="s">
        <v>1411</v>
      </c>
      <c r="E614" s="145" t="s">
        <v>1502</v>
      </c>
      <c r="F614" s="145" t="s">
        <v>20</v>
      </c>
    </row>
    <row r="615" ht="15.75" customHeight="1">
      <c r="A615" s="145" t="s">
        <v>1518</v>
      </c>
      <c r="B615" s="150">
        <v>45671.0</v>
      </c>
      <c r="C615" s="145" t="s">
        <v>1389</v>
      </c>
      <c r="D615" s="145" t="s">
        <v>1255</v>
      </c>
      <c r="E615" s="145" t="s">
        <v>1201</v>
      </c>
      <c r="F615" s="145" t="s">
        <v>20</v>
      </c>
    </row>
    <row r="616" ht="15.75" customHeight="1">
      <c r="A616" s="145" t="s">
        <v>1518</v>
      </c>
      <c r="B616" s="150">
        <v>45671.0</v>
      </c>
      <c r="C616" s="145" t="s">
        <v>1254</v>
      </c>
      <c r="D616" s="145" t="s">
        <v>1255</v>
      </c>
      <c r="E616" s="145" t="s">
        <v>1201</v>
      </c>
      <c r="F616" s="145" t="s">
        <v>20</v>
      </c>
    </row>
    <row r="617" ht="15.75" customHeight="1">
      <c r="A617" s="145" t="s">
        <v>1518</v>
      </c>
      <c r="B617" s="150">
        <v>45671.0</v>
      </c>
      <c r="C617" s="145" t="s">
        <v>1272</v>
      </c>
      <c r="D617" s="145" t="s">
        <v>1383</v>
      </c>
      <c r="E617" s="145" t="s">
        <v>1201</v>
      </c>
      <c r="F617" s="145" t="s">
        <v>20</v>
      </c>
    </row>
    <row r="618" ht="15.75" customHeight="1">
      <c r="A618" s="145" t="s">
        <v>1518</v>
      </c>
      <c r="B618" s="150">
        <v>45671.0</v>
      </c>
      <c r="C618" s="145" t="s">
        <v>1330</v>
      </c>
      <c r="D618" s="145" t="s">
        <v>1255</v>
      </c>
      <c r="E618" s="145" t="s">
        <v>1201</v>
      </c>
      <c r="F618" s="145" t="s">
        <v>20</v>
      </c>
    </row>
    <row r="619" ht="15.75" customHeight="1">
      <c r="A619" s="145" t="s">
        <v>1519</v>
      </c>
      <c r="B619" s="150">
        <v>45699.0</v>
      </c>
      <c r="C619" s="145" t="s">
        <v>1254</v>
      </c>
      <c r="D619" s="145" t="s">
        <v>1255</v>
      </c>
      <c r="E619" s="146" t="s">
        <v>1385</v>
      </c>
      <c r="F619" s="145" t="s">
        <v>20</v>
      </c>
    </row>
    <row r="620" ht="15.75" customHeight="1">
      <c r="A620" s="145" t="s">
        <v>1519</v>
      </c>
      <c r="B620" s="150">
        <v>45699.0</v>
      </c>
      <c r="C620" s="145" t="s">
        <v>1389</v>
      </c>
      <c r="D620" s="145" t="s">
        <v>1255</v>
      </c>
      <c r="E620" s="145" t="s">
        <v>1201</v>
      </c>
      <c r="F620" s="145" t="s">
        <v>20</v>
      </c>
    </row>
    <row r="621" ht="15.75" customHeight="1">
      <c r="A621" s="145" t="s">
        <v>1519</v>
      </c>
      <c r="B621" s="150">
        <v>45699.0</v>
      </c>
      <c r="C621" s="145" t="s">
        <v>1386</v>
      </c>
      <c r="D621" s="145" t="s">
        <v>1255</v>
      </c>
      <c r="E621" s="145" t="s">
        <v>1201</v>
      </c>
      <c r="F621" s="145" t="s">
        <v>20</v>
      </c>
    </row>
    <row r="622" ht="15.75" customHeight="1">
      <c r="A622" s="145" t="s">
        <v>1519</v>
      </c>
      <c r="B622" s="150">
        <v>45699.0</v>
      </c>
      <c r="C622" s="145" t="s">
        <v>1272</v>
      </c>
      <c r="D622" s="145" t="s">
        <v>1383</v>
      </c>
      <c r="E622" s="145" t="s">
        <v>1201</v>
      </c>
      <c r="F622" s="145" t="s">
        <v>20</v>
      </c>
    </row>
    <row r="623" ht="15.75" customHeight="1">
      <c r="A623" s="145" t="s">
        <v>1519</v>
      </c>
      <c r="B623" s="150">
        <v>45700.0</v>
      </c>
      <c r="C623" s="145" t="s">
        <v>1248</v>
      </c>
      <c r="D623" s="146" t="s">
        <v>1506</v>
      </c>
      <c r="E623" s="145" t="s">
        <v>1520</v>
      </c>
      <c r="F623" s="145" t="s">
        <v>1225</v>
      </c>
    </row>
    <row r="624" ht="15.75" customHeight="1">
      <c r="A624" s="145" t="s">
        <v>1519</v>
      </c>
      <c r="B624" s="150">
        <v>45700.0</v>
      </c>
      <c r="C624" s="145" t="s">
        <v>1226</v>
      </c>
      <c r="D624" s="145" t="s">
        <v>1378</v>
      </c>
      <c r="E624" s="145" t="s">
        <v>1520</v>
      </c>
      <c r="F624" s="145" t="s">
        <v>1225</v>
      </c>
    </row>
    <row r="625" ht="15.75" customHeight="1">
      <c r="A625" s="145" t="s">
        <v>1519</v>
      </c>
      <c r="B625" s="150">
        <v>45700.0</v>
      </c>
      <c r="C625" s="145" t="s">
        <v>1277</v>
      </c>
      <c r="D625" s="145" t="s">
        <v>1383</v>
      </c>
      <c r="E625" s="145" t="s">
        <v>1201</v>
      </c>
      <c r="F625" s="145" t="s">
        <v>20</v>
      </c>
    </row>
    <row r="626" ht="15.75" customHeight="1">
      <c r="A626" s="145" t="s">
        <v>1519</v>
      </c>
      <c r="B626" s="150">
        <v>45700.0</v>
      </c>
      <c r="C626" s="145" t="s">
        <v>1000</v>
      </c>
      <c r="D626" s="145"/>
      <c r="E626" s="145" t="s">
        <v>1521</v>
      </c>
      <c r="F626" s="145" t="s">
        <v>1225</v>
      </c>
    </row>
    <row r="627" ht="15.75" customHeight="1">
      <c r="A627" s="145" t="s">
        <v>1519</v>
      </c>
      <c r="B627" s="150">
        <v>45700.0</v>
      </c>
      <c r="C627" s="145" t="s">
        <v>1220</v>
      </c>
      <c r="D627" s="145" t="s">
        <v>1255</v>
      </c>
      <c r="E627" s="145" t="s">
        <v>1274</v>
      </c>
      <c r="F627" s="145" t="s">
        <v>20</v>
      </c>
    </row>
    <row r="628" ht="15.75" customHeight="1">
      <c r="A628" s="145" t="s">
        <v>1522</v>
      </c>
      <c r="B628" s="150">
        <v>45712.0</v>
      </c>
      <c r="C628" s="145" t="s">
        <v>1269</v>
      </c>
      <c r="D628" s="146" t="s">
        <v>1506</v>
      </c>
      <c r="E628" s="145" t="s">
        <v>1502</v>
      </c>
      <c r="F628" s="145" t="s">
        <v>20</v>
      </c>
    </row>
    <row r="629" ht="15.75" customHeight="1">
      <c r="A629" s="145" t="s">
        <v>1522</v>
      </c>
      <c r="B629" s="150">
        <v>45712.0</v>
      </c>
      <c r="C629" s="145" t="s">
        <v>1325</v>
      </c>
      <c r="D629" s="145" t="s">
        <v>1255</v>
      </c>
      <c r="E629" s="145" t="s">
        <v>1201</v>
      </c>
      <c r="F629" s="145" t="s">
        <v>20</v>
      </c>
    </row>
    <row r="630" ht="15.75" customHeight="1">
      <c r="A630" s="145" t="s">
        <v>1522</v>
      </c>
      <c r="B630" s="150">
        <v>45712.0</v>
      </c>
      <c r="C630" s="145" t="s">
        <v>1239</v>
      </c>
      <c r="D630" s="145" t="s">
        <v>1411</v>
      </c>
      <c r="E630" s="145" t="s">
        <v>1502</v>
      </c>
      <c r="F630" s="145" t="s">
        <v>20</v>
      </c>
    </row>
    <row r="631" ht="15.75" customHeight="1">
      <c r="A631" s="145" t="s">
        <v>1522</v>
      </c>
      <c r="B631" s="150">
        <v>45713.0</v>
      </c>
      <c r="C631" s="145" t="s">
        <v>1389</v>
      </c>
      <c r="D631" s="145" t="s">
        <v>1255</v>
      </c>
      <c r="E631" s="145" t="s">
        <v>1201</v>
      </c>
      <c r="F631" s="145" t="s">
        <v>20</v>
      </c>
    </row>
    <row r="632" ht="15.75" customHeight="1">
      <c r="A632" s="145" t="s">
        <v>1522</v>
      </c>
      <c r="B632" s="150">
        <v>45713.0</v>
      </c>
      <c r="C632" s="145" t="s">
        <v>1254</v>
      </c>
      <c r="D632" s="145" t="s">
        <v>1255</v>
      </c>
      <c r="E632" s="145" t="s">
        <v>1201</v>
      </c>
      <c r="F632" s="145" t="s">
        <v>20</v>
      </c>
    </row>
    <row r="633" ht="15.75" customHeight="1">
      <c r="A633" s="145" t="s">
        <v>1522</v>
      </c>
      <c r="B633" s="150">
        <v>45713.0</v>
      </c>
      <c r="C633" s="145" t="s">
        <v>1272</v>
      </c>
      <c r="D633" s="145" t="s">
        <v>1523</v>
      </c>
      <c r="E633" s="145" t="s">
        <v>1201</v>
      </c>
      <c r="F633" s="145" t="s">
        <v>20</v>
      </c>
    </row>
    <row r="634" ht="15.75" customHeight="1">
      <c r="A634" s="145" t="s">
        <v>1522</v>
      </c>
      <c r="B634" s="150">
        <v>45713.0</v>
      </c>
      <c r="C634" s="145" t="s">
        <v>1330</v>
      </c>
      <c r="D634" s="145" t="s">
        <v>1255</v>
      </c>
      <c r="E634" s="145" t="s">
        <v>1201</v>
      </c>
      <c r="F634" s="145" t="s">
        <v>20</v>
      </c>
    </row>
    <row r="635" ht="15.75" customHeight="1">
      <c r="A635" s="145" t="s">
        <v>1524</v>
      </c>
      <c r="B635" s="150">
        <v>45737.0</v>
      </c>
      <c r="C635" s="145" t="s">
        <v>1254</v>
      </c>
      <c r="D635" s="145" t="s">
        <v>1255</v>
      </c>
      <c r="E635" s="145" t="s">
        <v>1201</v>
      </c>
      <c r="F635" s="145" t="s">
        <v>20</v>
      </c>
    </row>
    <row r="636" ht="15.75" customHeight="1">
      <c r="A636" s="145" t="s">
        <v>1524</v>
      </c>
      <c r="B636" s="150">
        <v>45737.0</v>
      </c>
      <c r="C636" s="145" t="s">
        <v>1389</v>
      </c>
      <c r="D636" s="145" t="s">
        <v>1255</v>
      </c>
      <c r="E636" s="145" t="s">
        <v>1201</v>
      </c>
      <c r="F636" s="145" t="s">
        <v>20</v>
      </c>
    </row>
    <row r="637" ht="15.75" customHeight="1">
      <c r="A637" s="145" t="s">
        <v>1524</v>
      </c>
      <c r="B637" s="150">
        <v>45737.0</v>
      </c>
      <c r="C637" s="145" t="s">
        <v>1202</v>
      </c>
      <c r="D637" s="145" t="s">
        <v>1396</v>
      </c>
      <c r="E637" s="146" t="s">
        <v>1525</v>
      </c>
      <c r="F637" s="145" t="s">
        <v>1225</v>
      </c>
    </row>
    <row r="638" ht="15.75" customHeight="1">
      <c r="A638" s="145" t="s">
        <v>1524</v>
      </c>
      <c r="B638" s="150">
        <v>45737.0</v>
      </c>
      <c r="C638" s="145" t="s">
        <v>830</v>
      </c>
      <c r="D638" s="145" t="s">
        <v>1255</v>
      </c>
      <c r="E638" s="145" t="s">
        <v>1201</v>
      </c>
      <c r="F638" s="145" t="s">
        <v>20</v>
      </c>
    </row>
    <row r="639" ht="15.75" customHeight="1">
      <c r="A639" s="145" t="s">
        <v>1524</v>
      </c>
      <c r="B639" s="150">
        <v>45737.0</v>
      </c>
      <c r="C639" s="145" t="s">
        <v>846</v>
      </c>
      <c r="D639" s="145"/>
      <c r="E639" s="145" t="s">
        <v>1201</v>
      </c>
      <c r="F639" s="145" t="s">
        <v>20</v>
      </c>
    </row>
    <row r="640" ht="15.75" customHeight="1">
      <c r="A640" s="145" t="s">
        <v>1524</v>
      </c>
      <c r="B640" s="150">
        <v>45738.0</v>
      </c>
      <c r="C640" s="145" t="s">
        <v>1231</v>
      </c>
      <c r="D640" s="145" t="s">
        <v>1255</v>
      </c>
      <c r="E640" s="145" t="s">
        <v>1201</v>
      </c>
      <c r="F640" s="145" t="s">
        <v>20</v>
      </c>
    </row>
    <row r="641" ht="15.75" customHeight="1">
      <c r="A641" s="145" t="s">
        <v>1524</v>
      </c>
      <c r="B641" s="150">
        <v>45738.0</v>
      </c>
      <c r="C641" s="145" t="s">
        <v>1232</v>
      </c>
      <c r="D641" s="146" t="s">
        <v>1504</v>
      </c>
      <c r="E641" s="145" t="s">
        <v>1201</v>
      </c>
      <c r="F641" s="145" t="s">
        <v>20</v>
      </c>
    </row>
    <row r="642" ht="15.75" customHeight="1">
      <c r="A642" s="145" t="s">
        <v>1524</v>
      </c>
      <c r="B642" s="150">
        <v>45738.0</v>
      </c>
      <c r="C642" s="145" t="s">
        <v>1235</v>
      </c>
      <c r="D642" s="146" t="s">
        <v>1506</v>
      </c>
      <c r="E642" s="146" t="s">
        <v>1526</v>
      </c>
      <c r="F642" s="145" t="s">
        <v>1225</v>
      </c>
    </row>
    <row r="643" ht="15.75" customHeight="1">
      <c r="A643" s="145" t="s">
        <v>1524</v>
      </c>
      <c r="B643" s="150">
        <v>45739.0</v>
      </c>
      <c r="C643" s="145" t="s">
        <v>1507</v>
      </c>
      <c r="D643" s="146" t="s">
        <v>1527</v>
      </c>
      <c r="E643" s="146" t="s">
        <v>1526</v>
      </c>
      <c r="F643" s="145" t="s">
        <v>1225</v>
      </c>
    </row>
    <row r="644" ht="15.75" customHeight="1">
      <c r="A644" s="145" t="s">
        <v>1524</v>
      </c>
      <c r="B644" s="150">
        <v>45739.0</v>
      </c>
      <c r="C644" s="145" t="s">
        <v>1510</v>
      </c>
      <c r="D644" s="146" t="s">
        <v>1511</v>
      </c>
      <c r="E644" s="146" t="s">
        <v>1528</v>
      </c>
      <c r="F644" s="145" t="s">
        <v>20</v>
      </c>
    </row>
    <row r="645" ht="15.75" customHeight="1">
      <c r="A645" s="145" t="s">
        <v>1524</v>
      </c>
      <c r="B645" s="150">
        <v>45739.0</v>
      </c>
      <c r="C645" s="145" t="s">
        <v>876</v>
      </c>
      <c r="D645" s="145" t="s">
        <v>1276</v>
      </c>
      <c r="E645" s="145" t="s">
        <v>1201</v>
      </c>
      <c r="F645" s="145" t="s">
        <v>20</v>
      </c>
    </row>
    <row r="646" ht="15.75" customHeight="1">
      <c r="A646" s="145" t="s">
        <v>1524</v>
      </c>
      <c r="B646" s="150">
        <v>45740.0</v>
      </c>
      <c r="C646" s="145" t="s">
        <v>264</v>
      </c>
      <c r="D646" s="146" t="s">
        <v>1506</v>
      </c>
      <c r="E646" s="145" t="s">
        <v>1201</v>
      </c>
      <c r="F646" s="145" t="s">
        <v>20</v>
      </c>
    </row>
    <row r="647" ht="15.75" customHeight="1">
      <c r="A647" s="145" t="s">
        <v>1524</v>
      </c>
      <c r="B647" s="150">
        <v>45740.0</v>
      </c>
      <c r="C647" s="145" t="s">
        <v>401</v>
      </c>
      <c r="D647" s="145" t="s">
        <v>1276</v>
      </c>
      <c r="E647" s="145" t="s">
        <v>1201</v>
      </c>
      <c r="F647" s="145" t="s">
        <v>20</v>
      </c>
    </row>
    <row r="648" ht="15.75" customHeight="1">
      <c r="A648" s="145" t="s">
        <v>1524</v>
      </c>
      <c r="B648" s="150">
        <v>45740.0</v>
      </c>
      <c r="C648" s="145" t="s">
        <v>1325</v>
      </c>
      <c r="D648" s="145" t="s">
        <v>1255</v>
      </c>
      <c r="E648" s="145" t="s">
        <v>1201</v>
      </c>
      <c r="F648" s="145" t="s">
        <v>20</v>
      </c>
    </row>
    <row r="649" ht="15.75" customHeight="1">
      <c r="A649" s="145" t="s">
        <v>1524</v>
      </c>
      <c r="B649" s="150">
        <v>45740.0</v>
      </c>
      <c r="C649" s="145" t="s">
        <v>1282</v>
      </c>
      <c r="D649" s="145" t="s">
        <v>1513</v>
      </c>
      <c r="E649" s="146" t="s">
        <v>1529</v>
      </c>
      <c r="F649" s="145" t="s">
        <v>1225</v>
      </c>
    </row>
    <row r="650" ht="15.75" customHeight="1">
      <c r="A650" s="145" t="s">
        <v>1524</v>
      </c>
      <c r="B650" s="150">
        <v>45740.0</v>
      </c>
      <c r="C650" s="145" t="s">
        <v>1284</v>
      </c>
      <c r="D650" s="145" t="s">
        <v>1513</v>
      </c>
      <c r="E650" s="146" t="s">
        <v>1529</v>
      </c>
      <c r="F650" s="145" t="s">
        <v>1225</v>
      </c>
    </row>
    <row r="651" ht="15.75" customHeight="1">
      <c r="A651" s="146" t="s">
        <v>1530</v>
      </c>
      <c r="B651" s="150">
        <v>45776.0</v>
      </c>
      <c r="C651" s="145" t="s">
        <v>1389</v>
      </c>
      <c r="D651" s="145" t="s">
        <v>1255</v>
      </c>
      <c r="E651" s="145" t="s">
        <v>1201</v>
      </c>
      <c r="F651" s="145" t="s">
        <v>20</v>
      </c>
    </row>
    <row r="652" ht="15.75" customHeight="1">
      <c r="A652" s="146" t="s">
        <v>1530</v>
      </c>
      <c r="B652" s="150">
        <v>45776.0</v>
      </c>
      <c r="C652" s="145" t="s">
        <v>1254</v>
      </c>
      <c r="D652" s="145" t="s">
        <v>1255</v>
      </c>
      <c r="E652" s="146" t="s">
        <v>1531</v>
      </c>
      <c r="F652" s="145" t="s">
        <v>20</v>
      </c>
    </row>
    <row r="653" ht="15.75" customHeight="1">
      <c r="A653" s="146" t="s">
        <v>1530</v>
      </c>
      <c r="B653" s="150">
        <v>45776.0</v>
      </c>
      <c r="C653" s="145" t="s">
        <v>1330</v>
      </c>
      <c r="D653" s="145" t="s">
        <v>1255</v>
      </c>
      <c r="E653" s="145" t="s">
        <v>1201</v>
      </c>
      <c r="F653" s="145" t="s">
        <v>20</v>
      </c>
    </row>
    <row r="654" ht="15.75" customHeight="1">
      <c r="A654" s="146" t="s">
        <v>1530</v>
      </c>
      <c r="B654" s="150">
        <v>45776.0</v>
      </c>
      <c r="C654" s="145" t="s">
        <v>1272</v>
      </c>
      <c r="D654" s="145" t="s">
        <v>1532</v>
      </c>
      <c r="E654" s="145" t="s">
        <v>1201</v>
      </c>
      <c r="F654" s="145" t="s">
        <v>20</v>
      </c>
    </row>
    <row r="655" ht="15.75" customHeight="1">
      <c r="A655" s="146" t="s">
        <v>1530</v>
      </c>
      <c r="B655" s="150">
        <v>45777.0</v>
      </c>
      <c r="C655" s="145" t="s">
        <v>1220</v>
      </c>
      <c r="D655" s="145" t="s">
        <v>1255</v>
      </c>
      <c r="E655" s="145" t="s">
        <v>1274</v>
      </c>
      <c r="F655" s="145" t="s">
        <v>20</v>
      </c>
    </row>
    <row r="656" ht="15.75" customHeight="1">
      <c r="A656" s="146" t="s">
        <v>1530</v>
      </c>
      <c r="B656" s="150">
        <v>45777.0</v>
      </c>
      <c r="C656" s="145" t="s">
        <v>1248</v>
      </c>
      <c r="D656" s="146" t="s">
        <v>1506</v>
      </c>
      <c r="E656" s="146" t="s">
        <v>1533</v>
      </c>
      <c r="F656" s="145" t="s">
        <v>1476</v>
      </c>
    </row>
    <row r="657" ht="15.75" customHeight="1">
      <c r="A657" s="146" t="s">
        <v>1530</v>
      </c>
      <c r="B657" s="150">
        <v>45777.0</v>
      </c>
      <c r="C657" s="145" t="s">
        <v>1226</v>
      </c>
      <c r="D657" s="145" t="s">
        <v>1534</v>
      </c>
      <c r="E657" s="146" t="s">
        <v>1535</v>
      </c>
      <c r="F657" s="145" t="s">
        <v>1476</v>
      </c>
    </row>
    <row r="658" ht="15.75" customHeight="1">
      <c r="A658" s="146" t="s">
        <v>1530</v>
      </c>
      <c r="B658" s="150">
        <v>45777.0</v>
      </c>
      <c r="C658" s="145" t="s">
        <v>1277</v>
      </c>
      <c r="D658" s="145" t="s">
        <v>1532</v>
      </c>
      <c r="E658" s="145" t="s">
        <v>1201</v>
      </c>
      <c r="F658" s="145" t="s">
        <v>20</v>
      </c>
    </row>
    <row r="659" ht="15.75" customHeight="1">
      <c r="A659" s="146" t="s">
        <v>1530</v>
      </c>
      <c r="B659" s="150">
        <v>45777.0</v>
      </c>
      <c r="C659" s="145" t="s">
        <v>1000</v>
      </c>
      <c r="D659" s="145" t="s">
        <v>1536</v>
      </c>
      <c r="E659" s="145" t="s">
        <v>1537</v>
      </c>
      <c r="F659" s="145" t="s">
        <v>1476</v>
      </c>
    </row>
    <row r="660" ht="15.75" customHeight="1">
      <c r="A660" s="146" t="s">
        <v>1530</v>
      </c>
      <c r="B660" s="150">
        <v>45778.0</v>
      </c>
      <c r="C660" s="145" t="s">
        <v>1458</v>
      </c>
      <c r="D660" s="145" t="s">
        <v>1276</v>
      </c>
      <c r="E660" s="146" t="s">
        <v>1538</v>
      </c>
      <c r="F660" s="145" t="s">
        <v>1476</v>
      </c>
    </row>
    <row r="661" ht="15.75" customHeight="1">
      <c r="A661" s="145" t="s">
        <v>1539</v>
      </c>
      <c r="B661" s="150">
        <v>45780.0</v>
      </c>
      <c r="C661" s="145" t="s">
        <v>1231</v>
      </c>
      <c r="D661" s="145" t="s">
        <v>1255</v>
      </c>
      <c r="E661" s="145" t="s">
        <v>1201</v>
      </c>
      <c r="F661" s="145" t="s">
        <v>20</v>
      </c>
    </row>
    <row r="662" ht="15.75" customHeight="1">
      <c r="A662" s="145" t="s">
        <v>1539</v>
      </c>
      <c r="B662" s="150">
        <v>45780.0</v>
      </c>
      <c r="C662" s="145" t="s">
        <v>1232</v>
      </c>
      <c r="D662" s="146" t="s">
        <v>1540</v>
      </c>
      <c r="E662" s="145" t="s">
        <v>1201</v>
      </c>
      <c r="F662" s="145" t="s">
        <v>20</v>
      </c>
    </row>
    <row r="663" ht="15.75" customHeight="1">
      <c r="A663" s="145" t="s">
        <v>1539</v>
      </c>
      <c r="B663" s="150">
        <v>45780.0</v>
      </c>
      <c r="C663" s="145" t="s">
        <v>1235</v>
      </c>
      <c r="D663" s="146" t="s">
        <v>1506</v>
      </c>
      <c r="E663" s="146" t="s">
        <v>1541</v>
      </c>
      <c r="F663" s="145" t="s">
        <v>1476</v>
      </c>
    </row>
    <row r="664" ht="15.75" customHeight="1">
      <c r="A664" s="145" t="s">
        <v>1539</v>
      </c>
      <c r="B664" s="150">
        <v>45781.0</v>
      </c>
      <c r="C664" s="145" t="s">
        <v>1507</v>
      </c>
      <c r="D664" s="145" t="s">
        <v>1532</v>
      </c>
      <c r="E664" s="145" t="s">
        <v>1201</v>
      </c>
      <c r="F664" s="145" t="s">
        <v>20</v>
      </c>
    </row>
    <row r="665" ht="15.75" customHeight="1">
      <c r="A665" s="145" t="s">
        <v>1539</v>
      </c>
      <c r="B665" s="150">
        <v>45781.0</v>
      </c>
      <c r="C665" s="145" t="s">
        <v>1510</v>
      </c>
      <c r="D665" s="146" t="s">
        <v>1511</v>
      </c>
      <c r="E665" s="145" t="s">
        <v>1512</v>
      </c>
      <c r="F665" s="145" t="s">
        <v>1243</v>
      </c>
    </row>
    <row r="666" ht="15.75" customHeight="1">
      <c r="A666" s="145" t="s">
        <v>1539</v>
      </c>
      <c r="B666" s="150">
        <v>45781.0</v>
      </c>
      <c r="C666" s="145" t="s">
        <v>876</v>
      </c>
      <c r="D666" s="145" t="s">
        <v>1276</v>
      </c>
      <c r="E666" s="145" t="s">
        <v>1201</v>
      </c>
      <c r="F666" s="145" t="s">
        <v>20</v>
      </c>
    </row>
    <row r="667" ht="15.75" customHeight="1">
      <c r="A667" s="145" t="s">
        <v>1539</v>
      </c>
      <c r="B667" s="150">
        <v>45782.0</v>
      </c>
      <c r="C667" s="145" t="s">
        <v>264</v>
      </c>
      <c r="D667" s="146" t="s">
        <v>1506</v>
      </c>
      <c r="E667" s="146" t="s">
        <v>1541</v>
      </c>
      <c r="F667" s="145" t="s">
        <v>1476</v>
      </c>
    </row>
    <row r="668" ht="15.75" customHeight="1">
      <c r="A668" s="145" t="s">
        <v>1539</v>
      </c>
      <c r="B668" s="150">
        <v>45782.0</v>
      </c>
      <c r="C668" s="145" t="s">
        <v>401</v>
      </c>
      <c r="D668" s="145" t="s">
        <v>1276</v>
      </c>
      <c r="E668" s="146" t="s">
        <v>1538</v>
      </c>
      <c r="F668" s="145" t="s">
        <v>1476</v>
      </c>
    </row>
    <row r="669" ht="15.75" customHeight="1">
      <c r="A669" s="145" t="s">
        <v>1539</v>
      </c>
      <c r="B669" s="150">
        <v>45782.0</v>
      </c>
      <c r="C669" s="145" t="s">
        <v>1325</v>
      </c>
      <c r="D669" s="145"/>
      <c r="E669" s="146" t="s">
        <v>1468</v>
      </c>
      <c r="F669" s="145" t="s">
        <v>20</v>
      </c>
    </row>
    <row r="670" ht="15.75" customHeight="1">
      <c r="A670" s="145" t="s">
        <v>1539</v>
      </c>
      <c r="B670" s="150">
        <v>45782.0</v>
      </c>
      <c r="C670" s="145" t="s">
        <v>1282</v>
      </c>
      <c r="D670" s="145" t="s">
        <v>1542</v>
      </c>
      <c r="E670" s="145" t="s">
        <v>1201</v>
      </c>
      <c r="F670" s="145" t="s">
        <v>20</v>
      </c>
    </row>
    <row r="671" ht="15.75" customHeight="1">
      <c r="A671" s="145" t="s">
        <v>1539</v>
      </c>
      <c r="B671" s="150">
        <v>45782.0</v>
      </c>
      <c r="C671" s="145" t="s">
        <v>1284</v>
      </c>
      <c r="D671" s="145" t="s">
        <v>1542</v>
      </c>
      <c r="E671" s="145" t="s">
        <v>1201</v>
      </c>
      <c r="F671" s="145" t="s">
        <v>20</v>
      </c>
    </row>
    <row r="672" ht="15.75" customHeight="1">
      <c r="A672" s="145" t="s">
        <v>1539</v>
      </c>
      <c r="B672" s="150">
        <v>45783.0</v>
      </c>
      <c r="C672" s="145" t="s">
        <v>1389</v>
      </c>
      <c r="D672" s="145" t="s">
        <v>1255</v>
      </c>
      <c r="E672" s="145" t="s">
        <v>1543</v>
      </c>
      <c r="F672" s="145" t="s">
        <v>20</v>
      </c>
    </row>
    <row r="673" ht="15.75" customHeight="1">
      <c r="A673" s="145" t="s">
        <v>1539</v>
      </c>
      <c r="B673" s="150">
        <v>45783.0</v>
      </c>
      <c r="C673" s="145" t="s">
        <v>1254</v>
      </c>
      <c r="D673" s="145" t="s">
        <v>1255</v>
      </c>
      <c r="E673" s="146" t="s">
        <v>1531</v>
      </c>
      <c r="F673" s="145" t="s">
        <v>20</v>
      </c>
    </row>
    <row r="674" ht="15.75" customHeight="1">
      <c r="A674" s="145" t="s">
        <v>1539</v>
      </c>
      <c r="B674" s="150">
        <v>45783.0</v>
      </c>
      <c r="C674" s="145" t="s">
        <v>1330</v>
      </c>
      <c r="D674" s="145" t="s">
        <v>1255</v>
      </c>
      <c r="E674" s="145" t="s">
        <v>1544</v>
      </c>
      <c r="F674" s="145" t="s">
        <v>20</v>
      </c>
    </row>
    <row r="675" ht="15.75" customHeight="1">
      <c r="A675" s="145" t="s">
        <v>1539</v>
      </c>
      <c r="B675" s="150">
        <v>45783.0</v>
      </c>
      <c r="C675" s="145" t="s">
        <v>1272</v>
      </c>
      <c r="D675" s="145" t="s">
        <v>1532</v>
      </c>
      <c r="E675" s="145" t="s">
        <v>1201</v>
      </c>
      <c r="F675" s="145" t="s">
        <v>20</v>
      </c>
    </row>
    <row r="676" ht="15.75" customHeight="1">
      <c r="A676" s="145" t="s">
        <v>1539</v>
      </c>
      <c r="B676" s="150">
        <v>45784.0</v>
      </c>
      <c r="C676" s="145" t="s">
        <v>1220</v>
      </c>
      <c r="D676" s="145" t="s">
        <v>1255</v>
      </c>
      <c r="E676" s="145" t="s">
        <v>1274</v>
      </c>
      <c r="F676" s="145" t="s">
        <v>20</v>
      </c>
    </row>
    <row r="677" ht="15.75" customHeight="1">
      <c r="A677" s="145" t="s">
        <v>1539</v>
      </c>
      <c r="B677" s="150">
        <v>45784.0</v>
      </c>
      <c r="C677" s="145" t="s">
        <v>1248</v>
      </c>
      <c r="D677" s="146" t="s">
        <v>1506</v>
      </c>
      <c r="E677" s="145" t="s">
        <v>1448</v>
      </c>
      <c r="F677" s="145" t="s">
        <v>1476</v>
      </c>
    </row>
    <row r="678" ht="15.75" customHeight="1">
      <c r="A678" s="145" t="s">
        <v>1539</v>
      </c>
      <c r="B678" s="150">
        <v>45784.0</v>
      </c>
      <c r="C678" s="145" t="s">
        <v>1226</v>
      </c>
      <c r="D678" s="145" t="s">
        <v>1534</v>
      </c>
      <c r="E678" s="146" t="s">
        <v>1545</v>
      </c>
      <c r="F678" s="145" t="s">
        <v>1476</v>
      </c>
    </row>
    <row r="679" ht="15.75" customHeight="1">
      <c r="A679" s="145" t="s">
        <v>1539</v>
      </c>
      <c r="B679" s="150">
        <v>45784.0</v>
      </c>
      <c r="C679" s="145" t="s">
        <v>1277</v>
      </c>
      <c r="D679" s="145" t="s">
        <v>1532</v>
      </c>
      <c r="E679" s="145" t="s">
        <v>1201</v>
      </c>
      <c r="F679" s="145" t="s">
        <v>20</v>
      </c>
    </row>
    <row r="680" ht="15.75" customHeight="1">
      <c r="A680" s="145" t="s">
        <v>1539</v>
      </c>
      <c r="B680" s="150">
        <v>45784.0</v>
      </c>
      <c r="C680" s="145" t="s">
        <v>1000</v>
      </c>
      <c r="D680" s="145" t="s">
        <v>1536</v>
      </c>
      <c r="E680" s="146" t="s">
        <v>1546</v>
      </c>
      <c r="F680" s="145" t="s">
        <v>1476</v>
      </c>
    </row>
    <row r="681" ht="15.75" customHeight="1">
      <c r="A681" s="145" t="s">
        <v>1539</v>
      </c>
      <c r="B681" s="150">
        <v>45785.0</v>
      </c>
      <c r="C681" s="145" t="s">
        <v>1458</v>
      </c>
      <c r="D681" s="145" t="s">
        <v>1276</v>
      </c>
      <c r="E681" s="146" t="s">
        <v>1547</v>
      </c>
      <c r="F681" s="145" t="s">
        <v>1476</v>
      </c>
    </row>
    <row r="682" ht="15.75" customHeight="1">
      <c r="A682" s="145" t="s">
        <v>1539</v>
      </c>
      <c r="B682" s="150" t="s">
        <v>1548</v>
      </c>
      <c r="C682" s="145"/>
      <c r="D682" s="145"/>
      <c r="E682" s="145"/>
      <c r="F682" s="145"/>
    </row>
    <row r="683" ht="15.75" customHeight="1">
      <c r="A683" s="145" t="s">
        <v>1549</v>
      </c>
      <c r="B683" s="150">
        <v>45859.0</v>
      </c>
      <c r="C683" s="145" t="s">
        <v>264</v>
      </c>
      <c r="D683" s="146" t="s">
        <v>1506</v>
      </c>
      <c r="E683" s="145" t="s">
        <v>1201</v>
      </c>
      <c r="F683" s="145" t="s">
        <v>20</v>
      </c>
    </row>
    <row r="684" ht="15.75" customHeight="1">
      <c r="A684" s="145" t="s">
        <v>1549</v>
      </c>
      <c r="B684" s="150">
        <v>45859.0</v>
      </c>
      <c r="C684" s="145" t="s">
        <v>401</v>
      </c>
      <c r="D684" s="145" t="s">
        <v>1276</v>
      </c>
      <c r="E684" s="145" t="s">
        <v>1201</v>
      </c>
      <c r="F684" s="145" t="s">
        <v>20</v>
      </c>
    </row>
    <row r="685" ht="15.75" customHeight="1">
      <c r="A685" s="145" t="s">
        <v>1549</v>
      </c>
      <c r="B685" s="150">
        <v>45859.0</v>
      </c>
      <c r="C685" s="145" t="s">
        <v>1325</v>
      </c>
      <c r="D685" s="145"/>
      <c r="E685" s="146" t="s">
        <v>1468</v>
      </c>
      <c r="F685" s="145" t="s">
        <v>20</v>
      </c>
    </row>
    <row r="686" ht="15.75" customHeight="1">
      <c r="A686" s="145" t="s">
        <v>1549</v>
      </c>
      <c r="B686" s="150">
        <v>45859.0</v>
      </c>
      <c r="C686" s="145" t="s">
        <v>1282</v>
      </c>
      <c r="D686" s="145" t="s">
        <v>1542</v>
      </c>
      <c r="E686" s="145" t="s">
        <v>1201</v>
      </c>
      <c r="F686" s="145" t="s">
        <v>20</v>
      </c>
    </row>
    <row r="687" ht="15.75" customHeight="1">
      <c r="A687" s="145" t="s">
        <v>1549</v>
      </c>
      <c r="B687" s="150">
        <v>45859.0</v>
      </c>
      <c r="C687" s="145" t="s">
        <v>1284</v>
      </c>
      <c r="D687" s="145" t="s">
        <v>1542</v>
      </c>
      <c r="E687" s="145" t="s">
        <v>1201</v>
      </c>
      <c r="F687" s="145" t="s">
        <v>20</v>
      </c>
    </row>
    <row r="688" ht="15.75" customHeight="1">
      <c r="A688" s="145" t="s">
        <v>1549</v>
      </c>
      <c r="B688" s="150">
        <v>45860.0</v>
      </c>
      <c r="C688" s="145" t="s">
        <v>1389</v>
      </c>
      <c r="D688" s="145" t="s">
        <v>1255</v>
      </c>
      <c r="E688" s="146" t="s">
        <v>1550</v>
      </c>
      <c r="F688" s="145" t="s">
        <v>20</v>
      </c>
    </row>
    <row r="689" ht="15.75" customHeight="1">
      <c r="A689" s="145" t="s">
        <v>1549</v>
      </c>
      <c r="B689" s="150">
        <v>45860.0</v>
      </c>
      <c r="C689" s="145" t="s">
        <v>1254</v>
      </c>
      <c r="D689" s="145" t="s">
        <v>1255</v>
      </c>
      <c r="E689" s="145" t="s">
        <v>1201</v>
      </c>
      <c r="F689" s="145" t="s">
        <v>20</v>
      </c>
    </row>
    <row r="690" ht="15.75" customHeight="1">
      <c r="A690" s="145" t="s">
        <v>1549</v>
      </c>
      <c r="B690" s="150">
        <v>45860.0</v>
      </c>
      <c r="C690" s="145" t="s">
        <v>1330</v>
      </c>
      <c r="D690" s="145" t="s">
        <v>1255</v>
      </c>
      <c r="E690" s="146" t="s">
        <v>1551</v>
      </c>
      <c r="F690" s="145" t="s">
        <v>20</v>
      </c>
    </row>
    <row r="691" ht="15.75" customHeight="1">
      <c r="A691" s="145" t="s">
        <v>1549</v>
      </c>
      <c r="B691" s="150">
        <v>45860.0</v>
      </c>
      <c r="C691" s="145" t="s">
        <v>1272</v>
      </c>
      <c r="D691" s="146" t="s">
        <v>1552</v>
      </c>
      <c r="E691" s="145" t="s">
        <v>1201</v>
      </c>
      <c r="F691" s="145" t="s">
        <v>20</v>
      </c>
    </row>
    <row r="692" ht="15.75" customHeight="1">
      <c r="A692" s="145" t="s">
        <v>1553</v>
      </c>
      <c r="B692" s="150">
        <v>45877.0</v>
      </c>
      <c r="C692" s="145" t="s">
        <v>1254</v>
      </c>
      <c r="D692" s="145" t="s">
        <v>1255</v>
      </c>
      <c r="E692" s="145" t="s">
        <v>1201</v>
      </c>
      <c r="F692" s="145" t="s">
        <v>20</v>
      </c>
    </row>
    <row r="693" ht="15.75" customHeight="1">
      <c r="A693" s="145" t="s">
        <v>1553</v>
      </c>
      <c r="B693" s="150">
        <v>45877.0</v>
      </c>
      <c r="C693" s="145" t="s">
        <v>1554</v>
      </c>
      <c r="D693" s="145" t="s">
        <v>1255</v>
      </c>
      <c r="E693" s="145" t="s">
        <v>1201</v>
      </c>
      <c r="F693" s="145" t="s">
        <v>20</v>
      </c>
    </row>
    <row r="694" ht="15.75" customHeight="1">
      <c r="A694" s="145" t="s">
        <v>1553</v>
      </c>
      <c r="B694" s="150">
        <v>45877.0</v>
      </c>
      <c r="C694" s="145" t="s">
        <v>707</v>
      </c>
      <c r="D694" s="145" t="s">
        <v>1396</v>
      </c>
      <c r="E694" s="145" t="s">
        <v>1201</v>
      </c>
      <c r="F694" s="145" t="s">
        <v>20</v>
      </c>
    </row>
    <row r="695" ht="15.75" customHeight="1">
      <c r="A695" s="145" t="s">
        <v>1553</v>
      </c>
      <c r="B695" s="150">
        <v>45878.0</v>
      </c>
      <c r="C695" s="145" t="s">
        <v>277</v>
      </c>
      <c r="D695" s="145" t="s">
        <v>1255</v>
      </c>
      <c r="E695" s="145" t="s">
        <v>1201</v>
      </c>
      <c r="F695" s="145" t="s">
        <v>20</v>
      </c>
    </row>
    <row r="696" ht="15.75" customHeight="1">
      <c r="A696" s="145" t="s">
        <v>1553</v>
      </c>
      <c r="B696" s="150">
        <v>45878.0</v>
      </c>
      <c r="C696" s="145" t="s">
        <v>577</v>
      </c>
      <c r="D696" s="146" t="s">
        <v>1540</v>
      </c>
      <c r="E696" s="146" t="s">
        <v>1555</v>
      </c>
      <c r="F696" s="145" t="s">
        <v>20</v>
      </c>
    </row>
    <row r="697" ht="15.75" customHeight="1">
      <c r="A697" s="145" t="s">
        <v>1553</v>
      </c>
      <c r="B697" s="150">
        <v>45878.0</v>
      </c>
      <c r="C697" s="145" t="s">
        <v>657</v>
      </c>
      <c r="D697" s="146" t="s">
        <v>1556</v>
      </c>
      <c r="E697" s="146" t="s">
        <v>1557</v>
      </c>
      <c r="F697" s="146" t="s">
        <v>1558</v>
      </c>
    </row>
    <row r="698" ht="15.75" customHeight="1">
      <c r="A698" s="145" t="s">
        <v>1553</v>
      </c>
      <c r="B698" s="150">
        <v>45879.0</v>
      </c>
      <c r="C698" s="145" t="s">
        <v>495</v>
      </c>
      <c r="D698" s="146" t="s">
        <v>1552</v>
      </c>
      <c r="E698" s="146" t="s">
        <v>1559</v>
      </c>
      <c r="F698" s="146" t="s">
        <v>1560</v>
      </c>
    </row>
    <row r="699" ht="15.75" customHeight="1">
      <c r="A699" s="145" t="s">
        <v>1553</v>
      </c>
      <c r="B699" s="150">
        <v>45879.0</v>
      </c>
      <c r="C699" s="145" t="s">
        <v>704</v>
      </c>
      <c r="D699" s="146" t="s">
        <v>1561</v>
      </c>
      <c r="E699" s="145" t="s">
        <v>1201</v>
      </c>
      <c r="F699" s="145" t="s">
        <v>20</v>
      </c>
    </row>
    <row r="700" ht="15.75" customHeight="1">
      <c r="A700" s="145" t="s">
        <v>1553</v>
      </c>
      <c r="B700" s="150">
        <v>45879.0</v>
      </c>
      <c r="C700" s="145" t="s">
        <v>876</v>
      </c>
      <c r="D700" s="145" t="s">
        <v>1276</v>
      </c>
      <c r="E700" s="146" t="s">
        <v>1562</v>
      </c>
      <c r="F700" s="146" t="s">
        <v>1563</v>
      </c>
    </row>
    <row r="701" ht="15.75" customHeight="1">
      <c r="A701" s="145" t="s">
        <v>1553</v>
      </c>
      <c r="B701" s="150">
        <v>45880.0</v>
      </c>
      <c r="C701" s="145" t="s">
        <v>264</v>
      </c>
      <c r="D701" s="146" t="s">
        <v>1564</v>
      </c>
      <c r="E701" s="146" t="s">
        <v>1557</v>
      </c>
      <c r="F701" s="146" t="s">
        <v>1558</v>
      </c>
    </row>
    <row r="702" ht="15.75" customHeight="1">
      <c r="A702" s="145" t="s">
        <v>1553</v>
      </c>
      <c r="B702" s="150">
        <v>45880.0</v>
      </c>
      <c r="C702" s="145" t="s">
        <v>401</v>
      </c>
      <c r="D702" s="145" t="s">
        <v>1276</v>
      </c>
      <c r="E702" s="146" t="s">
        <v>1562</v>
      </c>
      <c r="F702" s="146" t="s">
        <v>1563</v>
      </c>
    </row>
    <row r="703" ht="15.75" customHeight="1">
      <c r="A703" s="145" t="s">
        <v>1553</v>
      </c>
      <c r="B703" s="150">
        <v>45880.0</v>
      </c>
      <c r="C703" s="145" t="s">
        <v>1282</v>
      </c>
      <c r="D703" s="145" t="s">
        <v>1542</v>
      </c>
      <c r="E703" s="146" t="s">
        <v>1555</v>
      </c>
      <c r="F703" s="145" t="s">
        <v>20</v>
      </c>
    </row>
    <row r="704" ht="15.75" customHeight="1">
      <c r="A704" s="145" t="s">
        <v>1553</v>
      </c>
      <c r="B704" s="150">
        <v>45880.0</v>
      </c>
      <c r="C704" s="145" t="s">
        <v>1284</v>
      </c>
      <c r="D704" s="145" t="s">
        <v>1542</v>
      </c>
      <c r="E704" s="146" t="s">
        <v>1555</v>
      </c>
      <c r="F704" s="145" t="s">
        <v>20</v>
      </c>
    </row>
    <row r="705" ht="15.75" customHeight="1">
      <c r="A705" s="145" t="s">
        <v>1553</v>
      </c>
      <c r="B705" s="150">
        <v>45880.0</v>
      </c>
      <c r="C705" s="145" t="s">
        <v>1325</v>
      </c>
      <c r="D705" s="145" t="s">
        <v>1255</v>
      </c>
      <c r="E705" s="145" t="s">
        <v>1326</v>
      </c>
      <c r="F705" s="145" t="s">
        <v>20</v>
      </c>
    </row>
    <row r="706" ht="15.75" customHeight="1">
      <c r="A706" s="145" t="s">
        <v>1553</v>
      </c>
      <c r="B706" s="150">
        <v>45881.0</v>
      </c>
      <c r="C706" s="145" t="s">
        <v>1554</v>
      </c>
      <c r="D706" s="145" t="s">
        <v>1255</v>
      </c>
      <c r="E706" s="145" t="s">
        <v>1201</v>
      </c>
      <c r="F706" s="145" t="s">
        <v>20</v>
      </c>
    </row>
    <row r="707" ht="15.75" customHeight="1">
      <c r="A707" s="145" t="s">
        <v>1553</v>
      </c>
      <c r="B707" s="150">
        <v>45881.0</v>
      </c>
      <c r="C707" s="145" t="s">
        <v>1254</v>
      </c>
      <c r="D707" s="145" t="s">
        <v>1255</v>
      </c>
      <c r="E707" s="146" t="s">
        <v>1495</v>
      </c>
      <c r="F707" s="145" t="s">
        <v>20</v>
      </c>
    </row>
    <row r="708" ht="15.75" customHeight="1">
      <c r="A708" s="145" t="s">
        <v>1553</v>
      </c>
      <c r="B708" s="150">
        <v>45881.0</v>
      </c>
      <c r="C708" s="145" t="s">
        <v>1330</v>
      </c>
      <c r="D708" s="145" t="s">
        <v>1255</v>
      </c>
      <c r="E708" s="145" t="s">
        <v>1326</v>
      </c>
      <c r="F708" s="145" t="s">
        <v>20</v>
      </c>
    </row>
    <row r="709" ht="15.75" customHeight="1">
      <c r="A709" s="145" t="s">
        <v>1553</v>
      </c>
      <c r="B709" s="150">
        <v>45881.0</v>
      </c>
      <c r="C709" s="145" t="s">
        <v>1565</v>
      </c>
      <c r="D709" s="146" t="s">
        <v>1552</v>
      </c>
      <c r="E709" s="146" t="s">
        <v>1559</v>
      </c>
      <c r="F709" s="146" t="s">
        <v>1560</v>
      </c>
    </row>
    <row r="710" ht="15.75" customHeight="1">
      <c r="A710" s="145" t="s">
        <v>1553</v>
      </c>
      <c r="B710" s="150">
        <v>45882.0</v>
      </c>
      <c r="C710" s="145" t="s">
        <v>272</v>
      </c>
      <c r="D710" s="145" t="s">
        <v>1255</v>
      </c>
      <c r="E710" s="145" t="s">
        <v>1413</v>
      </c>
      <c r="F710" s="145" t="s">
        <v>20</v>
      </c>
    </row>
    <row r="711" ht="15.75" customHeight="1">
      <c r="A711" s="145" t="s">
        <v>1553</v>
      </c>
      <c r="B711" s="150">
        <v>45882.0</v>
      </c>
      <c r="C711" s="145" t="s">
        <v>560</v>
      </c>
      <c r="D711" s="146" t="s">
        <v>1556</v>
      </c>
      <c r="E711" s="145" t="s">
        <v>113</v>
      </c>
      <c r="F711" s="146" t="s">
        <v>1558</v>
      </c>
    </row>
    <row r="712" ht="15.75" customHeight="1">
      <c r="A712" s="145" t="s">
        <v>1553</v>
      </c>
      <c r="B712" s="150">
        <v>45882.0</v>
      </c>
      <c r="C712" s="145" t="s">
        <v>1566</v>
      </c>
      <c r="D712" s="146" t="s">
        <v>1552</v>
      </c>
      <c r="E712" s="146" t="s">
        <v>1559</v>
      </c>
      <c r="F712" s="146" t="s">
        <v>1560</v>
      </c>
    </row>
    <row r="713" ht="15.75" customHeight="1">
      <c r="A713" s="145" t="s">
        <v>1553</v>
      </c>
      <c r="B713" s="150">
        <v>45882.0</v>
      </c>
      <c r="C713" s="145" t="s">
        <v>716</v>
      </c>
      <c r="D713" s="145" t="s">
        <v>1534</v>
      </c>
      <c r="E713" s="145" t="s">
        <v>113</v>
      </c>
      <c r="F713" s="146" t="s">
        <v>1567</v>
      </c>
    </row>
    <row r="714" ht="15.75" customHeight="1">
      <c r="A714" s="145" t="s">
        <v>1553</v>
      </c>
      <c r="B714" s="150">
        <v>45882.0</v>
      </c>
      <c r="C714" s="145" t="s">
        <v>1000</v>
      </c>
      <c r="D714" s="145" t="s">
        <v>1536</v>
      </c>
      <c r="E714" s="145" t="s">
        <v>113</v>
      </c>
      <c r="F714" s="146" t="s">
        <v>1568</v>
      </c>
    </row>
    <row r="715" ht="15.75" customHeight="1">
      <c r="A715" s="145" t="s">
        <v>1553</v>
      </c>
      <c r="B715" s="150">
        <v>45883.0</v>
      </c>
      <c r="C715" s="145" t="s">
        <v>566</v>
      </c>
      <c r="D715" s="145" t="s">
        <v>1276</v>
      </c>
      <c r="E715" s="145" t="s">
        <v>113</v>
      </c>
      <c r="F715" s="146" t="s">
        <v>1563</v>
      </c>
    </row>
    <row r="716" ht="15.75" customHeight="1">
      <c r="A716" s="145" t="s">
        <v>1553</v>
      </c>
      <c r="B716" s="150">
        <v>45883.0</v>
      </c>
      <c r="C716" s="145" t="s">
        <v>1569</v>
      </c>
      <c r="D716" s="146" t="s">
        <v>1552</v>
      </c>
      <c r="E716" s="146" t="s">
        <v>1559</v>
      </c>
      <c r="F716" s="146" t="s">
        <v>1560</v>
      </c>
    </row>
    <row r="717" ht="15.75" customHeight="1">
      <c r="A717" s="145" t="s">
        <v>1553</v>
      </c>
      <c r="B717" s="150">
        <v>45884.0</v>
      </c>
      <c r="C717" s="145" t="s">
        <v>1254</v>
      </c>
      <c r="D717" s="145" t="s">
        <v>1255</v>
      </c>
      <c r="E717" s="146" t="s">
        <v>1495</v>
      </c>
      <c r="F717" s="145" t="s">
        <v>20</v>
      </c>
    </row>
    <row r="718" ht="15.75" customHeight="1">
      <c r="A718" s="145" t="s">
        <v>1553</v>
      </c>
      <c r="B718" s="150">
        <v>45884.0</v>
      </c>
      <c r="C718" s="145" t="s">
        <v>1554</v>
      </c>
      <c r="D718" s="145" t="s">
        <v>1255</v>
      </c>
      <c r="E718" s="145" t="s">
        <v>1201</v>
      </c>
      <c r="F718" s="145" t="s">
        <v>20</v>
      </c>
    </row>
    <row r="719" ht="15.75" customHeight="1">
      <c r="A719" s="145" t="s">
        <v>1553</v>
      </c>
      <c r="B719" s="150">
        <v>45884.0</v>
      </c>
      <c r="C719" s="145" t="s">
        <v>707</v>
      </c>
      <c r="D719" s="145" t="s">
        <v>1570</v>
      </c>
      <c r="E719" s="145" t="s">
        <v>113</v>
      </c>
      <c r="F719" s="146" t="s">
        <v>1571</v>
      </c>
    </row>
    <row r="720" ht="15.75" customHeight="1">
      <c r="A720" s="145" t="s">
        <v>1553</v>
      </c>
      <c r="B720" s="150">
        <v>45885.0</v>
      </c>
      <c r="C720" s="145" t="s">
        <v>277</v>
      </c>
      <c r="D720" s="145" t="s">
        <v>1255</v>
      </c>
      <c r="E720" s="145" t="s">
        <v>1572</v>
      </c>
      <c r="F720" s="145" t="s">
        <v>20</v>
      </c>
    </row>
    <row r="721" ht="15.75" customHeight="1">
      <c r="A721" s="145" t="s">
        <v>1553</v>
      </c>
      <c r="B721" s="150">
        <v>45885.0</v>
      </c>
      <c r="C721" s="145" t="s">
        <v>577</v>
      </c>
      <c r="D721" s="146" t="s">
        <v>1540</v>
      </c>
      <c r="E721" s="145" t="s">
        <v>113</v>
      </c>
      <c r="F721" s="146" t="s">
        <v>1573</v>
      </c>
    </row>
    <row r="722" ht="15.75" customHeight="1">
      <c r="A722" s="145" t="s">
        <v>1553</v>
      </c>
      <c r="B722" s="150">
        <v>45885.0</v>
      </c>
      <c r="C722" s="145" t="s">
        <v>657</v>
      </c>
      <c r="D722" s="146" t="s">
        <v>1556</v>
      </c>
      <c r="E722" s="145" t="s">
        <v>113</v>
      </c>
      <c r="F722" s="146" t="s">
        <v>1558</v>
      </c>
    </row>
    <row r="723" ht="15.75" customHeight="1">
      <c r="A723" s="145" t="s">
        <v>1553</v>
      </c>
      <c r="B723" s="150">
        <v>45886.0</v>
      </c>
      <c r="C723" s="145" t="s">
        <v>495</v>
      </c>
      <c r="D723" s="146" t="s">
        <v>1552</v>
      </c>
      <c r="E723" s="145" t="s">
        <v>113</v>
      </c>
      <c r="F723" s="146" t="s">
        <v>1560</v>
      </c>
    </row>
    <row r="724" ht="15.75" customHeight="1">
      <c r="A724" s="145" t="s">
        <v>1553</v>
      </c>
      <c r="B724" s="150">
        <v>45886.0</v>
      </c>
      <c r="C724" s="145" t="s">
        <v>704</v>
      </c>
      <c r="D724" s="146" t="s">
        <v>1561</v>
      </c>
      <c r="E724" s="145" t="s">
        <v>113</v>
      </c>
      <c r="F724" s="145" t="s">
        <v>1574</v>
      </c>
    </row>
    <row r="725" ht="15.75" customHeight="1">
      <c r="A725" s="145" t="s">
        <v>1553</v>
      </c>
      <c r="B725" s="150">
        <v>45886.0</v>
      </c>
      <c r="C725" s="145" t="s">
        <v>876</v>
      </c>
      <c r="D725" s="145" t="s">
        <v>1276</v>
      </c>
      <c r="E725" s="145" t="s">
        <v>113</v>
      </c>
      <c r="F725" s="146" t="s">
        <v>1563</v>
      </c>
    </row>
    <row r="726" ht="15.75" customHeight="1">
      <c r="A726" s="145" t="s">
        <v>1553</v>
      </c>
      <c r="B726" s="150">
        <v>45887.0</v>
      </c>
      <c r="C726" s="145" t="s">
        <v>264</v>
      </c>
      <c r="D726" s="146" t="s">
        <v>1564</v>
      </c>
      <c r="E726" s="145" t="s">
        <v>113</v>
      </c>
      <c r="F726" s="146" t="s">
        <v>1558</v>
      </c>
    </row>
    <row r="727" ht="15.75" customHeight="1">
      <c r="A727" s="145" t="s">
        <v>1553</v>
      </c>
      <c r="B727" s="150">
        <v>45887.0</v>
      </c>
      <c r="C727" s="145" t="s">
        <v>401</v>
      </c>
      <c r="D727" s="145" t="s">
        <v>1276</v>
      </c>
      <c r="E727" s="145" t="s">
        <v>113</v>
      </c>
      <c r="F727" s="146" t="s">
        <v>1563</v>
      </c>
    </row>
    <row r="728" ht="15.75" customHeight="1">
      <c r="A728" s="145" t="s">
        <v>1553</v>
      </c>
      <c r="B728" s="150">
        <v>45887.0</v>
      </c>
      <c r="C728" s="145" t="s">
        <v>1282</v>
      </c>
      <c r="D728" s="145" t="s">
        <v>1542</v>
      </c>
      <c r="E728" s="145" t="s">
        <v>113</v>
      </c>
      <c r="F728" s="146" t="s">
        <v>1575</v>
      </c>
    </row>
    <row r="729" ht="15.75" customHeight="1">
      <c r="A729" s="145" t="s">
        <v>1553</v>
      </c>
      <c r="B729" s="150">
        <v>45887.0</v>
      </c>
      <c r="C729" s="145" t="s">
        <v>1284</v>
      </c>
      <c r="D729" s="145" t="s">
        <v>1542</v>
      </c>
      <c r="E729" s="145" t="s">
        <v>113</v>
      </c>
      <c r="F729" s="146" t="s">
        <v>1575</v>
      </c>
    </row>
    <row r="730" ht="15.75" customHeight="1">
      <c r="A730" s="145" t="s">
        <v>1553</v>
      </c>
      <c r="B730" s="150">
        <v>45887.0</v>
      </c>
      <c r="C730" s="145" t="s">
        <v>1325</v>
      </c>
      <c r="D730" s="145" t="s">
        <v>1255</v>
      </c>
      <c r="E730" s="145" t="s">
        <v>1326</v>
      </c>
      <c r="F730" s="145" t="s">
        <v>20</v>
      </c>
    </row>
    <row r="731" ht="15.75" customHeight="1">
      <c r="A731" s="145" t="s">
        <v>1553</v>
      </c>
      <c r="B731" s="150">
        <v>45888.0</v>
      </c>
      <c r="C731" s="145" t="s">
        <v>1554</v>
      </c>
      <c r="D731" s="145" t="s">
        <v>1255</v>
      </c>
      <c r="E731" s="145" t="s">
        <v>1201</v>
      </c>
      <c r="F731" s="145" t="s">
        <v>20</v>
      </c>
    </row>
    <row r="732" ht="15.75" customHeight="1">
      <c r="A732" s="145" t="s">
        <v>1553</v>
      </c>
      <c r="B732" s="150">
        <v>45888.0</v>
      </c>
      <c r="C732" s="145" t="s">
        <v>1254</v>
      </c>
      <c r="D732" s="145" t="s">
        <v>1255</v>
      </c>
      <c r="E732" s="145" t="s">
        <v>1201</v>
      </c>
      <c r="F732" s="145" t="s">
        <v>20</v>
      </c>
    </row>
    <row r="733" ht="15.75" customHeight="1">
      <c r="A733" s="145" t="s">
        <v>1553</v>
      </c>
      <c r="B733" s="150">
        <v>45888.0</v>
      </c>
      <c r="C733" s="145" t="s">
        <v>1330</v>
      </c>
      <c r="D733" s="145" t="s">
        <v>1255</v>
      </c>
      <c r="E733" s="145" t="s">
        <v>1326</v>
      </c>
      <c r="F733" s="145" t="s">
        <v>20</v>
      </c>
    </row>
    <row r="734" ht="15.75" customHeight="1">
      <c r="A734" s="145" t="s">
        <v>1553</v>
      </c>
      <c r="B734" s="150">
        <v>45888.0</v>
      </c>
      <c r="C734" s="145" t="s">
        <v>1565</v>
      </c>
      <c r="D734" s="146" t="s">
        <v>1552</v>
      </c>
      <c r="E734" s="146" t="s">
        <v>1576</v>
      </c>
      <c r="F734" s="146" t="s">
        <v>1560</v>
      </c>
    </row>
    <row r="735" ht="15.75" customHeight="1">
      <c r="A735" s="145" t="s">
        <v>1553</v>
      </c>
      <c r="B735" s="150">
        <v>45889.0</v>
      </c>
      <c r="C735" s="145" t="s">
        <v>1566</v>
      </c>
      <c r="D735" s="146" t="s">
        <v>1552</v>
      </c>
      <c r="E735" s="146" t="s">
        <v>1576</v>
      </c>
      <c r="F735" s="146" t="s">
        <v>1560</v>
      </c>
    </row>
    <row r="736" ht="15.75" customHeight="1">
      <c r="A736" s="145" t="s">
        <v>1553</v>
      </c>
      <c r="B736" s="150">
        <v>45890.0</v>
      </c>
      <c r="C736" s="145" t="s">
        <v>1569</v>
      </c>
      <c r="D736" s="146" t="s">
        <v>1552</v>
      </c>
      <c r="E736" s="146" t="s">
        <v>1576</v>
      </c>
      <c r="F736" s="146" t="s">
        <v>1560</v>
      </c>
    </row>
    <row r="737" ht="15.75" customHeight="1">
      <c r="A737" s="145" t="s">
        <v>1553</v>
      </c>
      <c r="B737" s="150" t="s">
        <v>1577</v>
      </c>
      <c r="C737" s="145"/>
      <c r="D737" s="145"/>
      <c r="E737" s="145"/>
      <c r="F737" s="145"/>
    </row>
    <row r="738" ht="15.75" customHeight="1">
      <c r="A738" s="145" t="s">
        <v>1578</v>
      </c>
      <c r="B738" s="150">
        <v>45915.0</v>
      </c>
      <c r="C738" s="145" t="s">
        <v>1269</v>
      </c>
      <c r="D738" s="145" t="s">
        <v>1488</v>
      </c>
      <c r="E738" s="146" t="s">
        <v>1466</v>
      </c>
      <c r="F738" s="145" t="s">
        <v>20</v>
      </c>
    </row>
    <row r="739" ht="15.75" customHeight="1">
      <c r="A739" s="145" t="s">
        <v>1578</v>
      </c>
      <c r="B739" s="150">
        <v>45915.0</v>
      </c>
      <c r="C739" s="145" t="s">
        <v>1449</v>
      </c>
      <c r="D739" s="145" t="s">
        <v>1260</v>
      </c>
      <c r="E739" s="146" t="s">
        <v>1489</v>
      </c>
      <c r="F739" s="145" t="s">
        <v>20</v>
      </c>
    </row>
    <row r="740" ht="15.75" customHeight="1">
      <c r="A740" s="145" t="s">
        <v>1578</v>
      </c>
      <c r="B740" s="150">
        <v>45915.0</v>
      </c>
      <c r="C740" s="145" t="s">
        <v>1325</v>
      </c>
      <c r="D740" s="145" t="s">
        <v>1243</v>
      </c>
      <c r="E740" s="146" t="s">
        <v>1468</v>
      </c>
      <c r="F740" s="145" t="s">
        <v>20</v>
      </c>
    </row>
    <row r="741" ht="15.75" customHeight="1">
      <c r="A741" s="145" t="s">
        <v>1578</v>
      </c>
      <c r="B741" s="150">
        <v>45915.0</v>
      </c>
      <c r="C741" s="145" t="s">
        <v>1239</v>
      </c>
      <c r="D741" s="145" t="s">
        <v>1411</v>
      </c>
      <c r="E741" s="145" t="s">
        <v>1353</v>
      </c>
      <c r="F741" s="145" t="s">
        <v>20</v>
      </c>
    </row>
    <row r="742" ht="15.75" customHeight="1">
      <c r="A742" s="145" t="s">
        <v>1578</v>
      </c>
      <c r="B742" s="150">
        <v>45916.0</v>
      </c>
      <c r="C742" s="145" t="s">
        <v>1389</v>
      </c>
      <c r="D742" s="145" t="s">
        <v>1243</v>
      </c>
      <c r="E742" s="146" t="s">
        <v>1469</v>
      </c>
      <c r="F742" s="145" t="s">
        <v>20</v>
      </c>
    </row>
    <row r="743" ht="15.75" customHeight="1">
      <c r="A743" s="145" t="s">
        <v>1578</v>
      </c>
      <c r="B743" s="150">
        <v>45916.0</v>
      </c>
      <c r="C743" s="145" t="s">
        <v>1254</v>
      </c>
      <c r="D743" s="146" t="s">
        <v>1470</v>
      </c>
      <c r="E743" s="145" t="s">
        <v>1201</v>
      </c>
      <c r="F743" s="145" t="s">
        <v>20</v>
      </c>
    </row>
    <row r="744" ht="15.75" customHeight="1">
      <c r="A744" s="145" t="s">
        <v>1578</v>
      </c>
      <c r="B744" s="150">
        <v>45916.0</v>
      </c>
      <c r="C744" s="145" t="s">
        <v>1330</v>
      </c>
      <c r="D744" s="145" t="s">
        <v>1243</v>
      </c>
      <c r="E744" s="145" t="s">
        <v>1201</v>
      </c>
      <c r="F744" s="145" t="s">
        <v>20</v>
      </c>
    </row>
    <row r="745" ht="15.75" customHeight="1">
      <c r="A745" s="145" t="s">
        <v>1578</v>
      </c>
      <c r="B745" s="150">
        <v>45916.0</v>
      </c>
      <c r="C745" s="145" t="s">
        <v>1272</v>
      </c>
      <c r="D745" s="146" t="s">
        <v>1493</v>
      </c>
      <c r="E745" s="145" t="s">
        <v>1472</v>
      </c>
      <c r="F745" s="145" t="s">
        <v>20</v>
      </c>
    </row>
    <row r="746" ht="15.75" customHeight="1">
      <c r="A746" s="145" t="s">
        <v>1578</v>
      </c>
      <c r="B746" s="150">
        <v>45916.0</v>
      </c>
      <c r="C746" s="145" t="s">
        <v>884</v>
      </c>
      <c r="D746" s="145" t="s">
        <v>1243</v>
      </c>
      <c r="E746" s="146" t="s">
        <v>1473</v>
      </c>
      <c r="F746" s="145" t="s">
        <v>20</v>
      </c>
    </row>
    <row r="747" ht="15.75" customHeight="1">
      <c r="A747" s="145" t="s">
        <v>1579</v>
      </c>
      <c r="B747" s="150">
        <v>45923.0</v>
      </c>
      <c r="C747" s="145" t="s">
        <v>1254</v>
      </c>
      <c r="D747" s="145" t="s">
        <v>1255</v>
      </c>
      <c r="E747" s="146" t="s">
        <v>1580</v>
      </c>
      <c r="F747" s="145" t="s">
        <v>20</v>
      </c>
    </row>
    <row r="748" ht="15.75" customHeight="1">
      <c r="A748" s="145" t="s">
        <v>1579</v>
      </c>
      <c r="B748" s="150">
        <v>45923.0</v>
      </c>
      <c r="C748" s="145" t="s">
        <v>1389</v>
      </c>
      <c r="D748" s="145" t="s">
        <v>1255</v>
      </c>
      <c r="E748" s="145" t="s">
        <v>1201</v>
      </c>
      <c r="F748" s="145" t="s">
        <v>20</v>
      </c>
    </row>
    <row r="749" ht="15.75" customHeight="1">
      <c r="A749" s="145" t="s">
        <v>1579</v>
      </c>
      <c r="B749" s="150">
        <v>45923.0</v>
      </c>
      <c r="C749" s="145" t="s">
        <v>1386</v>
      </c>
      <c r="D749" s="145" t="s">
        <v>1255</v>
      </c>
      <c r="E749" s="145" t="s">
        <v>1201</v>
      </c>
      <c r="F749" s="145" t="s">
        <v>20</v>
      </c>
    </row>
    <row r="750" ht="15.75" customHeight="1">
      <c r="A750" s="145" t="s">
        <v>1579</v>
      </c>
      <c r="B750" s="150">
        <v>45923.0</v>
      </c>
      <c r="C750" s="145" t="s">
        <v>1272</v>
      </c>
      <c r="D750" s="145" t="s">
        <v>1383</v>
      </c>
      <c r="E750" s="145" t="s">
        <v>1201</v>
      </c>
      <c r="F750" s="145" t="s">
        <v>20</v>
      </c>
    </row>
    <row r="751" ht="15.75" customHeight="1">
      <c r="A751" s="145" t="s">
        <v>1579</v>
      </c>
      <c r="B751" s="150">
        <v>45924.0</v>
      </c>
      <c r="C751" s="145" t="s">
        <v>1248</v>
      </c>
      <c r="D751" s="146" t="s">
        <v>1506</v>
      </c>
      <c r="E751" s="145" t="s">
        <v>1581</v>
      </c>
      <c r="F751" s="145" t="s">
        <v>1225</v>
      </c>
    </row>
    <row r="752" ht="15.75" customHeight="1">
      <c r="A752" s="145" t="s">
        <v>1579</v>
      </c>
      <c r="B752" s="150">
        <v>45924.0</v>
      </c>
      <c r="C752" s="145" t="s">
        <v>1226</v>
      </c>
      <c r="D752" s="145" t="s">
        <v>1534</v>
      </c>
      <c r="E752" s="145" t="s">
        <v>1581</v>
      </c>
      <c r="F752" s="145" t="s">
        <v>1225</v>
      </c>
    </row>
    <row r="753" ht="15.75" customHeight="1">
      <c r="A753" s="145" t="s">
        <v>1579</v>
      </c>
      <c r="B753" s="150">
        <v>45924.0</v>
      </c>
      <c r="C753" s="145" t="s">
        <v>1277</v>
      </c>
      <c r="D753" s="145" t="s">
        <v>1383</v>
      </c>
      <c r="E753" s="145" t="s">
        <v>1201</v>
      </c>
      <c r="F753" s="145" t="s">
        <v>20</v>
      </c>
    </row>
    <row r="754" ht="15.75" customHeight="1">
      <c r="A754" s="145" t="s">
        <v>1579</v>
      </c>
      <c r="B754" s="150">
        <v>45924.0</v>
      </c>
      <c r="C754" s="145" t="s">
        <v>1000</v>
      </c>
      <c r="D754" s="145"/>
      <c r="E754" s="145" t="s">
        <v>1582</v>
      </c>
      <c r="F754" s="145" t="s">
        <v>1225</v>
      </c>
    </row>
    <row r="755" ht="15.75" customHeight="1">
      <c r="A755" s="145" t="s">
        <v>1579</v>
      </c>
      <c r="B755" s="150">
        <v>45924.0</v>
      </c>
      <c r="C755" s="145" t="s">
        <v>1220</v>
      </c>
      <c r="D755" s="145" t="s">
        <v>1255</v>
      </c>
      <c r="E755" s="145" t="s">
        <v>1274</v>
      </c>
      <c r="F755" s="145" t="s">
        <v>20</v>
      </c>
    </row>
    <row r="756" ht="15.75" customHeight="1">
      <c r="A756" s="145" t="s">
        <v>1583</v>
      </c>
      <c r="B756" s="150">
        <v>45943.0</v>
      </c>
      <c r="C756" s="145" t="s">
        <v>1269</v>
      </c>
      <c r="D756" s="145" t="s">
        <v>1488</v>
      </c>
      <c r="E756" s="146" t="s">
        <v>1466</v>
      </c>
      <c r="F756" s="145" t="s">
        <v>20</v>
      </c>
    </row>
    <row r="757" ht="15.75" customHeight="1">
      <c r="A757" s="145" t="s">
        <v>1583</v>
      </c>
      <c r="B757" s="150">
        <v>45943.0</v>
      </c>
      <c r="C757" s="145" t="s">
        <v>1449</v>
      </c>
      <c r="D757" s="145" t="s">
        <v>1260</v>
      </c>
      <c r="E757" s="146" t="s">
        <v>1489</v>
      </c>
      <c r="F757" s="145" t="s">
        <v>20</v>
      </c>
    </row>
    <row r="758" ht="15.75" customHeight="1">
      <c r="A758" s="145" t="s">
        <v>1583</v>
      </c>
      <c r="B758" s="150">
        <v>45943.0</v>
      </c>
      <c r="C758" s="145" t="s">
        <v>1325</v>
      </c>
      <c r="D758" s="145" t="s">
        <v>1243</v>
      </c>
      <c r="E758" s="146" t="s">
        <v>1468</v>
      </c>
      <c r="F758" s="145" t="s">
        <v>20</v>
      </c>
    </row>
    <row r="759" ht="15.75" customHeight="1">
      <c r="A759" s="145" t="s">
        <v>1583</v>
      </c>
      <c r="B759" s="150">
        <v>45943.0</v>
      </c>
      <c r="C759" s="145" t="s">
        <v>1239</v>
      </c>
      <c r="D759" s="145" t="s">
        <v>1411</v>
      </c>
      <c r="E759" s="145" t="s">
        <v>1353</v>
      </c>
      <c r="F759" s="145" t="s">
        <v>20</v>
      </c>
    </row>
    <row r="760" ht="15.75" customHeight="1">
      <c r="A760" s="145" t="s">
        <v>1583</v>
      </c>
      <c r="B760" s="150">
        <v>45944.0</v>
      </c>
      <c r="C760" s="145" t="s">
        <v>1389</v>
      </c>
      <c r="D760" s="145" t="s">
        <v>1243</v>
      </c>
      <c r="E760" s="146" t="s">
        <v>1469</v>
      </c>
      <c r="F760" s="145" t="s">
        <v>20</v>
      </c>
    </row>
    <row r="761" ht="15.75" customHeight="1">
      <c r="A761" s="145" t="s">
        <v>1583</v>
      </c>
      <c r="B761" s="150">
        <v>45944.0</v>
      </c>
      <c r="C761" s="145" t="s">
        <v>1254</v>
      </c>
      <c r="D761" s="146" t="s">
        <v>1470</v>
      </c>
      <c r="E761" s="145" t="s">
        <v>1201</v>
      </c>
      <c r="F761" s="145" t="s">
        <v>20</v>
      </c>
    </row>
    <row r="762" ht="15.75" customHeight="1">
      <c r="A762" s="145" t="s">
        <v>1583</v>
      </c>
      <c r="B762" s="150">
        <v>45944.0</v>
      </c>
      <c r="C762" s="145" t="s">
        <v>1330</v>
      </c>
      <c r="D762" s="145" t="s">
        <v>1243</v>
      </c>
      <c r="E762" s="145" t="s">
        <v>1201</v>
      </c>
      <c r="F762" s="145" t="s">
        <v>20</v>
      </c>
    </row>
    <row r="763" ht="15.75" customHeight="1">
      <c r="A763" s="145" t="s">
        <v>1583</v>
      </c>
      <c r="B763" s="150">
        <v>45944.0</v>
      </c>
      <c r="C763" s="145" t="s">
        <v>1272</v>
      </c>
      <c r="D763" s="146" t="s">
        <v>1493</v>
      </c>
      <c r="E763" s="145" t="s">
        <v>1472</v>
      </c>
      <c r="F763" s="145" t="s">
        <v>20</v>
      </c>
    </row>
    <row r="764" ht="15.75" customHeight="1">
      <c r="A764" s="145" t="s">
        <v>1583</v>
      </c>
      <c r="B764" s="150">
        <v>45944.0</v>
      </c>
      <c r="C764" s="145" t="s">
        <v>884</v>
      </c>
      <c r="D764" s="145" t="s">
        <v>1243</v>
      </c>
      <c r="E764" s="146" t="s">
        <v>1473</v>
      </c>
      <c r="F764" s="145" t="s">
        <v>20</v>
      </c>
    </row>
    <row r="765" ht="15.75" customHeight="1">
      <c r="A765" s="145" t="s">
        <v>1584</v>
      </c>
      <c r="B765" s="150">
        <v>45964.0</v>
      </c>
      <c r="C765" s="145" t="s">
        <v>1269</v>
      </c>
      <c r="D765" s="145" t="s">
        <v>1488</v>
      </c>
      <c r="E765" s="146" t="s">
        <v>1466</v>
      </c>
      <c r="F765" s="145" t="s">
        <v>20</v>
      </c>
    </row>
    <row r="766" ht="15.75" customHeight="1">
      <c r="A766" s="145" t="s">
        <v>1584</v>
      </c>
      <c r="B766" s="150">
        <v>45964.0</v>
      </c>
      <c r="C766" s="145" t="s">
        <v>1449</v>
      </c>
      <c r="D766" s="145" t="s">
        <v>1260</v>
      </c>
      <c r="E766" s="146" t="s">
        <v>1489</v>
      </c>
      <c r="F766" s="145" t="s">
        <v>20</v>
      </c>
    </row>
    <row r="767" ht="15.75" customHeight="1">
      <c r="A767" s="145" t="s">
        <v>1584</v>
      </c>
      <c r="B767" s="150">
        <v>45964.0</v>
      </c>
      <c r="C767" s="145" t="s">
        <v>1325</v>
      </c>
      <c r="D767" s="145" t="s">
        <v>1243</v>
      </c>
      <c r="E767" s="146" t="s">
        <v>1468</v>
      </c>
      <c r="F767" s="145" t="s">
        <v>20</v>
      </c>
    </row>
    <row r="768" ht="15.75" customHeight="1">
      <c r="A768" s="145" t="s">
        <v>1584</v>
      </c>
      <c r="B768" s="150">
        <v>45964.0</v>
      </c>
      <c r="C768" s="145" t="s">
        <v>1239</v>
      </c>
      <c r="D768" s="145" t="s">
        <v>1411</v>
      </c>
      <c r="E768" s="145" t="s">
        <v>1353</v>
      </c>
      <c r="F768" s="145" t="s">
        <v>20</v>
      </c>
    </row>
    <row r="769" ht="15.75" customHeight="1">
      <c r="A769" s="145" t="s">
        <v>1584</v>
      </c>
      <c r="B769" s="150">
        <v>45965.0</v>
      </c>
      <c r="C769" s="145" t="s">
        <v>1389</v>
      </c>
      <c r="D769" s="145" t="s">
        <v>1243</v>
      </c>
      <c r="E769" s="146" t="s">
        <v>1469</v>
      </c>
      <c r="F769" s="145" t="s">
        <v>20</v>
      </c>
    </row>
    <row r="770" ht="15.75" customHeight="1">
      <c r="A770" s="145" t="s">
        <v>1584</v>
      </c>
      <c r="B770" s="150">
        <v>45965.0</v>
      </c>
      <c r="C770" s="145" t="s">
        <v>1254</v>
      </c>
      <c r="D770" s="146" t="s">
        <v>1470</v>
      </c>
      <c r="E770" s="145" t="s">
        <v>1201</v>
      </c>
      <c r="F770" s="145" t="s">
        <v>20</v>
      </c>
    </row>
    <row r="771" ht="15.75" customHeight="1">
      <c r="A771" s="145" t="s">
        <v>1584</v>
      </c>
      <c r="B771" s="150">
        <v>45965.0</v>
      </c>
      <c r="C771" s="145" t="s">
        <v>1330</v>
      </c>
      <c r="D771" s="145" t="s">
        <v>1243</v>
      </c>
      <c r="E771" s="145" t="s">
        <v>1201</v>
      </c>
      <c r="F771" s="145" t="s">
        <v>20</v>
      </c>
    </row>
    <row r="772" ht="15.75" customHeight="1">
      <c r="A772" s="145" t="s">
        <v>1584</v>
      </c>
      <c r="B772" s="150">
        <v>45965.0</v>
      </c>
      <c r="C772" s="145" t="s">
        <v>1272</v>
      </c>
      <c r="D772" s="146" t="s">
        <v>1493</v>
      </c>
      <c r="E772" s="145" t="s">
        <v>1472</v>
      </c>
      <c r="F772" s="145" t="s">
        <v>20</v>
      </c>
    </row>
    <row r="773" ht="15.75" customHeight="1">
      <c r="A773" s="145" t="s">
        <v>1584</v>
      </c>
      <c r="B773" s="150">
        <v>45965.0</v>
      </c>
      <c r="C773" s="145" t="s">
        <v>884</v>
      </c>
      <c r="D773" s="145" t="s">
        <v>1243</v>
      </c>
      <c r="E773" s="146" t="s">
        <v>1473</v>
      </c>
      <c r="F773" s="145" t="s">
        <v>20</v>
      </c>
    </row>
    <row r="774" ht="15.75" customHeight="1">
      <c r="A774" s="145" t="s">
        <v>1585</v>
      </c>
      <c r="B774" s="150">
        <v>45985.0</v>
      </c>
      <c r="C774" s="145" t="s">
        <v>1269</v>
      </c>
      <c r="D774" s="145" t="s">
        <v>1488</v>
      </c>
      <c r="E774" s="146" t="s">
        <v>1466</v>
      </c>
      <c r="F774" s="145" t="s">
        <v>20</v>
      </c>
    </row>
    <row r="775" ht="15.75" customHeight="1">
      <c r="A775" s="145" t="s">
        <v>1585</v>
      </c>
      <c r="B775" s="150">
        <v>45985.0</v>
      </c>
      <c r="C775" s="145" t="s">
        <v>1449</v>
      </c>
      <c r="D775" s="145" t="s">
        <v>1260</v>
      </c>
      <c r="E775" s="146" t="s">
        <v>1489</v>
      </c>
      <c r="F775" s="145" t="s">
        <v>20</v>
      </c>
    </row>
    <row r="776" ht="15.75" customHeight="1">
      <c r="A776" s="145" t="s">
        <v>1585</v>
      </c>
      <c r="B776" s="150">
        <v>45985.0</v>
      </c>
      <c r="C776" s="145" t="s">
        <v>1325</v>
      </c>
      <c r="D776" s="145" t="s">
        <v>1243</v>
      </c>
      <c r="E776" s="146" t="s">
        <v>1468</v>
      </c>
      <c r="F776" s="145" t="s">
        <v>20</v>
      </c>
    </row>
    <row r="777" ht="15.75" customHeight="1">
      <c r="A777" s="145" t="s">
        <v>1585</v>
      </c>
      <c r="B777" s="150">
        <v>45985.0</v>
      </c>
      <c r="C777" s="145" t="s">
        <v>1239</v>
      </c>
      <c r="D777" s="145" t="s">
        <v>1411</v>
      </c>
      <c r="E777" s="145" t="s">
        <v>1353</v>
      </c>
      <c r="F777" s="145" t="s">
        <v>20</v>
      </c>
    </row>
    <row r="778" ht="15.75" customHeight="1">
      <c r="A778" s="145" t="s">
        <v>1585</v>
      </c>
      <c r="B778" s="150">
        <v>45986.0</v>
      </c>
      <c r="C778" s="145" t="s">
        <v>1389</v>
      </c>
      <c r="D778" s="145" t="s">
        <v>1243</v>
      </c>
      <c r="E778" s="146" t="s">
        <v>1469</v>
      </c>
      <c r="F778" s="145" t="s">
        <v>20</v>
      </c>
    </row>
    <row r="779" ht="15.75" customHeight="1">
      <c r="A779" s="145" t="s">
        <v>1585</v>
      </c>
      <c r="B779" s="150">
        <v>45986.0</v>
      </c>
      <c r="C779" s="145" t="s">
        <v>1254</v>
      </c>
      <c r="D779" s="146" t="s">
        <v>1470</v>
      </c>
      <c r="E779" s="145" t="s">
        <v>1201</v>
      </c>
      <c r="F779" s="145" t="s">
        <v>20</v>
      </c>
    </row>
    <row r="780" ht="15.75" customHeight="1">
      <c r="A780" s="145" t="s">
        <v>1585</v>
      </c>
      <c r="B780" s="150">
        <v>45986.0</v>
      </c>
      <c r="C780" s="145" t="s">
        <v>1330</v>
      </c>
      <c r="D780" s="145" t="s">
        <v>1243</v>
      </c>
      <c r="E780" s="145" t="s">
        <v>1201</v>
      </c>
      <c r="F780" s="145" t="s">
        <v>20</v>
      </c>
    </row>
    <row r="781" ht="15.75" customHeight="1">
      <c r="A781" s="145" t="s">
        <v>1585</v>
      </c>
      <c r="B781" s="150">
        <v>45986.0</v>
      </c>
      <c r="C781" s="145" t="s">
        <v>1272</v>
      </c>
      <c r="D781" s="146" t="s">
        <v>1493</v>
      </c>
      <c r="E781" s="145" t="s">
        <v>1472</v>
      </c>
      <c r="F781" s="145" t="s">
        <v>20</v>
      </c>
    </row>
    <row r="782" ht="15.75" customHeight="1">
      <c r="A782" s="145" t="s">
        <v>1585</v>
      </c>
      <c r="B782" s="150">
        <v>45986.0</v>
      </c>
      <c r="C782" s="145" t="s">
        <v>884</v>
      </c>
      <c r="D782" s="145" t="s">
        <v>1243</v>
      </c>
      <c r="E782" s="146" t="s">
        <v>1473</v>
      </c>
      <c r="F782" s="145" t="s">
        <v>20</v>
      </c>
    </row>
    <row r="783" ht="15.75" customHeight="1">
      <c r="A783" s="145" t="s">
        <v>1586</v>
      </c>
      <c r="B783" s="150">
        <v>46017.0</v>
      </c>
      <c r="C783" s="145" t="s">
        <v>1254</v>
      </c>
      <c r="D783" s="145" t="s">
        <v>1255</v>
      </c>
      <c r="E783" s="145" t="s">
        <v>1201</v>
      </c>
      <c r="F783" s="145" t="s">
        <v>20</v>
      </c>
    </row>
    <row r="784" ht="15.75" customHeight="1">
      <c r="A784" s="145" t="s">
        <v>1586</v>
      </c>
      <c r="B784" s="150">
        <v>46017.0</v>
      </c>
      <c r="C784" s="145" t="s">
        <v>1554</v>
      </c>
      <c r="D784" s="145" t="s">
        <v>1255</v>
      </c>
      <c r="E784" s="145" t="s">
        <v>1201</v>
      </c>
      <c r="F784" s="145" t="s">
        <v>20</v>
      </c>
    </row>
    <row r="785" ht="15.75" customHeight="1">
      <c r="A785" s="145" t="s">
        <v>1586</v>
      </c>
      <c r="B785" s="150">
        <v>46017.0</v>
      </c>
      <c r="C785" s="145" t="s">
        <v>707</v>
      </c>
      <c r="D785" s="145" t="s">
        <v>1587</v>
      </c>
      <c r="E785" s="145" t="s">
        <v>1201</v>
      </c>
      <c r="F785" s="145" t="s">
        <v>20</v>
      </c>
    </row>
    <row r="786" ht="15.75" customHeight="1">
      <c r="A786" s="145" t="s">
        <v>1586</v>
      </c>
      <c r="B786" s="150">
        <v>46018.0</v>
      </c>
      <c r="C786" s="145" t="s">
        <v>277</v>
      </c>
      <c r="D786" s="145" t="s">
        <v>1255</v>
      </c>
      <c r="E786" s="145" t="s">
        <v>1201</v>
      </c>
      <c r="F786" s="145" t="s">
        <v>20</v>
      </c>
    </row>
    <row r="787" ht="15.75" customHeight="1">
      <c r="A787" s="145" t="s">
        <v>1586</v>
      </c>
      <c r="B787" s="150">
        <v>46018.0</v>
      </c>
      <c r="C787" s="145" t="s">
        <v>577</v>
      </c>
      <c r="D787" s="146" t="s">
        <v>1540</v>
      </c>
      <c r="E787" s="145" t="s">
        <v>1588</v>
      </c>
      <c r="F787" s="146" t="s">
        <v>1589</v>
      </c>
    </row>
    <row r="788" ht="15.75" customHeight="1">
      <c r="A788" s="145" t="s">
        <v>1586</v>
      </c>
      <c r="B788" s="150">
        <v>46018.0</v>
      </c>
      <c r="C788" s="145" t="s">
        <v>657</v>
      </c>
      <c r="D788" s="146" t="s">
        <v>1556</v>
      </c>
      <c r="E788" s="146" t="s">
        <v>1557</v>
      </c>
      <c r="F788" s="146" t="s">
        <v>1590</v>
      </c>
    </row>
    <row r="789" ht="15.75" customHeight="1">
      <c r="A789" s="145" t="s">
        <v>1586</v>
      </c>
      <c r="B789" s="150">
        <v>46019.0</v>
      </c>
      <c r="C789" s="145" t="s">
        <v>495</v>
      </c>
      <c r="D789" s="146" t="s">
        <v>1591</v>
      </c>
      <c r="E789" s="146" t="s">
        <v>1559</v>
      </c>
      <c r="F789" s="146" t="s">
        <v>1592</v>
      </c>
    </row>
    <row r="790" ht="15.75" customHeight="1">
      <c r="A790" s="145" t="s">
        <v>1586</v>
      </c>
      <c r="B790" s="150">
        <v>46019.0</v>
      </c>
      <c r="C790" s="145" t="s">
        <v>704</v>
      </c>
      <c r="D790" s="146" t="s">
        <v>1593</v>
      </c>
      <c r="E790" s="146" t="s">
        <v>1594</v>
      </c>
      <c r="F790" s="146" t="s">
        <v>1595</v>
      </c>
    </row>
    <row r="791" ht="15.75" customHeight="1">
      <c r="A791" s="145" t="s">
        <v>1586</v>
      </c>
      <c r="B791" s="150">
        <v>46019.0</v>
      </c>
      <c r="C791" s="145" t="s">
        <v>876</v>
      </c>
      <c r="D791" s="145" t="s">
        <v>1276</v>
      </c>
      <c r="E791" s="146" t="s">
        <v>1562</v>
      </c>
      <c r="F791" s="146" t="s">
        <v>1596</v>
      </c>
    </row>
    <row r="792" ht="15.75" customHeight="1">
      <c r="A792" s="145" t="s">
        <v>1586</v>
      </c>
      <c r="B792" s="150">
        <v>46020.0</v>
      </c>
      <c r="C792" s="145" t="s">
        <v>264</v>
      </c>
      <c r="D792" s="146" t="s">
        <v>1564</v>
      </c>
      <c r="E792" s="146" t="s">
        <v>1557</v>
      </c>
      <c r="F792" s="146" t="s">
        <v>1590</v>
      </c>
    </row>
    <row r="793" ht="15.75" customHeight="1">
      <c r="A793" s="145" t="s">
        <v>1586</v>
      </c>
      <c r="B793" s="150">
        <v>46020.0</v>
      </c>
      <c r="C793" s="145" t="s">
        <v>401</v>
      </c>
      <c r="D793" s="145" t="s">
        <v>1276</v>
      </c>
      <c r="E793" s="146" t="s">
        <v>1597</v>
      </c>
      <c r="F793" s="145" t="s">
        <v>20</v>
      </c>
    </row>
    <row r="794" ht="15.75" customHeight="1">
      <c r="A794" s="145" t="s">
        <v>1586</v>
      </c>
      <c r="B794" s="150">
        <v>46020.0</v>
      </c>
      <c r="C794" s="145" t="s">
        <v>1282</v>
      </c>
      <c r="D794" s="145" t="s">
        <v>1542</v>
      </c>
      <c r="E794" s="145" t="s">
        <v>1598</v>
      </c>
      <c r="F794" s="146" t="s">
        <v>1599</v>
      </c>
    </row>
    <row r="795" ht="15.75" customHeight="1">
      <c r="A795" s="145" t="s">
        <v>1586</v>
      </c>
      <c r="B795" s="150">
        <v>46020.0</v>
      </c>
      <c r="C795" s="145" t="s">
        <v>1284</v>
      </c>
      <c r="D795" s="145" t="s">
        <v>1542</v>
      </c>
      <c r="E795" s="145" t="s">
        <v>1598</v>
      </c>
      <c r="F795" s="146" t="s">
        <v>1599</v>
      </c>
    </row>
    <row r="796" ht="15.75" customHeight="1">
      <c r="A796" s="145" t="s">
        <v>1586</v>
      </c>
      <c r="B796" s="150">
        <v>46020.0</v>
      </c>
      <c r="C796" s="145" t="s">
        <v>1325</v>
      </c>
      <c r="D796" s="145" t="s">
        <v>1255</v>
      </c>
      <c r="E796" s="145" t="s">
        <v>1326</v>
      </c>
      <c r="F796" s="145" t="s">
        <v>20</v>
      </c>
    </row>
    <row r="797" ht="15.75" customHeight="1">
      <c r="A797" s="145" t="s">
        <v>1586</v>
      </c>
      <c r="B797" s="150">
        <v>46021.0</v>
      </c>
      <c r="C797" s="145" t="s">
        <v>1554</v>
      </c>
      <c r="D797" s="145" t="s">
        <v>1255</v>
      </c>
      <c r="E797" s="145" t="s">
        <v>1201</v>
      </c>
      <c r="F797" s="145" t="s">
        <v>20</v>
      </c>
    </row>
    <row r="798" ht="15.75" customHeight="1">
      <c r="A798" s="145" t="s">
        <v>1586</v>
      </c>
      <c r="B798" s="150">
        <v>46021.0</v>
      </c>
      <c r="C798" s="145" t="s">
        <v>1254</v>
      </c>
      <c r="D798" s="145" t="s">
        <v>1255</v>
      </c>
      <c r="E798" s="146" t="s">
        <v>1495</v>
      </c>
      <c r="F798" s="145" t="s">
        <v>20</v>
      </c>
    </row>
    <row r="799" ht="15.75" customHeight="1">
      <c r="A799" s="145" t="s">
        <v>1586</v>
      </c>
      <c r="B799" s="150">
        <v>46021.0</v>
      </c>
      <c r="C799" s="145" t="s">
        <v>1330</v>
      </c>
      <c r="D799" s="145" t="s">
        <v>1255</v>
      </c>
      <c r="E799" s="145" t="s">
        <v>1326</v>
      </c>
      <c r="F799" s="145" t="s">
        <v>20</v>
      </c>
    </row>
    <row r="800" ht="15.75" customHeight="1">
      <c r="A800" s="145" t="s">
        <v>1586</v>
      </c>
      <c r="B800" s="150">
        <v>46021.0</v>
      </c>
      <c r="C800" s="145" t="s">
        <v>1565</v>
      </c>
      <c r="D800" s="146" t="s">
        <v>1591</v>
      </c>
      <c r="E800" s="146" t="s">
        <v>1600</v>
      </c>
      <c r="F800" s="146" t="s">
        <v>1592</v>
      </c>
    </row>
    <row r="801" ht="15.75" customHeight="1">
      <c r="A801" s="145" t="s">
        <v>1586</v>
      </c>
      <c r="B801" s="150">
        <v>46022.0</v>
      </c>
      <c r="C801" s="145" t="s">
        <v>272</v>
      </c>
      <c r="D801" s="145" t="s">
        <v>1255</v>
      </c>
      <c r="E801" s="145" t="s">
        <v>1413</v>
      </c>
      <c r="F801" s="145" t="s">
        <v>20</v>
      </c>
    </row>
    <row r="802" ht="15.75" customHeight="1">
      <c r="A802" s="145" t="s">
        <v>1586</v>
      </c>
      <c r="B802" s="150">
        <v>46022.0</v>
      </c>
      <c r="C802" s="145" t="s">
        <v>560</v>
      </c>
      <c r="D802" s="146" t="s">
        <v>1556</v>
      </c>
      <c r="E802" s="146" t="s">
        <v>1601</v>
      </c>
      <c r="F802" s="146" t="s">
        <v>1590</v>
      </c>
    </row>
    <row r="803" ht="15.75" customHeight="1">
      <c r="A803" s="145" t="s">
        <v>1586</v>
      </c>
      <c r="B803" s="150">
        <v>46022.0</v>
      </c>
      <c r="C803" s="145" t="s">
        <v>1181</v>
      </c>
      <c r="D803" s="145"/>
      <c r="E803" s="145" t="s">
        <v>1602</v>
      </c>
      <c r="F803" s="145" t="s">
        <v>20</v>
      </c>
    </row>
    <row r="804" ht="15.75" customHeight="1">
      <c r="A804" s="145" t="s">
        <v>1586</v>
      </c>
      <c r="B804" s="150">
        <v>46022.0</v>
      </c>
      <c r="C804" s="145" t="s">
        <v>716</v>
      </c>
      <c r="D804" s="145" t="s">
        <v>1534</v>
      </c>
      <c r="E804" s="146" t="s">
        <v>1603</v>
      </c>
      <c r="F804" s="146" t="s">
        <v>1604</v>
      </c>
    </row>
    <row r="805" ht="15.75" customHeight="1">
      <c r="A805" s="145" t="s">
        <v>1586</v>
      </c>
      <c r="B805" s="150">
        <v>46022.0</v>
      </c>
      <c r="C805" s="145" t="s">
        <v>1566</v>
      </c>
      <c r="D805" s="146" t="s">
        <v>1591</v>
      </c>
      <c r="E805" s="146" t="s">
        <v>1605</v>
      </c>
      <c r="F805" s="146" t="s">
        <v>1592</v>
      </c>
    </row>
    <row r="806" ht="15.75" customHeight="1">
      <c r="A806" s="145" t="s">
        <v>1586</v>
      </c>
      <c r="B806" s="150">
        <v>46022.0</v>
      </c>
      <c r="C806" s="145" t="s">
        <v>1000</v>
      </c>
      <c r="D806" s="145" t="s">
        <v>1536</v>
      </c>
      <c r="E806" s="146" t="s">
        <v>1606</v>
      </c>
      <c r="F806" s="146" t="s">
        <v>1607</v>
      </c>
    </row>
    <row r="807" ht="15.75" customHeight="1">
      <c r="A807" s="145" t="s">
        <v>1586</v>
      </c>
      <c r="B807" s="150">
        <v>46023.0</v>
      </c>
      <c r="C807" s="145" t="s">
        <v>566</v>
      </c>
      <c r="D807" s="145" t="s">
        <v>1276</v>
      </c>
      <c r="E807" s="146" t="s">
        <v>1608</v>
      </c>
      <c r="F807" s="146" t="s">
        <v>1596</v>
      </c>
    </row>
    <row r="808" ht="15.75" customHeight="1">
      <c r="A808" s="145" t="s">
        <v>1586</v>
      </c>
      <c r="B808" s="150">
        <v>46023.0</v>
      </c>
      <c r="C808" s="145" t="s">
        <v>1569</v>
      </c>
      <c r="D808" s="146" t="s">
        <v>1591</v>
      </c>
      <c r="E808" s="146" t="s">
        <v>1605</v>
      </c>
      <c r="F808" s="146" t="s">
        <v>1592</v>
      </c>
    </row>
    <row r="809" ht="15.75" customHeight="1">
      <c r="A809" s="145" t="s">
        <v>1586</v>
      </c>
      <c r="B809" s="150">
        <v>46024.0</v>
      </c>
      <c r="C809" s="145" t="s">
        <v>1254</v>
      </c>
      <c r="D809" s="145" t="s">
        <v>1255</v>
      </c>
      <c r="E809" s="146" t="s">
        <v>1495</v>
      </c>
      <c r="F809" s="145" t="s">
        <v>20</v>
      </c>
    </row>
    <row r="810" ht="15.75" customHeight="1">
      <c r="A810" s="145" t="s">
        <v>1586</v>
      </c>
      <c r="B810" s="150">
        <v>46024.0</v>
      </c>
      <c r="C810" s="145" t="s">
        <v>1554</v>
      </c>
      <c r="D810" s="145" t="s">
        <v>1255</v>
      </c>
      <c r="E810" s="145" t="s">
        <v>1201</v>
      </c>
      <c r="F810" s="145" t="s">
        <v>20</v>
      </c>
    </row>
    <row r="811" ht="15.75" customHeight="1">
      <c r="A811" s="145" t="s">
        <v>1586</v>
      </c>
      <c r="B811" s="150">
        <v>46024.0</v>
      </c>
      <c r="C811" s="145" t="s">
        <v>707</v>
      </c>
      <c r="D811" s="145" t="s">
        <v>1587</v>
      </c>
      <c r="E811" s="146" t="s">
        <v>1609</v>
      </c>
      <c r="F811" s="146" t="s">
        <v>1610</v>
      </c>
    </row>
    <row r="812" ht="15.75" customHeight="1">
      <c r="A812" s="145" t="s">
        <v>1586</v>
      </c>
      <c r="B812" s="150">
        <v>46025.0</v>
      </c>
      <c r="C812" s="145" t="s">
        <v>277</v>
      </c>
      <c r="D812" s="145" t="s">
        <v>1255</v>
      </c>
      <c r="E812" s="145" t="s">
        <v>1572</v>
      </c>
      <c r="F812" s="145" t="s">
        <v>20</v>
      </c>
    </row>
    <row r="813" ht="15.75" customHeight="1">
      <c r="A813" s="145" t="s">
        <v>1586</v>
      </c>
      <c r="B813" s="150">
        <v>46025.0</v>
      </c>
      <c r="C813" s="145" t="s">
        <v>577</v>
      </c>
      <c r="D813" s="146" t="s">
        <v>1540</v>
      </c>
      <c r="E813" s="146" t="s">
        <v>1611</v>
      </c>
      <c r="F813" s="146" t="s">
        <v>1589</v>
      </c>
    </row>
    <row r="814" ht="15.75" customHeight="1">
      <c r="A814" s="145" t="s">
        <v>1586</v>
      </c>
      <c r="B814" s="150">
        <v>46025.0</v>
      </c>
      <c r="C814" s="145" t="s">
        <v>657</v>
      </c>
      <c r="D814" s="146" t="s">
        <v>1556</v>
      </c>
      <c r="E814" s="146" t="s">
        <v>1601</v>
      </c>
      <c r="F814" s="146" t="s">
        <v>1590</v>
      </c>
    </row>
    <row r="815" ht="15.75" customHeight="1">
      <c r="A815" s="145" t="s">
        <v>1586</v>
      </c>
      <c r="B815" s="150">
        <v>46026.0</v>
      </c>
      <c r="C815" s="145" t="s">
        <v>495</v>
      </c>
      <c r="D815" s="146" t="s">
        <v>1591</v>
      </c>
      <c r="E815" s="146" t="s">
        <v>1612</v>
      </c>
      <c r="F815" s="146" t="s">
        <v>1592</v>
      </c>
    </row>
    <row r="816" ht="15.75" customHeight="1">
      <c r="A816" s="145" t="s">
        <v>1586</v>
      </c>
      <c r="B816" s="150">
        <v>46026.0</v>
      </c>
      <c r="C816" s="145" t="s">
        <v>704</v>
      </c>
      <c r="D816" s="146" t="s">
        <v>1593</v>
      </c>
      <c r="E816" s="146" t="s">
        <v>1613</v>
      </c>
      <c r="F816" s="146" t="s">
        <v>1595</v>
      </c>
    </row>
    <row r="817" ht="15.75" customHeight="1">
      <c r="A817" s="145" t="s">
        <v>1586</v>
      </c>
      <c r="B817" s="150">
        <v>46026.0</v>
      </c>
      <c r="C817" s="145" t="s">
        <v>876</v>
      </c>
      <c r="D817" s="145" t="s">
        <v>1276</v>
      </c>
      <c r="E817" s="146" t="s">
        <v>1614</v>
      </c>
      <c r="F817" s="146" t="s">
        <v>1596</v>
      </c>
    </row>
    <row r="818" ht="15.75" customHeight="1">
      <c r="A818" s="145" t="s">
        <v>1586</v>
      </c>
      <c r="B818" s="150">
        <v>46027.0</v>
      </c>
      <c r="C818" s="145" t="s">
        <v>264</v>
      </c>
      <c r="D818" s="146" t="s">
        <v>1564</v>
      </c>
      <c r="E818" s="146" t="s">
        <v>1601</v>
      </c>
      <c r="F818" s="146" t="s">
        <v>1590</v>
      </c>
    </row>
    <row r="819" ht="15.75" customHeight="1">
      <c r="A819" s="145" t="s">
        <v>1586</v>
      </c>
      <c r="B819" s="150">
        <v>46027.0</v>
      </c>
      <c r="C819" s="145" t="s">
        <v>401</v>
      </c>
      <c r="D819" s="145" t="s">
        <v>1276</v>
      </c>
      <c r="E819" s="146" t="s">
        <v>1614</v>
      </c>
      <c r="F819" s="146" t="s">
        <v>1596</v>
      </c>
    </row>
    <row r="820" ht="15.75" customHeight="1">
      <c r="A820" s="145" t="s">
        <v>1586</v>
      </c>
      <c r="B820" s="150">
        <v>46027.0</v>
      </c>
      <c r="C820" s="145" t="s">
        <v>1282</v>
      </c>
      <c r="D820" s="145" t="s">
        <v>1542</v>
      </c>
      <c r="E820" s="146" t="s">
        <v>1615</v>
      </c>
      <c r="F820" s="146" t="s">
        <v>1599</v>
      </c>
    </row>
    <row r="821" ht="15.75" customHeight="1">
      <c r="A821" s="145" t="s">
        <v>1586</v>
      </c>
      <c r="B821" s="150">
        <v>46027.0</v>
      </c>
      <c r="C821" s="145" t="s">
        <v>1284</v>
      </c>
      <c r="D821" s="145" t="s">
        <v>1542</v>
      </c>
      <c r="E821" s="146" t="s">
        <v>1615</v>
      </c>
      <c r="F821" s="146" t="s">
        <v>1599</v>
      </c>
    </row>
    <row r="822" ht="15.75" customHeight="1">
      <c r="A822" s="145" t="s">
        <v>1586</v>
      </c>
      <c r="B822" s="150">
        <v>46027.0</v>
      </c>
      <c r="C822" s="145" t="s">
        <v>1325</v>
      </c>
      <c r="D822" s="145" t="s">
        <v>1255</v>
      </c>
      <c r="E822" s="145" t="s">
        <v>1326</v>
      </c>
      <c r="F822" s="145" t="s">
        <v>20</v>
      </c>
    </row>
    <row r="823" ht="15.75" customHeight="1">
      <c r="A823" s="145" t="s">
        <v>1586</v>
      </c>
      <c r="B823" s="150">
        <v>46028.0</v>
      </c>
      <c r="C823" s="145" t="s">
        <v>1554</v>
      </c>
      <c r="D823" s="145" t="s">
        <v>1255</v>
      </c>
      <c r="E823" s="145" t="s">
        <v>1201</v>
      </c>
      <c r="F823" s="145" t="s">
        <v>20</v>
      </c>
    </row>
    <row r="824" ht="15.75" customHeight="1">
      <c r="A824" s="145" t="s">
        <v>1586</v>
      </c>
      <c r="B824" s="150">
        <v>46028.0</v>
      </c>
      <c r="C824" s="145" t="s">
        <v>1254</v>
      </c>
      <c r="D824" s="145" t="s">
        <v>1255</v>
      </c>
      <c r="E824" s="145" t="s">
        <v>1201</v>
      </c>
      <c r="F824" s="145" t="s">
        <v>20</v>
      </c>
    </row>
    <row r="825" ht="15.75" customHeight="1">
      <c r="A825" s="145" t="s">
        <v>1586</v>
      </c>
      <c r="B825" s="150">
        <v>46028.0</v>
      </c>
      <c r="C825" s="145" t="s">
        <v>1330</v>
      </c>
      <c r="D825" s="145" t="s">
        <v>1255</v>
      </c>
      <c r="E825" s="145" t="s">
        <v>1326</v>
      </c>
      <c r="F825" s="145" t="s">
        <v>20</v>
      </c>
    </row>
    <row r="826" ht="15.75" customHeight="1">
      <c r="A826" s="145" t="s">
        <v>1586</v>
      </c>
      <c r="B826" s="150">
        <v>46028.0</v>
      </c>
      <c r="C826" s="145" t="s">
        <v>1565</v>
      </c>
      <c r="D826" s="146" t="s">
        <v>1591</v>
      </c>
      <c r="E826" s="145" t="s">
        <v>1616</v>
      </c>
      <c r="F826" s="146" t="s">
        <v>1592</v>
      </c>
    </row>
    <row r="827" ht="15.75" customHeight="1">
      <c r="A827" s="145" t="s">
        <v>1586</v>
      </c>
      <c r="B827" s="150">
        <v>46029.0</v>
      </c>
      <c r="C827" s="145" t="s">
        <v>1566</v>
      </c>
      <c r="D827" s="146" t="s">
        <v>1591</v>
      </c>
      <c r="E827" s="145" t="s">
        <v>1616</v>
      </c>
      <c r="F827" s="146" t="s">
        <v>1592</v>
      </c>
    </row>
    <row r="828" ht="15.75" customHeight="1">
      <c r="A828" s="145" t="s">
        <v>1586</v>
      </c>
      <c r="B828" s="150">
        <v>46030.0</v>
      </c>
      <c r="C828" s="145" t="s">
        <v>1569</v>
      </c>
      <c r="D828" s="146" t="s">
        <v>1591</v>
      </c>
      <c r="E828" s="145" t="s">
        <v>1616</v>
      </c>
      <c r="F828" s="146" t="s">
        <v>1592</v>
      </c>
    </row>
    <row r="829" ht="15.75" customHeight="1">
      <c r="A829" s="145" t="s">
        <v>1586</v>
      </c>
      <c r="B829" s="150" t="s">
        <v>1617</v>
      </c>
      <c r="C829" s="145"/>
      <c r="D829" s="145"/>
      <c r="E829" s="145"/>
      <c r="F829" s="145"/>
    </row>
    <row r="830" ht="15.75" customHeight="1">
      <c r="A830" s="145" t="s">
        <v>1618</v>
      </c>
      <c r="B830" s="150">
        <v>46034.0</v>
      </c>
      <c r="C830" s="145" t="s">
        <v>1269</v>
      </c>
      <c r="D830" s="145" t="s">
        <v>1488</v>
      </c>
      <c r="E830" s="146" t="s">
        <v>1466</v>
      </c>
      <c r="F830" s="145" t="s">
        <v>20</v>
      </c>
    </row>
    <row r="831" ht="15.75" customHeight="1">
      <c r="A831" s="145" t="s">
        <v>1618</v>
      </c>
      <c r="B831" s="150">
        <v>46034.0</v>
      </c>
      <c r="C831" s="145" t="s">
        <v>1449</v>
      </c>
      <c r="D831" s="145" t="s">
        <v>1260</v>
      </c>
      <c r="E831" s="146" t="s">
        <v>1489</v>
      </c>
      <c r="F831" s="145" t="s">
        <v>20</v>
      </c>
    </row>
    <row r="832" ht="15.75" customHeight="1">
      <c r="A832" s="145" t="s">
        <v>1618</v>
      </c>
      <c r="B832" s="150">
        <v>46034.0</v>
      </c>
      <c r="C832" s="145" t="s">
        <v>1325</v>
      </c>
      <c r="D832" s="145" t="s">
        <v>1243</v>
      </c>
      <c r="E832" s="146" t="s">
        <v>1468</v>
      </c>
      <c r="F832" s="145" t="s">
        <v>20</v>
      </c>
    </row>
    <row r="833" ht="15.75" customHeight="1">
      <c r="A833" s="145" t="s">
        <v>1618</v>
      </c>
      <c r="B833" s="150">
        <v>46034.0</v>
      </c>
      <c r="C833" s="145" t="s">
        <v>1239</v>
      </c>
      <c r="D833" s="145" t="s">
        <v>1411</v>
      </c>
      <c r="E833" s="145" t="s">
        <v>1353</v>
      </c>
      <c r="F833" s="145" t="s">
        <v>20</v>
      </c>
    </row>
    <row r="834" ht="15.75" customHeight="1">
      <c r="A834" s="145" t="s">
        <v>1618</v>
      </c>
      <c r="B834" s="150">
        <v>46035.0</v>
      </c>
      <c r="C834" s="145" t="s">
        <v>1389</v>
      </c>
      <c r="D834" s="145" t="s">
        <v>1243</v>
      </c>
      <c r="E834" s="146" t="s">
        <v>1469</v>
      </c>
      <c r="F834" s="145" t="s">
        <v>20</v>
      </c>
    </row>
    <row r="835" ht="15.75" customHeight="1">
      <c r="A835" s="145" t="s">
        <v>1618</v>
      </c>
      <c r="B835" s="150">
        <v>46035.0</v>
      </c>
      <c r="C835" s="145" t="s">
        <v>1254</v>
      </c>
      <c r="D835" s="146" t="s">
        <v>1470</v>
      </c>
      <c r="E835" s="145" t="s">
        <v>1201</v>
      </c>
      <c r="F835" s="145" t="s">
        <v>20</v>
      </c>
    </row>
    <row r="836" ht="15.75" customHeight="1">
      <c r="A836" s="145" t="s">
        <v>1618</v>
      </c>
      <c r="B836" s="150">
        <v>46035.0</v>
      </c>
      <c r="C836" s="145" t="s">
        <v>1330</v>
      </c>
      <c r="D836" s="145" t="s">
        <v>1243</v>
      </c>
      <c r="E836" s="145" t="s">
        <v>1201</v>
      </c>
      <c r="F836" s="145" t="s">
        <v>20</v>
      </c>
    </row>
    <row r="837" ht="15.75" customHeight="1">
      <c r="A837" s="145" t="s">
        <v>1618</v>
      </c>
      <c r="B837" s="150">
        <v>46035.0</v>
      </c>
      <c r="C837" s="145" t="s">
        <v>1272</v>
      </c>
      <c r="D837" s="146" t="s">
        <v>1493</v>
      </c>
      <c r="E837" s="145" t="s">
        <v>1472</v>
      </c>
      <c r="F837" s="145" t="s">
        <v>20</v>
      </c>
    </row>
    <row r="838" ht="15.75" customHeight="1">
      <c r="A838" s="145" t="s">
        <v>1618</v>
      </c>
      <c r="B838" s="150">
        <v>46035.0</v>
      </c>
      <c r="C838" s="145" t="s">
        <v>884</v>
      </c>
      <c r="D838" s="145" t="s">
        <v>1243</v>
      </c>
      <c r="E838" s="146" t="s">
        <v>1473</v>
      </c>
      <c r="F838" s="145" t="s">
        <v>20</v>
      </c>
    </row>
    <row r="839" ht="15.75" customHeight="1">
      <c r="A839" s="145" t="s">
        <v>1619</v>
      </c>
      <c r="B839" s="150">
        <v>46064.0</v>
      </c>
      <c r="C839" s="145" t="s">
        <v>272</v>
      </c>
      <c r="D839" s="145" t="s">
        <v>1255</v>
      </c>
      <c r="E839" s="146" t="s">
        <v>1620</v>
      </c>
      <c r="F839" s="145" t="s">
        <v>20</v>
      </c>
    </row>
    <row r="840" ht="15.75" customHeight="1">
      <c r="A840" s="145" t="s">
        <v>1619</v>
      </c>
      <c r="B840" s="150">
        <v>46064.0</v>
      </c>
      <c r="C840" s="145" t="s">
        <v>560</v>
      </c>
      <c r="D840" s="146" t="s">
        <v>1556</v>
      </c>
      <c r="E840" s="146" t="s">
        <v>1454</v>
      </c>
      <c r="F840" s="145" t="s">
        <v>20</v>
      </c>
    </row>
    <row r="841" ht="15.75" customHeight="1">
      <c r="A841" s="145" t="s">
        <v>1619</v>
      </c>
      <c r="B841" s="150">
        <v>46064.0</v>
      </c>
      <c r="C841" s="145" t="s">
        <v>716</v>
      </c>
      <c r="D841" s="145" t="s">
        <v>1534</v>
      </c>
      <c r="E841" s="146" t="s">
        <v>1621</v>
      </c>
      <c r="F841" s="145" t="s">
        <v>20</v>
      </c>
    </row>
    <row r="842" ht="15.75" customHeight="1">
      <c r="A842" s="145" t="s">
        <v>1619</v>
      </c>
      <c r="B842" s="150">
        <v>46064.0</v>
      </c>
      <c r="C842" s="145" t="s">
        <v>1566</v>
      </c>
      <c r="D842" s="146" t="s">
        <v>1591</v>
      </c>
      <c r="E842" s="146" t="s">
        <v>1622</v>
      </c>
      <c r="F842" s="145" t="s">
        <v>20</v>
      </c>
    </row>
    <row r="843" ht="15.75" customHeight="1">
      <c r="A843" s="145" t="s">
        <v>1619</v>
      </c>
      <c r="B843" s="150">
        <v>46064.0</v>
      </c>
      <c r="C843" s="145" t="s">
        <v>1000</v>
      </c>
      <c r="D843" s="145" t="s">
        <v>1536</v>
      </c>
      <c r="E843" s="146" t="s">
        <v>1623</v>
      </c>
      <c r="F843" s="145" t="s">
        <v>20</v>
      </c>
    </row>
    <row r="844" ht="15.75" customHeight="1">
      <c r="A844" s="145" t="s">
        <v>1619</v>
      </c>
      <c r="B844" s="150">
        <v>46065.0</v>
      </c>
      <c r="C844" s="145" t="s">
        <v>566</v>
      </c>
      <c r="D844" s="145" t="s">
        <v>1276</v>
      </c>
      <c r="E844" s="146" t="s">
        <v>1624</v>
      </c>
      <c r="F844" s="145" t="s">
        <v>20</v>
      </c>
    </row>
    <row r="845" ht="15.75" customHeight="1">
      <c r="A845" s="145" t="s">
        <v>1619</v>
      </c>
      <c r="B845" s="150">
        <v>46065.0</v>
      </c>
      <c r="C845" s="145" t="s">
        <v>1569</v>
      </c>
      <c r="D845" s="146" t="s">
        <v>1591</v>
      </c>
      <c r="E845" s="146" t="s">
        <v>1622</v>
      </c>
      <c r="F845" s="145" t="s">
        <v>20</v>
      </c>
    </row>
    <row r="846" ht="15.75" customHeight="1">
      <c r="A846" s="145" t="s">
        <v>1619</v>
      </c>
      <c r="B846" s="150">
        <v>46066.0</v>
      </c>
      <c r="C846" s="145" t="s">
        <v>1254</v>
      </c>
      <c r="D846" s="145" t="s">
        <v>1255</v>
      </c>
      <c r="E846" s="145" t="s">
        <v>1625</v>
      </c>
      <c r="F846" s="145" t="s">
        <v>20</v>
      </c>
    </row>
    <row r="847" ht="15.75" customHeight="1">
      <c r="A847" s="145" t="s">
        <v>1619</v>
      </c>
      <c r="B847" s="150">
        <v>46066.0</v>
      </c>
      <c r="C847" s="145" t="s">
        <v>1554</v>
      </c>
      <c r="D847" s="145" t="s">
        <v>1255</v>
      </c>
      <c r="E847" s="145" t="s">
        <v>1201</v>
      </c>
      <c r="F847" s="145" t="s">
        <v>20</v>
      </c>
    </row>
    <row r="848" ht="15.75" customHeight="1">
      <c r="A848" s="145" t="s">
        <v>1619</v>
      </c>
      <c r="B848" s="150">
        <v>46066.0</v>
      </c>
      <c r="C848" s="145" t="s">
        <v>707</v>
      </c>
      <c r="D848" s="145" t="s">
        <v>1587</v>
      </c>
      <c r="E848" s="146" t="s">
        <v>1626</v>
      </c>
      <c r="F848" s="145" t="s">
        <v>20</v>
      </c>
    </row>
    <row r="849" ht="15.75" customHeight="1">
      <c r="A849" s="145" t="s">
        <v>1619</v>
      </c>
      <c r="B849" s="150">
        <v>46067.0</v>
      </c>
      <c r="C849" s="145" t="s">
        <v>277</v>
      </c>
      <c r="D849" s="145" t="s">
        <v>1255</v>
      </c>
      <c r="E849" s="146" t="s">
        <v>1620</v>
      </c>
      <c r="F849" s="145" t="s">
        <v>20</v>
      </c>
    </row>
    <row r="850" ht="15.75" customHeight="1">
      <c r="A850" s="145" t="s">
        <v>1619</v>
      </c>
      <c r="B850" s="150">
        <v>46067.0</v>
      </c>
      <c r="C850" s="145" t="s">
        <v>577</v>
      </c>
      <c r="D850" s="146" t="s">
        <v>1540</v>
      </c>
      <c r="E850" s="146" t="s">
        <v>1463</v>
      </c>
      <c r="F850" s="146" t="s">
        <v>1457</v>
      </c>
    </row>
    <row r="851" ht="15.75" customHeight="1">
      <c r="A851" s="145" t="s">
        <v>1627</v>
      </c>
      <c r="B851" s="150">
        <v>46076.0</v>
      </c>
      <c r="C851" s="145" t="s">
        <v>1269</v>
      </c>
      <c r="D851" s="145" t="s">
        <v>1488</v>
      </c>
      <c r="E851" s="146" t="s">
        <v>1466</v>
      </c>
      <c r="F851" s="145" t="s">
        <v>20</v>
      </c>
    </row>
    <row r="852" ht="15.75" customHeight="1">
      <c r="A852" s="145" t="s">
        <v>1627</v>
      </c>
      <c r="B852" s="150">
        <v>46076.0</v>
      </c>
      <c r="C852" s="145" t="s">
        <v>1449</v>
      </c>
      <c r="D852" s="145" t="s">
        <v>1260</v>
      </c>
      <c r="E852" s="146" t="s">
        <v>1489</v>
      </c>
      <c r="F852" s="145" t="s">
        <v>20</v>
      </c>
    </row>
    <row r="853" ht="15.75" customHeight="1">
      <c r="A853" s="145" t="s">
        <v>1627</v>
      </c>
      <c r="B853" s="150">
        <v>46076.0</v>
      </c>
      <c r="C853" s="145" t="s">
        <v>1325</v>
      </c>
      <c r="D853" s="145" t="s">
        <v>1243</v>
      </c>
      <c r="E853" s="146" t="s">
        <v>1468</v>
      </c>
      <c r="F853" s="145" t="s">
        <v>20</v>
      </c>
    </row>
    <row r="854" ht="15.75" customHeight="1">
      <c r="A854" s="145" t="s">
        <v>1627</v>
      </c>
      <c r="B854" s="150">
        <v>46076.0</v>
      </c>
      <c r="C854" s="145" t="s">
        <v>1239</v>
      </c>
      <c r="D854" s="145" t="s">
        <v>1411</v>
      </c>
      <c r="E854" s="145" t="s">
        <v>1353</v>
      </c>
      <c r="F854" s="145" t="s">
        <v>20</v>
      </c>
    </row>
    <row r="855" ht="15.75" customHeight="1">
      <c r="A855" s="145" t="s">
        <v>1627</v>
      </c>
      <c r="B855" s="150">
        <v>46077.0</v>
      </c>
      <c r="C855" s="145" t="s">
        <v>1389</v>
      </c>
      <c r="D855" s="145" t="s">
        <v>1243</v>
      </c>
      <c r="E855" s="146" t="s">
        <v>1469</v>
      </c>
      <c r="F855" s="145" t="s">
        <v>20</v>
      </c>
    </row>
    <row r="856" ht="15.75" customHeight="1">
      <c r="A856" s="145" t="s">
        <v>1627</v>
      </c>
      <c r="B856" s="150">
        <v>46077.0</v>
      </c>
      <c r="C856" s="145" t="s">
        <v>1254</v>
      </c>
      <c r="D856" s="146" t="s">
        <v>1470</v>
      </c>
      <c r="E856" s="145" t="s">
        <v>1201</v>
      </c>
      <c r="F856" s="145" t="s">
        <v>20</v>
      </c>
    </row>
    <row r="857" ht="15.75" customHeight="1">
      <c r="A857" s="145" t="s">
        <v>1627</v>
      </c>
      <c r="B857" s="150">
        <v>46077.0</v>
      </c>
      <c r="C857" s="145" t="s">
        <v>1330</v>
      </c>
      <c r="D857" s="145" t="s">
        <v>1243</v>
      </c>
      <c r="E857" s="145" t="s">
        <v>1201</v>
      </c>
      <c r="F857" s="145" t="s">
        <v>20</v>
      </c>
    </row>
    <row r="858" ht="15.75" customHeight="1">
      <c r="A858" s="145" t="s">
        <v>1627</v>
      </c>
      <c r="B858" s="150">
        <v>46077.0</v>
      </c>
      <c r="C858" s="145" t="s">
        <v>1272</v>
      </c>
      <c r="D858" s="146" t="s">
        <v>1493</v>
      </c>
      <c r="E858" s="145" t="s">
        <v>1472</v>
      </c>
      <c r="F858" s="145" t="s">
        <v>20</v>
      </c>
    </row>
    <row r="859" ht="15.75" customHeight="1">
      <c r="A859" s="145" t="s">
        <v>1627</v>
      </c>
      <c r="B859" s="150">
        <v>46077.0</v>
      </c>
      <c r="C859" s="145" t="s">
        <v>884</v>
      </c>
      <c r="D859" s="145" t="s">
        <v>1243</v>
      </c>
      <c r="E859" s="146" t="s">
        <v>1473</v>
      </c>
      <c r="F859" s="145" t="s">
        <v>20</v>
      </c>
    </row>
    <row r="860" ht="15.75" customHeight="1">
      <c r="A860" s="145" t="s">
        <v>1628</v>
      </c>
      <c r="B860" s="150">
        <v>46101.0</v>
      </c>
      <c r="C860" s="145" t="s">
        <v>1254</v>
      </c>
      <c r="D860" s="145" t="s">
        <v>1255</v>
      </c>
      <c r="E860" s="146" t="s">
        <v>1307</v>
      </c>
      <c r="F860" s="145" t="s">
        <v>20</v>
      </c>
    </row>
    <row r="861" ht="15.75" customHeight="1">
      <c r="A861" s="145" t="s">
        <v>1628</v>
      </c>
      <c r="B861" s="150">
        <v>46101.0</v>
      </c>
      <c r="C861" s="145" t="s">
        <v>707</v>
      </c>
      <c r="D861" s="145" t="s">
        <v>1587</v>
      </c>
      <c r="E861" s="145" t="s">
        <v>1201</v>
      </c>
      <c r="F861" s="145" t="s">
        <v>20</v>
      </c>
    </row>
    <row r="862" ht="15.75" customHeight="1">
      <c r="A862" s="145" t="s">
        <v>1628</v>
      </c>
      <c r="B862" s="150">
        <v>46101.0</v>
      </c>
      <c r="C862" s="145" t="s">
        <v>1554</v>
      </c>
      <c r="D862" s="145" t="s">
        <v>1255</v>
      </c>
      <c r="E862" s="145" t="s">
        <v>1201</v>
      </c>
      <c r="F862" s="145" t="s">
        <v>20</v>
      </c>
    </row>
    <row r="863" ht="15.75" customHeight="1">
      <c r="A863" s="145" t="s">
        <v>1628</v>
      </c>
      <c r="B863" s="150">
        <v>46102.0</v>
      </c>
      <c r="C863" s="145" t="s">
        <v>277</v>
      </c>
      <c r="D863" s="145" t="s">
        <v>1255</v>
      </c>
      <c r="E863" s="145" t="s">
        <v>1572</v>
      </c>
      <c r="F863" s="145" t="s">
        <v>20</v>
      </c>
    </row>
    <row r="864" ht="15.75" customHeight="1">
      <c r="A864" s="145" t="s">
        <v>1628</v>
      </c>
      <c r="B864" s="150">
        <v>46102.0</v>
      </c>
      <c r="C864" s="145" t="s">
        <v>1232</v>
      </c>
      <c r="D864" s="145" t="s">
        <v>1629</v>
      </c>
      <c r="E864" s="146" t="s">
        <v>1443</v>
      </c>
      <c r="F864" s="145" t="s">
        <v>20</v>
      </c>
    </row>
    <row r="865" ht="15.75" customHeight="1">
      <c r="A865" s="145" t="s">
        <v>1628</v>
      </c>
      <c r="B865" s="150">
        <v>46102.0</v>
      </c>
      <c r="C865" s="145" t="s">
        <v>1235</v>
      </c>
      <c r="D865" s="146" t="s">
        <v>1556</v>
      </c>
      <c r="E865" s="145" t="s">
        <v>1630</v>
      </c>
      <c r="F865" s="145" t="s">
        <v>1631</v>
      </c>
    </row>
    <row r="866" ht="15.75" customHeight="1">
      <c r="A866" s="145" t="s">
        <v>1628</v>
      </c>
      <c r="B866" s="150">
        <v>46103.0</v>
      </c>
      <c r="C866" s="145" t="s">
        <v>1208</v>
      </c>
      <c r="D866" s="146" t="s">
        <v>1591</v>
      </c>
      <c r="E866" s="145" t="s">
        <v>1632</v>
      </c>
      <c r="F866" s="145" t="s">
        <v>1631</v>
      </c>
    </row>
    <row r="867" ht="15.75" customHeight="1">
      <c r="A867" s="145" t="s">
        <v>1628</v>
      </c>
      <c r="B867" s="150">
        <v>46103.0</v>
      </c>
      <c r="C867" s="145" t="s">
        <v>1266</v>
      </c>
      <c r="D867" s="145" t="s">
        <v>1446</v>
      </c>
      <c r="E867" s="145" t="s">
        <v>1633</v>
      </c>
      <c r="F867" s="145" t="s">
        <v>1631</v>
      </c>
    </row>
    <row r="868" ht="15.75" customHeight="1">
      <c r="A868" s="145" t="s">
        <v>1628</v>
      </c>
      <c r="B868" s="150">
        <v>46103.0</v>
      </c>
      <c r="C868" s="145" t="s">
        <v>1210</v>
      </c>
      <c r="D868" s="145" t="s">
        <v>1276</v>
      </c>
      <c r="E868" s="145" t="s">
        <v>1634</v>
      </c>
      <c r="F868" s="145" t="s">
        <v>1631</v>
      </c>
    </row>
    <row r="869" ht="15.75" customHeight="1">
      <c r="A869" s="145" t="s">
        <v>1628</v>
      </c>
      <c r="B869" s="150">
        <v>46104.0</v>
      </c>
      <c r="C869" s="145" t="s">
        <v>264</v>
      </c>
      <c r="D869" s="146" t="s">
        <v>1564</v>
      </c>
      <c r="E869" s="145" t="s">
        <v>1630</v>
      </c>
      <c r="F869" s="145" t="s">
        <v>1631</v>
      </c>
    </row>
    <row r="870" ht="15.75" customHeight="1">
      <c r="A870" s="145" t="s">
        <v>1628</v>
      </c>
      <c r="B870" s="150">
        <v>46104.0</v>
      </c>
      <c r="C870" s="145" t="s">
        <v>401</v>
      </c>
      <c r="D870" s="145" t="s">
        <v>1276</v>
      </c>
      <c r="E870" s="145" t="s">
        <v>1635</v>
      </c>
      <c r="F870" s="145" t="s">
        <v>20</v>
      </c>
    </row>
    <row r="871" ht="15.75" customHeight="1">
      <c r="A871" s="145" t="s">
        <v>1628</v>
      </c>
      <c r="B871" s="150">
        <v>46104.0</v>
      </c>
      <c r="C871" s="145" t="s">
        <v>1282</v>
      </c>
      <c r="D871" s="145" t="s">
        <v>1542</v>
      </c>
      <c r="E871" s="146" t="s">
        <v>1636</v>
      </c>
      <c r="F871" s="145" t="s">
        <v>1631</v>
      </c>
    </row>
    <row r="872" ht="15.75" customHeight="1">
      <c r="A872" s="145" t="s">
        <v>1628</v>
      </c>
      <c r="B872" s="150">
        <v>46104.0</v>
      </c>
      <c r="C872" s="145" t="s">
        <v>1284</v>
      </c>
      <c r="D872" s="145" t="s">
        <v>1542</v>
      </c>
      <c r="E872" s="146" t="s">
        <v>1636</v>
      </c>
      <c r="F872" s="145" t="s">
        <v>1631</v>
      </c>
    </row>
    <row r="873" ht="15.75" customHeight="1">
      <c r="A873" s="145" t="s">
        <v>1628</v>
      </c>
      <c r="B873" s="150">
        <v>46104.0</v>
      </c>
      <c r="C873" s="145" t="s">
        <v>1325</v>
      </c>
      <c r="D873" s="145" t="s">
        <v>1255</v>
      </c>
      <c r="E873" s="145" t="s">
        <v>1326</v>
      </c>
      <c r="F873" s="145" t="s">
        <v>20</v>
      </c>
    </row>
    <row r="874" ht="15.75" customHeight="1">
      <c r="A874" s="145" t="s">
        <v>1637</v>
      </c>
      <c r="B874" s="150">
        <v>46141.0</v>
      </c>
      <c r="C874" s="145" t="s">
        <v>272</v>
      </c>
      <c r="D874" s="145" t="s">
        <v>1255</v>
      </c>
      <c r="E874" s="146" t="s">
        <v>1620</v>
      </c>
      <c r="F874" s="145" t="s">
        <v>20</v>
      </c>
    </row>
    <row r="875" ht="15.75" customHeight="1">
      <c r="A875" s="145" t="s">
        <v>1637</v>
      </c>
      <c r="B875" s="150">
        <v>46141.0</v>
      </c>
      <c r="C875" s="145" t="s">
        <v>560</v>
      </c>
      <c r="D875" s="146" t="s">
        <v>1556</v>
      </c>
      <c r="E875" s="146" t="s">
        <v>1454</v>
      </c>
      <c r="F875" s="145" t="s">
        <v>20</v>
      </c>
    </row>
    <row r="876" ht="15.75" customHeight="1">
      <c r="A876" s="145" t="s">
        <v>1637</v>
      </c>
      <c r="B876" s="150">
        <v>46141.0</v>
      </c>
      <c r="C876" s="145" t="s">
        <v>716</v>
      </c>
      <c r="D876" s="145" t="s">
        <v>1534</v>
      </c>
      <c r="E876" s="146" t="s">
        <v>1621</v>
      </c>
      <c r="F876" s="145" t="s">
        <v>20</v>
      </c>
    </row>
    <row r="877" ht="15.75" customHeight="1">
      <c r="A877" s="145" t="s">
        <v>1637</v>
      </c>
      <c r="B877" s="150">
        <v>46141.0</v>
      </c>
      <c r="C877" s="145" t="s">
        <v>1566</v>
      </c>
      <c r="D877" s="146" t="s">
        <v>1591</v>
      </c>
      <c r="E877" s="146" t="s">
        <v>1622</v>
      </c>
      <c r="F877" s="145" t="s">
        <v>20</v>
      </c>
    </row>
    <row r="878" ht="15.75" customHeight="1">
      <c r="A878" s="145" t="s">
        <v>1637</v>
      </c>
      <c r="B878" s="150">
        <v>46141.0</v>
      </c>
      <c r="C878" s="145" t="s">
        <v>1000</v>
      </c>
      <c r="D878" s="145" t="s">
        <v>1536</v>
      </c>
      <c r="E878" s="146" t="s">
        <v>1623</v>
      </c>
      <c r="F878" s="145" t="s">
        <v>20</v>
      </c>
    </row>
    <row r="879" ht="15.75" customHeight="1">
      <c r="A879" s="145" t="s">
        <v>1637</v>
      </c>
      <c r="B879" s="150">
        <v>46142.0</v>
      </c>
      <c r="C879" s="145" t="s">
        <v>566</v>
      </c>
      <c r="D879" s="145" t="s">
        <v>1276</v>
      </c>
      <c r="E879" s="145" t="s">
        <v>1638</v>
      </c>
      <c r="F879" s="146" t="s">
        <v>1596</v>
      </c>
    </row>
    <row r="880" ht="15.75" customHeight="1">
      <c r="A880" s="145" t="s">
        <v>1637</v>
      </c>
      <c r="B880" s="150">
        <v>46142.0</v>
      </c>
      <c r="C880" s="145" t="s">
        <v>1569</v>
      </c>
      <c r="D880" s="146" t="s">
        <v>1591</v>
      </c>
      <c r="E880" s="146" t="s">
        <v>1622</v>
      </c>
      <c r="F880" s="145" t="s">
        <v>20</v>
      </c>
    </row>
    <row r="881" ht="15.75" customHeight="1">
      <c r="A881" s="145" t="s">
        <v>1637</v>
      </c>
      <c r="B881" s="150">
        <v>46143.0</v>
      </c>
      <c r="C881" s="145" t="s">
        <v>1254</v>
      </c>
      <c r="D881" s="145" t="s">
        <v>1255</v>
      </c>
      <c r="E881" s="145" t="s">
        <v>1625</v>
      </c>
      <c r="F881" s="145" t="s">
        <v>20</v>
      </c>
    </row>
    <row r="882" ht="15.75" customHeight="1">
      <c r="A882" s="145" t="s">
        <v>1637</v>
      </c>
      <c r="B882" s="150">
        <v>46143.0</v>
      </c>
      <c r="C882" s="145" t="s">
        <v>1554</v>
      </c>
      <c r="D882" s="145" t="s">
        <v>1255</v>
      </c>
      <c r="E882" s="145" t="s">
        <v>1201</v>
      </c>
      <c r="F882" s="145" t="s">
        <v>20</v>
      </c>
    </row>
    <row r="883" ht="15.75" customHeight="1">
      <c r="A883" s="145" t="s">
        <v>1637</v>
      </c>
      <c r="B883" s="150">
        <v>46143.0</v>
      </c>
      <c r="C883" s="145" t="s">
        <v>707</v>
      </c>
      <c r="D883" s="145" t="s">
        <v>1587</v>
      </c>
      <c r="E883" s="146" t="s">
        <v>1626</v>
      </c>
      <c r="F883" s="145" t="s">
        <v>20</v>
      </c>
    </row>
    <row r="884" ht="15.75" customHeight="1">
      <c r="A884" s="145" t="s">
        <v>1637</v>
      </c>
      <c r="B884" s="150">
        <v>46144.0</v>
      </c>
      <c r="C884" s="145" t="s">
        <v>277</v>
      </c>
      <c r="D884" s="145" t="s">
        <v>1255</v>
      </c>
      <c r="E884" s="145" t="s">
        <v>1201</v>
      </c>
      <c r="F884" s="145" t="s">
        <v>20</v>
      </c>
    </row>
    <row r="885" ht="15.75" customHeight="1">
      <c r="A885" s="145" t="s">
        <v>1637</v>
      </c>
      <c r="B885" s="150">
        <v>46144.0</v>
      </c>
      <c r="C885" s="145" t="s">
        <v>577</v>
      </c>
      <c r="D885" s="146" t="s">
        <v>1540</v>
      </c>
      <c r="E885" s="146" t="s">
        <v>1639</v>
      </c>
      <c r="F885" s="146" t="s">
        <v>1640</v>
      </c>
    </row>
    <row r="886" ht="15.75" customHeight="1">
      <c r="A886" s="145" t="s">
        <v>1637</v>
      </c>
      <c r="B886" s="150">
        <v>46144.0</v>
      </c>
      <c r="C886" s="145" t="s">
        <v>657</v>
      </c>
      <c r="D886" s="146" t="s">
        <v>1556</v>
      </c>
      <c r="E886" s="146" t="s">
        <v>1557</v>
      </c>
      <c r="F886" s="146" t="s">
        <v>1641</v>
      </c>
    </row>
    <row r="887" ht="15.75" customHeight="1">
      <c r="A887" s="145" t="s">
        <v>1637</v>
      </c>
      <c r="B887" s="150">
        <v>46145.0</v>
      </c>
      <c r="C887" s="145" t="s">
        <v>495</v>
      </c>
      <c r="D887" s="146" t="s">
        <v>1591</v>
      </c>
      <c r="E887" s="146" t="s">
        <v>1559</v>
      </c>
      <c r="F887" s="146" t="s">
        <v>1642</v>
      </c>
    </row>
    <row r="888" ht="15.75" customHeight="1">
      <c r="A888" s="145" t="s">
        <v>1637</v>
      </c>
      <c r="B888" s="150">
        <v>46145.0</v>
      </c>
      <c r="C888" s="145" t="s">
        <v>704</v>
      </c>
      <c r="D888" s="146" t="s">
        <v>1593</v>
      </c>
      <c r="E888" s="146" t="s">
        <v>1594</v>
      </c>
      <c r="F888" s="146" t="s">
        <v>1595</v>
      </c>
    </row>
    <row r="889" ht="15.75" customHeight="1">
      <c r="A889" s="145" t="s">
        <v>1637</v>
      </c>
      <c r="B889" s="150">
        <v>46145.0</v>
      </c>
      <c r="C889" s="145" t="s">
        <v>876</v>
      </c>
      <c r="D889" s="145" t="s">
        <v>1276</v>
      </c>
      <c r="E889" s="146" t="s">
        <v>1562</v>
      </c>
      <c r="F889" s="146" t="s">
        <v>1596</v>
      </c>
    </row>
    <row r="890" ht="15.75" customHeight="1">
      <c r="A890" s="145" t="s">
        <v>1637</v>
      </c>
      <c r="B890" s="150">
        <v>46146.0</v>
      </c>
      <c r="C890" s="145" t="s">
        <v>264</v>
      </c>
      <c r="D890" s="146" t="s">
        <v>1564</v>
      </c>
      <c r="E890" s="146" t="s">
        <v>1557</v>
      </c>
      <c r="F890" s="146" t="s">
        <v>1641</v>
      </c>
    </row>
    <row r="891" ht="15.75" customHeight="1">
      <c r="A891" s="145" t="s">
        <v>1637</v>
      </c>
      <c r="B891" s="150">
        <v>46146.0</v>
      </c>
      <c r="C891" s="145" t="s">
        <v>401</v>
      </c>
      <c r="D891" s="145" t="s">
        <v>1276</v>
      </c>
      <c r="E891" s="146" t="s">
        <v>1643</v>
      </c>
      <c r="F891" s="146" t="s">
        <v>1596</v>
      </c>
    </row>
    <row r="892" ht="15.75" customHeight="1">
      <c r="A892" s="145" t="s">
        <v>1637</v>
      </c>
      <c r="B892" s="150">
        <v>46146.0</v>
      </c>
      <c r="C892" s="145" t="s">
        <v>1282</v>
      </c>
      <c r="D892" s="145" t="s">
        <v>1542</v>
      </c>
      <c r="E892" s="145" t="s">
        <v>1598</v>
      </c>
      <c r="F892" s="146" t="s">
        <v>1599</v>
      </c>
    </row>
    <row r="893" ht="15.75" customHeight="1">
      <c r="A893" s="145" t="s">
        <v>1637</v>
      </c>
      <c r="B893" s="150">
        <v>46146.0</v>
      </c>
      <c r="C893" s="145" t="s">
        <v>1284</v>
      </c>
      <c r="D893" s="145" t="s">
        <v>1542</v>
      </c>
      <c r="E893" s="145" t="s">
        <v>1598</v>
      </c>
      <c r="F893" s="146" t="s">
        <v>1599</v>
      </c>
    </row>
    <row r="894" ht="15.75" customHeight="1">
      <c r="A894" s="145" t="s">
        <v>1637</v>
      </c>
      <c r="B894" s="150">
        <v>46146.0</v>
      </c>
      <c r="C894" s="145" t="s">
        <v>1325</v>
      </c>
      <c r="D894" s="145" t="s">
        <v>1255</v>
      </c>
      <c r="E894" s="145" t="s">
        <v>1326</v>
      </c>
      <c r="F894" s="145" t="s">
        <v>20</v>
      </c>
    </row>
    <row r="895" ht="15.75" customHeight="1">
      <c r="A895" s="145" t="s">
        <v>1637</v>
      </c>
      <c r="B895" s="150">
        <v>46147.0</v>
      </c>
      <c r="C895" s="145" t="s">
        <v>1554</v>
      </c>
      <c r="D895" s="145" t="s">
        <v>1255</v>
      </c>
      <c r="E895" s="145" t="s">
        <v>1201</v>
      </c>
      <c r="F895" s="145" t="s">
        <v>20</v>
      </c>
    </row>
    <row r="896" ht="15.75" customHeight="1">
      <c r="A896" s="145" t="s">
        <v>1637</v>
      </c>
      <c r="B896" s="150">
        <v>46147.0</v>
      </c>
      <c r="C896" s="145" t="s">
        <v>1254</v>
      </c>
      <c r="D896" s="145" t="s">
        <v>1255</v>
      </c>
      <c r="E896" s="146" t="s">
        <v>1495</v>
      </c>
      <c r="F896" s="145" t="s">
        <v>20</v>
      </c>
    </row>
    <row r="897" ht="15.75" customHeight="1">
      <c r="A897" s="145" t="s">
        <v>1637</v>
      </c>
      <c r="B897" s="150">
        <v>46147.0</v>
      </c>
      <c r="C897" s="145" t="s">
        <v>1330</v>
      </c>
      <c r="D897" s="145" t="s">
        <v>1255</v>
      </c>
      <c r="E897" s="145" t="s">
        <v>1326</v>
      </c>
      <c r="F897" s="145" t="s">
        <v>20</v>
      </c>
    </row>
    <row r="898" ht="15.75" customHeight="1">
      <c r="A898" s="145" t="s">
        <v>1637</v>
      </c>
      <c r="B898" s="150">
        <v>46147.0</v>
      </c>
      <c r="C898" s="145" t="s">
        <v>1565</v>
      </c>
      <c r="D898" s="146" t="s">
        <v>1591</v>
      </c>
      <c r="E898" s="146" t="s">
        <v>1600</v>
      </c>
      <c r="F898" s="146" t="s">
        <v>1592</v>
      </c>
    </row>
    <row r="899" ht="15.75" customHeight="1">
      <c r="A899" s="145" t="s">
        <v>1637</v>
      </c>
      <c r="B899" s="150">
        <v>46148.0</v>
      </c>
      <c r="C899" s="145" t="s">
        <v>272</v>
      </c>
      <c r="D899" s="145" t="s">
        <v>1255</v>
      </c>
      <c r="E899" s="145" t="s">
        <v>1413</v>
      </c>
      <c r="F899" s="145" t="s">
        <v>20</v>
      </c>
    </row>
    <row r="900" ht="15.75" customHeight="1">
      <c r="A900" s="145" t="s">
        <v>1637</v>
      </c>
      <c r="B900" s="150">
        <v>46148.0</v>
      </c>
      <c r="C900" s="145" t="s">
        <v>560</v>
      </c>
      <c r="D900" s="146" t="s">
        <v>1556</v>
      </c>
      <c r="E900" s="146" t="s">
        <v>1601</v>
      </c>
      <c r="F900" s="146" t="s">
        <v>1590</v>
      </c>
    </row>
    <row r="901" ht="15.75" customHeight="1">
      <c r="A901" s="145" t="s">
        <v>1637</v>
      </c>
      <c r="B901" s="150">
        <v>46148.0</v>
      </c>
      <c r="C901" s="145" t="s">
        <v>1181</v>
      </c>
      <c r="D901" s="145"/>
      <c r="E901" s="145" t="s">
        <v>1602</v>
      </c>
      <c r="F901" s="145" t="s">
        <v>20</v>
      </c>
    </row>
    <row r="902" ht="15.75" customHeight="1">
      <c r="A902" s="145" t="s">
        <v>1637</v>
      </c>
      <c r="B902" s="150">
        <v>46148.0</v>
      </c>
      <c r="C902" s="145" t="s">
        <v>716</v>
      </c>
      <c r="D902" s="145" t="s">
        <v>1534</v>
      </c>
      <c r="E902" s="146" t="s">
        <v>1603</v>
      </c>
      <c r="F902" s="146" t="s">
        <v>1604</v>
      </c>
    </row>
    <row r="903" ht="15.75" customHeight="1">
      <c r="A903" s="145" t="s">
        <v>1637</v>
      </c>
      <c r="B903" s="150">
        <v>46148.0</v>
      </c>
      <c r="C903" s="145" t="s">
        <v>1566</v>
      </c>
      <c r="D903" s="146" t="s">
        <v>1591</v>
      </c>
      <c r="E903" s="146" t="s">
        <v>1605</v>
      </c>
      <c r="F903" s="146" t="s">
        <v>1592</v>
      </c>
    </row>
    <row r="904" ht="15.75" customHeight="1">
      <c r="A904" s="145" t="s">
        <v>1637</v>
      </c>
      <c r="B904" s="150">
        <v>46148.0</v>
      </c>
      <c r="C904" s="145" t="s">
        <v>1000</v>
      </c>
      <c r="D904" s="145" t="s">
        <v>1536</v>
      </c>
      <c r="E904" s="146" t="s">
        <v>1606</v>
      </c>
      <c r="F904" s="146" t="s">
        <v>1607</v>
      </c>
    </row>
    <row r="905" ht="15.75" customHeight="1">
      <c r="A905" s="145" t="s">
        <v>1637</v>
      </c>
      <c r="B905" s="150">
        <v>46149.0</v>
      </c>
      <c r="C905" s="145" t="s">
        <v>566</v>
      </c>
      <c r="D905" s="145" t="s">
        <v>1276</v>
      </c>
      <c r="E905" s="146" t="s">
        <v>1608</v>
      </c>
      <c r="F905" s="146" t="s">
        <v>1596</v>
      </c>
    </row>
    <row r="906" ht="15.75" customHeight="1">
      <c r="A906" s="145" t="s">
        <v>1637</v>
      </c>
      <c r="B906" s="150">
        <v>46149.0</v>
      </c>
      <c r="C906" s="145" t="s">
        <v>1569</v>
      </c>
      <c r="D906" s="146" t="s">
        <v>1591</v>
      </c>
      <c r="E906" s="146" t="s">
        <v>1605</v>
      </c>
      <c r="F906" s="146" t="s">
        <v>1592</v>
      </c>
    </row>
    <row r="907" ht="15.75" customHeight="1">
      <c r="A907" s="145" t="s">
        <v>1637</v>
      </c>
      <c r="B907" s="150">
        <v>46150.0</v>
      </c>
      <c r="C907" s="145" t="s">
        <v>1254</v>
      </c>
      <c r="D907" s="145" t="s">
        <v>1255</v>
      </c>
      <c r="E907" s="146" t="s">
        <v>1495</v>
      </c>
      <c r="F907" s="145" t="s">
        <v>20</v>
      </c>
    </row>
    <row r="908" ht="15.75" customHeight="1">
      <c r="A908" s="145" t="s">
        <v>1637</v>
      </c>
      <c r="B908" s="150">
        <v>46150.0</v>
      </c>
      <c r="C908" s="145" t="s">
        <v>1554</v>
      </c>
      <c r="D908" s="145" t="s">
        <v>1255</v>
      </c>
      <c r="E908" s="145" t="s">
        <v>1201</v>
      </c>
      <c r="F908" s="145" t="s">
        <v>20</v>
      </c>
    </row>
    <row r="909" ht="15.75" customHeight="1">
      <c r="A909" s="145" t="s">
        <v>1637</v>
      </c>
      <c r="B909" s="150">
        <v>46150.0</v>
      </c>
      <c r="C909" s="145" t="s">
        <v>707</v>
      </c>
      <c r="D909" s="145" t="s">
        <v>1587</v>
      </c>
      <c r="E909" s="146" t="s">
        <v>1609</v>
      </c>
      <c r="F909" s="146" t="s">
        <v>1610</v>
      </c>
    </row>
    <row r="910" ht="15.75" customHeight="1">
      <c r="A910" s="145" t="s">
        <v>1637</v>
      </c>
      <c r="B910" s="150">
        <v>46151.0</v>
      </c>
      <c r="C910" s="145" t="s">
        <v>277</v>
      </c>
      <c r="D910" s="145" t="s">
        <v>1255</v>
      </c>
      <c r="E910" s="145" t="s">
        <v>1572</v>
      </c>
      <c r="F910" s="145" t="s">
        <v>20</v>
      </c>
    </row>
    <row r="911" ht="15.75" customHeight="1">
      <c r="A911" s="145" t="s">
        <v>1637</v>
      </c>
      <c r="B911" s="150">
        <v>46151.0</v>
      </c>
      <c r="C911" s="145" t="s">
        <v>577</v>
      </c>
      <c r="D911" s="146" t="s">
        <v>1540</v>
      </c>
      <c r="E911" s="146" t="s">
        <v>1611</v>
      </c>
      <c r="F911" s="146" t="s">
        <v>1589</v>
      </c>
    </row>
    <row r="912" ht="15.75" customHeight="1">
      <c r="A912" s="145" t="s">
        <v>1637</v>
      </c>
      <c r="B912" s="150">
        <v>46151.0</v>
      </c>
      <c r="C912" s="145" t="s">
        <v>657</v>
      </c>
      <c r="D912" s="146" t="s">
        <v>1556</v>
      </c>
      <c r="E912" s="146" t="s">
        <v>1601</v>
      </c>
      <c r="F912" s="146" t="s">
        <v>1590</v>
      </c>
    </row>
    <row r="913" ht="15.75" customHeight="1">
      <c r="A913" s="145" t="s">
        <v>1637</v>
      </c>
      <c r="B913" s="150">
        <v>46152.0</v>
      </c>
      <c r="C913" s="145" t="s">
        <v>495</v>
      </c>
      <c r="D913" s="146" t="s">
        <v>1591</v>
      </c>
      <c r="E913" s="146" t="s">
        <v>1612</v>
      </c>
      <c r="F913" s="146" t="s">
        <v>1592</v>
      </c>
    </row>
    <row r="914" ht="15.75" customHeight="1">
      <c r="A914" s="145" t="s">
        <v>1637</v>
      </c>
      <c r="B914" s="150">
        <v>46152.0</v>
      </c>
      <c r="C914" s="145" t="s">
        <v>704</v>
      </c>
      <c r="D914" s="146" t="s">
        <v>1593</v>
      </c>
      <c r="E914" s="146" t="s">
        <v>1613</v>
      </c>
      <c r="F914" s="146" t="s">
        <v>1595</v>
      </c>
    </row>
    <row r="915" ht="15.75" customHeight="1">
      <c r="A915" s="145" t="s">
        <v>1637</v>
      </c>
      <c r="B915" s="150">
        <v>46152.0</v>
      </c>
      <c r="C915" s="145" t="s">
        <v>876</v>
      </c>
      <c r="D915" s="145" t="s">
        <v>1276</v>
      </c>
      <c r="E915" s="146" t="s">
        <v>1614</v>
      </c>
      <c r="F915" s="146" t="s">
        <v>1596</v>
      </c>
    </row>
    <row r="916" ht="15.75" customHeight="1">
      <c r="A916" s="145" t="s">
        <v>1637</v>
      </c>
      <c r="B916" s="150">
        <v>46153.0</v>
      </c>
      <c r="C916" s="145" t="s">
        <v>264</v>
      </c>
      <c r="D916" s="146" t="s">
        <v>1564</v>
      </c>
      <c r="E916" s="146" t="s">
        <v>1601</v>
      </c>
      <c r="F916" s="146" t="s">
        <v>1590</v>
      </c>
    </row>
    <row r="917" ht="15.75" customHeight="1">
      <c r="A917" s="145" t="s">
        <v>1637</v>
      </c>
      <c r="B917" s="150">
        <v>46153.0</v>
      </c>
      <c r="C917" s="145" t="s">
        <v>401</v>
      </c>
      <c r="D917" s="145" t="s">
        <v>1276</v>
      </c>
      <c r="E917" s="146" t="s">
        <v>1614</v>
      </c>
      <c r="F917" s="146" t="s">
        <v>1596</v>
      </c>
    </row>
    <row r="918" ht="15.75" customHeight="1">
      <c r="A918" s="145" t="s">
        <v>1637</v>
      </c>
      <c r="B918" s="150">
        <v>46153.0</v>
      </c>
      <c r="C918" s="145" t="s">
        <v>1282</v>
      </c>
      <c r="D918" s="145" t="s">
        <v>1542</v>
      </c>
      <c r="E918" s="146" t="s">
        <v>1615</v>
      </c>
      <c r="F918" s="146" t="s">
        <v>1599</v>
      </c>
    </row>
    <row r="919" ht="15.75" customHeight="1">
      <c r="A919" s="145" t="s">
        <v>1637</v>
      </c>
      <c r="B919" s="150">
        <v>46153.0</v>
      </c>
      <c r="C919" s="145" t="s">
        <v>1284</v>
      </c>
      <c r="D919" s="145" t="s">
        <v>1542</v>
      </c>
      <c r="E919" s="146" t="s">
        <v>1615</v>
      </c>
      <c r="F919" s="146" t="s">
        <v>1599</v>
      </c>
    </row>
    <row r="920" ht="15.75" customHeight="1">
      <c r="A920" s="145" t="s">
        <v>1637</v>
      </c>
      <c r="B920" s="150">
        <v>46153.0</v>
      </c>
      <c r="C920" s="145" t="s">
        <v>1325</v>
      </c>
      <c r="D920" s="145" t="s">
        <v>1255</v>
      </c>
      <c r="E920" s="145" t="s">
        <v>1326</v>
      </c>
      <c r="F920" s="145" t="s">
        <v>20</v>
      </c>
    </row>
    <row r="921" ht="15.75" customHeight="1">
      <c r="A921" s="145" t="s">
        <v>1637</v>
      </c>
      <c r="B921" s="150">
        <v>46154.0</v>
      </c>
      <c r="C921" s="145" t="s">
        <v>1554</v>
      </c>
      <c r="D921" s="145" t="s">
        <v>1255</v>
      </c>
      <c r="E921" s="145" t="s">
        <v>1201</v>
      </c>
      <c r="F921" s="145" t="s">
        <v>20</v>
      </c>
    </row>
    <row r="922" ht="15.75" customHeight="1">
      <c r="A922" s="145" t="s">
        <v>1637</v>
      </c>
      <c r="B922" s="150">
        <v>46154.0</v>
      </c>
      <c r="C922" s="145" t="s">
        <v>1254</v>
      </c>
      <c r="D922" s="145" t="s">
        <v>1255</v>
      </c>
      <c r="E922" s="145" t="s">
        <v>1201</v>
      </c>
      <c r="F922" s="145" t="s">
        <v>20</v>
      </c>
    </row>
    <row r="923" ht="15.75" customHeight="1">
      <c r="A923" s="145" t="s">
        <v>1637</v>
      </c>
      <c r="B923" s="150">
        <v>46154.0</v>
      </c>
      <c r="C923" s="145" t="s">
        <v>1330</v>
      </c>
      <c r="D923" s="145" t="s">
        <v>1255</v>
      </c>
      <c r="E923" s="145" t="s">
        <v>1326</v>
      </c>
      <c r="F923" s="145" t="s">
        <v>20</v>
      </c>
    </row>
    <row r="924" ht="15.75" customHeight="1">
      <c r="A924" s="145" t="s">
        <v>1637</v>
      </c>
      <c r="B924" s="150">
        <v>46154.0</v>
      </c>
      <c r="C924" s="145" t="s">
        <v>1565</v>
      </c>
      <c r="D924" s="146" t="s">
        <v>1591</v>
      </c>
      <c r="E924" s="145" t="s">
        <v>1616</v>
      </c>
      <c r="F924" s="146" t="s">
        <v>1592</v>
      </c>
    </row>
    <row r="925" ht="15.75" customHeight="1">
      <c r="A925" s="145" t="s">
        <v>1637</v>
      </c>
      <c r="B925" s="150">
        <v>46155.0</v>
      </c>
      <c r="C925" s="145" t="s">
        <v>1566</v>
      </c>
      <c r="D925" s="146" t="s">
        <v>1591</v>
      </c>
      <c r="E925" s="146" t="s">
        <v>1605</v>
      </c>
      <c r="F925" s="146" t="s">
        <v>1592</v>
      </c>
    </row>
    <row r="926" ht="15.75" customHeight="1">
      <c r="A926" s="145" t="s">
        <v>1637</v>
      </c>
      <c r="B926" s="150">
        <v>46156.0</v>
      </c>
      <c r="C926" s="145" t="s">
        <v>1569</v>
      </c>
      <c r="D926" s="146" t="s">
        <v>1591</v>
      </c>
      <c r="E926" s="146" t="s">
        <v>1605</v>
      </c>
      <c r="F926" s="146" t="s">
        <v>1592</v>
      </c>
    </row>
    <row r="927" ht="15.75" customHeight="1">
      <c r="B927" s="149"/>
    </row>
    <row r="928" ht="15.75" customHeight="1">
      <c r="B928" s="149"/>
    </row>
    <row r="929" ht="15.75" customHeight="1">
      <c r="B929" s="149"/>
    </row>
    <row r="930" ht="15.75" customHeight="1">
      <c r="B930" s="149"/>
    </row>
    <row r="931" ht="15.75" customHeight="1">
      <c r="B931" s="149"/>
    </row>
    <row r="932" ht="15.75" customHeight="1">
      <c r="B932" s="149"/>
    </row>
    <row r="933" ht="15.75" customHeight="1">
      <c r="B933" s="149"/>
    </row>
    <row r="934" ht="15.75" customHeight="1">
      <c r="B934" s="149"/>
    </row>
    <row r="935" ht="15.75" customHeight="1">
      <c r="B935" s="149"/>
    </row>
    <row r="936" ht="15.75" customHeight="1">
      <c r="B936" s="149"/>
    </row>
    <row r="937" ht="15.75" customHeight="1">
      <c r="B937" s="149"/>
    </row>
    <row r="938" ht="15.75" customHeight="1">
      <c r="B938" s="149"/>
    </row>
    <row r="939" ht="15.75" customHeight="1">
      <c r="B939" s="149"/>
    </row>
    <row r="940" ht="15.75" customHeight="1">
      <c r="B940" s="149"/>
    </row>
    <row r="941" ht="15.75" customHeight="1">
      <c r="B941" s="149"/>
    </row>
    <row r="942" ht="15.75" customHeight="1">
      <c r="B942" s="149"/>
    </row>
    <row r="943" ht="15.75" customHeight="1">
      <c r="B943" s="149"/>
    </row>
    <row r="944" ht="15.75" customHeight="1">
      <c r="B944" s="149"/>
    </row>
    <row r="945" ht="15.75" customHeight="1">
      <c r="B945" s="149"/>
    </row>
    <row r="946" ht="15.75" customHeight="1">
      <c r="B946" s="149"/>
    </row>
    <row r="947" ht="15.75" customHeight="1">
      <c r="B947" s="149"/>
    </row>
    <row r="948" ht="15.75" customHeight="1">
      <c r="B948" s="149"/>
    </row>
    <row r="949" ht="15.75" customHeight="1">
      <c r="B949" s="149"/>
    </row>
    <row r="950" ht="15.75" customHeight="1">
      <c r="B950" s="149"/>
    </row>
    <row r="951" ht="15.75" customHeight="1">
      <c r="B951" s="149"/>
    </row>
    <row r="952" ht="15.75" customHeight="1">
      <c r="B952" s="149"/>
    </row>
    <row r="953" ht="15.75" customHeight="1">
      <c r="B953" s="149"/>
    </row>
    <row r="954" ht="15.75" customHeight="1">
      <c r="B954" s="149"/>
    </row>
    <row r="955" ht="15.75" customHeight="1">
      <c r="B955" s="149"/>
    </row>
    <row r="956" ht="15.75" customHeight="1">
      <c r="B956" s="149"/>
    </row>
    <row r="957" ht="15.75" customHeight="1">
      <c r="B957" s="149"/>
    </row>
    <row r="958" ht="15.75" customHeight="1">
      <c r="B958" s="149"/>
    </row>
    <row r="959" ht="15.75" customHeight="1">
      <c r="B959" s="149"/>
    </row>
    <row r="960" ht="15.75" customHeight="1">
      <c r="B960" s="149"/>
    </row>
    <row r="961" ht="15.75" customHeight="1">
      <c r="B961" s="149"/>
    </row>
    <row r="962" ht="15.75" customHeight="1">
      <c r="B962" s="149"/>
    </row>
    <row r="963" ht="15.75" customHeight="1">
      <c r="B963" s="149"/>
    </row>
    <row r="964" ht="15.75" customHeight="1">
      <c r="B964" s="149"/>
    </row>
    <row r="965" ht="15.75" customHeight="1">
      <c r="B965" s="149"/>
    </row>
    <row r="966" ht="15.75" customHeight="1">
      <c r="B966" s="149"/>
    </row>
    <row r="967" ht="15.75" customHeight="1">
      <c r="B967" s="149"/>
    </row>
    <row r="968" ht="15.75" customHeight="1">
      <c r="B968" s="149"/>
    </row>
    <row r="969" ht="15.75" customHeight="1">
      <c r="B969" s="149"/>
    </row>
    <row r="970" ht="15.75" customHeight="1">
      <c r="B970" s="149"/>
    </row>
    <row r="971" ht="15.75" customHeight="1">
      <c r="B971" s="149"/>
    </row>
    <row r="972" ht="15.75" customHeight="1">
      <c r="B972" s="149"/>
    </row>
    <row r="973" ht="15.75" customHeight="1">
      <c r="B973" s="149"/>
    </row>
    <row r="974" ht="15.75" customHeight="1">
      <c r="B974" s="149"/>
    </row>
    <row r="975" ht="15.75" customHeight="1">
      <c r="B975" s="149"/>
    </row>
    <row r="976" ht="15.75" customHeight="1">
      <c r="B976" s="149"/>
    </row>
    <row r="977" ht="15.75" customHeight="1">
      <c r="B977" s="149"/>
    </row>
    <row r="978" ht="15.75" customHeight="1">
      <c r="B978" s="149"/>
    </row>
    <row r="979" ht="15.75" customHeight="1">
      <c r="B979" s="149"/>
    </row>
    <row r="980" ht="15.75" customHeight="1">
      <c r="B980" s="149"/>
    </row>
    <row r="981" ht="15.75" customHeight="1">
      <c r="B981" s="149"/>
    </row>
    <row r="982" ht="15.75" customHeight="1">
      <c r="B982" s="149"/>
    </row>
    <row r="983" ht="15.75" customHeight="1">
      <c r="B983" s="149"/>
    </row>
    <row r="984" ht="15.75" customHeight="1">
      <c r="B984" s="149"/>
    </row>
    <row r="985" ht="15.75" customHeight="1">
      <c r="B985" s="149"/>
    </row>
    <row r="986" ht="15.75" customHeight="1">
      <c r="B986" s="149"/>
    </row>
    <row r="987" ht="15.75" customHeight="1">
      <c r="B987" s="149"/>
    </row>
    <row r="988" ht="15.75" customHeight="1">
      <c r="B988" s="149"/>
    </row>
    <row r="989" ht="15.75" customHeight="1">
      <c r="B989" s="149"/>
    </row>
    <row r="990" ht="15.75" customHeight="1">
      <c r="B990" s="149"/>
    </row>
    <row r="991" ht="15.75" customHeight="1">
      <c r="B991" s="149"/>
    </row>
    <row r="992" ht="15.75" customHeight="1">
      <c r="B992" s="149"/>
    </row>
    <row r="993" ht="15.75" customHeight="1">
      <c r="B993" s="149"/>
    </row>
    <row r="994" ht="15.75" customHeight="1">
      <c r="B994" s="149"/>
    </row>
    <row r="995" ht="15.75" customHeight="1">
      <c r="B995" s="149"/>
    </row>
    <row r="996" ht="15.75" customHeight="1">
      <c r="B996" s="149"/>
    </row>
    <row r="997" ht="15.75" customHeight="1">
      <c r="B997" s="149"/>
    </row>
    <row r="998" ht="15.75" customHeight="1">
      <c r="B998" s="149"/>
    </row>
    <row r="999" ht="15.75" customHeight="1">
      <c r="B999" s="149"/>
    </row>
    <row r="1000" ht="15.75" customHeight="1">
      <c r="B1000" s="149"/>
    </row>
  </sheetData>
  <dataValidations>
    <dataValidation type="custom" allowBlank="1" showDropDown="1" sqref="B2:B926">
      <formula1>OR(NOT(ISERROR(DATEVALUE(B2))), AND(ISNUMBER(B2), LEFT(CELL("format", B2))="D"))</formula1>
    </dataValidation>
  </dataValidations>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38"/>
    <col customWidth="1" min="2" max="2" width="21.25"/>
    <col customWidth="1" min="3" max="3" width="20.75"/>
    <col customWidth="1" min="4" max="4" width="14.13"/>
    <col customWidth="1" min="5" max="6" width="12.63"/>
    <col customWidth="1" min="12" max="12" width="35.75"/>
    <col customWidth="1" min="14" max="14" width="15.5"/>
    <col customWidth="1" min="16" max="16" width="15.88"/>
    <col customWidth="1" min="18" max="18" width="13.88"/>
    <col customWidth="1" min="19" max="19" width="17.13"/>
    <col customWidth="1" min="20" max="20" width="15.5"/>
    <col customWidth="1" min="21" max="21" width="37.63"/>
    <col customWidth="1" min="26" max="26" width="37.63"/>
    <col customWidth="1" min="27" max="27" width="13.88"/>
    <col customWidth="1" min="28" max="28" width="20.25"/>
    <col customWidth="1" min="29" max="61" width="21.88"/>
  </cols>
  <sheetData>
    <row r="1" ht="15.75" customHeight="1">
      <c r="A1" s="69" t="s">
        <v>1644</v>
      </c>
      <c r="B1" s="69" t="s">
        <v>1645</v>
      </c>
      <c r="C1" s="69" t="s">
        <v>1646</v>
      </c>
      <c r="D1" s="69" t="s">
        <v>1647</v>
      </c>
      <c r="E1" s="69" t="s">
        <v>82</v>
      </c>
      <c r="F1" s="69" t="s">
        <v>89</v>
      </c>
      <c r="G1" s="69" t="s">
        <v>90</v>
      </c>
      <c r="H1" s="69" t="s">
        <v>83</v>
      </c>
      <c r="I1" s="69" t="s">
        <v>84</v>
      </c>
      <c r="J1" s="69" t="s">
        <v>85</v>
      </c>
      <c r="K1" s="69" t="s">
        <v>86</v>
      </c>
      <c r="L1" s="69" t="s">
        <v>87</v>
      </c>
      <c r="M1" s="69" t="s">
        <v>88</v>
      </c>
      <c r="N1" s="69" t="s">
        <v>1648</v>
      </c>
      <c r="O1" s="69" t="s">
        <v>128</v>
      </c>
      <c r="P1" s="69" t="s">
        <v>91</v>
      </c>
      <c r="Q1" s="69" t="s">
        <v>662</v>
      </c>
      <c r="R1" s="69" t="s">
        <v>663</v>
      </c>
      <c r="S1" s="69" t="s">
        <v>1132</v>
      </c>
      <c r="T1" s="69" t="s">
        <v>1072</v>
      </c>
      <c r="U1" s="69" t="s">
        <v>95</v>
      </c>
      <c r="V1" s="69" t="s">
        <v>96</v>
      </c>
      <c r="W1" s="69" t="s">
        <v>97</v>
      </c>
      <c r="X1" s="69" t="s">
        <v>98</v>
      </c>
      <c r="Y1" s="69" t="s">
        <v>112</v>
      </c>
      <c r="Z1" s="69" t="s">
        <v>1649</v>
      </c>
      <c r="AA1" s="69" t="s">
        <v>1650</v>
      </c>
      <c r="AB1" s="69" t="s">
        <v>1651</v>
      </c>
      <c r="AC1" s="69" t="s">
        <v>1652</v>
      </c>
      <c r="AD1" s="69" t="s">
        <v>1653</v>
      </c>
      <c r="AE1" s="69" t="s">
        <v>1654</v>
      </c>
      <c r="AF1" s="69" t="s">
        <v>1655</v>
      </c>
      <c r="AG1" s="69" t="s">
        <v>1656</v>
      </c>
      <c r="AH1" s="69" t="s">
        <v>1657</v>
      </c>
      <c r="AI1" s="69" t="s">
        <v>1658</v>
      </c>
      <c r="AJ1" s="69" t="s">
        <v>1659</v>
      </c>
      <c r="AK1" s="69" t="s">
        <v>1660</v>
      </c>
      <c r="AL1" s="69" t="s">
        <v>1661</v>
      </c>
      <c r="AM1" s="69" t="s">
        <v>1073</v>
      </c>
      <c r="AN1" s="69" t="s">
        <v>1074</v>
      </c>
      <c r="AO1" s="69" t="s">
        <v>1075</v>
      </c>
      <c r="AP1" s="69" t="s">
        <v>1076</v>
      </c>
      <c r="AQ1" s="69" t="s">
        <v>1077</v>
      </c>
      <c r="AR1" s="69" t="s">
        <v>1078</v>
      </c>
      <c r="AS1" s="69" t="s">
        <v>1079</v>
      </c>
      <c r="AT1" s="69" t="s">
        <v>1080</v>
      </c>
      <c r="AU1" s="69" t="s">
        <v>1081</v>
      </c>
      <c r="AV1" s="69" t="s">
        <v>1082</v>
      </c>
      <c r="AW1" s="69" t="s">
        <v>92</v>
      </c>
      <c r="AX1" s="69" t="s">
        <v>99</v>
      </c>
      <c r="AY1" s="69" t="s">
        <v>100</v>
      </c>
      <c r="AZ1" s="69" t="s">
        <v>101</v>
      </c>
      <c r="BA1" s="69" t="s">
        <v>102</v>
      </c>
      <c r="BB1" s="69" t="s">
        <v>103</v>
      </c>
      <c r="BC1" s="69" t="s">
        <v>105</v>
      </c>
      <c r="BD1" s="69" t="s">
        <v>106</v>
      </c>
      <c r="BE1" s="69" t="s">
        <v>107</v>
      </c>
      <c r="BF1" s="69" t="s">
        <v>108</v>
      </c>
      <c r="BG1" s="69" t="s">
        <v>109</v>
      </c>
      <c r="BH1" s="69" t="s">
        <v>110</v>
      </c>
      <c r="BI1" s="69" t="s">
        <v>133</v>
      </c>
    </row>
    <row r="2" ht="15.75" customHeight="1">
      <c r="A2" s="151">
        <v>46165.36577046296</v>
      </c>
      <c r="B2" s="152">
        <v>46162.0</v>
      </c>
      <c r="C2" s="152">
        <v>46162.0</v>
      </c>
      <c r="D2" s="153">
        <v>23.0</v>
      </c>
      <c r="E2" s="153" t="s">
        <v>283</v>
      </c>
      <c r="F2" s="154" t="s">
        <v>219</v>
      </c>
      <c r="G2" s="58" t="s">
        <v>220</v>
      </c>
      <c r="H2" s="154" t="s">
        <v>271</v>
      </c>
      <c r="I2" s="155">
        <v>0.3333333333321207</v>
      </c>
      <c r="L2" s="153" t="s">
        <v>284</v>
      </c>
      <c r="M2" s="156">
        <v>0.4</v>
      </c>
      <c r="P2" s="154" t="s">
        <v>121</v>
      </c>
      <c r="W2" s="153" t="s">
        <v>229</v>
      </c>
      <c r="X2" s="153" t="s">
        <v>230</v>
      </c>
      <c r="Y2" s="153" t="b">
        <v>1</v>
      </c>
      <c r="AB2" s="70"/>
      <c r="AC2" s="153" t="b">
        <v>0</v>
      </c>
      <c r="AD2" s="70"/>
      <c r="AE2" s="70"/>
      <c r="AF2" s="70"/>
      <c r="AG2" s="70"/>
      <c r="AH2" s="70"/>
      <c r="AI2" s="70"/>
      <c r="AJ2" s="70"/>
      <c r="AK2" s="70"/>
      <c r="AL2" s="70"/>
      <c r="AM2" s="70"/>
      <c r="AN2" s="70"/>
      <c r="AO2" s="70"/>
      <c r="AP2" s="70"/>
      <c r="AQ2" s="70"/>
      <c r="AR2" s="70"/>
      <c r="AS2" s="70"/>
      <c r="AT2" s="70"/>
      <c r="AU2" s="70"/>
      <c r="AV2" s="70"/>
      <c r="AW2" s="70"/>
      <c r="AX2" s="70"/>
      <c r="AY2" s="70"/>
      <c r="AZ2" s="70"/>
      <c r="BA2" s="70"/>
      <c r="BB2" s="70"/>
      <c r="BC2" s="70"/>
      <c r="BD2" s="70"/>
      <c r="BE2" s="70"/>
      <c r="BF2" s="70"/>
      <c r="BG2" s="70"/>
      <c r="BH2" s="70"/>
      <c r="BI2" s="70"/>
    </row>
    <row r="3" ht="15.75" customHeight="1">
      <c r="A3" s="151">
        <v>46165.365814351855</v>
      </c>
      <c r="B3" s="152">
        <v>46162.0</v>
      </c>
      <c r="C3" s="152">
        <v>46162.0</v>
      </c>
      <c r="D3" s="153">
        <v>19.0</v>
      </c>
      <c r="E3" s="153" t="s">
        <v>270</v>
      </c>
      <c r="F3" s="154" t="s">
        <v>219</v>
      </c>
      <c r="G3" s="58" t="s">
        <v>220</v>
      </c>
      <c r="H3" s="154" t="s">
        <v>271</v>
      </c>
      <c r="I3" s="155">
        <v>0.3333333333321207</v>
      </c>
      <c r="L3" s="153" t="s">
        <v>272</v>
      </c>
      <c r="M3" s="156">
        <v>7.0</v>
      </c>
      <c r="P3" s="154" t="s">
        <v>121</v>
      </c>
      <c r="U3" s="58" t="s">
        <v>274</v>
      </c>
      <c r="W3" s="153" t="s">
        <v>240</v>
      </c>
      <c r="X3" s="153" t="s">
        <v>265</v>
      </c>
      <c r="Y3" s="153" t="b">
        <v>1</v>
      </c>
      <c r="AB3" s="70"/>
      <c r="AC3" s="153" t="b">
        <v>0</v>
      </c>
      <c r="AD3" s="70"/>
      <c r="AE3" s="70"/>
      <c r="AF3" s="70"/>
      <c r="AG3" s="70"/>
      <c r="AH3" s="70"/>
      <c r="AI3" s="70"/>
      <c r="AJ3" s="70"/>
      <c r="AK3" s="70"/>
      <c r="AL3" s="70"/>
      <c r="AM3" s="70"/>
      <c r="AN3" s="70"/>
      <c r="AO3" s="70"/>
      <c r="AP3" s="70"/>
      <c r="AQ3" s="70"/>
      <c r="AR3" s="70"/>
      <c r="AS3" s="70"/>
      <c r="AT3" s="70"/>
      <c r="AU3" s="70"/>
      <c r="AV3" s="70"/>
      <c r="AW3" s="153" t="s">
        <v>273</v>
      </c>
      <c r="AX3" s="70"/>
      <c r="AY3" s="70"/>
      <c r="AZ3" s="70"/>
      <c r="BA3" s="70"/>
      <c r="BB3" s="70"/>
      <c r="BC3" s="70"/>
      <c r="BD3" s="70"/>
      <c r="BE3" s="70"/>
      <c r="BF3" s="70"/>
      <c r="BG3" s="70"/>
      <c r="BH3" s="70"/>
      <c r="BI3" s="70"/>
    </row>
  </sheetData>
  <dataValidations>
    <dataValidation type="list" allowBlank="1" sqref="F2:F3">
      <formula1>"メルマガ,MA"</formula1>
    </dataValidation>
    <dataValidation type="custom" allowBlank="1" showDropDown="1" sqref="A2:C3">
      <formula1>OR(NOT(ISERROR(DATEVALUE(A2))), AND(ISNUMBER(A2), LEFT(CELL("format", A2))="D"))</formula1>
    </dataValidation>
    <dataValidation type="list" allowBlank="1" sqref="P2:P3">
      <formula1>"抽出,自動求人特集,フリー"</formula1>
    </dataValidation>
    <dataValidation type="list" allowBlank="1" sqref="H2:H3">
      <formula1>"水,火"</formula1>
    </dataValidation>
  </dataValidations>
  <drawing r:id="rId2"/>
  <legacyDrawing r:id="rId3"/>
  <tableParts count="1">
    <tablePart r:id="rId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88"/>
    <col customWidth="1" min="2" max="2" width="11.0"/>
    <col customWidth="1" min="3" max="3" width="21.63"/>
    <col customWidth="1" min="4" max="4" width="28.88"/>
    <col customWidth="1" min="5" max="5" width="8.88"/>
    <col customWidth="1" min="6" max="6" width="10.25"/>
    <col customWidth="1" min="7" max="7" width="26.25"/>
    <col customWidth="1" min="8" max="8" width="17.25"/>
  </cols>
  <sheetData>
    <row r="1" ht="22.5" customHeight="1">
      <c r="A1" s="157" t="s">
        <v>1662</v>
      </c>
      <c r="B1" s="157" t="s">
        <v>1663</v>
      </c>
      <c r="C1" s="157" t="s">
        <v>1664</v>
      </c>
      <c r="D1" s="157" t="s">
        <v>1665</v>
      </c>
      <c r="E1" s="158" t="s">
        <v>1666</v>
      </c>
    </row>
    <row r="2" ht="22.5" customHeight="1">
      <c r="A2" s="159" t="s">
        <v>1122</v>
      </c>
      <c r="B2" s="159" t="s">
        <v>1667</v>
      </c>
      <c r="C2" s="159" t="s">
        <v>1668</v>
      </c>
      <c r="D2" s="159" t="s">
        <v>1669</v>
      </c>
      <c r="E2" s="160" t="s">
        <v>478</v>
      </c>
    </row>
    <row r="3" ht="22.5" customHeight="1">
      <c r="A3" s="159" t="s">
        <v>230</v>
      </c>
      <c r="B3" s="159" t="s">
        <v>1670</v>
      </c>
      <c r="C3" s="159" t="s">
        <v>1671</v>
      </c>
      <c r="D3" s="159" t="s">
        <v>1669</v>
      </c>
      <c r="E3" s="160" t="s">
        <v>478</v>
      </c>
    </row>
    <row r="4" ht="22.5" customHeight="1">
      <c r="A4" s="159" t="s">
        <v>332</v>
      </c>
      <c r="B4" s="159" t="s">
        <v>1672</v>
      </c>
      <c r="C4" s="159" t="s">
        <v>1673</v>
      </c>
      <c r="D4" s="159" t="s">
        <v>1669</v>
      </c>
      <c r="E4" s="160" t="s">
        <v>478</v>
      </c>
    </row>
    <row r="5" ht="22.5" customHeight="1">
      <c r="A5" s="159" t="s">
        <v>1109</v>
      </c>
      <c r="B5" s="159" t="s">
        <v>1674</v>
      </c>
      <c r="C5" s="159" t="s">
        <v>1675</v>
      </c>
      <c r="D5" s="159" t="s">
        <v>1676</v>
      </c>
      <c r="E5" s="160" t="s">
        <v>478</v>
      </c>
    </row>
    <row r="6" ht="22.5" customHeight="1">
      <c r="A6" s="159" t="s">
        <v>265</v>
      </c>
      <c r="B6" s="159" t="s">
        <v>1677</v>
      </c>
      <c r="C6" s="159" t="s">
        <v>1678</v>
      </c>
      <c r="D6" s="159" t="s">
        <v>1676</v>
      </c>
      <c r="E6" s="160" t="s">
        <v>1679</v>
      </c>
    </row>
    <row r="7" ht="22.5" customHeight="1">
      <c r="A7" s="159" t="s">
        <v>1680</v>
      </c>
      <c r="B7" s="159" t="s">
        <v>1681</v>
      </c>
      <c r="C7" s="159" t="s">
        <v>1682</v>
      </c>
      <c r="D7" s="159" t="s">
        <v>1676</v>
      </c>
      <c r="E7" s="160" t="s">
        <v>478</v>
      </c>
    </row>
    <row r="8" ht="22.5" customHeight="1">
      <c r="A8" s="159" t="s">
        <v>239</v>
      </c>
      <c r="B8" s="159" t="s">
        <v>1683</v>
      </c>
      <c r="C8" s="159" t="s">
        <v>1684</v>
      </c>
      <c r="D8" s="159" t="s">
        <v>1676</v>
      </c>
      <c r="E8" s="160" t="s">
        <v>1679</v>
      </c>
    </row>
    <row r="9" ht="22.5" customHeight="1">
      <c r="A9" s="159" t="s">
        <v>429</v>
      </c>
      <c r="B9" s="159" t="s">
        <v>1685</v>
      </c>
      <c r="C9" s="159" t="s">
        <v>1686</v>
      </c>
      <c r="D9" s="159" t="s">
        <v>1676</v>
      </c>
      <c r="E9" s="160" t="s">
        <v>478</v>
      </c>
      <c r="F9" s="73"/>
      <c r="G9" s="73"/>
      <c r="H9" s="73"/>
    </row>
    <row r="10" ht="22.5" customHeight="1">
      <c r="A10" s="159" t="s">
        <v>229</v>
      </c>
      <c r="B10" s="159" t="s">
        <v>1687</v>
      </c>
      <c r="C10" s="159" t="s">
        <v>1688</v>
      </c>
      <c r="D10" s="159" t="s">
        <v>1676</v>
      </c>
      <c r="E10" s="160" t="s">
        <v>478</v>
      </c>
      <c r="F10" s="73"/>
      <c r="G10" s="73"/>
      <c r="H10" s="73"/>
    </row>
    <row r="11" ht="22.5" customHeight="1">
      <c r="A11" s="159" t="s">
        <v>240</v>
      </c>
      <c r="B11" s="159" t="s">
        <v>1689</v>
      </c>
      <c r="C11" s="159" t="s">
        <v>1690</v>
      </c>
      <c r="D11" s="159" t="s">
        <v>1676</v>
      </c>
      <c r="E11" s="160" t="s">
        <v>1679</v>
      </c>
    </row>
    <row r="12" ht="22.5" customHeight="1">
      <c r="A12" s="159" t="s">
        <v>221</v>
      </c>
      <c r="B12" s="159" t="s">
        <v>1691</v>
      </c>
      <c r="C12" s="159" t="s">
        <v>1255</v>
      </c>
      <c r="D12" s="159" t="s">
        <v>1676</v>
      </c>
      <c r="E12" s="160" t="s">
        <v>1679</v>
      </c>
      <c r="F12" s="73"/>
      <c r="G12" s="73"/>
      <c r="H12" s="73"/>
    </row>
    <row r="13" ht="15.75" customHeight="1">
      <c r="F13" s="73"/>
      <c r="G13" s="73"/>
      <c r="H13" s="73"/>
    </row>
    <row r="14" ht="15.75" customHeight="1">
      <c r="F14" s="73"/>
      <c r="G14" s="73"/>
      <c r="H14" s="73"/>
    </row>
    <row r="15" ht="15.75" customHeight="1">
      <c r="F15" s="73"/>
      <c r="G15" s="73"/>
      <c r="H15" s="73"/>
    </row>
    <row r="16" ht="15.75" customHeight="1">
      <c r="F16" s="73"/>
      <c r="G16" s="73"/>
      <c r="H16" s="73"/>
    </row>
    <row r="17" ht="15.75" customHeight="1">
      <c r="F17" s="73"/>
      <c r="G17" s="73"/>
      <c r="H17" s="73"/>
    </row>
    <row r="18" ht="15.75" customHeight="1">
      <c r="F18" s="73"/>
      <c r="G18" s="73"/>
      <c r="H18" s="73"/>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6.38"/>
    <col customWidth="1" min="3" max="3" width="28.88"/>
    <col customWidth="1" min="4" max="7" width="12.63"/>
  </cols>
  <sheetData>
    <row r="1" ht="15.75" customHeight="1">
      <c r="A1" s="69" t="s">
        <v>1692</v>
      </c>
      <c r="B1" s="69" t="s">
        <v>1693</v>
      </c>
      <c r="C1" s="69" t="s">
        <v>1694</v>
      </c>
    </row>
    <row r="2" ht="15.75" customHeight="1">
      <c r="A2" s="153">
        <v>1.0</v>
      </c>
      <c r="B2" s="153" t="s">
        <v>1695</v>
      </c>
      <c r="C2" s="153" t="s">
        <v>1695</v>
      </c>
    </row>
    <row r="3" ht="15.75" customHeight="1">
      <c r="A3" s="153">
        <v>2.0</v>
      </c>
      <c r="B3" s="153" t="s">
        <v>1696</v>
      </c>
      <c r="C3" s="153" t="s">
        <v>1696</v>
      </c>
    </row>
    <row r="4" ht="15.75" customHeight="1">
      <c r="A4" s="153">
        <v>3.0</v>
      </c>
      <c r="B4" s="153" t="s">
        <v>1697</v>
      </c>
      <c r="C4" s="70" t="s">
        <v>1698</v>
      </c>
    </row>
    <row r="5" ht="15.75" customHeight="1">
      <c r="A5" s="153">
        <v>4.0</v>
      </c>
      <c r="B5" s="153" t="s">
        <v>1697</v>
      </c>
      <c r="C5" s="70" t="s">
        <v>1699</v>
      </c>
    </row>
    <row r="6" ht="15.75" customHeight="1">
      <c r="A6" s="153">
        <v>5.0</v>
      </c>
      <c r="B6" s="153" t="s">
        <v>1697</v>
      </c>
      <c r="C6" s="70" t="s">
        <v>1700</v>
      </c>
    </row>
    <row r="7" ht="15.75" customHeight="1">
      <c r="A7" s="153">
        <v>6.0</v>
      </c>
      <c r="B7" s="153" t="s">
        <v>1697</v>
      </c>
      <c r="C7" s="70" t="s">
        <v>1701</v>
      </c>
    </row>
    <row r="8" ht="15.75" customHeight="1">
      <c r="A8" s="153">
        <v>7.0</v>
      </c>
      <c r="B8" s="153" t="s">
        <v>1702</v>
      </c>
      <c r="C8" s="153" t="s">
        <v>1702</v>
      </c>
    </row>
    <row r="9" ht="15.75" customHeight="1">
      <c r="A9" s="153">
        <v>8.0</v>
      </c>
      <c r="B9" s="161" t="s">
        <v>1284</v>
      </c>
      <c r="C9" s="145" t="s">
        <v>1703</v>
      </c>
    </row>
    <row r="10" ht="15.75" customHeight="1">
      <c r="A10" s="153">
        <v>9.0</v>
      </c>
      <c r="B10" s="161" t="s">
        <v>1284</v>
      </c>
      <c r="C10" s="145" t="s">
        <v>1704</v>
      </c>
    </row>
    <row r="11" ht="15.75" customHeight="1">
      <c r="A11" s="153">
        <v>10.0</v>
      </c>
      <c r="B11" s="161" t="s">
        <v>1284</v>
      </c>
      <c r="C11" s="145" t="s">
        <v>1705</v>
      </c>
    </row>
    <row r="12" ht="15.75" customHeight="1">
      <c r="A12" s="153">
        <v>11.0</v>
      </c>
      <c r="B12" s="161" t="s">
        <v>1284</v>
      </c>
      <c r="C12" s="145" t="s">
        <v>1706</v>
      </c>
    </row>
    <row r="13" ht="15.75" customHeight="1">
      <c r="A13" s="153">
        <v>12.0</v>
      </c>
      <c r="B13" s="161" t="s">
        <v>1282</v>
      </c>
      <c r="C13" s="145" t="s">
        <v>1707</v>
      </c>
    </row>
    <row r="14" ht="15.75" customHeight="1">
      <c r="A14" s="153">
        <v>13.0</v>
      </c>
      <c r="B14" s="161" t="s">
        <v>1282</v>
      </c>
      <c r="C14" s="145" t="s">
        <v>1708</v>
      </c>
    </row>
    <row r="15" ht="15.75" customHeight="1">
      <c r="A15" s="153">
        <v>14.0</v>
      </c>
      <c r="B15" s="161" t="s">
        <v>1282</v>
      </c>
      <c r="C15" s="145" t="s">
        <v>1709</v>
      </c>
    </row>
    <row r="16" ht="15.75" customHeight="1">
      <c r="A16" s="153">
        <v>15.0</v>
      </c>
      <c r="B16" s="161" t="s">
        <v>1282</v>
      </c>
      <c r="C16" s="145" t="s">
        <v>1710</v>
      </c>
    </row>
    <row r="17" ht="15.75" customHeight="1">
      <c r="A17" s="153">
        <v>16.0</v>
      </c>
      <c r="B17" s="161" t="s">
        <v>1282</v>
      </c>
      <c r="C17" s="145" t="s">
        <v>1711</v>
      </c>
    </row>
    <row r="18" ht="15.75" customHeight="1">
      <c r="A18" s="153">
        <v>17.0</v>
      </c>
      <c r="B18" s="161" t="s">
        <v>1282</v>
      </c>
      <c r="C18" s="145" t="s">
        <v>1712</v>
      </c>
    </row>
    <row r="19" ht="15.75" customHeight="1">
      <c r="A19" s="153">
        <v>18.0</v>
      </c>
      <c r="B19" s="161" t="s">
        <v>1713</v>
      </c>
      <c r="C19" s="161" t="s">
        <v>1713</v>
      </c>
    </row>
    <row r="20" ht="15.75" customHeight="1">
      <c r="A20" s="153">
        <v>19.0</v>
      </c>
      <c r="B20" s="161" t="s">
        <v>1714</v>
      </c>
      <c r="C20" s="145" t="s">
        <v>1715</v>
      </c>
    </row>
    <row r="21" ht="15.75" customHeight="1">
      <c r="A21" s="153">
        <v>20.0</v>
      </c>
      <c r="B21" s="161" t="s">
        <v>1714</v>
      </c>
      <c r="C21" s="145" t="s">
        <v>1716</v>
      </c>
    </row>
    <row r="22" ht="15.75" customHeight="1">
      <c r="A22" s="153">
        <v>21.0</v>
      </c>
      <c r="B22" s="161" t="s">
        <v>1714</v>
      </c>
      <c r="C22" s="145" t="s">
        <v>1717</v>
      </c>
    </row>
    <row r="23" ht="15.75" customHeight="1">
      <c r="A23" s="153">
        <v>22.0</v>
      </c>
      <c r="B23" s="161" t="s">
        <v>1714</v>
      </c>
      <c r="C23" s="145" t="s">
        <v>1718</v>
      </c>
    </row>
    <row r="24" ht="15.75" customHeight="1">
      <c r="A24" s="153">
        <v>23.0</v>
      </c>
      <c r="B24" s="161" t="s">
        <v>1714</v>
      </c>
      <c r="C24" s="145" t="s">
        <v>1719</v>
      </c>
    </row>
    <row r="25" ht="15.75" customHeight="1">
      <c r="A25" s="153">
        <v>24.0</v>
      </c>
      <c r="B25" s="161" t="s">
        <v>1714</v>
      </c>
      <c r="C25" s="145" t="s">
        <v>1720</v>
      </c>
    </row>
    <row r="26" ht="15.75" customHeight="1">
      <c r="A26" s="153">
        <v>25.0</v>
      </c>
      <c r="B26" s="161" t="s">
        <v>1714</v>
      </c>
      <c r="C26" s="145" t="s">
        <v>1721</v>
      </c>
    </row>
    <row r="27" ht="15.75" customHeight="1">
      <c r="A27" s="153">
        <v>26.0</v>
      </c>
      <c r="B27" s="161" t="s">
        <v>1714</v>
      </c>
      <c r="C27" s="145" t="s">
        <v>1722</v>
      </c>
    </row>
    <row r="28" ht="15.75" customHeight="1">
      <c r="A28" s="153">
        <v>27.0</v>
      </c>
      <c r="B28" s="161" t="s">
        <v>1723</v>
      </c>
      <c r="C28" s="161" t="s">
        <v>1723</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25.63"/>
    <col customWidth="1" min="3" max="3" width="37.63"/>
    <col customWidth="1" min="4" max="5" width="12.63"/>
  </cols>
  <sheetData>
    <row r="1" ht="15.75" customHeight="1">
      <c r="A1" s="69" t="s">
        <v>1692</v>
      </c>
      <c r="B1" s="69" t="s">
        <v>1724</v>
      </c>
      <c r="C1" s="69" t="s">
        <v>1725</v>
      </c>
    </row>
    <row r="2" ht="15.75" customHeight="1">
      <c r="A2" s="70">
        <v>1.0</v>
      </c>
      <c r="B2" s="70" t="s">
        <v>1726</v>
      </c>
      <c r="C2" s="70" t="s">
        <v>1727</v>
      </c>
    </row>
    <row r="3" ht="15.75" customHeight="1">
      <c r="A3" s="70">
        <v>2.0</v>
      </c>
      <c r="B3" s="70" t="s">
        <v>1726</v>
      </c>
      <c r="C3" s="70" t="s">
        <v>1728</v>
      </c>
    </row>
    <row r="4" ht="15.75" customHeight="1">
      <c r="A4" s="70">
        <v>3.0</v>
      </c>
      <c r="B4" s="70" t="s">
        <v>1726</v>
      </c>
      <c r="C4" s="70" t="s">
        <v>1729</v>
      </c>
    </row>
    <row r="5" ht="15.75" customHeight="1">
      <c r="A5" s="70">
        <v>4.0</v>
      </c>
      <c r="B5" s="70" t="s">
        <v>1726</v>
      </c>
      <c r="C5" s="70" t="s">
        <v>1730</v>
      </c>
    </row>
    <row r="6" ht="15.75" customHeight="1">
      <c r="A6" s="70">
        <v>5.0</v>
      </c>
      <c r="B6" s="70" t="s">
        <v>1726</v>
      </c>
      <c r="C6" s="70" t="s">
        <v>1731</v>
      </c>
    </row>
    <row r="7" ht="15.75" customHeight="1">
      <c r="A7" s="70">
        <v>6.0</v>
      </c>
      <c r="B7" s="70" t="s">
        <v>1726</v>
      </c>
      <c r="C7" s="70" t="s">
        <v>1732</v>
      </c>
    </row>
    <row r="8" ht="15.75" customHeight="1">
      <c r="A8" s="70">
        <v>7.0</v>
      </c>
      <c r="B8" s="70" t="s">
        <v>1726</v>
      </c>
      <c r="C8" s="70" t="s">
        <v>1733</v>
      </c>
    </row>
    <row r="9" ht="15.75" customHeight="1">
      <c r="A9" s="70">
        <v>8.0</v>
      </c>
      <c r="B9" s="70" t="s">
        <v>1726</v>
      </c>
      <c r="C9" s="70" t="s">
        <v>1734</v>
      </c>
    </row>
    <row r="10" ht="15.75" customHeight="1">
      <c r="A10" s="70">
        <v>9.0</v>
      </c>
      <c r="B10" s="70" t="s">
        <v>1726</v>
      </c>
      <c r="C10" s="70" t="s">
        <v>1735</v>
      </c>
    </row>
    <row r="11" ht="15.75" customHeight="1">
      <c r="A11" s="70">
        <v>10.0</v>
      </c>
      <c r="B11" s="70" t="s">
        <v>1726</v>
      </c>
      <c r="C11" s="70" t="s">
        <v>1736</v>
      </c>
    </row>
    <row r="12" ht="15.75" customHeight="1">
      <c r="A12" s="70">
        <v>11.0</v>
      </c>
      <c r="B12" s="70" t="s">
        <v>1726</v>
      </c>
      <c r="C12" s="70" t="s">
        <v>1737</v>
      </c>
    </row>
    <row r="13" ht="15.75" customHeight="1">
      <c r="A13" s="70">
        <v>12.0</v>
      </c>
      <c r="B13" s="70" t="s">
        <v>1726</v>
      </c>
      <c r="C13" s="70" t="s">
        <v>1738</v>
      </c>
    </row>
    <row r="14" ht="15.75" customHeight="1">
      <c r="A14" s="70">
        <v>13.0</v>
      </c>
      <c r="B14" s="70" t="s">
        <v>1726</v>
      </c>
      <c r="C14" s="70" t="s">
        <v>1739</v>
      </c>
    </row>
    <row r="15" ht="15.75" customHeight="1">
      <c r="A15" s="70">
        <v>14.0</v>
      </c>
      <c r="B15" s="70" t="s">
        <v>1726</v>
      </c>
      <c r="C15" s="70" t="s">
        <v>1740</v>
      </c>
    </row>
    <row r="16" ht="15.75" customHeight="1">
      <c r="A16" s="70">
        <v>15.0</v>
      </c>
      <c r="B16" s="70" t="s">
        <v>1726</v>
      </c>
      <c r="C16" s="70" t="s">
        <v>1741</v>
      </c>
    </row>
    <row r="17" ht="15.75" customHeight="1">
      <c r="A17" s="70">
        <v>16.0</v>
      </c>
      <c r="B17" s="70" t="s">
        <v>1726</v>
      </c>
      <c r="C17" s="70" t="s">
        <v>1742</v>
      </c>
    </row>
    <row r="18" ht="15.75" customHeight="1">
      <c r="A18" s="70">
        <v>17.0</v>
      </c>
      <c r="B18" s="70" t="s">
        <v>1726</v>
      </c>
      <c r="C18" s="70" t="s">
        <v>1743</v>
      </c>
    </row>
    <row r="19" ht="15.75" customHeight="1">
      <c r="A19" s="70">
        <v>18.0</v>
      </c>
      <c r="B19" s="70" t="s">
        <v>1726</v>
      </c>
      <c r="C19" s="70" t="s">
        <v>1744</v>
      </c>
    </row>
    <row r="20" ht="15.75" customHeight="1">
      <c r="A20" s="70">
        <v>19.0</v>
      </c>
      <c r="B20" s="70" t="s">
        <v>1745</v>
      </c>
      <c r="C20" s="70" t="s">
        <v>1746</v>
      </c>
    </row>
    <row r="21" ht="15.75" customHeight="1">
      <c r="A21" s="70">
        <v>20.0</v>
      </c>
      <c r="B21" s="70" t="s">
        <v>1745</v>
      </c>
      <c r="C21" s="70" t="s">
        <v>1747</v>
      </c>
    </row>
    <row r="22" ht="15.75" customHeight="1">
      <c r="A22" s="70">
        <v>21.0</v>
      </c>
      <c r="B22" s="70" t="s">
        <v>1745</v>
      </c>
      <c r="C22" s="70" t="s">
        <v>1748</v>
      </c>
    </row>
    <row r="23" ht="15.75" customHeight="1">
      <c r="A23" s="70">
        <v>22.0</v>
      </c>
      <c r="B23" s="70" t="s">
        <v>1745</v>
      </c>
      <c r="C23" s="70" t="s">
        <v>1749</v>
      </c>
    </row>
    <row r="24" ht="15.75" customHeight="1">
      <c r="A24" s="70">
        <v>23.0</v>
      </c>
      <c r="B24" s="70" t="s">
        <v>1745</v>
      </c>
      <c r="C24" s="70" t="s">
        <v>1750</v>
      </c>
    </row>
    <row r="25" ht="15.75" customHeight="1">
      <c r="A25" s="70">
        <v>24.0</v>
      </c>
      <c r="B25" s="70" t="s">
        <v>1745</v>
      </c>
      <c r="C25" s="70" t="s">
        <v>1751</v>
      </c>
    </row>
    <row r="26" ht="15.75" customHeight="1">
      <c r="A26" s="70">
        <v>25.0</v>
      </c>
      <c r="B26" s="70" t="s">
        <v>1745</v>
      </c>
      <c r="C26" s="70" t="s">
        <v>1752</v>
      </c>
    </row>
    <row r="27" ht="15.75" customHeight="1">
      <c r="A27" s="70">
        <v>26.0</v>
      </c>
      <c r="B27" s="70" t="s">
        <v>1745</v>
      </c>
      <c r="C27" s="70" t="s">
        <v>1753</v>
      </c>
    </row>
    <row r="28" ht="15.75" customHeight="1">
      <c r="A28" s="70">
        <v>27.0</v>
      </c>
      <c r="B28" s="70" t="s">
        <v>1745</v>
      </c>
      <c r="C28" s="70" t="s">
        <v>1754</v>
      </c>
    </row>
    <row r="29" ht="15.75" customHeight="1">
      <c r="A29" s="70">
        <v>28.0</v>
      </c>
      <c r="B29" s="70" t="s">
        <v>1745</v>
      </c>
      <c r="C29" s="70" t="s">
        <v>1755</v>
      </c>
    </row>
    <row r="30" ht="15.75" customHeight="1">
      <c r="A30" s="70">
        <v>29.0</v>
      </c>
      <c r="B30" s="70" t="s">
        <v>1745</v>
      </c>
      <c r="C30" s="70" t="s">
        <v>1756</v>
      </c>
    </row>
    <row r="31" ht="15.75" customHeight="1">
      <c r="A31" s="70">
        <v>30.0</v>
      </c>
      <c r="B31" s="70" t="s">
        <v>1745</v>
      </c>
      <c r="C31" s="70" t="s">
        <v>1757</v>
      </c>
    </row>
    <row r="32" ht="15.75" customHeight="1">
      <c r="A32" s="70">
        <v>31.0</v>
      </c>
      <c r="B32" s="70" t="s">
        <v>1745</v>
      </c>
      <c r="C32" s="70" t="s">
        <v>1758</v>
      </c>
    </row>
    <row r="33" ht="15.75" customHeight="1">
      <c r="A33" s="70">
        <v>32.0</v>
      </c>
      <c r="B33" s="70" t="s">
        <v>1745</v>
      </c>
      <c r="C33" s="70" t="s">
        <v>1759</v>
      </c>
    </row>
    <row r="34" ht="15.75" customHeight="1">
      <c r="A34" s="70">
        <v>33.0</v>
      </c>
      <c r="B34" s="70" t="s">
        <v>1745</v>
      </c>
      <c r="C34" s="70" t="s">
        <v>1760</v>
      </c>
    </row>
    <row r="35" ht="15.75" customHeight="1">
      <c r="A35" s="70">
        <v>34.0</v>
      </c>
      <c r="B35" s="70" t="s">
        <v>1761</v>
      </c>
      <c r="C35" s="70" t="s">
        <v>1762</v>
      </c>
    </row>
    <row r="36" ht="15.75" customHeight="1">
      <c r="A36" s="70">
        <v>35.0</v>
      </c>
      <c r="B36" s="70" t="s">
        <v>1761</v>
      </c>
      <c r="C36" s="70" t="s">
        <v>1763</v>
      </c>
    </row>
    <row r="37" ht="15.75" customHeight="1">
      <c r="A37" s="70">
        <v>36.0</v>
      </c>
      <c r="B37" s="70" t="s">
        <v>1761</v>
      </c>
      <c r="C37" s="70" t="s">
        <v>1764</v>
      </c>
    </row>
    <row r="38" ht="15.75" customHeight="1">
      <c r="A38" s="70">
        <v>37.0</v>
      </c>
      <c r="B38" s="70" t="s">
        <v>1761</v>
      </c>
      <c r="C38" s="70" t="s">
        <v>1765</v>
      </c>
    </row>
    <row r="39" ht="15.75" customHeight="1">
      <c r="A39" s="70">
        <v>38.0</v>
      </c>
      <c r="B39" s="70" t="s">
        <v>1761</v>
      </c>
      <c r="C39" s="70" t="s">
        <v>1766</v>
      </c>
    </row>
    <row r="40" ht="15.75" customHeight="1">
      <c r="A40" s="70">
        <v>39.0</v>
      </c>
      <c r="B40" s="70" t="s">
        <v>1761</v>
      </c>
      <c r="C40" s="70" t="s">
        <v>1767</v>
      </c>
    </row>
    <row r="41" ht="15.75" customHeight="1">
      <c r="A41" s="70">
        <v>40.0</v>
      </c>
      <c r="B41" s="70" t="s">
        <v>1761</v>
      </c>
      <c r="C41" s="70" t="s">
        <v>1768</v>
      </c>
    </row>
    <row r="42" ht="15.75" customHeight="1">
      <c r="A42" s="70">
        <v>41.0</v>
      </c>
      <c r="B42" s="70" t="s">
        <v>1769</v>
      </c>
      <c r="C42" s="70" t="s">
        <v>1770</v>
      </c>
    </row>
    <row r="43" ht="15.75" customHeight="1">
      <c r="A43" s="70">
        <v>42.0</v>
      </c>
      <c r="B43" s="70" t="s">
        <v>1769</v>
      </c>
      <c r="C43" s="70" t="s">
        <v>1771</v>
      </c>
    </row>
    <row r="44" ht="15.75" customHeight="1">
      <c r="A44" s="70">
        <v>43.0</v>
      </c>
      <c r="B44" s="70" t="s">
        <v>1769</v>
      </c>
      <c r="C44" s="70" t="s">
        <v>1772</v>
      </c>
    </row>
    <row r="45" ht="15.75" customHeight="1">
      <c r="A45" s="70">
        <v>44.0</v>
      </c>
      <c r="B45" s="70" t="s">
        <v>1769</v>
      </c>
      <c r="C45" s="70" t="s">
        <v>1773</v>
      </c>
    </row>
    <row r="46" ht="15.75" customHeight="1">
      <c r="A46" s="70">
        <v>45.0</v>
      </c>
      <c r="B46" s="70" t="s">
        <v>1769</v>
      </c>
      <c r="C46" s="70" t="s">
        <v>1774</v>
      </c>
    </row>
    <row r="47" ht="15.75" customHeight="1">
      <c r="A47" s="70">
        <v>46.0</v>
      </c>
      <c r="B47" s="70" t="s">
        <v>1769</v>
      </c>
      <c r="C47" s="70" t="s">
        <v>1775</v>
      </c>
    </row>
    <row r="48" ht="15.75" customHeight="1">
      <c r="A48" s="70">
        <v>47.0</v>
      </c>
      <c r="B48" s="70" t="s">
        <v>1769</v>
      </c>
      <c r="C48" s="70" t="s">
        <v>1776</v>
      </c>
    </row>
    <row r="49" ht="15.75" customHeight="1">
      <c r="A49" s="70">
        <v>48.0</v>
      </c>
      <c r="B49" s="70" t="s">
        <v>1769</v>
      </c>
      <c r="C49" s="70" t="s">
        <v>1777</v>
      </c>
    </row>
    <row r="50" ht="15.75" customHeight="1">
      <c r="A50" s="70">
        <v>49.0</v>
      </c>
      <c r="B50" s="70" t="s">
        <v>1769</v>
      </c>
      <c r="C50" s="70" t="s">
        <v>1778</v>
      </c>
    </row>
    <row r="51" ht="15.75" customHeight="1">
      <c r="A51" s="70">
        <v>50.0</v>
      </c>
      <c r="B51" s="70" t="s">
        <v>1769</v>
      </c>
      <c r="C51" s="70" t="s">
        <v>1779</v>
      </c>
    </row>
    <row r="52" ht="15.75" customHeight="1">
      <c r="A52" s="70">
        <v>51.0</v>
      </c>
      <c r="B52" s="70" t="s">
        <v>1769</v>
      </c>
      <c r="C52" s="70" t="s">
        <v>1780</v>
      </c>
    </row>
    <row r="53" ht="15.75" customHeight="1">
      <c r="A53" s="70">
        <v>52.0</v>
      </c>
      <c r="B53" s="70" t="s">
        <v>1769</v>
      </c>
      <c r="C53" s="70" t="s">
        <v>1781</v>
      </c>
    </row>
    <row r="54" ht="15.75" customHeight="1">
      <c r="A54" s="70">
        <v>53.0</v>
      </c>
      <c r="B54" s="70" t="s">
        <v>1769</v>
      </c>
      <c r="C54" s="70" t="s">
        <v>1782</v>
      </c>
    </row>
    <row r="55" ht="15.75" customHeight="1">
      <c r="A55" s="70">
        <v>54.0</v>
      </c>
      <c r="B55" s="70" t="s">
        <v>1769</v>
      </c>
      <c r="C55" s="70" t="s">
        <v>1783</v>
      </c>
    </row>
    <row r="56" ht="15.75" customHeight="1">
      <c r="A56" s="70">
        <v>55.0</v>
      </c>
      <c r="B56" s="70" t="s">
        <v>1784</v>
      </c>
      <c r="C56" s="70" t="s">
        <v>1785</v>
      </c>
    </row>
    <row r="57" ht="15.75" customHeight="1">
      <c r="A57" s="70">
        <v>56.0</v>
      </c>
      <c r="B57" s="70" t="s">
        <v>1784</v>
      </c>
      <c r="C57" s="70" t="s">
        <v>1786</v>
      </c>
    </row>
    <row r="58" ht="15.75" customHeight="1">
      <c r="A58" s="70">
        <v>57.0</v>
      </c>
      <c r="B58" s="70" t="s">
        <v>1784</v>
      </c>
      <c r="C58" s="70" t="s">
        <v>1787</v>
      </c>
    </row>
    <row r="59" ht="15.75" customHeight="1">
      <c r="A59" s="70">
        <v>58.0</v>
      </c>
      <c r="B59" s="70" t="s">
        <v>1784</v>
      </c>
      <c r="C59" s="70" t="s">
        <v>1788</v>
      </c>
    </row>
    <row r="60" ht="15.75" customHeight="1">
      <c r="A60" s="70">
        <v>59.0</v>
      </c>
      <c r="B60" s="70" t="s">
        <v>1784</v>
      </c>
      <c r="C60" s="70" t="s">
        <v>1789</v>
      </c>
    </row>
    <row r="61" ht="15.75" customHeight="1">
      <c r="A61" s="70">
        <v>60.0</v>
      </c>
      <c r="B61" s="70" t="s">
        <v>1784</v>
      </c>
      <c r="C61" s="70" t="s">
        <v>1790</v>
      </c>
    </row>
    <row r="62" ht="15.75" customHeight="1">
      <c r="A62" s="70">
        <v>61.0</v>
      </c>
      <c r="B62" s="70" t="s">
        <v>1784</v>
      </c>
      <c r="C62" s="70" t="s">
        <v>1791</v>
      </c>
    </row>
    <row r="63" ht="15.75" customHeight="1">
      <c r="A63" s="70">
        <v>62.0</v>
      </c>
      <c r="B63" s="70" t="s">
        <v>1784</v>
      </c>
      <c r="C63" s="70" t="s">
        <v>1792</v>
      </c>
    </row>
    <row r="64" ht="15.75" customHeight="1">
      <c r="A64" s="70">
        <v>63.0</v>
      </c>
      <c r="B64" s="70" t="s">
        <v>1793</v>
      </c>
      <c r="C64" s="70" t="s">
        <v>1794</v>
      </c>
    </row>
    <row r="65" ht="15.75" customHeight="1">
      <c r="A65" s="70">
        <v>64.0</v>
      </c>
      <c r="B65" s="70" t="s">
        <v>1793</v>
      </c>
      <c r="C65" s="70" t="s">
        <v>1795</v>
      </c>
    </row>
    <row r="66" ht="15.75" customHeight="1">
      <c r="A66" s="70">
        <v>65.0</v>
      </c>
      <c r="B66" s="70" t="s">
        <v>1793</v>
      </c>
      <c r="C66" s="70" t="s">
        <v>1796</v>
      </c>
    </row>
    <row r="67" ht="15.75" customHeight="1">
      <c r="A67" s="70">
        <v>66.0</v>
      </c>
      <c r="B67" s="70" t="s">
        <v>1793</v>
      </c>
      <c r="C67" s="70" t="s">
        <v>1797</v>
      </c>
    </row>
    <row r="68" ht="15.75" customHeight="1">
      <c r="A68" s="70">
        <v>67.0</v>
      </c>
      <c r="B68" s="70" t="s">
        <v>1793</v>
      </c>
      <c r="C68" s="70" t="s">
        <v>1798</v>
      </c>
    </row>
    <row r="69" ht="15.75" customHeight="1">
      <c r="A69" s="70">
        <v>68.0</v>
      </c>
      <c r="B69" s="70" t="s">
        <v>1793</v>
      </c>
      <c r="C69" s="70" t="s">
        <v>1799</v>
      </c>
    </row>
    <row r="70" ht="15.75" customHeight="1">
      <c r="A70" s="70">
        <v>69.0</v>
      </c>
      <c r="B70" s="70" t="s">
        <v>1793</v>
      </c>
      <c r="C70" s="70" t="s">
        <v>1800</v>
      </c>
    </row>
    <row r="71" ht="15.75" customHeight="1">
      <c r="A71" s="70">
        <v>70.0</v>
      </c>
      <c r="B71" s="70" t="s">
        <v>1793</v>
      </c>
      <c r="C71" s="70" t="s">
        <v>1801</v>
      </c>
    </row>
    <row r="72" ht="15.75" customHeight="1">
      <c r="A72" s="70">
        <v>71.0</v>
      </c>
      <c r="B72" s="70" t="s">
        <v>1793</v>
      </c>
      <c r="C72" s="70" t="s">
        <v>1802</v>
      </c>
    </row>
    <row r="73" ht="15.75" customHeight="1">
      <c r="A73" s="70">
        <v>72.0</v>
      </c>
      <c r="B73" s="70" t="s">
        <v>1793</v>
      </c>
      <c r="C73" s="70" t="s">
        <v>1803</v>
      </c>
    </row>
    <row r="74" ht="15.75" customHeight="1">
      <c r="A74" s="70">
        <v>73.0</v>
      </c>
      <c r="B74" s="70" t="s">
        <v>1793</v>
      </c>
      <c r="C74" s="70" t="s">
        <v>1804</v>
      </c>
    </row>
    <row r="75" ht="15.75" customHeight="1">
      <c r="A75" s="70">
        <v>74.0</v>
      </c>
      <c r="B75" s="70" t="s">
        <v>1793</v>
      </c>
      <c r="C75" s="70" t="s">
        <v>1805</v>
      </c>
    </row>
    <row r="76" ht="15.75" customHeight="1">
      <c r="A76" s="70">
        <v>75.0</v>
      </c>
      <c r="B76" s="70" t="s">
        <v>1793</v>
      </c>
      <c r="C76" s="70" t="s">
        <v>1806</v>
      </c>
    </row>
    <row r="77" ht="15.75" customHeight="1">
      <c r="A77" s="70">
        <v>76.0</v>
      </c>
      <c r="B77" s="70" t="s">
        <v>1793</v>
      </c>
      <c r="C77" s="70" t="s">
        <v>1807</v>
      </c>
    </row>
    <row r="78" ht="15.75" customHeight="1">
      <c r="A78" s="70">
        <v>77.0</v>
      </c>
      <c r="B78" s="70" t="s">
        <v>1793</v>
      </c>
      <c r="C78" s="70" t="s">
        <v>1808</v>
      </c>
    </row>
    <row r="79" ht="15.75" customHeight="1">
      <c r="A79" s="70">
        <v>78.0</v>
      </c>
      <c r="B79" s="70" t="s">
        <v>1793</v>
      </c>
      <c r="C79" s="70" t="s">
        <v>1809</v>
      </c>
    </row>
    <row r="80" ht="15.75" customHeight="1">
      <c r="A80" s="70">
        <v>79.0</v>
      </c>
      <c r="B80" s="70" t="s">
        <v>1793</v>
      </c>
      <c r="C80" s="70" t="s">
        <v>1810</v>
      </c>
    </row>
    <row r="81" ht="15.75" customHeight="1">
      <c r="A81" s="70">
        <v>80.0</v>
      </c>
      <c r="B81" s="70" t="s">
        <v>1811</v>
      </c>
      <c r="C81" s="70" t="s">
        <v>1812</v>
      </c>
    </row>
    <row r="82" ht="15.75" customHeight="1">
      <c r="A82" s="70">
        <v>81.0</v>
      </c>
      <c r="B82" s="70" t="s">
        <v>1811</v>
      </c>
      <c r="C82" s="70" t="s">
        <v>1813</v>
      </c>
    </row>
    <row r="83" ht="15.75" customHeight="1">
      <c r="A83" s="70">
        <v>82.0</v>
      </c>
      <c r="B83" s="70" t="s">
        <v>1811</v>
      </c>
      <c r="C83" s="70" t="s">
        <v>1814</v>
      </c>
    </row>
    <row r="84" ht="15.75" customHeight="1">
      <c r="A84" s="70">
        <v>83.0</v>
      </c>
      <c r="B84" s="70" t="s">
        <v>1811</v>
      </c>
      <c r="C84" s="70" t="s">
        <v>1815</v>
      </c>
    </row>
    <row r="85" ht="15.75" customHeight="1">
      <c r="A85" s="70">
        <v>84.0</v>
      </c>
      <c r="B85" s="70" t="s">
        <v>1811</v>
      </c>
      <c r="C85" s="70" t="s">
        <v>1816</v>
      </c>
    </row>
    <row r="86" ht="15.75" customHeight="1">
      <c r="A86" s="70">
        <v>85.0</v>
      </c>
      <c r="B86" s="70" t="s">
        <v>1811</v>
      </c>
      <c r="C86" s="70" t="s">
        <v>1817</v>
      </c>
    </row>
    <row r="87" ht="15.75" customHeight="1">
      <c r="A87" s="70">
        <v>86.0</v>
      </c>
      <c r="B87" s="70" t="s">
        <v>1811</v>
      </c>
      <c r="C87" s="70" t="s">
        <v>1818</v>
      </c>
    </row>
    <row r="88" ht="15.75" customHeight="1">
      <c r="A88" s="70">
        <v>87.0</v>
      </c>
      <c r="B88" s="70" t="s">
        <v>1811</v>
      </c>
      <c r="C88" s="70" t="s">
        <v>1819</v>
      </c>
    </row>
    <row r="89" ht="15.75" customHeight="1">
      <c r="A89" s="70">
        <v>88.0</v>
      </c>
      <c r="B89" s="70" t="s">
        <v>1811</v>
      </c>
      <c r="C89" s="70" t="s">
        <v>1820</v>
      </c>
    </row>
    <row r="90" ht="15.75" customHeight="1">
      <c r="A90" s="70">
        <v>89.0</v>
      </c>
      <c r="B90" s="70" t="s">
        <v>1811</v>
      </c>
      <c r="C90" s="70" t="s">
        <v>1821</v>
      </c>
    </row>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18.88"/>
    <col customWidth="1" min="3" max="6" width="12.63"/>
  </cols>
  <sheetData>
    <row r="1" ht="15.75" customHeight="1">
      <c r="A1" s="69" t="s">
        <v>1692</v>
      </c>
      <c r="B1" s="69" t="s">
        <v>1822</v>
      </c>
    </row>
    <row r="2" ht="15.75" customHeight="1">
      <c r="A2" s="70">
        <v>1.0</v>
      </c>
      <c r="B2" s="70" t="s">
        <v>1823</v>
      </c>
    </row>
    <row r="3" ht="15.75" customHeight="1">
      <c r="A3" s="70">
        <v>2.0</v>
      </c>
      <c r="B3" s="70" t="s">
        <v>1824</v>
      </c>
    </row>
    <row r="4" ht="15.75" customHeight="1">
      <c r="A4" s="70">
        <v>3.0</v>
      </c>
      <c r="B4" s="70" t="s">
        <v>1825</v>
      </c>
    </row>
    <row r="5" ht="15.75" customHeight="1">
      <c r="A5" s="70">
        <v>4.0</v>
      </c>
      <c r="B5" s="70" t="s">
        <v>1826</v>
      </c>
    </row>
    <row r="6" ht="15.75" customHeight="1">
      <c r="A6" s="70">
        <v>5.0</v>
      </c>
      <c r="B6" s="70" t="s">
        <v>1827</v>
      </c>
    </row>
    <row r="7" ht="15.75" customHeight="1">
      <c r="A7" s="70">
        <v>6.0</v>
      </c>
      <c r="B7" s="70" t="s">
        <v>1828</v>
      </c>
    </row>
    <row r="8" ht="15.75" customHeight="1">
      <c r="A8" s="70">
        <v>7.0</v>
      </c>
      <c r="B8" s="70" t="s">
        <v>1829</v>
      </c>
    </row>
    <row r="9" ht="15.75" customHeight="1">
      <c r="A9" s="70">
        <v>8.0</v>
      </c>
      <c r="B9" s="70" t="s">
        <v>1830</v>
      </c>
    </row>
    <row r="10" ht="15.75" customHeight="1">
      <c r="A10" s="70">
        <v>9.0</v>
      </c>
      <c r="B10" s="70" t="s">
        <v>1831</v>
      </c>
    </row>
    <row r="11" ht="15.75" customHeight="1">
      <c r="A11" s="70">
        <v>10.0</v>
      </c>
      <c r="B11" s="70" t="s">
        <v>1832</v>
      </c>
    </row>
    <row r="12" ht="15.75" customHeight="1">
      <c r="A12" s="70">
        <v>11.0</v>
      </c>
      <c r="B12" s="70" t="s">
        <v>1833</v>
      </c>
    </row>
    <row r="13" ht="15.75" customHeight="1">
      <c r="A13" s="70">
        <v>12.0</v>
      </c>
      <c r="B13" s="70" t="s">
        <v>1834</v>
      </c>
    </row>
    <row r="14" ht="15.75" customHeight="1">
      <c r="A14" s="70">
        <v>13.0</v>
      </c>
      <c r="B14" s="70" t="s">
        <v>1835</v>
      </c>
    </row>
    <row r="15" ht="15.75" customHeight="1">
      <c r="A15" s="70">
        <v>14.0</v>
      </c>
      <c r="B15" s="70" t="s">
        <v>1836</v>
      </c>
    </row>
    <row r="16" ht="15.75" customHeight="1">
      <c r="A16" s="70">
        <v>15.0</v>
      </c>
      <c r="B16" s="70" t="s">
        <v>1837</v>
      </c>
    </row>
    <row r="17" ht="15.75" customHeight="1">
      <c r="A17" s="70">
        <v>16.0</v>
      </c>
      <c r="B17" s="70" t="s">
        <v>1838</v>
      </c>
    </row>
    <row r="18" ht="15.75" customHeight="1">
      <c r="A18" s="70">
        <v>17.0</v>
      </c>
      <c r="B18" s="70" t="s">
        <v>1839</v>
      </c>
    </row>
    <row r="19" ht="15.75" customHeight="1">
      <c r="A19" s="70">
        <v>18.0</v>
      </c>
      <c r="B19" s="70" t="s">
        <v>1840</v>
      </c>
    </row>
    <row r="20" ht="15.75" customHeight="1">
      <c r="A20" s="70">
        <v>19.0</v>
      </c>
      <c r="B20" s="70" t="s">
        <v>422</v>
      </c>
    </row>
    <row r="21" ht="15.75" customHeight="1">
      <c r="A21" s="70">
        <v>20.0</v>
      </c>
      <c r="B21" s="70" t="s">
        <v>1841</v>
      </c>
    </row>
    <row r="22" ht="15.75" customHeight="1">
      <c r="A22" s="70">
        <v>21.0</v>
      </c>
      <c r="B22" s="70" t="s">
        <v>1842</v>
      </c>
    </row>
    <row r="23" ht="15.75" customHeight="1">
      <c r="A23" s="70">
        <v>22.0</v>
      </c>
      <c r="B23" s="70" t="s">
        <v>1843</v>
      </c>
    </row>
    <row r="24" ht="15.75" customHeight="1">
      <c r="A24" s="70">
        <v>23.0</v>
      </c>
      <c r="B24" s="70" t="s">
        <v>424</v>
      </c>
    </row>
    <row r="25" ht="15.75" customHeight="1">
      <c r="A25" s="70">
        <v>24.0</v>
      </c>
      <c r="B25" s="70" t="s">
        <v>1844</v>
      </c>
    </row>
    <row r="26" ht="15.75" customHeight="1">
      <c r="A26" s="70">
        <v>25.0</v>
      </c>
      <c r="B26" s="70" t="s">
        <v>1845</v>
      </c>
    </row>
    <row r="27" ht="15.75" customHeight="1">
      <c r="A27" s="70">
        <v>26.0</v>
      </c>
      <c r="B27" s="70" t="s">
        <v>1846</v>
      </c>
    </row>
    <row r="28" ht="15.75" customHeight="1">
      <c r="A28" s="70">
        <v>27.0</v>
      </c>
      <c r="B28" s="70" t="s">
        <v>1847</v>
      </c>
    </row>
    <row r="29" ht="15.75" customHeight="1">
      <c r="A29" s="70">
        <v>28.0</v>
      </c>
      <c r="B29" s="70" t="s">
        <v>1848</v>
      </c>
    </row>
    <row r="30" ht="15.75" customHeight="1">
      <c r="A30" s="70">
        <v>29.0</v>
      </c>
      <c r="B30" s="70" t="s">
        <v>1849</v>
      </c>
    </row>
    <row r="31" ht="15.75" customHeight="1">
      <c r="A31" s="70">
        <v>30.0</v>
      </c>
      <c r="B31" s="70" t="s">
        <v>1850</v>
      </c>
    </row>
    <row r="32" ht="15.75" customHeight="1">
      <c r="A32" s="70">
        <v>31.0</v>
      </c>
      <c r="B32" s="70" t="s">
        <v>1851</v>
      </c>
    </row>
    <row r="33" ht="15.75" customHeight="1">
      <c r="A33" s="70">
        <v>32.0</v>
      </c>
      <c r="B33" s="70" t="s">
        <v>1852</v>
      </c>
    </row>
    <row r="34" ht="15.75" customHeight="1">
      <c r="A34" s="70">
        <v>33.0</v>
      </c>
      <c r="B34" s="70" t="s">
        <v>1853</v>
      </c>
    </row>
    <row r="35" ht="15.75" customHeight="1">
      <c r="A35" s="70">
        <v>34.0</v>
      </c>
      <c r="B35" s="70" t="s">
        <v>1854</v>
      </c>
    </row>
    <row r="36" ht="15.75" customHeight="1">
      <c r="A36" s="70">
        <v>35.0</v>
      </c>
      <c r="B36" s="70" t="s">
        <v>1855</v>
      </c>
    </row>
    <row r="37" ht="15.75" customHeight="1">
      <c r="A37" s="70">
        <v>36.0</v>
      </c>
      <c r="B37" s="70" t="s">
        <v>1856</v>
      </c>
    </row>
    <row r="38" ht="15.75" customHeight="1">
      <c r="A38" s="70">
        <v>37.0</v>
      </c>
      <c r="B38" s="70" t="s">
        <v>1857</v>
      </c>
    </row>
    <row r="39" ht="15.75" customHeight="1">
      <c r="A39" s="70">
        <v>38.0</v>
      </c>
      <c r="B39" s="70" t="s">
        <v>1858</v>
      </c>
    </row>
    <row r="40" ht="15.75" customHeight="1">
      <c r="A40" s="70">
        <v>39.0</v>
      </c>
      <c r="B40" s="70" t="s">
        <v>1859</v>
      </c>
    </row>
    <row r="41" ht="15.75" customHeight="1">
      <c r="A41" s="70">
        <v>40.0</v>
      </c>
      <c r="B41" s="70" t="s">
        <v>1860</v>
      </c>
    </row>
    <row r="42" ht="15.75" customHeight="1">
      <c r="A42" s="70">
        <v>41.0</v>
      </c>
      <c r="B42" s="70" t="s">
        <v>1861</v>
      </c>
    </row>
    <row r="43" ht="15.75" customHeight="1">
      <c r="A43" s="70">
        <v>42.0</v>
      </c>
      <c r="B43" s="70" t="s">
        <v>1862</v>
      </c>
    </row>
    <row r="44" ht="15.75" customHeight="1">
      <c r="A44" s="70">
        <v>43.0</v>
      </c>
      <c r="B44" s="70" t="s">
        <v>1863</v>
      </c>
    </row>
    <row r="45" ht="15.75" customHeight="1">
      <c r="A45" s="70">
        <v>44.0</v>
      </c>
      <c r="B45" s="70" t="s">
        <v>1864</v>
      </c>
    </row>
    <row r="46" ht="15.75" customHeight="1">
      <c r="A46" s="70">
        <v>45.0</v>
      </c>
      <c r="B46" s="70" t="s">
        <v>1865</v>
      </c>
    </row>
    <row r="47" ht="15.75" customHeight="1">
      <c r="A47" s="70">
        <v>46.0</v>
      </c>
      <c r="B47" s="70" t="s">
        <v>1866</v>
      </c>
    </row>
    <row r="48" ht="15.75" customHeight="1">
      <c r="A48" s="70">
        <v>47.0</v>
      </c>
      <c r="B48" s="70" t="s">
        <v>1867</v>
      </c>
    </row>
    <row r="49" ht="15.75" customHeight="1">
      <c r="A49" s="70">
        <v>48.0</v>
      </c>
      <c r="B49" s="70" t="s">
        <v>431</v>
      </c>
    </row>
    <row r="50" ht="15.75" customHeight="1">
      <c r="A50" s="70">
        <v>49.0</v>
      </c>
      <c r="B50" s="70" t="s">
        <v>1868</v>
      </c>
    </row>
    <row r="51" ht="15.75" customHeight="1">
      <c r="A51" s="70">
        <v>50.0</v>
      </c>
      <c r="B51" s="70" t="s">
        <v>1869</v>
      </c>
    </row>
    <row r="52" ht="15.75" customHeight="1">
      <c r="A52" s="70">
        <v>51.0</v>
      </c>
      <c r="B52" s="70" t="s">
        <v>1870</v>
      </c>
    </row>
    <row r="53" ht="15.75" customHeight="1">
      <c r="A53" s="70">
        <v>52.0</v>
      </c>
      <c r="B53" s="70" t="s">
        <v>1871</v>
      </c>
    </row>
    <row r="54" ht="15.75" customHeight="1">
      <c r="A54" s="70">
        <v>53.0</v>
      </c>
      <c r="B54" s="70" t="s">
        <v>1872</v>
      </c>
    </row>
    <row r="55" ht="15.75" customHeight="1">
      <c r="A55" s="70">
        <v>54.0</v>
      </c>
      <c r="B55" s="70" t="s">
        <v>1873</v>
      </c>
    </row>
    <row r="56" ht="15.75" customHeight="1">
      <c r="A56" s="70">
        <v>55.0</v>
      </c>
      <c r="B56" s="70" t="s">
        <v>1874</v>
      </c>
    </row>
    <row r="57" ht="15.75" customHeight="1">
      <c r="A57" s="70">
        <v>56.0</v>
      </c>
      <c r="B57" s="70" t="s">
        <v>1875</v>
      </c>
    </row>
    <row r="58" ht="15.75" customHeight="1">
      <c r="A58" s="70">
        <v>57.0</v>
      </c>
      <c r="B58" s="70" t="s">
        <v>1876</v>
      </c>
    </row>
    <row r="59" ht="15.75" customHeight="1">
      <c r="A59" s="70">
        <v>58.0</v>
      </c>
      <c r="B59" s="70" t="s">
        <v>1877</v>
      </c>
    </row>
    <row r="60" ht="15.75" customHeight="1">
      <c r="A60" s="70">
        <v>59.0</v>
      </c>
      <c r="B60" s="70" t="s">
        <v>1878</v>
      </c>
    </row>
    <row r="61" ht="15.75" customHeight="1">
      <c r="A61" s="70">
        <v>60.0</v>
      </c>
      <c r="B61" s="70" t="s">
        <v>1879</v>
      </c>
    </row>
    <row r="62" ht="15.75" customHeight="1">
      <c r="A62" s="70">
        <v>61.0</v>
      </c>
      <c r="B62" s="70" t="s">
        <v>1880</v>
      </c>
    </row>
    <row r="63" ht="15.75" customHeight="1">
      <c r="A63" s="70">
        <v>62.0</v>
      </c>
      <c r="B63" s="70" t="s">
        <v>1881</v>
      </c>
    </row>
    <row r="64" ht="15.75" customHeight="1">
      <c r="A64" s="70">
        <v>63.0</v>
      </c>
      <c r="B64" s="70" t="s">
        <v>1882</v>
      </c>
    </row>
    <row r="65" ht="15.75" customHeight="1">
      <c r="A65" s="70">
        <v>64.0</v>
      </c>
      <c r="B65" s="70" t="s">
        <v>1883</v>
      </c>
    </row>
    <row r="66" ht="15.75" customHeight="1">
      <c r="A66" s="70">
        <v>65.0</v>
      </c>
      <c r="B66" s="70" t="s">
        <v>1884</v>
      </c>
    </row>
    <row r="67" ht="15.75" customHeight="1">
      <c r="A67" s="70">
        <v>66.0</v>
      </c>
      <c r="B67" s="70" t="s">
        <v>1885</v>
      </c>
    </row>
    <row r="68" ht="15.75" customHeight="1">
      <c r="A68" s="70">
        <v>67.0</v>
      </c>
      <c r="B68" s="70" t="s">
        <v>1886</v>
      </c>
    </row>
    <row r="69" ht="15.75" customHeight="1">
      <c r="A69" s="70">
        <v>68.0</v>
      </c>
      <c r="B69" s="70" t="s">
        <v>1887</v>
      </c>
    </row>
    <row r="70" ht="15.75" customHeight="1">
      <c r="A70" s="70">
        <v>69.0</v>
      </c>
      <c r="B70" s="70" t="s">
        <v>1888</v>
      </c>
    </row>
    <row r="71" ht="15.75" customHeight="1">
      <c r="A71" s="70">
        <v>70.0</v>
      </c>
      <c r="B71" s="70" t="s">
        <v>1889</v>
      </c>
    </row>
    <row r="72" ht="15.75" customHeight="1">
      <c r="A72" s="70">
        <v>71.0</v>
      </c>
      <c r="B72" s="70" t="s">
        <v>1890</v>
      </c>
    </row>
    <row r="73" ht="15.75" customHeight="1">
      <c r="A73" s="70">
        <v>72.0</v>
      </c>
      <c r="B73" s="70" t="s">
        <v>1891</v>
      </c>
    </row>
    <row r="74" ht="15.75" customHeight="1">
      <c r="A74" s="70">
        <v>73.0</v>
      </c>
      <c r="B74" s="70" t="s">
        <v>1892</v>
      </c>
    </row>
    <row r="75" ht="15.75" customHeight="1">
      <c r="A75" s="70">
        <v>74.0</v>
      </c>
      <c r="B75" s="70" t="s">
        <v>1893</v>
      </c>
    </row>
    <row r="76" ht="15.75" customHeight="1">
      <c r="A76" s="70">
        <v>75.0</v>
      </c>
      <c r="B76" s="70" t="s">
        <v>1894</v>
      </c>
    </row>
    <row r="77" ht="15.75" customHeight="1">
      <c r="A77" s="70">
        <v>76.0</v>
      </c>
      <c r="B77" s="70" t="s">
        <v>1895</v>
      </c>
    </row>
    <row r="78" ht="15.75" customHeight="1">
      <c r="A78" s="70">
        <v>77.0</v>
      </c>
      <c r="B78" s="70" t="s">
        <v>1896</v>
      </c>
    </row>
    <row r="79" ht="15.75" customHeight="1">
      <c r="A79" s="70">
        <v>78.0</v>
      </c>
      <c r="B79" s="70" t="s">
        <v>1897</v>
      </c>
    </row>
    <row r="80" ht="15.75" customHeight="1">
      <c r="A80" s="70">
        <v>79.0</v>
      </c>
      <c r="B80" s="70" t="s">
        <v>1898</v>
      </c>
    </row>
    <row r="81" ht="15.75" customHeight="1">
      <c r="A81" s="70">
        <v>80.0</v>
      </c>
      <c r="B81" s="70" t="s">
        <v>1899</v>
      </c>
    </row>
    <row r="82" ht="15.75" customHeight="1">
      <c r="A82" s="70">
        <v>81.0</v>
      </c>
      <c r="B82" s="70" t="s">
        <v>1900</v>
      </c>
    </row>
    <row r="83" ht="15.75" customHeight="1">
      <c r="A83" s="70">
        <v>83.0</v>
      </c>
      <c r="B83" s="70" t="s">
        <v>1901</v>
      </c>
    </row>
    <row r="84" ht="15.75" customHeight="1">
      <c r="A84" s="70">
        <v>84.0</v>
      </c>
      <c r="B84" s="70" t="s">
        <v>1902</v>
      </c>
    </row>
    <row r="85" ht="15.75" customHeight="1">
      <c r="A85" s="70">
        <v>86.0</v>
      </c>
      <c r="B85" s="70" t="s">
        <v>1903</v>
      </c>
    </row>
    <row r="86" ht="15.75" customHeight="1">
      <c r="A86" s="70">
        <v>87.0</v>
      </c>
      <c r="B86" s="70" t="s">
        <v>1904</v>
      </c>
    </row>
    <row r="87" ht="15.75" customHeight="1">
      <c r="A87" s="70">
        <v>88.0</v>
      </c>
      <c r="B87" s="70" t="s">
        <v>1905</v>
      </c>
    </row>
    <row r="88" ht="15.75" customHeight="1">
      <c r="A88" s="70">
        <v>89.0</v>
      </c>
      <c r="B88" s="70" t="s">
        <v>1906</v>
      </c>
    </row>
    <row r="89" ht="15.75" customHeight="1">
      <c r="A89" s="70">
        <v>90.0</v>
      </c>
      <c r="B89" s="70" t="s">
        <v>1907</v>
      </c>
    </row>
    <row r="90" ht="15.75" customHeight="1">
      <c r="A90" s="70">
        <v>91.0</v>
      </c>
      <c r="B90" s="70" t="s">
        <v>1908</v>
      </c>
    </row>
    <row r="91" ht="15.75" customHeight="1">
      <c r="A91" s="70">
        <v>92.0</v>
      </c>
      <c r="B91" s="70" t="s">
        <v>1909</v>
      </c>
    </row>
    <row r="92" ht="15.75" customHeight="1">
      <c r="A92" s="70">
        <v>93.0</v>
      </c>
      <c r="B92" s="70" t="s">
        <v>1910</v>
      </c>
    </row>
    <row r="93" ht="15.75" customHeight="1">
      <c r="A93" s="70">
        <v>94.0</v>
      </c>
      <c r="B93" s="70" t="s">
        <v>1911</v>
      </c>
    </row>
    <row r="94" ht="15.75" customHeight="1">
      <c r="A94" s="70">
        <v>96.0</v>
      </c>
      <c r="B94" s="70" t="s">
        <v>1912</v>
      </c>
    </row>
    <row r="95" ht="15.75" customHeight="1">
      <c r="A95" s="70">
        <v>97.0</v>
      </c>
      <c r="B95" s="70" t="s">
        <v>1913</v>
      </c>
    </row>
    <row r="96" ht="15.75" customHeight="1">
      <c r="A96" s="70">
        <v>98.0</v>
      </c>
      <c r="B96" s="70" t="s">
        <v>1914</v>
      </c>
    </row>
    <row r="97" ht="15.75" customHeight="1">
      <c r="A97" s="70">
        <v>99.0</v>
      </c>
      <c r="B97" s="70" t="s">
        <v>1915</v>
      </c>
    </row>
    <row r="98" ht="15.75" customHeight="1">
      <c r="A98" s="70">
        <v>100.0</v>
      </c>
      <c r="B98" s="70" t="s">
        <v>1916</v>
      </c>
    </row>
    <row r="99" ht="15.75" customHeight="1">
      <c r="A99" s="70">
        <v>101.0</v>
      </c>
      <c r="B99" s="70" t="s">
        <v>1917</v>
      </c>
    </row>
    <row r="100" ht="15.75" customHeight="1">
      <c r="A100" s="70">
        <v>102.0</v>
      </c>
      <c r="B100" s="70" t="s">
        <v>1918</v>
      </c>
    </row>
    <row r="101" ht="15.75" customHeight="1">
      <c r="A101" s="70">
        <v>103.0</v>
      </c>
      <c r="B101" s="70" t="s">
        <v>1919</v>
      </c>
    </row>
    <row r="102" ht="15.75" customHeight="1">
      <c r="A102" s="70">
        <v>104.0</v>
      </c>
      <c r="B102" s="70" t="s">
        <v>1920</v>
      </c>
    </row>
    <row r="103" ht="15.75" customHeight="1">
      <c r="A103" s="70">
        <v>105.0</v>
      </c>
      <c r="B103" s="70" t="s">
        <v>1921</v>
      </c>
    </row>
    <row r="104" ht="15.75" customHeight="1">
      <c r="A104" s="70">
        <v>106.0</v>
      </c>
      <c r="B104" s="70" t="s">
        <v>1922</v>
      </c>
    </row>
    <row r="105" ht="15.75" customHeight="1">
      <c r="A105" s="70">
        <v>107.0</v>
      </c>
      <c r="B105" s="70" t="s">
        <v>1923</v>
      </c>
    </row>
    <row r="106" ht="15.75" customHeight="1">
      <c r="A106" s="70">
        <v>108.0</v>
      </c>
      <c r="B106" s="70" t="s">
        <v>1924</v>
      </c>
    </row>
    <row r="107" ht="15.75" customHeight="1">
      <c r="A107" s="70">
        <v>109.0</v>
      </c>
      <c r="B107" s="70" t="s">
        <v>1925</v>
      </c>
    </row>
    <row r="108" ht="15.75" customHeight="1">
      <c r="A108" s="70">
        <v>110.0</v>
      </c>
      <c r="B108" s="70" t="s">
        <v>1926</v>
      </c>
    </row>
    <row r="109" ht="15.75" customHeight="1">
      <c r="A109" s="70">
        <v>111.0</v>
      </c>
      <c r="B109" s="70" t="s">
        <v>1927</v>
      </c>
    </row>
    <row r="110" ht="15.75" customHeight="1">
      <c r="A110" s="70">
        <v>112.0</v>
      </c>
      <c r="B110" s="70" t="s">
        <v>1928</v>
      </c>
    </row>
    <row r="111" ht="15.75" customHeight="1">
      <c r="A111" s="70">
        <v>113.0</v>
      </c>
      <c r="B111" s="70" t="s">
        <v>1929</v>
      </c>
    </row>
    <row r="112" ht="15.75" customHeight="1">
      <c r="A112" s="70">
        <v>114.0</v>
      </c>
      <c r="B112" s="70" t="s">
        <v>1930</v>
      </c>
    </row>
    <row r="113" ht="15.75" customHeight="1">
      <c r="A113" s="70">
        <v>115.0</v>
      </c>
      <c r="B113" s="70" t="s">
        <v>1931</v>
      </c>
    </row>
    <row r="114" ht="15.75" customHeight="1">
      <c r="A114" s="70">
        <v>116.0</v>
      </c>
      <c r="B114" s="70" t="s">
        <v>1932</v>
      </c>
    </row>
    <row r="115" ht="15.75" customHeight="1">
      <c r="A115" s="70">
        <v>117.0</v>
      </c>
      <c r="B115" s="70" t="s">
        <v>1933</v>
      </c>
    </row>
    <row r="116" ht="15.75" customHeight="1">
      <c r="A116" s="70">
        <v>118.0</v>
      </c>
      <c r="B116" s="70" t="s">
        <v>1934</v>
      </c>
    </row>
    <row r="117" ht="15.75" customHeight="1">
      <c r="A117" s="70">
        <v>119.0</v>
      </c>
      <c r="B117" s="70" t="s">
        <v>1935</v>
      </c>
    </row>
    <row r="118" ht="15.75" customHeight="1">
      <c r="A118" s="70">
        <v>120.0</v>
      </c>
      <c r="B118" s="70" t="s">
        <v>1936</v>
      </c>
    </row>
    <row r="119" ht="15.75" customHeight="1">
      <c r="A119" s="70">
        <v>121.0</v>
      </c>
      <c r="B119" s="70" t="s">
        <v>1937</v>
      </c>
    </row>
    <row r="120" ht="15.75" customHeight="1">
      <c r="A120" s="70">
        <v>122.0</v>
      </c>
      <c r="B120" s="70" t="s">
        <v>1938</v>
      </c>
    </row>
    <row r="121" ht="15.75" customHeight="1">
      <c r="A121" s="70">
        <v>123.0</v>
      </c>
      <c r="B121" s="70" t="s">
        <v>1939</v>
      </c>
    </row>
    <row r="122" ht="15.75" customHeight="1">
      <c r="A122" s="70">
        <v>124.0</v>
      </c>
      <c r="B122" s="70" t="s">
        <v>1940</v>
      </c>
    </row>
    <row r="123" ht="15.75" customHeight="1">
      <c r="A123" s="70">
        <v>125.0</v>
      </c>
      <c r="B123" s="70" t="s">
        <v>1941</v>
      </c>
    </row>
    <row r="124" ht="15.75" customHeight="1">
      <c r="A124" s="70">
        <v>126.0</v>
      </c>
      <c r="B124" s="70" t="s">
        <v>1942</v>
      </c>
    </row>
    <row r="125" ht="15.75" customHeight="1">
      <c r="A125" s="70">
        <v>127.0</v>
      </c>
      <c r="B125" s="70" t="s">
        <v>1943</v>
      </c>
    </row>
    <row r="126" ht="15.75" customHeight="1">
      <c r="A126" s="70">
        <v>128.0</v>
      </c>
      <c r="B126" s="70" t="s">
        <v>1944</v>
      </c>
    </row>
    <row r="127" ht="15.75" customHeight="1">
      <c r="A127" s="70">
        <v>129.0</v>
      </c>
      <c r="B127" s="70" t="s">
        <v>1945</v>
      </c>
    </row>
    <row r="128" ht="15.75" customHeight="1">
      <c r="A128" s="70">
        <v>130.0</v>
      </c>
      <c r="B128" s="70" t="s">
        <v>1946</v>
      </c>
    </row>
    <row r="129" ht="15.75" customHeight="1">
      <c r="A129" s="70">
        <v>131.0</v>
      </c>
      <c r="B129" s="70" t="s">
        <v>1947</v>
      </c>
    </row>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